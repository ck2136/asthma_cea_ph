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k\Dropbox\Academic Coursework\FS2016\PHSC 7611 CEA\PH CEA\"/>
    </mc:Choice>
  </mc:AlternateContent>
  <bookViews>
    <workbookView xWindow="0" yWindow="0" windowWidth="21570" windowHeight="8160" tabRatio="682" activeTab="6"/>
  </bookViews>
  <sheets>
    <sheet name="Model Figure" sheetId="1" r:id="rId1"/>
    <sheet name="Analysis" sheetId="3" r:id="rId2"/>
    <sheet name="Parameters" sheetId="8" r:id="rId3"/>
    <sheet name="Life tables" sheetId="4" r:id="rId4"/>
    <sheet name="Probabilities" sheetId="6" r:id="rId5"/>
    <sheet name="UC " sheetId="16" r:id="rId6"/>
    <sheet name="PH + UC" sheetId="17" r:id="rId7"/>
    <sheet name="Control" sheetId="13" state="hidden" r:id="rId8"/>
  </sheets>
  <externalReferences>
    <externalReference r:id="rId9"/>
    <externalReference r:id="rId10"/>
  </externalReferences>
  <definedNames>
    <definedName name="_cNP1">Parameters!$B$41</definedName>
    <definedName name="_cPH1">Parameters!$B$41</definedName>
    <definedName name="_PA14">[1]Parameters!$B$106</definedName>
    <definedName name="_PA18">[1]Parameters!$B$107</definedName>
    <definedName name="_PA26">[1]Parameters!$B$108</definedName>
    <definedName name="_PA6">[1]Parameters!$B$103</definedName>
    <definedName name="_pH2">[1]Parameters!$B$19</definedName>
    <definedName name="_PPI10">[1]Parameters!$B$97</definedName>
    <definedName name="_PPI18">[1]Parameters!$B$98</definedName>
    <definedName name="_PPI26">[1]Parameters!$B$99</definedName>
    <definedName name="_PPI8">[1]Parameters!$B$96</definedName>
    <definedName name="_xR1">[1]Parameters!$B$111</definedName>
    <definedName name="_xR2">[1]Parameters!$B$112</definedName>
    <definedName name="a" localSheetId="4">Probabilities!#REF!</definedName>
    <definedName name="age">Parameters!$B$8</definedName>
    <definedName name="ageC">[2]Parameters!$B$23</definedName>
    <definedName name="amr">Parameters!$B$19</definedName>
    <definedName name="amrc">Parameters!$B$23</definedName>
    <definedName name="amrHOEX">Parameters!$B$20</definedName>
    <definedName name="amrrate">Parameters!$B$18</definedName>
    <definedName name="b" localSheetId="4">Probabilities!#REF!</definedName>
    <definedName name="BS">[1]Parameters!$B$67</definedName>
    <definedName name="c_" localSheetId="4">Probabilities!#REF!</definedName>
    <definedName name="CCC">[1]Parameters!$B$105</definedName>
    <definedName name="cDR">Parameters!$B$11</definedName>
    <definedName name="cEREX">Parameters!$B$39</definedName>
    <definedName name="cHOEX">Parameters!$B$40</definedName>
    <definedName name="CIS">[1]Parameters!$B$55</definedName>
    <definedName name="cNES">Parameters!$B$37</definedName>
    <definedName name="cons">[2]Parameters!$B$22</definedName>
    <definedName name="cOSEX">Parameters!$B$38</definedName>
    <definedName name="cPH1_">Parameters!$B$41</definedName>
    <definedName name="cPHr">Parameters!$B$42</definedName>
    <definedName name="cPrimary">Parameters!$B$37</definedName>
    <definedName name="cRevision">Parameters!$B$38</definedName>
    <definedName name="CST">[1]Parameters!$B$65</definedName>
    <definedName name="cStandard">Parameters!$B$40</definedName>
    <definedName name="cSuccess">Parameters!$B$39</definedName>
    <definedName name="d" localSheetId="4">Probabilities!#REF!</definedName>
    <definedName name="DDPPI8">[1]Parameters!$B$102</definedName>
    <definedName name="e" localSheetId="4">Probabilities!#REF!</definedName>
    <definedName name="ECG">[1]Parameters!$B$66</definedName>
    <definedName name="f" localSheetId="4">Probabilities!#REF!</definedName>
    <definedName name="Fee">[1]Parameters!$B$53</definedName>
    <definedName name="g" localSheetId="4">Probabilities!#REF!</definedName>
    <definedName name="gamma" localSheetId="7">Parameters!#REF!</definedName>
    <definedName name="gamma" localSheetId="6">Parameters!#REF!</definedName>
    <definedName name="gamma" localSheetId="5">Parameters!#REF!</definedName>
    <definedName name="gamma">Parameters!#REF!</definedName>
    <definedName name="GEPA">[1]Parameters!$B$62</definedName>
    <definedName name="GERA">[1]Parameters!$B$61</definedName>
    <definedName name="GPGA">[1]Parameters!$B$58</definedName>
    <definedName name="GPGER1">[1]Parameters!$B$109</definedName>
    <definedName name="GPGER2">[1]Parameters!$B$110</definedName>
    <definedName name="GPMA">[1]Parameters!$B$60</definedName>
    <definedName name="GPRA">[1]Parameters!$B$59</definedName>
    <definedName name="h" localSheetId="4">Probabilities!#REF!</definedName>
    <definedName name="H2RA">[1]Parameters!$B$54</definedName>
    <definedName name="H2RA18">[1]Parameters!$B$92</definedName>
    <definedName name="H2RA26">[1]Parameters!$B$93</definedName>
    <definedName name="H2RADD">[1]Parameters!$B$89</definedName>
    <definedName name="HR2A18">[1]Parameters!$B$92</definedName>
    <definedName name="i" localSheetId="4">Probabilities!#REF!</definedName>
    <definedName name="j" localSheetId="4">Probabilities!#REF!</definedName>
    <definedName name="k" localSheetId="4">Probabilities!#REF!</definedName>
    <definedName name="l" localSheetId="4">Probabilities!#REF!</definedName>
    <definedName name="lambda" localSheetId="7">Parameters!#REF!</definedName>
    <definedName name="lambda" localSheetId="6">Parameters!#REF!</definedName>
    <definedName name="lambda" localSheetId="5">Parameters!#REF!</definedName>
    <definedName name="lambda">Parameters!#REF!</definedName>
    <definedName name="LDPPI">[1]Parameters!$B$57</definedName>
    <definedName name="LDPPI18">[1]Parameters!$B$100</definedName>
    <definedName name="LDPPI26">[1]Parameters!$B$101</definedName>
    <definedName name="lifetable">'Life tables'!$A$4:$M$123</definedName>
    <definedName name="m" localSheetId="4">Probabilities!#REF!</definedName>
    <definedName name="male">Parameters!$B$9</definedName>
    <definedName name="maleC">[2]Parameters!$B$24</definedName>
    <definedName name="mr" localSheetId="6">'PH + UC'!$C$7:$C$839</definedName>
    <definedName name="mr">'UC '!$C$7:$C$839</definedName>
    <definedName name="n" localSheetId="4">Probabilities!#REF!</definedName>
    <definedName name="nCSTR2">[1]Parameters!$B$82</definedName>
    <definedName name="nECGR1">[1]Parameters!$B$76</definedName>
    <definedName name="nECGR2">[1]Parameters!$B$83</definedName>
    <definedName name="NF">[1]Parameters!$B$68</definedName>
    <definedName name="nGER2">[1]Parameters!$B$80</definedName>
    <definedName name="nGPR2">[1]Parameters!$B$79</definedName>
    <definedName name="nUGIER1">[1]Parameters!$B$77</definedName>
    <definedName name="nUGIER2">[1]Parameters!$B$84</definedName>
    <definedName name="nUGISR1">[1]Parameters!$B$78</definedName>
    <definedName name="nUGISR2">[1]Parameters!$B$85</definedName>
    <definedName name="o" localSheetId="4">Probabilities!#REF!</definedName>
    <definedName name="oDR">Parameters!$B$12</definedName>
    <definedName name="omrPTHR">[2]Parameters!$B$16</definedName>
    <definedName name="omrRTHR">[2]Parameters!$B$17</definedName>
    <definedName name="p06H2">[1]Parameters!$B$27</definedName>
    <definedName name="p06LDPPI">[1]Parameters!$B$29</definedName>
    <definedName name="p06PA">[1]Parameters!$B$26</definedName>
    <definedName name="p06PL">[1]Parameters!$B$25</definedName>
    <definedName name="p06PPI">[1]Parameters!$B$28</definedName>
    <definedName name="p06SU">[1]Parameters!$B$30</definedName>
    <definedName name="p612H2">[1]Parameters!$B$33</definedName>
    <definedName name="p612LDPPI">[1]Parameters!$B$35</definedName>
    <definedName name="p612PA">[1]Parameters!$B$32</definedName>
    <definedName name="p612PL">[1]Parameters!$B$31</definedName>
    <definedName name="p612PPI">[1]Parameters!$B$34</definedName>
    <definedName name="pCAPH">Parameters!$B$54</definedName>
    <definedName name="pCAUC">Parameters!$B$55</definedName>
    <definedName name="pDDH2">[1]Parameters!$B$20</definedName>
    <definedName name="pDDPPI">[1]Parameters!$B$22</definedName>
    <definedName name="pEXUC">Probabilities!$E$31</definedName>
    <definedName name="pPA">[1]Parameters!$B$18</definedName>
    <definedName name="PPI">[1]Parameters!$B$56</definedName>
    <definedName name="pPPI">[1]Parameters!$B$21</definedName>
    <definedName name="_xlnm.Print_Area" localSheetId="2">Parameters!$A$1:$M$54</definedName>
    <definedName name="prob">[1]Parameters!$B$3</definedName>
    <definedName name="pUAPH">Parameters!$B$56</definedName>
    <definedName name="pUAUC">Parameters!$B$57</definedName>
    <definedName name="Rc_">'[1]MC Results'!$U$2</definedName>
    <definedName name="rrEREX">Parameters!$B$28</definedName>
    <definedName name="rrEREXc">Parameters!$B$32</definedName>
    <definedName name="rrHOEX">Parameters!$B$29</definedName>
    <definedName name="rrHOEXc">Parameters!$B$33</definedName>
    <definedName name="rrNP1" localSheetId="7">Parameters!#REF!</definedName>
    <definedName name="rrNP1" localSheetId="6">Parameters!#REF!</definedName>
    <definedName name="rrNP1" localSheetId="5">Parameters!#REF!</definedName>
    <definedName name="rrNP1">Parameters!#REF!</definedName>
    <definedName name="rrnp2" localSheetId="6">Parameters!#REF!</definedName>
    <definedName name="rrnp2" localSheetId="5">Parameters!#REF!</definedName>
    <definedName name="rrnp2">Parameters!#REF!</definedName>
    <definedName name="rrOSEX">Parameters!$B$27</definedName>
    <definedName name="rrOSEXc">Parameters!$B$31</definedName>
    <definedName name="rrr">[2]Parameters!$B$18</definedName>
    <definedName name="standardRR" localSheetId="7">Control!#REF!</definedName>
    <definedName name="standardRR" localSheetId="2">[2]Standard!$C$7:$C$66</definedName>
    <definedName name="standardRR" localSheetId="6">'PH + UC'!#REF!</definedName>
    <definedName name="standardRR" localSheetId="4">[2]Standard!$C$7:$C$66</definedName>
    <definedName name="standardRR" localSheetId="5">'UC '!#REF!</definedName>
    <definedName name="standardRR">#REF!</definedName>
    <definedName name="SWDDH2E">[1]Parameters!$B$48</definedName>
    <definedName name="SWDDPPI">[1]Parameters!$B$42</definedName>
    <definedName name="SWDDPPIE">[1]Parameters!$B$50</definedName>
    <definedName name="SWH2E">[1]Parameters!$B$47</definedName>
    <definedName name="SWNH12">[1]Parameters!$B$44</definedName>
    <definedName name="SWNH8">[1]Parameters!$B$45</definedName>
    <definedName name="SWPA">[1]Parameters!$B$38</definedName>
    <definedName name="SWPAE">[1]Parameters!$B$46</definedName>
    <definedName name="SWPPI">[1]Parameters!$B$41</definedName>
    <definedName name="SWPPIE">[1]Parameters!$B$49</definedName>
    <definedName name="SWSU">[1]Parameters!$B$43</definedName>
    <definedName name="uEREX">Parameters!$B$49</definedName>
    <definedName name="UGIE">[1]Parameters!$B$63</definedName>
    <definedName name="UGIS">[1]Parameters!$B$64</definedName>
    <definedName name="uHOEX">Parameters!$B$50</definedName>
    <definedName name="uNES">Parameters!$B$47</definedName>
    <definedName name="uOCEX">Parameters!$B$48</definedName>
    <definedName name="uRevision">Parameters!$B$49</definedName>
    <definedName name="uSuccessP">Parameters!$B$47</definedName>
    <definedName name="uSuccessR">Parameters!$B$48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7" i="8" l="1"/>
  <c r="U7" i="17"/>
  <c r="R7" i="17"/>
  <c r="K7" i="17"/>
  <c r="M7" i="17"/>
  <c r="F7" i="17"/>
  <c r="M7" i="16"/>
  <c r="P7" i="16" s="1"/>
  <c r="R7" i="16" s="1"/>
  <c r="F7" i="16"/>
  <c r="H7" i="16" s="1"/>
  <c r="W6" i="16"/>
  <c r="V6" i="16"/>
  <c r="U6" i="16"/>
  <c r="T6" i="16"/>
  <c r="P3" i="4"/>
  <c r="P2" i="4"/>
  <c r="B8" i="8"/>
  <c r="O7" i="16" l="1"/>
  <c r="N7" i="16"/>
  <c r="G7" i="16"/>
  <c r="I7" i="16"/>
  <c r="K7" i="16" s="1"/>
  <c r="U7" i="16" s="1"/>
  <c r="W6" i="17"/>
  <c r="V6" i="17"/>
  <c r="U6" i="17"/>
  <c r="T6" i="17"/>
  <c r="N1" i="4"/>
  <c r="O1" i="4"/>
  <c r="G11" i="8"/>
  <c r="B11" i="8"/>
  <c r="B12" i="8"/>
  <c r="G12" i="8"/>
  <c r="K5" i="4"/>
  <c r="L5" i="4"/>
  <c r="M5" i="4"/>
  <c r="K6" i="4"/>
  <c r="L6" i="4"/>
  <c r="M6" i="4" s="1"/>
  <c r="K7" i="4"/>
  <c r="L7" i="4"/>
  <c r="M7" i="4" s="1"/>
  <c r="K8" i="4"/>
  <c r="L8" i="4"/>
  <c r="M8" i="4" s="1"/>
  <c r="K9" i="4"/>
  <c r="L9" i="4" s="1"/>
  <c r="M9" i="4" s="1"/>
  <c r="K10" i="4"/>
  <c r="L10" i="4" s="1"/>
  <c r="M10" i="4" s="1"/>
  <c r="K11" i="4"/>
  <c r="L11" i="4" s="1"/>
  <c r="M11" i="4" s="1"/>
  <c r="K12" i="4"/>
  <c r="L12" i="4"/>
  <c r="M12" i="4"/>
  <c r="K13" i="4"/>
  <c r="L13" i="4"/>
  <c r="M13" i="4"/>
  <c r="K14" i="4"/>
  <c r="L14" i="4"/>
  <c r="M14" i="4" s="1"/>
  <c r="K15" i="4"/>
  <c r="L15" i="4"/>
  <c r="M15" i="4" s="1"/>
  <c r="K16" i="4"/>
  <c r="L16" i="4"/>
  <c r="M16" i="4" s="1"/>
  <c r="K17" i="4"/>
  <c r="L17" i="4" s="1"/>
  <c r="M17" i="4" s="1"/>
  <c r="K18" i="4"/>
  <c r="L18" i="4" s="1"/>
  <c r="M18" i="4" s="1"/>
  <c r="K19" i="4"/>
  <c r="L19" i="4" s="1"/>
  <c r="M19" i="4" s="1"/>
  <c r="K20" i="4"/>
  <c r="L20" i="4"/>
  <c r="M20" i="4"/>
  <c r="K21" i="4"/>
  <c r="L21" i="4"/>
  <c r="M21" i="4"/>
  <c r="K22" i="4"/>
  <c r="L22" i="4"/>
  <c r="M22" i="4" s="1"/>
  <c r="K23" i="4"/>
  <c r="L23" i="4"/>
  <c r="M23" i="4" s="1"/>
  <c r="K24" i="4"/>
  <c r="L24" i="4"/>
  <c r="M24" i="4" s="1"/>
  <c r="K25" i="4"/>
  <c r="L25" i="4" s="1"/>
  <c r="M25" i="4" s="1"/>
  <c r="K26" i="4"/>
  <c r="L26" i="4" s="1"/>
  <c r="M26" i="4" s="1"/>
  <c r="K27" i="4"/>
  <c r="L27" i="4" s="1"/>
  <c r="M27" i="4" s="1"/>
  <c r="K28" i="4"/>
  <c r="L28" i="4"/>
  <c r="M28" i="4"/>
  <c r="K29" i="4"/>
  <c r="L29" i="4"/>
  <c r="M29" i="4"/>
  <c r="K30" i="4"/>
  <c r="L30" i="4"/>
  <c r="M30" i="4" s="1"/>
  <c r="K31" i="4"/>
  <c r="L31" i="4"/>
  <c r="M31" i="4" s="1"/>
  <c r="K32" i="4"/>
  <c r="L32" i="4"/>
  <c r="M32" i="4" s="1"/>
  <c r="K33" i="4"/>
  <c r="L33" i="4" s="1"/>
  <c r="M33" i="4" s="1"/>
  <c r="K34" i="4"/>
  <c r="L34" i="4" s="1"/>
  <c r="M34" i="4" s="1"/>
  <c r="K35" i="4"/>
  <c r="L35" i="4" s="1"/>
  <c r="M35" i="4" s="1"/>
  <c r="K36" i="4"/>
  <c r="L36" i="4"/>
  <c r="M36" i="4"/>
  <c r="K37" i="4"/>
  <c r="L37" i="4"/>
  <c r="M37" i="4"/>
  <c r="K38" i="4"/>
  <c r="L38" i="4"/>
  <c r="M38" i="4" s="1"/>
  <c r="K39" i="4"/>
  <c r="L39" i="4"/>
  <c r="M39" i="4" s="1"/>
  <c r="K40" i="4"/>
  <c r="L40" i="4"/>
  <c r="M40" i="4" s="1"/>
  <c r="K41" i="4"/>
  <c r="L41" i="4" s="1"/>
  <c r="M41" i="4" s="1"/>
  <c r="K42" i="4"/>
  <c r="L42" i="4" s="1"/>
  <c r="M42" i="4" s="1"/>
  <c r="K43" i="4"/>
  <c r="L43" i="4" s="1"/>
  <c r="M43" i="4" s="1"/>
  <c r="K44" i="4"/>
  <c r="L44" i="4"/>
  <c r="M44" i="4"/>
  <c r="K45" i="4"/>
  <c r="L45" i="4"/>
  <c r="M45" i="4"/>
  <c r="K46" i="4"/>
  <c r="L46" i="4"/>
  <c r="M46" i="4" s="1"/>
  <c r="K47" i="4"/>
  <c r="L47" i="4"/>
  <c r="M47" i="4" s="1"/>
  <c r="K48" i="4"/>
  <c r="L48" i="4"/>
  <c r="M48" i="4" s="1"/>
  <c r="K49" i="4"/>
  <c r="L49" i="4" s="1"/>
  <c r="M49" i="4" s="1"/>
  <c r="K50" i="4"/>
  <c r="L50" i="4" s="1"/>
  <c r="M50" i="4" s="1"/>
  <c r="K51" i="4"/>
  <c r="L51" i="4" s="1"/>
  <c r="M51" i="4" s="1"/>
  <c r="K52" i="4"/>
  <c r="L52" i="4"/>
  <c r="M52" i="4"/>
  <c r="K53" i="4"/>
  <c r="L53" i="4"/>
  <c r="M53" i="4"/>
  <c r="K54" i="4"/>
  <c r="L54" i="4"/>
  <c r="M54" i="4" s="1"/>
  <c r="K55" i="4"/>
  <c r="L55" i="4"/>
  <c r="M55" i="4" s="1"/>
  <c r="K56" i="4"/>
  <c r="L56" i="4"/>
  <c r="M56" i="4" s="1"/>
  <c r="K57" i="4"/>
  <c r="L57" i="4" s="1"/>
  <c r="M57" i="4" s="1"/>
  <c r="K58" i="4"/>
  <c r="L58" i="4" s="1"/>
  <c r="M58" i="4" s="1"/>
  <c r="K59" i="4"/>
  <c r="L59" i="4" s="1"/>
  <c r="M59" i="4" s="1"/>
  <c r="K60" i="4"/>
  <c r="L60" i="4"/>
  <c r="M60" i="4"/>
  <c r="K61" i="4"/>
  <c r="L61" i="4"/>
  <c r="M61" i="4"/>
  <c r="K62" i="4"/>
  <c r="L62" i="4"/>
  <c r="M62" i="4" s="1"/>
  <c r="K63" i="4"/>
  <c r="L63" i="4"/>
  <c r="M63" i="4" s="1"/>
  <c r="K64" i="4"/>
  <c r="L64" i="4"/>
  <c r="M64" i="4" s="1"/>
  <c r="K65" i="4"/>
  <c r="L65" i="4" s="1"/>
  <c r="M65" i="4" s="1"/>
  <c r="K66" i="4"/>
  <c r="L66" i="4" s="1"/>
  <c r="M66" i="4" s="1"/>
  <c r="K67" i="4"/>
  <c r="L67" i="4" s="1"/>
  <c r="M67" i="4" s="1"/>
  <c r="K68" i="4"/>
  <c r="L68" i="4"/>
  <c r="M68" i="4"/>
  <c r="K69" i="4"/>
  <c r="L69" i="4"/>
  <c r="M69" i="4"/>
  <c r="K70" i="4"/>
  <c r="L70" i="4"/>
  <c r="M70" i="4" s="1"/>
  <c r="K71" i="4"/>
  <c r="L71" i="4"/>
  <c r="M71" i="4" s="1"/>
  <c r="K72" i="4"/>
  <c r="L72" i="4"/>
  <c r="M72" i="4" s="1"/>
  <c r="K73" i="4"/>
  <c r="L73" i="4" s="1"/>
  <c r="M73" i="4" s="1"/>
  <c r="K74" i="4"/>
  <c r="L74" i="4" s="1"/>
  <c r="M74" i="4" s="1"/>
  <c r="K75" i="4"/>
  <c r="L75" i="4" s="1"/>
  <c r="M75" i="4" s="1"/>
  <c r="K76" i="4"/>
  <c r="L76" i="4"/>
  <c r="M76" i="4"/>
  <c r="K77" i="4"/>
  <c r="L77" i="4"/>
  <c r="M77" i="4"/>
  <c r="K78" i="4"/>
  <c r="L78" i="4"/>
  <c r="M78" i="4" s="1"/>
  <c r="K79" i="4"/>
  <c r="L79" i="4"/>
  <c r="M79" i="4" s="1"/>
  <c r="K80" i="4"/>
  <c r="L80" i="4"/>
  <c r="M80" i="4" s="1"/>
  <c r="K81" i="4"/>
  <c r="L81" i="4" s="1"/>
  <c r="M81" i="4" s="1"/>
  <c r="K82" i="4"/>
  <c r="L82" i="4" s="1"/>
  <c r="M82" i="4" s="1"/>
  <c r="K83" i="4"/>
  <c r="L83" i="4" s="1"/>
  <c r="M83" i="4" s="1"/>
  <c r="K84" i="4"/>
  <c r="L84" i="4"/>
  <c r="M84" i="4"/>
  <c r="K85" i="4"/>
  <c r="L85" i="4"/>
  <c r="M85" i="4"/>
  <c r="K86" i="4"/>
  <c r="L86" i="4"/>
  <c r="M86" i="4" s="1"/>
  <c r="K87" i="4"/>
  <c r="L87" i="4"/>
  <c r="M87" i="4" s="1"/>
  <c r="K88" i="4"/>
  <c r="L88" i="4"/>
  <c r="M88" i="4" s="1"/>
  <c r="K89" i="4"/>
  <c r="L89" i="4" s="1"/>
  <c r="M89" i="4" s="1"/>
  <c r="K90" i="4"/>
  <c r="L90" i="4" s="1"/>
  <c r="M90" i="4" s="1"/>
  <c r="K91" i="4"/>
  <c r="L91" i="4" s="1"/>
  <c r="M91" i="4" s="1"/>
  <c r="K92" i="4"/>
  <c r="L92" i="4"/>
  <c r="M92" i="4"/>
  <c r="K93" i="4"/>
  <c r="L93" i="4"/>
  <c r="M93" i="4"/>
  <c r="K94" i="4"/>
  <c r="L94" i="4"/>
  <c r="M94" i="4" s="1"/>
  <c r="K95" i="4"/>
  <c r="L95" i="4"/>
  <c r="M95" i="4" s="1"/>
  <c r="K96" i="4"/>
  <c r="L96" i="4"/>
  <c r="M96" i="4" s="1"/>
  <c r="K97" i="4"/>
  <c r="L97" i="4" s="1"/>
  <c r="M97" i="4" s="1"/>
  <c r="K98" i="4"/>
  <c r="L98" i="4" s="1"/>
  <c r="M98" i="4" s="1"/>
  <c r="K99" i="4"/>
  <c r="L99" i="4" s="1"/>
  <c r="M99" i="4" s="1"/>
  <c r="K100" i="4"/>
  <c r="L100" i="4"/>
  <c r="M100" i="4"/>
  <c r="K101" i="4"/>
  <c r="L101" i="4"/>
  <c r="M101" i="4"/>
  <c r="K102" i="4"/>
  <c r="L102" i="4"/>
  <c r="M102" i="4" s="1"/>
  <c r="K103" i="4"/>
  <c r="L103" i="4"/>
  <c r="M103" i="4" s="1"/>
  <c r="K104" i="4"/>
  <c r="L104" i="4"/>
  <c r="M104" i="4" s="1"/>
  <c r="K105" i="4"/>
  <c r="L105" i="4" s="1"/>
  <c r="M105" i="4" s="1"/>
  <c r="K106" i="4"/>
  <c r="L106" i="4" s="1"/>
  <c r="M106" i="4" s="1"/>
  <c r="K107" i="4"/>
  <c r="L107" i="4" s="1"/>
  <c r="M107" i="4" s="1"/>
  <c r="K108" i="4"/>
  <c r="L108" i="4"/>
  <c r="M108" i="4"/>
  <c r="K109" i="4"/>
  <c r="L109" i="4"/>
  <c r="M109" i="4"/>
  <c r="K110" i="4"/>
  <c r="L110" i="4"/>
  <c r="M110" i="4" s="1"/>
  <c r="K111" i="4"/>
  <c r="L111" i="4"/>
  <c r="M111" i="4" s="1"/>
  <c r="K112" i="4"/>
  <c r="L112" i="4"/>
  <c r="M112" i="4" s="1"/>
  <c r="K113" i="4"/>
  <c r="L113" i="4" s="1"/>
  <c r="M113" i="4" s="1"/>
  <c r="K114" i="4"/>
  <c r="L114" i="4" s="1"/>
  <c r="M114" i="4" s="1"/>
  <c r="K115" i="4"/>
  <c r="L115" i="4" s="1"/>
  <c r="M115" i="4" s="1"/>
  <c r="K116" i="4"/>
  <c r="L116" i="4"/>
  <c r="M116" i="4"/>
  <c r="K117" i="4"/>
  <c r="L117" i="4"/>
  <c r="M117" i="4"/>
  <c r="K118" i="4"/>
  <c r="L118" i="4"/>
  <c r="M118" i="4" s="1"/>
  <c r="K119" i="4"/>
  <c r="L119" i="4"/>
  <c r="M119" i="4" s="1"/>
  <c r="K120" i="4"/>
  <c r="L120" i="4"/>
  <c r="M120" i="4" s="1"/>
  <c r="K121" i="4"/>
  <c r="L121" i="4" s="1"/>
  <c r="M121" i="4" s="1"/>
  <c r="K122" i="4"/>
  <c r="L122" i="4" s="1"/>
  <c r="M122" i="4" s="1"/>
  <c r="K123" i="4"/>
  <c r="L123" i="4" s="1"/>
  <c r="M123" i="4" s="1"/>
  <c r="L4" i="4"/>
  <c r="M4" i="4" s="1"/>
  <c r="K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4" i="4"/>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4" i="4"/>
  <c r="E31" i="6"/>
  <c r="C31" i="6"/>
  <c r="R2" i="16" l="1"/>
  <c r="N7" i="17"/>
  <c r="G7" i="17"/>
  <c r="O7" i="17"/>
  <c r="H7" i="17"/>
  <c r="I7" i="17"/>
  <c r="P7" i="17"/>
  <c r="C38" i="6"/>
  <c r="E38" i="6" s="1"/>
  <c r="B56" i="8" s="1"/>
  <c r="B37" i="6"/>
  <c r="C37" i="6" s="1"/>
  <c r="E37" i="6" s="1"/>
  <c r="B57" i="8" s="1"/>
  <c r="B38" i="6"/>
  <c r="C36" i="6"/>
  <c r="E36" i="6" s="1"/>
  <c r="B54" i="8" s="1"/>
  <c r="B36" i="6"/>
  <c r="B35" i="6"/>
  <c r="C35" i="6" s="1"/>
  <c r="E35" i="6" s="1"/>
  <c r="B55" i="8" s="1"/>
  <c r="M6" i="13"/>
  <c r="G6" i="13"/>
  <c r="E7" i="13" l="1"/>
  <c r="L7" i="13"/>
  <c r="K7" i="13"/>
  <c r="F7" i="13"/>
  <c r="B31" i="8"/>
  <c r="C27" i="6"/>
  <c r="E27" i="6" s="1"/>
  <c r="C28" i="6"/>
  <c r="E28" i="6" s="1"/>
  <c r="C26" i="6"/>
  <c r="E26" i="6" s="1"/>
  <c r="B27" i="8" s="1"/>
  <c r="C29" i="6"/>
  <c r="E29" i="6" s="1"/>
  <c r="D28" i="6"/>
  <c r="D27" i="6"/>
  <c r="D26" i="6"/>
  <c r="C15" i="6"/>
  <c r="E15" i="6" s="1"/>
  <c r="C19" i="6"/>
  <c r="E19" i="6" s="1"/>
  <c r="C16" i="6"/>
  <c r="E16" i="6" s="1"/>
  <c r="B32" i="8" s="1"/>
  <c r="C17" i="6"/>
  <c r="E17" i="6" s="1"/>
  <c r="B29" i="8" s="1"/>
  <c r="C18" i="6"/>
  <c r="E18" i="6" s="1"/>
  <c r="D17" i="6"/>
  <c r="D16" i="6"/>
  <c r="D15" i="6"/>
  <c r="G7" i="13" l="1"/>
  <c r="M7" i="13"/>
  <c r="B33" i="8"/>
  <c r="L8" i="13"/>
  <c r="F8" i="13"/>
  <c r="B28" i="8"/>
  <c r="K8" i="13"/>
  <c r="E8" i="13"/>
  <c r="B8" i="6"/>
  <c r="M8" i="13" l="1"/>
  <c r="E9" i="13"/>
  <c r="K9" i="13"/>
  <c r="F9" i="13"/>
  <c r="G8" i="13"/>
  <c r="L9" i="13"/>
  <c r="C8" i="6"/>
  <c r="E8" i="6" s="1"/>
  <c r="B19" i="8" s="1"/>
  <c r="B30" i="6"/>
  <c r="C30" i="6" s="1"/>
  <c r="E30" i="6" s="1"/>
  <c r="C7" i="6"/>
  <c r="E7" i="6" s="1"/>
  <c r="B20" i="8" s="1"/>
  <c r="C5" i="6"/>
  <c r="E5" i="6" s="1"/>
  <c r="C6" i="6"/>
  <c r="E6" i="6" s="1"/>
  <c r="C4" i="6"/>
  <c r="E4" i="6"/>
  <c r="D5" i="6"/>
  <c r="D6" i="6"/>
  <c r="D4" i="6"/>
  <c r="B9" i="8"/>
  <c r="C839" i="16" l="1"/>
  <c r="C835" i="16"/>
  <c r="C831" i="16"/>
  <c r="C827" i="16"/>
  <c r="C823" i="16"/>
  <c r="C819" i="16"/>
  <c r="C815" i="16"/>
  <c r="C811" i="16"/>
  <c r="C807" i="16"/>
  <c r="C803" i="16"/>
  <c r="C799" i="16"/>
  <c r="C795" i="16"/>
  <c r="C791" i="16"/>
  <c r="C787" i="16"/>
  <c r="C783" i="16"/>
  <c r="C779" i="16"/>
  <c r="C775" i="16"/>
  <c r="C771" i="16"/>
  <c r="C767" i="16"/>
  <c r="C763" i="16"/>
  <c r="C759" i="16"/>
  <c r="C755" i="16"/>
  <c r="C751" i="16"/>
  <c r="C747" i="16"/>
  <c r="C743" i="16"/>
  <c r="C739" i="16"/>
  <c r="C735" i="16"/>
  <c r="C731" i="16"/>
  <c r="C727" i="16"/>
  <c r="C723" i="16"/>
  <c r="C719" i="16"/>
  <c r="C715" i="16"/>
  <c r="C711" i="16"/>
  <c r="C707" i="16"/>
  <c r="C703" i="16"/>
  <c r="C699" i="16"/>
  <c r="C695" i="16"/>
  <c r="C691" i="16"/>
  <c r="C687" i="16"/>
  <c r="C683" i="16"/>
  <c r="C679" i="16"/>
  <c r="C675" i="16"/>
  <c r="C671" i="16"/>
  <c r="C667" i="16"/>
  <c r="C663" i="16"/>
  <c r="C659" i="16"/>
  <c r="C655" i="16"/>
  <c r="C651" i="16"/>
  <c r="C647" i="16"/>
  <c r="C643" i="16"/>
  <c r="C639" i="16"/>
  <c r="C635" i="16"/>
  <c r="C631" i="16"/>
  <c r="C627" i="16"/>
  <c r="C623" i="16"/>
  <c r="C619" i="16"/>
  <c r="C615" i="16"/>
  <c r="C611" i="16"/>
  <c r="C607" i="16"/>
  <c r="C603" i="16"/>
  <c r="C599" i="16"/>
  <c r="C595" i="16"/>
  <c r="C591" i="16"/>
  <c r="C587" i="16"/>
  <c r="C583" i="16"/>
  <c r="C579" i="16"/>
  <c r="C575" i="16"/>
  <c r="C571" i="16"/>
  <c r="C567" i="16"/>
  <c r="C563" i="16"/>
  <c r="C559" i="16"/>
  <c r="C555" i="16"/>
  <c r="C551" i="16"/>
  <c r="C547" i="16"/>
  <c r="C543" i="16"/>
  <c r="C539" i="16"/>
  <c r="C535" i="16"/>
  <c r="C531" i="16"/>
  <c r="C527" i="16"/>
  <c r="C523" i="16"/>
  <c r="C519" i="16"/>
  <c r="C515" i="16"/>
  <c r="C511" i="16"/>
  <c r="C507" i="16"/>
  <c r="C503" i="16"/>
  <c r="C838" i="16"/>
  <c r="C834" i="16"/>
  <c r="C830" i="16"/>
  <c r="C826" i="16"/>
  <c r="C822" i="16"/>
  <c r="C818" i="16"/>
  <c r="C814" i="16"/>
  <c r="C810" i="16"/>
  <c r="C806" i="16"/>
  <c r="C802" i="16"/>
  <c r="C798" i="16"/>
  <c r="C794" i="16"/>
  <c r="C790" i="16"/>
  <c r="C786" i="16"/>
  <c r="C782" i="16"/>
  <c r="C778" i="16"/>
  <c r="C774" i="16"/>
  <c r="C770" i="16"/>
  <c r="C766" i="16"/>
  <c r="C762" i="16"/>
  <c r="C758" i="16"/>
  <c r="C754" i="16"/>
  <c r="C750" i="16"/>
  <c r="C746" i="16"/>
  <c r="C742" i="16"/>
  <c r="C738" i="16"/>
  <c r="C734" i="16"/>
  <c r="C730" i="16"/>
  <c r="C726" i="16"/>
  <c r="C722" i="16"/>
  <c r="C718" i="16"/>
  <c r="C714" i="16"/>
  <c r="C710" i="16"/>
  <c r="C706" i="16"/>
  <c r="C702" i="16"/>
  <c r="C698" i="16"/>
  <c r="C694" i="16"/>
  <c r="C690" i="16"/>
  <c r="C686" i="16"/>
  <c r="C682" i="16"/>
  <c r="C678" i="16"/>
  <c r="C674" i="16"/>
  <c r="C670" i="16"/>
  <c r="C666" i="16"/>
  <c r="C662" i="16"/>
  <c r="C658" i="16"/>
  <c r="C654" i="16"/>
  <c r="C650" i="16"/>
  <c r="C646" i="16"/>
  <c r="C642" i="16"/>
  <c r="C638" i="16"/>
  <c r="C634" i="16"/>
  <c r="C630" i="16"/>
  <c r="C626" i="16"/>
  <c r="C622" i="16"/>
  <c r="C618" i="16"/>
  <c r="C614" i="16"/>
  <c r="C610" i="16"/>
  <c r="C606" i="16"/>
  <c r="C602" i="16"/>
  <c r="C598" i="16"/>
  <c r="C594" i="16"/>
  <c r="C590" i="16"/>
  <c r="C586" i="16"/>
  <c r="C582" i="16"/>
  <c r="C578" i="16"/>
  <c r="C574" i="16"/>
  <c r="C570" i="16"/>
  <c r="C566" i="16"/>
  <c r="C562" i="16"/>
  <c r="C558" i="16"/>
  <c r="C554" i="16"/>
  <c r="C550" i="16"/>
  <c r="C546" i="16"/>
  <c r="C542" i="16"/>
  <c r="C538" i="16"/>
  <c r="C534" i="16"/>
  <c r="C530" i="16"/>
  <c r="C526" i="16"/>
  <c r="C522" i="16"/>
  <c r="C518" i="16"/>
  <c r="C514" i="16"/>
  <c r="C510" i="16"/>
  <c r="C506" i="16"/>
  <c r="C502" i="16"/>
  <c r="C837" i="16"/>
  <c r="C829" i="16"/>
  <c r="C821" i="16"/>
  <c r="C813" i="16"/>
  <c r="C805" i="16"/>
  <c r="C797" i="16"/>
  <c r="C789" i="16"/>
  <c r="C781" i="16"/>
  <c r="C773" i="16"/>
  <c r="C765" i="16"/>
  <c r="C757" i="16"/>
  <c r="C749" i="16"/>
  <c r="C741" i="16"/>
  <c r="C733" i="16"/>
  <c r="C725" i="16"/>
  <c r="C717" i="16"/>
  <c r="C709" i="16"/>
  <c r="C701" i="16"/>
  <c r="C693" i="16"/>
  <c r="C685" i="16"/>
  <c r="C677" i="16"/>
  <c r="C669" i="16"/>
  <c r="C661" i="16"/>
  <c r="C653" i="16"/>
  <c r="C645" i="16"/>
  <c r="C637" i="16"/>
  <c r="C629" i="16"/>
  <c r="C621" i="16"/>
  <c r="C613" i="16"/>
  <c r="C605" i="16"/>
  <c r="C597" i="16"/>
  <c r="C589" i="16"/>
  <c r="C581" i="16"/>
  <c r="C573" i="16"/>
  <c r="C565" i="16"/>
  <c r="C557" i="16"/>
  <c r="C549" i="16"/>
  <c r="C541" i="16"/>
  <c r="C533" i="16"/>
  <c r="C525" i="16"/>
  <c r="C517" i="16"/>
  <c r="C509" i="16"/>
  <c r="C501" i="16"/>
  <c r="C497" i="16"/>
  <c r="C493" i="16"/>
  <c r="C489" i="16"/>
  <c r="C485" i="16"/>
  <c r="C481" i="16"/>
  <c r="C836" i="16"/>
  <c r="C828" i="16"/>
  <c r="C820" i="16"/>
  <c r="C812" i="16"/>
  <c r="C804" i="16"/>
  <c r="C796" i="16"/>
  <c r="C788" i="16"/>
  <c r="C780" i="16"/>
  <c r="C772" i="16"/>
  <c r="C764" i="16"/>
  <c r="C756" i="16"/>
  <c r="C748" i="16"/>
  <c r="C740" i="16"/>
  <c r="C732" i="16"/>
  <c r="C724" i="16"/>
  <c r="C716" i="16"/>
  <c r="C708" i="16"/>
  <c r="C700" i="16"/>
  <c r="C692" i="16"/>
  <c r="C684" i="16"/>
  <c r="C676" i="16"/>
  <c r="C668" i="16"/>
  <c r="C660" i="16"/>
  <c r="C652" i="16"/>
  <c r="C644" i="16"/>
  <c r="C636" i="16"/>
  <c r="C628" i="16"/>
  <c r="C620" i="16"/>
  <c r="C612" i="16"/>
  <c r="C604" i="16"/>
  <c r="C596" i="16"/>
  <c r="C588" i="16"/>
  <c r="C580" i="16"/>
  <c r="C572" i="16"/>
  <c r="C564" i="16"/>
  <c r="C556" i="16"/>
  <c r="C548" i="16"/>
  <c r="C540" i="16"/>
  <c r="C532" i="16"/>
  <c r="C524" i="16"/>
  <c r="C516" i="16"/>
  <c r="C508" i="16"/>
  <c r="C500" i="16"/>
  <c r="C496" i="16"/>
  <c r="C492" i="16"/>
  <c r="C488" i="16"/>
  <c r="C484" i="16"/>
  <c r="C480" i="16"/>
  <c r="C476" i="16"/>
  <c r="C472" i="16"/>
  <c r="C468" i="16"/>
  <c r="C464" i="16"/>
  <c r="C460" i="16"/>
  <c r="C456" i="16"/>
  <c r="C452" i="16"/>
  <c r="C448" i="16"/>
  <c r="C444" i="16"/>
  <c r="C440" i="16"/>
  <c r="C436" i="16"/>
  <c r="C432" i="16"/>
  <c r="C428" i="16"/>
  <c r="C424" i="16"/>
  <c r="C420" i="16"/>
  <c r="C416" i="16"/>
  <c r="C412" i="16"/>
  <c r="C408" i="16"/>
  <c r="C404" i="16"/>
  <c r="C400" i="16"/>
  <c r="C396" i="16"/>
  <c r="C392" i="16"/>
  <c r="C388" i="16"/>
  <c r="C384" i="16"/>
  <c r="C380" i="16"/>
  <c r="C376" i="16"/>
  <c r="C372" i="16"/>
  <c r="C368" i="16"/>
  <c r="C364" i="16"/>
  <c r="C360" i="16"/>
  <c r="C356" i="16"/>
  <c r="C352" i="16"/>
  <c r="C348" i="16"/>
  <c r="C344" i="16"/>
  <c r="C340" i="16"/>
  <c r="C336" i="16"/>
  <c r="C332" i="16"/>
  <c r="C833" i="16"/>
  <c r="C817" i="16"/>
  <c r="C801" i="16"/>
  <c r="C785" i="16"/>
  <c r="C769" i="16"/>
  <c r="C753" i="16"/>
  <c r="C737" i="16"/>
  <c r="C721" i="16"/>
  <c r="C705" i="16"/>
  <c r="C689" i="16"/>
  <c r="C673" i="16"/>
  <c r="C657" i="16"/>
  <c r="C641" i="16"/>
  <c r="C625" i="16"/>
  <c r="C609" i="16"/>
  <c r="C593" i="16"/>
  <c r="C577" i="16"/>
  <c r="C561" i="16"/>
  <c r="C545" i="16"/>
  <c r="C529" i="16"/>
  <c r="C513" i="16"/>
  <c r="C499" i="16"/>
  <c r="C491" i="16"/>
  <c r="C483" i="16"/>
  <c r="C477" i="16"/>
  <c r="C471" i="16"/>
  <c r="C466" i="16"/>
  <c r="C461" i="16"/>
  <c r="C455" i="16"/>
  <c r="C450" i="16"/>
  <c r="C445" i="16"/>
  <c r="C439" i="16"/>
  <c r="C434" i="16"/>
  <c r="C429" i="16"/>
  <c r="C423" i="16"/>
  <c r="C418" i="16"/>
  <c r="C413" i="16"/>
  <c r="C407" i="16"/>
  <c r="C402" i="16"/>
  <c r="C397" i="16"/>
  <c r="C391" i="16"/>
  <c r="C386" i="16"/>
  <c r="C381" i="16"/>
  <c r="C375" i="16"/>
  <c r="C370" i="16"/>
  <c r="C365" i="16"/>
  <c r="C359" i="16"/>
  <c r="C354" i="16"/>
  <c r="C349" i="16"/>
  <c r="C343" i="16"/>
  <c r="C338" i="16"/>
  <c r="C333" i="16"/>
  <c r="C328" i="16"/>
  <c r="C324" i="16"/>
  <c r="C320" i="16"/>
  <c r="C316" i="16"/>
  <c r="C312" i="16"/>
  <c r="C308" i="16"/>
  <c r="C304" i="16"/>
  <c r="C300" i="16"/>
  <c r="C296" i="16"/>
  <c r="C292" i="16"/>
  <c r="C288" i="16"/>
  <c r="C284" i="16"/>
  <c r="C280" i="16"/>
  <c r="C276" i="16"/>
  <c r="C272" i="16"/>
  <c r="C268" i="16"/>
  <c r="C264" i="16"/>
  <c r="C260" i="16"/>
  <c r="C256" i="16"/>
  <c r="C252" i="16"/>
  <c r="C248" i="16"/>
  <c r="C244" i="16"/>
  <c r="C240" i="16"/>
  <c r="C236" i="16"/>
  <c r="C232" i="16"/>
  <c r="C228" i="16"/>
  <c r="C224" i="16"/>
  <c r="C220" i="16"/>
  <c r="C216" i="16"/>
  <c r="C212" i="16"/>
  <c r="C208" i="16"/>
  <c r="C204" i="16"/>
  <c r="C200" i="16"/>
  <c r="C196" i="16"/>
  <c r="C192" i="16"/>
  <c r="C188" i="16"/>
  <c r="C184" i="16"/>
  <c r="C180" i="16"/>
  <c r="C176" i="16"/>
  <c r="C172" i="16"/>
  <c r="C168" i="16"/>
  <c r="C164" i="16"/>
  <c r="C160" i="16"/>
  <c r="C156" i="16"/>
  <c r="C152" i="16"/>
  <c r="C148" i="16"/>
  <c r="C144" i="16"/>
  <c r="C140" i="16"/>
  <c r="C136" i="16"/>
  <c r="C132" i="16"/>
  <c r="C128" i="16"/>
  <c r="C124" i="16"/>
  <c r="C120" i="16"/>
  <c r="C116" i="16"/>
  <c r="C112" i="16"/>
  <c r="C108" i="16"/>
  <c r="C104" i="16"/>
  <c r="C100" i="16"/>
  <c r="C832" i="16"/>
  <c r="C816" i="16"/>
  <c r="C800" i="16"/>
  <c r="C784" i="16"/>
  <c r="C768" i="16"/>
  <c r="C752" i="16"/>
  <c r="C736" i="16"/>
  <c r="C720" i="16"/>
  <c r="C704" i="16"/>
  <c r="C688" i="16"/>
  <c r="C672" i="16"/>
  <c r="C656" i="16"/>
  <c r="C640" i="16"/>
  <c r="C624" i="16"/>
  <c r="C608" i="16"/>
  <c r="C592" i="16"/>
  <c r="C576" i="16"/>
  <c r="C560" i="16"/>
  <c r="C544" i="16"/>
  <c r="C528" i="16"/>
  <c r="C512" i="16"/>
  <c r="C498" i="16"/>
  <c r="C490" i="16"/>
  <c r="C482" i="16"/>
  <c r="C475" i="16"/>
  <c r="C470" i="16"/>
  <c r="C465" i="16"/>
  <c r="C459" i="16"/>
  <c r="C454" i="16"/>
  <c r="C449" i="16"/>
  <c r="C443" i="16"/>
  <c r="C438" i="16"/>
  <c r="C433" i="16"/>
  <c r="C427" i="16"/>
  <c r="C422" i="16"/>
  <c r="C417" i="16"/>
  <c r="C411" i="16"/>
  <c r="C406" i="16"/>
  <c r="C401" i="16"/>
  <c r="C395" i="16"/>
  <c r="C390" i="16"/>
  <c r="C385" i="16"/>
  <c r="C379" i="16"/>
  <c r="C374" i="16"/>
  <c r="C369" i="16"/>
  <c r="C363" i="16"/>
  <c r="C358" i="16"/>
  <c r="C353" i="16"/>
  <c r="C347" i="16"/>
  <c r="C342" i="16"/>
  <c r="C337" i="16"/>
  <c r="C331" i="16"/>
  <c r="C327" i="16"/>
  <c r="C323" i="16"/>
  <c r="C319" i="16"/>
  <c r="C315" i="16"/>
  <c r="C311" i="16"/>
  <c r="C307" i="16"/>
  <c r="C303" i="16"/>
  <c r="C299" i="16"/>
  <c r="C295" i="16"/>
  <c r="C291" i="16"/>
  <c r="C287" i="16"/>
  <c r="C283" i="16"/>
  <c r="C279" i="16"/>
  <c r="C275" i="16"/>
  <c r="C271" i="16"/>
  <c r="C267" i="16"/>
  <c r="C263" i="16"/>
  <c r="C259" i="16"/>
  <c r="C255" i="16"/>
  <c r="C251" i="16"/>
  <c r="C247" i="16"/>
  <c r="C243" i="16"/>
  <c r="C239" i="16"/>
  <c r="C235" i="16"/>
  <c r="C231" i="16"/>
  <c r="C227" i="16"/>
  <c r="C223" i="16"/>
  <c r="C219" i="16"/>
  <c r="C215" i="16"/>
  <c r="C211" i="16"/>
  <c r="C207" i="16"/>
  <c r="C203" i="16"/>
  <c r="C199" i="16"/>
  <c r="C195" i="16"/>
  <c r="C191" i="16"/>
  <c r="C187" i="16"/>
  <c r="C183" i="16"/>
  <c r="C179" i="16"/>
  <c r="C175" i="16"/>
  <c r="C171" i="16"/>
  <c r="C167" i="16"/>
  <c r="C163" i="16"/>
  <c r="C159" i="16"/>
  <c r="C155" i="16"/>
  <c r="C151" i="16"/>
  <c r="C147" i="16"/>
  <c r="C143" i="16"/>
  <c r="C139" i="16"/>
  <c r="C135" i="16"/>
  <c r="C131" i="16"/>
  <c r="C127" i="16"/>
  <c r="C123" i="16"/>
  <c r="C119" i="16"/>
  <c r="C115" i="16"/>
  <c r="C111" i="16"/>
  <c r="C107" i="16"/>
  <c r="C103" i="16"/>
  <c r="C99" i="16"/>
  <c r="C95" i="16"/>
  <c r="C91" i="16"/>
  <c r="C87" i="16"/>
  <c r="C83" i="16"/>
  <c r="C79" i="16"/>
  <c r="C75" i="16"/>
  <c r="C71" i="16"/>
  <c r="C67" i="16"/>
  <c r="C63" i="16"/>
  <c r="C59" i="16"/>
  <c r="C55" i="16"/>
  <c r="C51" i="16"/>
  <c r="C47" i="16"/>
  <c r="C43" i="16"/>
  <c r="C39" i="16"/>
  <c r="C35" i="16"/>
  <c r="C31" i="16"/>
  <c r="C27" i="16"/>
  <c r="C23" i="16"/>
  <c r="C19" i="16"/>
  <c r="C15" i="16"/>
  <c r="C11" i="16"/>
  <c r="C825" i="16"/>
  <c r="C809" i="16"/>
  <c r="C793" i="16"/>
  <c r="C777" i="16"/>
  <c r="C761" i="16"/>
  <c r="C745" i="16"/>
  <c r="C729" i="16"/>
  <c r="C713" i="16"/>
  <c r="C697" i="16"/>
  <c r="C681" i="16"/>
  <c r="C665" i="16"/>
  <c r="C649" i="16"/>
  <c r="C633" i="16"/>
  <c r="C617" i="16"/>
  <c r="C601" i="16"/>
  <c r="C585" i="16"/>
  <c r="C569" i="16"/>
  <c r="C553" i="16"/>
  <c r="C537" i="16"/>
  <c r="C521" i="16"/>
  <c r="C505" i="16"/>
  <c r="C495" i="16"/>
  <c r="C487" i="16"/>
  <c r="C479" i="16"/>
  <c r="C474" i="16"/>
  <c r="C469" i="16"/>
  <c r="C463" i="16"/>
  <c r="C458" i="16"/>
  <c r="C453" i="16"/>
  <c r="C447" i="16"/>
  <c r="C442" i="16"/>
  <c r="C437" i="16"/>
  <c r="C431" i="16"/>
  <c r="C426" i="16"/>
  <c r="C421" i="16"/>
  <c r="C415" i="16"/>
  <c r="C410" i="16"/>
  <c r="C405" i="16"/>
  <c r="C824" i="16"/>
  <c r="C760" i="16"/>
  <c r="C696" i="16"/>
  <c r="C632" i="16"/>
  <c r="C568" i="16"/>
  <c r="C504" i="16"/>
  <c r="C473" i="16"/>
  <c r="C451" i="16"/>
  <c r="C430" i="16"/>
  <c r="C409" i="16"/>
  <c r="C394" i="16"/>
  <c r="C383" i="16"/>
  <c r="C373" i="16"/>
  <c r="C362" i="16"/>
  <c r="C351" i="16"/>
  <c r="C341" i="16"/>
  <c r="C330" i="16"/>
  <c r="C322" i="16"/>
  <c r="C314" i="16"/>
  <c r="C306" i="16"/>
  <c r="C298" i="16"/>
  <c r="C290" i="16"/>
  <c r="C282" i="16"/>
  <c r="C274" i="16"/>
  <c r="C266" i="16"/>
  <c r="C258" i="16"/>
  <c r="C250" i="16"/>
  <c r="C242" i="16"/>
  <c r="C234" i="16"/>
  <c r="C226" i="16"/>
  <c r="C218" i="16"/>
  <c r="C210" i="16"/>
  <c r="C202" i="16"/>
  <c r="C194" i="16"/>
  <c r="C186" i="16"/>
  <c r="C178" i="16"/>
  <c r="C170" i="16"/>
  <c r="C162" i="16"/>
  <c r="C154" i="16"/>
  <c r="C146" i="16"/>
  <c r="C138" i="16"/>
  <c r="C130" i="16"/>
  <c r="C122" i="16"/>
  <c r="C114" i="16"/>
  <c r="C106" i="16"/>
  <c r="C98" i="16"/>
  <c r="C93" i="16"/>
  <c r="C88" i="16"/>
  <c r="C82" i="16"/>
  <c r="C77" i="16"/>
  <c r="C72" i="16"/>
  <c r="C66" i="16"/>
  <c r="C61" i="16"/>
  <c r="C56" i="16"/>
  <c r="C50" i="16"/>
  <c r="C45" i="16"/>
  <c r="C40" i="16"/>
  <c r="C34" i="16"/>
  <c r="C29" i="16"/>
  <c r="C24" i="16"/>
  <c r="C18" i="16"/>
  <c r="C13" i="16"/>
  <c r="C808" i="16"/>
  <c r="C744" i="16"/>
  <c r="C680" i="16"/>
  <c r="C616" i="16"/>
  <c r="C552" i="16"/>
  <c r="C494" i="16"/>
  <c r="C467" i="16"/>
  <c r="C446" i="16"/>
  <c r="C425" i="16"/>
  <c r="C403" i="16"/>
  <c r="C393" i="16"/>
  <c r="C382" i="16"/>
  <c r="C371" i="16"/>
  <c r="C361" i="16"/>
  <c r="C350" i="16"/>
  <c r="C339" i="16"/>
  <c r="C329" i="16"/>
  <c r="C321" i="16"/>
  <c r="C313" i="16"/>
  <c r="C305" i="16"/>
  <c r="C297" i="16"/>
  <c r="C289" i="16"/>
  <c r="C281" i="16"/>
  <c r="C273" i="16"/>
  <c r="C265" i="16"/>
  <c r="C257" i="16"/>
  <c r="C249" i="16"/>
  <c r="C241" i="16"/>
  <c r="C233" i="16"/>
  <c r="C225" i="16"/>
  <c r="C217" i="16"/>
  <c r="C209" i="16"/>
  <c r="C201" i="16"/>
  <c r="C193" i="16"/>
  <c r="C185" i="16"/>
  <c r="C177" i="16"/>
  <c r="C169" i="16"/>
  <c r="C161" i="16"/>
  <c r="C153" i="16"/>
  <c r="C145" i="16"/>
  <c r="C137" i="16"/>
  <c r="C129" i="16"/>
  <c r="C121" i="16"/>
  <c r="C113" i="16"/>
  <c r="C105" i="16"/>
  <c r="C97" i="16"/>
  <c r="C92" i="16"/>
  <c r="C86" i="16"/>
  <c r="C81" i="16"/>
  <c r="C76" i="16"/>
  <c r="C70" i="16"/>
  <c r="C65" i="16"/>
  <c r="C60" i="16"/>
  <c r="C54" i="16"/>
  <c r="C49" i="16"/>
  <c r="C44" i="16"/>
  <c r="C38" i="16"/>
  <c r="C33" i="16"/>
  <c r="C28" i="16"/>
  <c r="C22" i="16"/>
  <c r="C17" i="16"/>
  <c r="C12" i="16"/>
  <c r="C792" i="16"/>
  <c r="C728" i="16"/>
  <c r="C664" i="16"/>
  <c r="C600" i="16"/>
  <c r="C536" i="16"/>
  <c r="C486" i="16"/>
  <c r="C462" i="16"/>
  <c r="C441" i="16"/>
  <c r="C419" i="16"/>
  <c r="C399" i="16"/>
  <c r="C389" i="16"/>
  <c r="C378" i="16"/>
  <c r="C367" i="16"/>
  <c r="C357" i="16"/>
  <c r="C346" i="16"/>
  <c r="C335" i="16"/>
  <c r="C326" i="16"/>
  <c r="C318" i="16"/>
  <c r="C310" i="16"/>
  <c r="C302" i="16"/>
  <c r="C294" i="16"/>
  <c r="C286" i="16"/>
  <c r="C278" i="16"/>
  <c r="C270" i="16"/>
  <c r="C262" i="16"/>
  <c r="C254" i="16"/>
  <c r="C246" i="16"/>
  <c r="C238" i="16"/>
  <c r="C230" i="16"/>
  <c r="C222" i="16"/>
  <c r="C214" i="16"/>
  <c r="C206" i="16"/>
  <c r="C198" i="16"/>
  <c r="C190" i="16"/>
  <c r="C182" i="16"/>
  <c r="C174" i="16"/>
  <c r="C166" i="16"/>
  <c r="C158" i="16"/>
  <c r="C150" i="16"/>
  <c r="C142" i="16"/>
  <c r="C134" i="16"/>
  <c r="C126" i="16"/>
  <c r="C118" i="16"/>
  <c r="C110" i="16"/>
  <c r="C102" i="16"/>
  <c r="C96" i="16"/>
  <c r="C90" i="16"/>
  <c r="C85" i="16"/>
  <c r="C80" i="16"/>
  <c r="C74" i="16"/>
  <c r="C69" i="16"/>
  <c r="C64" i="16"/>
  <c r="C58" i="16"/>
  <c r="C53" i="16"/>
  <c r="C48" i="16"/>
  <c r="C42" i="16"/>
  <c r="C37" i="16"/>
  <c r="C32" i="16"/>
  <c r="C26" i="16"/>
  <c r="C21" i="16"/>
  <c r="C16" i="16"/>
  <c r="C10" i="16"/>
  <c r="C776" i="16"/>
  <c r="C712" i="16"/>
  <c r="C648" i="16"/>
  <c r="C584" i="16"/>
  <c r="C520" i="16"/>
  <c r="C478" i="16"/>
  <c r="C457" i="16"/>
  <c r="C435" i="16"/>
  <c r="C414" i="16"/>
  <c r="C398" i="16"/>
  <c r="C387" i="16"/>
  <c r="C377" i="16"/>
  <c r="C366" i="16"/>
  <c r="C355" i="16"/>
  <c r="C345" i="16"/>
  <c r="C334" i="16"/>
  <c r="C325" i="16"/>
  <c r="C317" i="16"/>
  <c r="C309" i="16"/>
  <c r="C301" i="16"/>
  <c r="C293" i="16"/>
  <c r="C285" i="16"/>
  <c r="C277" i="16"/>
  <c r="C269" i="16"/>
  <c r="C261" i="16"/>
  <c r="C253" i="16"/>
  <c r="C245" i="16"/>
  <c r="C237" i="16"/>
  <c r="C229" i="16"/>
  <c r="C221" i="16"/>
  <c r="C213" i="16"/>
  <c r="C205" i="16"/>
  <c r="C197" i="16"/>
  <c r="C189" i="16"/>
  <c r="C181" i="16"/>
  <c r="C173" i="16"/>
  <c r="C165" i="16"/>
  <c r="C157" i="16"/>
  <c r="C149" i="16"/>
  <c r="C141" i="16"/>
  <c r="C133" i="16"/>
  <c r="C125" i="16"/>
  <c r="C117" i="16"/>
  <c r="C109" i="16"/>
  <c r="C101" i="16"/>
  <c r="C94" i="16"/>
  <c r="C89" i="16"/>
  <c r="C84" i="16"/>
  <c r="C78" i="16"/>
  <c r="C73" i="16"/>
  <c r="C68" i="16"/>
  <c r="C62" i="16"/>
  <c r="C57" i="16"/>
  <c r="C52" i="16"/>
  <c r="C46" i="16"/>
  <c r="C41" i="16"/>
  <c r="C36" i="16"/>
  <c r="C30" i="16"/>
  <c r="C25" i="16"/>
  <c r="C20" i="16"/>
  <c r="C14" i="16"/>
  <c r="C9" i="16"/>
  <c r="C8" i="16"/>
  <c r="C7" i="16"/>
  <c r="C8" i="17"/>
  <c r="C12" i="17"/>
  <c r="C16" i="17"/>
  <c r="C20" i="17"/>
  <c r="C24" i="17"/>
  <c r="C28" i="17"/>
  <c r="C32" i="17"/>
  <c r="C36" i="17"/>
  <c r="C40" i="17"/>
  <c r="C44" i="17"/>
  <c r="C48" i="17"/>
  <c r="C52" i="17"/>
  <c r="C56" i="17"/>
  <c r="C60" i="17"/>
  <c r="C64" i="17"/>
  <c r="C68" i="17"/>
  <c r="C72" i="17"/>
  <c r="C76" i="17"/>
  <c r="C80" i="17"/>
  <c r="C84" i="17"/>
  <c r="C88" i="17"/>
  <c r="C92" i="17"/>
  <c r="C96" i="17"/>
  <c r="C100" i="17"/>
  <c r="C104" i="17"/>
  <c r="C108" i="17"/>
  <c r="C112" i="17"/>
  <c r="C116" i="17"/>
  <c r="C120" i="17"/>
  <c r="C124" i="17"/>
  <c r="C128" i="17"/>
  <c r="C132" i="17"/>
  <c r="C136" i="17"/>
  <c r="C140" i="17"/>
  <c r="C144" i="17"/>
  <c r="C148" i="17"/>
  <c r="C152" i="17"/>
  <c r="C156" i="17"/>
  <c r="C160" i="17"/>
  <c r="C164" i="17"/>
  <c r="C168" i="17"/>
  <c r="C172" i="17"/>
  <c r="C176" i="17"/>
  <c r="C180" i="17"/>
  <c r="C184" i="17"/>
  <c r="C188" i="17"/>
  <c r="C192" i="17"/>
  <c r="C196" i="17"/>
  <c r="C200" i="17"/>
  <c r="C204" i="17"/>
  <c r="C208" i="17"/>
  <c r="C212" i="17"/>
  <c r="C216" i="17"/>
  <c r="C220" i="17"/>
  <c r="C224" i="17"/>
  <c r="C228" i="17"/>
  <c r="C232" i="17"/>
  <c r="C236" i="17"/>
  <c r="C240" i="17"/>
  <c r="C244" i="17"/>
  <c r="C248" i="17"/>
  <c r="C252" i="17"/>
  <c r="C256" i="17"/>
  <c r="C260" i="17"/>
  <c r="C264" i="17"/>
  <c r="C268" i="17"/>
  <c r="C272" i="17"/>
  <c r="C276" i="17"/>
  <c r="C280" i="17"/>
  <c r="C284" i="17"/>
  <c r="C288" i="17"/>
  <c r="C292" i="17"/>
  <c r="C296" i="17"/>
  <c r="C300" i="17"/>
  <c r="C304" i="17"/>
  <c r="C308" i="17"/>
  <c r="C312" i="17"/>
  <c r="C316" i="17"/>
  <c r="C320" i="17"/>
  <c r="C324" i="17"/>
  <c r="C328" i="17"/>
  <c r="C332" i="17"/>
  <c r="C336" i="17"/>
  <c r="C340" i="17"/>
  <c r="C344" i="17"/>
  <c r="C9" i="17"/>
  <c r="C13" i="17"/>
  <c r="C17" i="17"/>
  <c r="C21" i="17"/>
  <c r="C25" i="17"/>
  <c r="C29" i="17"/>
  <c r="C33" i="17"/>
  <c r="C37" i="17"/>
  <c r="C41" i="17"/>
  <c r="C45" i="17"/>
  <c r="C49" i="17"/>
  <c r="C53" i="17"/>
  <c r="C57" i="17"/>
  <c r="C61" i="17"/>
  <c r="C65" i="17"/>
  <c r="C69" i="17"/>
  <c r="C73" i="17"/>
  <c r="C77" i="17"/>
  <c r="C81" i="17"/>
  <c r="C85" i="17"/>
  <c r="C89" i="17"/>
  <c r="C93" i="17"/>
  <c r="C97" i="17"/>
  <c r="C101" i="17"/>
  <c r="C105" i="17"/>
  <c r="C109" i="17"/>
  <c r="C113" i="17"/>
  <c r="C117" i="17"/>
  <c r="C121" i="17"/>
  <c r="C125" i="17"/>
  <c r="C129" i="17"/>
  <c r="C133" i="17"/>
  <c r="C137" i="17"/>
  <c r="C141" i="17"/>
  <c r="C145" i="17"/>
  <c r="C149" i="17"/>
  <c r="C153" i="17"/>
  <c r="C157" i="17"/>
  <c r="C161" i="17"/>
  <c r="C165" i="17"/>
  <c r="C169" i="17"/>
  <c r="C173" i="17"/>
  <c r="C177" i="17"/>
  <c r="C181" i="17"/>
  <c r="C185" i="17"/>
  <c r="C189" i="17"/>
  <c r="C193" i="17"/>
  <c r="C197" i="17"/>
  <c r="C201" i="17"/>
  <c r="C205" i="17"/>
  <c r="C209" i="17"/>
  <c r="C213" i="17"/>
  <c r="C217" i="17"/>
  <c r="C221" i="17"/>
  <c r="C225" i="17"/>
  <c r="C229" i="17"/>
  <c r="C233" i="17"/>
  <c r="C237" i="17"/>
  <c r="C241" i="17"/>
  <c r="C245" i="17"/>
  <c r="C249" i="17"/>
  <c r="C253" i="17"/>
  <c r="C257" i="17"/>
  <c r="C261" i="17"/>
  <c r="C265" i="17"/>
  <c r="C269" i="17"/>
  <c r="C273" i="17"/>
  <c r="C277" i="17"/>
  <c r="C281" i="17"/>
  <c r="C285" i="17"/>
  <c r="C289" i="17"/>
  <c r="C293" i="17"/>
  <c r="C297" i="17"/>
  <c r="C301" i="17"/>
  <c r="C305" i="17"/>
  <c r="C309" i="17"/>
  <c r="C313" i="17"/>
  <c r="C317" i="17"/>
  <c r="C321" i="17"/>
  <c r="C325" i="17"/>
  <c r="C329" i="17"/>
  <c r="C333" i="17"/>
  <c r="C337" i="17"/>
  <c r="C341" i="17"/>
  <c r="C345" i="17"/>
  <c r="C10" i="17"/>
  <c r="C14" i="17"/>
  <c r="C18" i="17"/>
  <c r="C22" i="17"/>
  <c r="C26" i="17"/>
  <c r="C30" i="17"/>
  <c r="C34" i="17"/>
  <c r="C38" i="17"/>
  <c r="C42" i="17"/>
  <c r="C46" i="17"/>
  <c r="C50" i="17"/>
  <c r="C54" i="17"/>
  <c r="C58" i="17"/>
  <c r="C62" i="17"/>
  <c r="C66" i="17"/>
  <c r="C70" i="17"/>
  <c r="C74" i="17"/>
  <c r="C78" i="17"/>
  <c r="C82" i="17"/>
  <c r="C86" i="17"/>
  <c r="C90" i="17"/>
  <c r="C94" i="17"/>
  <c r="C98" i="17"/>
  <c r="C102" i="17"/>
  <c r="C106" i="17"/>
  <c r="C110" i="17"/>
  <c r="C114" i="17"/>
  <c r="C118" i="17"/>
  <c r="C122" i="17"/>
  <c r="C126" i="17"/>
  <c r="C130" i="17"/>
  <c r="C134" i="17"/>
  <c r="C138" i="17"/>
  <c r="C142" i="17"/>
  <c r="C146" i="17"/>
  <c r="C150" i="17"/>
  <c r="C154" i="17"/>
  <c r="C158" i="17"/>
  <c r="C162" i="17"/>
  <c r="C166" i="17"/>
  <c r="C170" i="17"/>
  <c r="C174" i="17"/>
  <c r="C178" i="17"/>
  <c r="C182" i="17"/>
  <c r="C186" i="17"/>
  <c r="C190" i="17"/>
  <c r="C194" i="17"/>
  <c r="C198" i="17"/>
  <c r="C202" i="17"/>
  <c r="C206" i="17"/>
  <c r="C210" i="17"/>
  <c r="C214" i="17"/>
  <c r="C218" i="17"/>
  <c r="C222" i="17"/>
  <c r="C226" i="17"/>
  <c r="C230" i="17"/>
  <c r="C234" i="17"/>
  <c r="C238" i="17"/>
  <c r="C242" i="17"/>
  <c r="C246" i="17"/>
  <c r="C250" i="17"/>
  <c r="C254" i="17"/>
  <c r="C258" i="17"/>
  <c r="C262" i="17"/>
  <c r="C266" i="17"/>
  <c r="C270" i="17"/>
  <c r="C274" i="17"/>
  <c r="C278" i="17"/>
  <c r="C282" i="17"/>
  <c r="C286" i="17"/>
  <c r="C290" i="17"/>
  <c r="C294" i="17"/>
  <c r="C298" i="17"/>
  <c r="C302" i="17"/>
  <c r="C306" i="17"/>
  <c r="C310" i="17"/>
  <c r="C314" i="17"/>
  <c r="C318" i="17"/>
  <c r="C322" i="17"/>
  <c r="C326" i="17"/>
  <c r="C330" i="17"/>
  <c r="C334" i="17"/>
  <c r="C338" i="17"/>
  <c r="C342" i="17"/>
  <c r="C346" i="17"/>
  <c r="C11" i="17"/>
  <c r="C27" i="17"/>
  <c r="C43" i="17"/>
  <c r="C59" i="17"/>
  <c r="C75" i="17"/>
  <c r="C91" i="17"/>
  <c r="C107" i="17"/>
  <c r="C123" i="17"/>
  <c r="C139" i="17"/>
  <c r="C155" i="17"/>
  <c r="C171" i="17"/>
  <c r="C187" i="17"/>
  <c r="C203" i="17"/>
  <c r="C219" i="17"/>
  <c r="C235" i="17"/>
  <c r="C251" i="17"/>
  <c r="C267" i="17"/>
  <c r="C283" i="17"/>
  <c r="C299" i="17"/>
  <c r="C315" i="17"/>
  <c r="C331" i="17"/>
  <c r="C347" i="17"/>
  <c r="C351" i="17"/>
  <c r="C355" i="17"/>
  <c r="C359" i="17"/>
  <c r="C363" i="17"/>
  <c r="C367" i="17"/>
  <c r="C371" i="17"/>
  <c r="C375" i="17"/>
  <c r="C379" i="17"/>
  <c r="C383" i="17"/>
  <c r="C387" i="17"/>
  <c r="C391" i="17"/>
  <c r="C395" i="17"/>
  <c r="C399" i="17"/>
  <c r="C403" i="17"/>
  <c r="C407" i="17"/>
  <c r="C411" i="17"/>
  <c r="C415" i="17"/>
  <c r="C419" i="17"/>
  <c r="C423" i="17"/>
  <c r="C427" i="17"/>
  <c r="C431" i="17"/>
  <c r="C435" i="17"/>
  <c r="C439" i="17"/>
  <c r="C443" i="17"/>
  <c r="C447" i="17"/>
  <c r="C451" i="17"/>
  <c r="C455" i="17"/>
  <c r="C459" i="17"/>
  <c r="C463" i="17"/>
  <c r="C467" i="17"/>
  <c r="C471" i="17"/>
  <c r="C475" i="17"/>
  <c r="C479" i="17"/>
  <c r="C483" i="17"/>
  <c r="C487" i="17"/>
  <c r="C491" i="17"/>
  <c r="C495" i="17"/>
  <c r="C499" i="17"/>
  <c r="C503" i="17"/>
  <c r="C507" i="17"/>
  <c r="C511" i="17"/>
  <c r="C515" i="17"/>
  <c r="C519" i="17"/>
  <c r="C523" i="17"/>
  <c r="C527" i="17"/>
  <c r="C531" i="17"/>
  <c r="C535" i="17"/>
  <c r="C539" i="17"/>
  <c r="C543" i="17"/>
  <c r="C547" i="17"/>
  <c r="C551" i="17"/>
  <c r="C555" i="17"/>
  <c r="C559" i="17"/>
  <c r="C563" i="17"/>
  <c r="C567" i="17"/>
  <c r="C571" i="17"/>
  <c r="C575" i="17"/>
  <c r="C579" i="17"/>
  <c r="C583" i="17"/>
  <c r="C587" i="17"/>
  <c r="C591" i="17"/>
  <c r="C595" i="17"/>
  <c r="C599" i="17"/>
  <c r="C603" i="17"/>
  <c r="C15" i="17"/>
  <c r="C31" i="17"/>
  <c r="C47" i="17"/>
  <c r="C63" i="17"/>
  <c r="C79" i="17"/>
  <c r="C95" i="17"/>
  <c r="C111" i="17"/>
  <c r="C127" i="17"/>
  <c r="C143" i="17"/>
  <c r="C159" i="17"/>
  <c r="C175" i="17"/>
  <c r="C191" i="17"/>
  <c r="C207" i="17"/>
  <c r="C223" i="17"/>
  <c r="C239" i="17"/>
  <c r="C255" i="17"/>
  <c r="C271" i="17"/>
  <c r="C287" i="17"/>
  <c r="C303" i="17"/>
  <c r="C319" i="17"/>
  <c r="C335" i="17"/>
  <c r="C348" i="17"/>
  <c r="C352" i="17"/>
  <c r="C356" i="17"/>
  <c r="C360" i="17"/>
  <c r="C364" i="17"/>
  <c r="C368" i="17"/>
  <c r="C372" i="17"/>
  <c r="C376" i="17"/>
  <c r="C380" i="17"/>
  <c r="C384" i="17"/>
  <c r="C388" i="17"/>
  <c r="C392" i="17"/>
  <c r="C396" i="17"/>
  <c r="C400" i="17"/>
  <c r="C404" i="17"/>
  <c r="C408" i="17"/>
  <c r="C412" i="17"/>
  <c r="C416" i="17"/>
  <c r="C420" i="17"/>
  <c r="C424" i="17"/>
  <c r="C428" i="17"/>
  <c r="C432" i="17"/>
  <c r="C436" i="17"/>
  <c r="C440" i="17"/>
  <c r="C444" i="17"/>
  <c r="C448" i="17"/>
  <c r="C452" i="17"/>
  <c r="C456" i="17"/>
  <c r="C460" i="17"/>
  <c r="C464" i="17"/>
  <c r="C468" i="17"/>
  <c r="C472" i="17"/>
  <c r="C476" i="17"/>
  <c r="C480" i="17"/>
  <c r="C484" i="17"/>
  <c r="C488" i="17"/>
  <c r="C492" i="17"/>
  <c r="C496" i="17"/>
  <c r="C500" i="17"/>
  <c r="C504" i="17"/>
  <c r="C508" i="17"/>
  <c r="C512" i="17"/>
  <c r="C516" i="17"/>
  <c r="C520" i="17"/>
  <c r="C524" i="17"/>
  <c r="C528" i="17"/>
  <c r="C532" i="17"/>
  <c r="C536" i="17"/>
  <c r="C540" i="17"/>
  <c r="C544" i="17"/>
  <c r="C548" i="17"/>
  <c r="C552" i="17"/>
  <c r="C556" i="17"/>
  <c r="C560" i="17"/>
  <c r="C564" i="17"/>
  <c r="C568" i="17"/>
  <c r="C572" i="17"/>
  <c r="C576" i="17"/>
  <c r="C580" i="17"/>
  <c r="C584" i="17"/>
  <c r="C588" i="17"/>
  <c r="C592" i="17"/>
  <c r="C596" i="17"/>
  <c r="C600" i="17"/>
  <c r="C19" i="17"/>
  <c r="C35" i="17"/>
  <c r="C51" i="17"/>
  <c r="C67" i="17"/>
  <c r="C83" i="17"/>
  <c r="C99" i="17"/>
  <c r="C115" i="17"/>
  <c r="C131" i="17"/>
  <c r="C147" i="17"/>
  <c r="C163" i="17"/>
  <c r="C179" i="17"/>
  <c r="C195" i="17"/>
  <c r="C211" i="17"/>
  <c r="C227" i="17"/>
  <c r="C243" i="17"/>
  <c r="C259" i="17"/>
  <c r="C275" i="17"/>
  <c r="C291" i="17"/>
  <c r="C307" i="17"/>
  <c r="C323" i="17"/>
  <c r="C339" i="17"/>
  <c r="C349" i="17"/>
  <c r="C353" i="17"/>
  <c r="C357" i="17"/>
  <c r="C361" i="17"/>
  <c r="C365" i="17"/>
  <c r="C369" i="17"/>
  <c r="C373" i="17"/>
  <c r="C377" i="17"/>
  <c r="C381" i="17"/>
  <c r="C385" i="17"/>
  <c r="C389" i="17"/>
  <c r="C393" i="17"/>
  <c r="C397" i="17"/>
  <c r="C401" i="17"/>
  <c r="C405" i="17"/>
  <c r="C409" i="17"/>
  <c r="C413" i="17"/>
  <c r="C417" i="17"/>
  <c r="C421" i="17"/>
  <c r="C425" i="17"/>
  <c r="C429" i="17"/>
  <c r="C433" i="17"/>
  <c r="C437" i="17"/>
  <c r="C441" i="17"/>
  <c r="C445" i="17"/>
  <c r="C449" i="17"/>
  <c r="C453" i="17"/>
  <c r="C457" i="17"/>
  <c r="C461" i="17"/>
  <c r="C465" i="17"/>
  <c r="C469" i="17"/>
  <c r="C473" i="17"/>
  <c r="C477" i="17"/>
  <c r="C481" i="17"/>
  <c r="C485" i="17"/>
  <c r="C489" i="17"/>
  <c r="C493" i="17"/>
  <c r="C497" i="17"/>
  <c r="C501" i="17"/>
  <c r="C505" i="17"/>
  <c r="C509" i="17"/>
  <c r="C513" i="17"/>
  <c r="C517" i="17"/>
  <c r="C521" i="17"/>
  <c r="C525" i="17"/>
  <c r="C529" i="17"/>
  <c r="C533" i="17"/>
  <c r="C537" i="17"/>
  <c r="C541" i="17"/>
  <c r="C545" i="17"/>
  <c r="C549" i="17"/>
  <c r="C553" i="17"/>
  <c r="C557" i="17"/>
  <c r="C561" i="17"/>
  <c r="C565" i="17"/>
  <c r="C569" i="17"/>
  <c r="C573" i="17"/>
  <c r="C577" i="17"/>
  <c r="C581" i="17"/>
  <c r="C585" i="17"/>
  <c r="C589" i="17"/>
  <c r="C593" i="17"/>
  <c r="C597" i="17"/>
  <c r="C601" i="17"/>
  <c r="C23" i="17"/>
  <c r="C87" i="17"/>
  <c r="C151" i="17"/>
  <c r="C215" i="17"/>
  <c r="C279" i="17"/>
  <c r="C343" i="17"/>
  <c r="C362" i="17"/>
  <c r="C378" i="17"/>
  <c r="C394" i="17"/>
  <c r="C410" i="17"/>
  <c r="C426" i="17"/>
  <c r="C442" i="17"/>
  <c r="C458" i="17"/>
  <c r="C474" i="17"/>
  <c r="C490" i="17"/>
  <c r="C506" i="17"/>
  <c r="C522" i="17"/>
  <c r="C538" i="17"/>
  <c r="C554" i="17"/>
  <c r="C570" i="17"/>
  <c r="C586" i="17"/>
  <c r="C602" i="17"/>
  <c r="C607" i="17"/>
  <c r="C611" i="17"/>
  <c r="C615" i="17"/>
  <c r="C619" i="17"/>
  <c r="C623" i="17"/>
  <c r="C627" i="17"/>
  <c r="C631" i="17"/>
  <c r="C635" i="17"/>
  <c r="C639" i="17"/>
  <c r="C643" i="17"/>
  <c r="C647" i="17"/>
  <c r="C651" i="17"/>
  <c r="C655" i="17"/>
  <c r="C659" i="17"/>
  <c r="C663" i="17"/>
  <c r="C667" i="17"/>
  <c r="C671" i="17"/>
  <c r="C675" i="17"/>
  <c r="C679" i="17"/>
  <c r="C683" i="17"/>
  <c r="C687" i="17"/>
  <c r="C691" i="17"/>
  <c r="C695" i="17"/>
  <c r="C699" i="17"/>
  <c r="C703" i="17"/>
  <c r="C707" i="17"/>
  <c r="C711" i="17"/>
  <c r="C715" i="17"/>
  <c r="C719" i="17"/>
  <c r="C723" i="17"/>
  <c r="C727" i="17"/>
  <c r="C731" i="17"/>
  <c r="C735" i="17"/>
  <c r="C739" i="17"/>
  <c r="C743" i="17"/>
  <c r="C747" i="17"/>
  <c r="C751" i="17"/>
  <c r="C755" i="17"/>
  <c r="C759" i="17"/>
  <c r="C763" i="17"/>
  <c r="C767" i="17"/>
  <c r="C771" i="17"/>
  <c r="C775" i="17"/>
  <c r="C779" i="17"/>
  <c r="C783" i="17"/>
  <c r="C787" i="17"/>
  <c r="C791" i="17"/>
  <c r="C795" i="17"/>
  <c r="C799" i="17"/>
  <c r="C803" i="17"/>
  <c r="C807" i="17"/>
  <c r="C811" i="17"/>
  <c r="C815" i="17"/>
  <c r="C819" i="17"/>
  <c r="C823" i="17"/>
  <c r="C827" i="17"/>
  <c r="C831" i="17"/>
  <c r="C835" i="17"/>
  <c r="C839" i="17"/>
  <c r="C199" i="17"/>
  <c r="C390" i="17"/>
  <c r="C438" i="17"/>
  <c r="C486" i="17"/>
  <c r="C39" i="17"/>
  <c r="C103" i="17"/>
  <c r="C167" i="17"/>
  <c r="C231" i="17"/>
  <c r="C295" i="17"/>
  <c r="C350" i="17"/>
  <c r="C366" i="17"/>
  <c r="C382" i="17"/>
  <c r="C398" i="17"/>
  <c r="C414" i="17"/>
  <c r="C430" i="17"/>
  <c r="C446" i="17"/>
  <c r="C462" i="17"/>
  <c r="C478" i="17"/>
  <c r="C494" i="17"/>
  <c r="C510" i="17"/>
  <c r="C526" i="17"/>
  <c r="C542" i="17"/>
  <c r="C558" i="17"/>
  <c r="C574" i="17"/>
  <c r="C590" i="17"/>
  <c r="C604" i="17"/>
  <c r="C608" i="17"/>
  <c r="C612" i="17"/>
  <c r="C616" i="17"/>
  <c r="C620" i="17"/>
  <c r="C624" i="17"/>
  <c r="C628" i="17"/>
  <c r="C632" i="17"/>
  <c r="C636" i="17"/>
  <c r="C640" i="17"/>
  <c r="C644" i="17"/>
  <c r="C648" i="17"/>
  <c r="C652" i="17"/>
  <c r="C656" i="17"/>
  <c r="C660" i="17"/>
  <c r="C664" i="17"/>
  <c r="C668" i="17"/>
  <c r="C672" i="17"/>
  <c r="C676" i="17"/>
  <c r="C680" i="17"/>
  <c r="C684" i="17"/>
  <c r="C688" i="17"/>
  <c r="C692" i="17"/>
  <c r="C696" i="17"/>
  <c r="C700" i="17"/>
  <c r="C704" i="17"/>
  <c r="C708" i="17"/>
  <c r="C712" i="17"/>
  <c r="C716" i="17"/>
  <c r="C720" i="17"/>
  <c r="C724" i="17"/>
  <c r="C728" i="17"/>
  <c r="C732" i="17"/>
  <c r="C736" i="17"/>
  <c r="C740" i="17"/>
  <c r="C744" i="17"/>
  <c r="C748" i="17"/>
  <c r="C752" i="17"/>
  <c r="C756" i="17"/>
  <c r="C760" i="17"/>
  <c r="C764" i="17"/>
  <c r="C768" i="17"/>
  <c r="C772" i="17"/>
  <c r="C776" i="17"/>
  <c r="C780" i="17"/>
  <c r="C784" i="17"/>
  <c r="C788" i="17"/>
  <c r="C792" i="17"/>
  <c r="C796" i="17"/>
  <c r="C800" i="17"/>
  <c r="C804" i="17"/>
  <c r="C808" i="17"/>
  <c r="C812" i="17"/>
  <c r="C816" i="17"/>
  <c r="C820" i="17"/>
  <c r="C824" i="17"/>
  <c r="C828" i="17"/>
  <c r="C832" i="17"/>
  <c r="C836" i="17"/>
  <c r="C7" i="17"/>
  <c r="C135" i="17"/>
  <c r="C263" i="17"/>
  <c r="C358" i="17"/>
  <c r="C406" i="17"/>
  <c r="C454" i="17"/>
  <c r="C55" i="17"/>
  <c r="C119" i="17"/>
  <c r="C183" i="17"/>
  <c r="C247" i="17"/>
  <c r="C311" i="17"/>
  <c r="C354" i="17"/>
  <c r="C370" i="17"/>
  <c r="C386" i="17"/>
  <c r="C402" i="17"/>
  <c r="C418" i="17"/>
  <c r="C434" i="17"/>
  <c r="C450" i="17"/>
  <c r="C466" i="17"/>
  <c r="C482" i="17"/>
  <c r="C498" i="17"/>
  <c r="C514" i="17"/>
  <c r="C530" i="17"/>
  <c r="C546" i="17"/>
  <c r="C562" i="17"/>
  <c r="C578" i="17"/>
  <c r="C594" i="17"/>
  <c r="C605" i="17"/>
  <c r="C609" i="17"/>
  <c r="C613" i="17"/>
  <c r="C617" i="17"/>
  <c r="C621" i="17"/>
  <c r="C625" i="17"/>
  <c r="C629" i="17"/>
  <c r="C633" i="17"/>
  <c r="C637" i="17"/>
  <c r="C641" i="17"/>
  <c r="C645" i="17"/>
  <c r="C649" i="17"/>
  <c r="C653" i="17"/>
  <c r="C657" i="17"/>
  <c r="C661" i="17"/>
  <c r="C665" i="17"/>
  <c r="C669" i="17"/>
  <c r="C673" i="17"/>
  <c r="C677" i="17"/>
  <c r="C681" i="17"/>
  <c r="C685" i="17"/>
  <c r="C689" i="17"/>
  <c r="C693" i="17"/>
  <c r="C697" i="17"/>
  <c r="C701" i="17"/>
  <c r="C705" i="17"/>
  <c r="C709" i="17"/>
  <c r="C713" i="17"/>
  <c r="C717" i="17"/>
  <c r="C721" i="17"/>
  <c r="C725" i="17"/>
  <c r="C729" i="17"/>
  <c r="C733" i="17"/>
  <c r="C737" i="17"/>
  <c r="C741" i="17"/>
  <c r="C745" i="17"/>
  <c r="C749" i="17"/>
  <c r="C753" i="17"/>
  <c r="C757" i="17"/>
  <c r="C761" i="17"/>
  <c r="C765" i="17"/>
  <c r="C769" i="17"/>
  <c r="C773" i="17"/>
  <c r="C777" i="17"/>
  <c r="C781" i="17"/>
  <c r="C785" i="17"/>
  <c r="C789" i="17"/>
  <c r="C793" i="17"/>
  <c r="C797" i="17"/>
  <c r="C801" i="17"/>
  <c r="C805" i="17"/>
  <c r="C809" i="17"/>
  <c r="C813" i="17"/>
  <c r="C817" i="17"/>
  <c r="C821" i="17"/>
  <c r="C825" i="17"/>
  <c r="C829" i="17"/>
  <c r="C833" i="17"/>
  <c r="C837" i="17"/>
  <c r="C71" i="17"/>
  <c r="C327" i="17"/>
  <c r="C374" i="17"/>
  <c r="C422" i="17"/>
  <c r="C470" i="17"/>
  <c r="C502" i="17"/>
  <c r="C566" i="17"/>
  <c r="C610" i="17"/>
  <c r="C626" i="17"/>
  <c r="C642" i="17"/>
  <c r="C658" i="17"/>
  <c r="C674" i="17"/>
  <c r="C690" i="17"/>
  <c r="C706" i="17"/>
  <c r="C722" i="17"/>
  <c r="C738" i="17"/>
  <c r="C754" i="17"/>
  <c r="C770" i="17"/>
  <c r="C786" i="17"/>
  <c r="C802" i="17"/>
  <c r="C818" i="17"/>
  <c r="C834" i="17"/>
  <c r="C734" i="17"/>
  <c r="C782" i="17"/>
  <c r="C830" i="17"/>
  <c r="C518" i="17"/>
  <c r="C582" i="17"/>
  <c r="C614" i="17"/>
  <c r="C630" i="17"/>
  <c r="C646" i="17"/>
  <c r="C662" i="17"/>
  <c r="C678" i="17"/>
  <c r="C694" i="17"/>
  <c r="C710" i="17"/>
  <c r="C726" i="17"/>
  <c r="C742" i="17"/>
  <c r="C758" i="17"/>
  <c r="C774" i="17"/>
  <c r="C790" i="17"/>
  <c r="C806" i="17"/>
  <c r="C822" i="17"/>
  <c r="C838" i="17"/>
  <c r="C622" i="17"/>
  <c r="C670" i="17"/>
  <c r="C702" i="17"/>
  <c r="C750" i="17"/>
  <c r="C798" i="17"/>
  <c r="C534" i="17"/>
  <c r="C598" i="17"/>
  <c r="C618" i="17"/>
  <c r="C634" i="17"/>
  <c r="C650" i="17"/>
  <c r="C666" i="17"/>
  <c r="C682" i="17"/>
  <c r="C698" i="17"/>
  <c r="C714" i="17"/>
  <c r="C730" i="17"/>
  <c r="C746" i="17"/>
  <c r="C762" i="17"/>
  <c r="C778" i="17"/>
  <c r="C794" i="17"/>
  <c r="C810" i="17"/>
  <c r="C826" i="17"/>
  <c r="C550" i="17"/>
  <c r="C606" i="17"/>
  <c r="C638" i="17"/>
  <c r="C654" i="17"/>
  <c r="C686" i="17"/>
  <c r="C718" i="17"/>
  <c r="C766" i="17"/>
  <c r="C814" i="17"/>
  <c r="E10" i="13"/>
  <c r="M9" i="13"/>
  <c r="K10" i="13"/>
  <c r="L10" i="13"/>
  <c r="F10" i="13"/>
  <c r="G9" i="13"/>
  <c r="Q7" i="17" l="1"/>
  <c r="J7" i="17"/>
  <c r="Q7" i="16"/>
  <c r="S7" i="16" s="1"/>
  <c r="J7" i="16"/>
  <c r="G10" i="13"/>
  <c r="M10" i="13"/>
  <c r="K11" i="13"/>
  <c r="L11" i="13"/>
  <c r="F11" i="13"/>
  <c r="E11" i="13"/>
  <c r="T7" i="17" l="1"/>
  <c r="T7" i="16"/>
  <c r="L7" i="16"/>
  <c r="W7" i="16" s="1"/>
  <c r="L12" i="13"/>
  <c r="L13" i="13" s="1"/>
  <c r="S7" i="17"/>
  <c r="L7" i="17"/>
  <c r="W7" i="17" s="1"/>
  <c r="K12" i="13"/>
  <c r="E12" i="13"/>
  <c r="M11" i="13"/>
  <c r="F12" i="13"/>
  <c r="G11" i="13"/>
  <c r="F8" i="17" l="1"/>
  <c r="H8" i="17" s="1"/>
  <c r="M8" i="17"/>
  <c r="N8" i="17" s="1"/>
  <c r="V7" i="17"/>
  <c r="K13" i="13"/>
  <c r="M12" i="13"/>
  <c r="S2" i="16"/>
  <c r="T2" i="16" s="1"/>
  <c r="Y7" i="16"/>
  <c r="F8" i="16"/>
  <c r="X7" i="16"/>
  <c r="M8" i="16"/>
  <c r="V7" i="16"/>
  <c r="X7" i="17"/>
  <c r="Y7" i="17"/>
  <c r="G12" i="13"/>
  <c r="E13" i="13"/>
  <c r="F13" i="13"/>
  <c r="M13" i="13"/>
  <c r="L14" i="13"/>
  <c r="K14" i="13"/>
  <c r="M14" i="13" s="1"/>
  <c r="I8" i="17" l="1"/>
  <c r="K8" i="17" s="1"/>
  <c r="G8" i="17"/>
  <c r="O8" i="17"/>
  <c r="P8" i="17"/>
  <c r="R8" i="17" s="1"/>
  <c r="G13" i="13"/>
  <c r="N8" i="16"/>
  <c r="P8" i="16"/>
  <c r="R8" i="16" s="1"/>
  <c r="O8" i="16"/>
  <c r="H8" i="16"/>
  <c r="G8" i="16"/>
  <c r="I8" i="16"/>
  <c r="K8" i="16" s="1"/>
  <c r="F14" i="13"/>
  <c r="E14" i="13"/>
  <c r="L15" i="13"/>
  <c r="K15" i="13"/>
  <c r="J8" i="17" l="1"/>
  <c r="L8" i="17" s="1"/>
  <c r="Q8" i="17"/>
  <c r="U8" i="17"/>
  <c r="U8" i="16"/>
  <c r="Q8" i="16"/>
  <c r="S8" i="16" s="1"/>
  <c r="J8" i="16"/>
  <c r="L8" i="16" s="1"/>
  <c r="E15" i="13"/>
  <c r="F15" i="13"/>
  <c r="G14" i="13"/>
  <c r="M15" i="13"/>
  <c r="K16" i="13"/>
  <c r="L16" i="13"/>
  <c r="W8" i="16" l="1"/>
  <c r="T8" i="17"/>
  <c r="S8" i="17"/>
  <c r="W8" i="17" s="1"/>
  <c r="Y8" i="16"/>
  <c r="T8" i="16"/>
  <c r="V8" i="16" s="1"/>
  <c r="X8" i="16"/>
  <c r="M9" i="16"/>
  <c r="F9" i="16"/>
  <c r="G15" i="13"/>
  <c r="F16" i="13"/>
  <c r="E16" i="13"/>
  <c r="F17" i="13" s="1"/>
  <c r="L17" i="13"/>
  <c r="M16" i="13"/>
  <c r="K17" i="13"/>
  <c r="F9" i="17" l="1"/>
  <c r="G9" i="17" s="1"/>
  <c r="X8" i="17"/>
  <c r="M9" i="17"/>
  <c r="P9" i="17" s="1"/>
  <c r="R9" i="17" s="1"/>
  <c r="V8" i="17"/>
  <c r="Y8" i="17"/>
  <c r="O9" i="16"/>
  <c r="P9" i="16"/>
  <c r="R9" i="16" s="1"/>
  <c r="N9" i="16"/>
  <c r="G9" i="16"/>
  <c r="I9" i="16"/>
  <c r="K9" i="16" s="1"/>
  <c r="H9" i="16"/>
  <c r="G16" i="13"/>
  <c r="E17" i="13"/>
  <c r="F18" i="13" s="1"/>
  <c r="K18" i="13"/>
  <c r="M17" i="13"/>
  <c r="L18" i="13"/>
  <c r="H9" i="17" l="1"/>
  <c r="I9" i="17"/>
  <c r="K9" i="17" s="1"/>
  <c r="U9" i="17" s="1"/>
  <c r="O9" i="17"/>
  <c r="N9" i="17"/>
  <c r="J9" i="16"/>
  <c r="L9" i="16" s="1"/>
  <c r="U9" i="16"/>
  <c r="Q9" i="16"/>
  <c r="S9" i="16" s="1"/>
  <c r="G17" i="13"/>
  <c r="E18" i="13"/>
  <c r="F19" i="13" s="1"/>
  <c r="M18" i="13"/>
  <c r="K19" i="13"/>
  <c r="L19" i="13"/>
  <c r="J9" i="17" l="1"/>
  <c r="L9" i="17" s="1"/>
  <c r="W9" i="16"/>
  <c r="Q9" i="17"/>
  <c r="S9" i="17" s="1"/>
  <c r="Y9" i="16"/>
  <c r="X9" i="16"/>
  <c r="F10" i="16"/>
  <c r="G10" i="16" s="1"/>
  <c r="M10" i="16"/>
  <c r="N10" i="16" s="1"/>
  <c r="T9" i="16"/>
  <c r="V9" i="16" s="1"/>
  <c r="K20" i="13"/>
  <c r="L20" i="13"/>
  <c r="E19" i="13"/>
  <c r="G19" i="13" s="1"/>
  <c r="G18" i="13"/>
  <c r="M19" i="13"/>
  <c r="W9" i="17" l="1"/>
  <c r="T9" i="17"/>
  <c r="V9" i="17" s="1"/>
  <c r="F10" i="17"/>
  <c r="G10" i="17" s="1"/>
  <c r="Y9" i="17"/>
  <c r="M10" i="17"/>
  <c r="X9" i="17"/>
  <c r="K21" i="13"/>
  <c r="O10" i="16"/>
  <c r="I10" i="16"/>
  <c r="K10" i="16" s="1"/>
  <c r="H10" i="16"/>
  <c r="P10" i="16"/>
  <c r="R10" i="16" s="1"/>
  <c r="E20" i="13"/>
  <c r="M20" i="13"/>
  <c r="L21" i="13"/>
  <c r="L22" i="13" s="1"/>
  <c r="F20" i="13"/>
  <c r="G20" i="13" s="1"/>
  <c r="K22" i="13"/>
  <c r="M21" i="13"/>
  <c r="H10" i="17" l="1"/>
  <c r="I10" i="17"/>
  <c r="K10" i="17" s="1"/>
  <c r="N10" i="17"/>
  <c r="P10" i="17"/>
  <c r="R10" i="17" s="1"/>
  <c r="O10" i="17"/>
  <c r="E21" i="13"/>
  <c r="F22" i="13" s="1"/>
  <c r="U10" i="16"/>
  <c r="J10" i="16"/>
  <c r="L10" i="16" s="1"/>
  <c r="Q10" i="16"/>
  <c r="F21" i="13"/>
  <c r="K23" i="13"/>
  <c r="L23" i="13"/>
  <c r="M22" i="13"/>
  <c r="U10" i="17" l="1"/>
  <c r="J10" i="17"/>
  <c r="L10" i="17" s="1"/>
  <c r="Q10" i="17"/>
  <c r="E22" i="13"/>
  <c r="F23" i="13" s="1"/>
  <c r="S10" i="16"/>
  <c r="Y10" i="16" s="1"/>
  <c r="T10" i="16"/>
  <c r="G21" i="13"/>
  <c r="E23" i="13"/>
  <c r="G22" i="13"/>
  <c r="L24" i="13"/>
  <c r="K24" i="13"/>
  <c r="M23" i="13"/>
  <c r="W10" i="16" l="1"/>
  <c r="T10" i="17"/>
  <c r="S10" i="17"/>
  <c r="W10" i="17" s="1"/>
  <c r="X10" i="16"/>
  <c r="V10" i="16"/>
  <c r="M11" i="16"/>
  <c r="F11" i="16"/>
  <c r="G23" i="13"/>
  <c r="E24" i="13"/>
  <c r="F24" i="13"/>
  <c r="L25" i="13"/>
  <c r="K25" i="13"/>
  <c r="M24" i="13"/>
  <c r="F11" i="17" l="1"/>
  <c r="V10" i="17"/>
  <c r="Y10" i="17"/>
  <c r="X10" i="17"/>
  <c r="M11" i="17"/>
  <c r="H11" i="16"/>
  <c r="I11" i="16"/>
  <c r="K11" i="16" s="1"/>
  <c r="G11" i="16"/>
  <c r="O11" i="16"/>
  <c r="P11" i="16"/>
  <c r="R11" i="16" s="1"/>
  <c r="N11" i="16"/>
  <c r="F25" i="13"/>
  <c r="E25" i="13"/>
  <c r="G24" i="13"/>
  <c r="L26" i="13"/>
  <c r="K26" i="13"/>
  <c r="M25" i="13"/>
  <c r="N11" i="17" l="1"/>
  <c r="O11" i="17"/>
  <c r="P11" i="17"/>
  <c r="R11" i="17" s="1"/>
  <c r="I11" i="17"/>
  <c r="K11" i="17" s="1"/>
  <c r="H11" i="17"/>
  <c r="G11" i="17"/>
  <c r="J11" i="16"/>
  <c r="L11" i="16" s="1"/>
  <c r="Q11" i="16"/>
  <c r="S11" i="16" s="1"/>
  <c r="U11" i="16"/>
  <c r="G25" i="13"/>
  <c r="E26" i="13"/>
  <c r="F26" i="13"/>
  <c r="L27" i="13"/>
  <c r="K27" i="13"/>
  <c r="M26" i="13"/>
  <c r="W11" i="16" l="1"/>
  <c r="U11" i="17"/>
  <c r="J11" i="17"/>
  <c r="L11" i="17" s="1"/>
  <c r="Q11" i="17"/>
  <c r="S11" i="17" s="1"/>
  <c r="Y11" i="16"/>
  <c r="M12" i="16"/>
  <c r="O12" i="16" s="1"/>
  <c r="F12" i="16"/>
  <c r="H12" i="16" s="1"/>
  <c r="X11" i="16"/>
  <c r="T11" i="16"/>
  <c r="V11" i="16" s="1"/>
  <c r="G26" i="13"/>
  <c r="E27" i="13"/>
  <c r="F27" i="13"/>
  <c r="G27" i="13" s="1"/>
  <c r="L28" i="13"/>
  <c r="K28" i="13"/>
  <c r="M27" i="13"/>
  <c r="W11" i="17" l="1"/>
  <c r="N12" i="16"/>
  <c r="T11" i="17"/>
  <c r="V11" i="17" s="1"/>
  <c r="M12" i="17"/>
  <c r="F12" i="17"/>
  <c r="Y11" i="17"/>
  <c r="X11" i="17"/>
  <c r="P12" i="16"/>
  <c r="R12" i="16" s="1"/>
  <c r="G12" i="16"/>
  <c r="I12" i="16"/>
  <c r="K12" i="16" s="1"/>
  <c r="E28" i="13"/>
  <c r="F28" i="13"/>
  <c r="K29" i="13"/>
  <c r="L29" i="13"/>
  <c r="M28" i="13"/>
  <c r="U12" i="16" l="1"/>
  <c r="G12" i="17"/>
  <c r="H12" i="17"/>
  <c r="I12" i="17"/>
  <c r="K12" i="17" s="1"/>
  <c r="Q12" i="16"/>
  <c r="S12" i="16" s="1"/>
  <c r="P12" i="17"/>
  <c r="R12" i="17" s="1"/>
  <c r="N12" i="17"/>
  <c r="O12" i="17"/>
  <c r="J12" i="16"/>
  <c r="L12" i="16" s="1"/>
  <c r="G28" i="13"/>
  <c r="E29" i="13"/>
  <c r="F29" i="13"/>
  <c r="L30" i="13"/>
  <c r="K30" i="13"/>
  <c r="M29" i="13"/>
  <c r="Y12" i="16" l="1"/>
  <c r="W12" i="16"/>
  <c r="J12" i="17"/>
  <c r="L12" i="17" s="1"/>
  <c r="Q12" i="17"/>
  <c r="U12" i="17"/>
  <c r="F13" i="16"/>
  <c r="I13" i="16" s="1"/>
  <c r="K13" i="16" s="1"/>
  <c r="X12" i="16"/>
  <c r="M13" i="16"/>
  <c r="T12" i="16"/>
  <c r="V12" i="16" s="1"/>
  <c r="E30" i="13"/>
  <c r="F30" i="13"/>
  <c r="G29" i="13"/>
  <c r="L31" i="13"/>
  <c r="K31" i="13"/>
  <c r="M30" i="13"/>
  <c r="T12" i="17" l="1"/>
  <c r="S12" i="17"/>
  <c r="M13" i="17" s="1"/>
  <c r="N13" i="17" s="1"/>
  <c r="H13" i="16"/>
  <c r="G13" i="16"/>
  <c r="O13" i="16"/>
  <c r="P13" i="16"/>
  <c r="R13" i="16" s="1"/>
  <c r="U13" i="16" s="1"/>
  <c r="N13" i="16"/>
  <c r="G30" i="13"/>
  <c r="E31" i="13"/>
  <c r="F31" i="13"/>
  <c r="L32" i="13"/>
  <c r="K32" i="13"/>
  <c r="M31" i="13"/>
  <c r="W12" i="17" l="1"/>
  <c r="Y12" i="17"/>
  <c r="X12" i="17"/>
  <c r="F13" i="17"/>
  <c r="I13" i="17" s="1"/>
  <c r="K13" i="17" s="1"/>
  <c r="V12" i="17"/>
  <c r="P13" i="17"/>
  <c r="R13" i="17" s="1"/>
  <c r="O13" i="17"/>
  <c r="J13" i="16"/>
  <c r="L13" i="16" s="1"/>
  <c r="Q13" i="16"/>
  <c r="S13" i="16" s="1"/>
  <c r="F32" i="13"/>
  <c r="G31" i="13"/>
  <c r="E32" i="13"/>
  <c r="K33" i="13"/>
  <c r="L33" i="13"/>
  <c r="M32" i="13"/>
  <c r="U13" i="17" l="1"/>
  <c r="W13" i="16"/>
  <c r="H13" i="17"/>
  <c r="Q13" i="17"/>
  <c r="S13" i="17" s="1"/>
  <c r="G13" i="17"/>
  <c r="X13" i="16"/>
  <c r="F14" i="16"/>
  <c r="I14" i="16" s="1"/>
  <c r="K14" i="16" s="1"/>
  <c r="Y13" i="16"/>
  <c r="M14" i="16"/>
  <c r="N14" i="16" s="1"/>
  <c r="T13" i="16"/>
  <c r="V13" i="16" s="1"/>
  <c r="E33" i="13"/>
  <c r="F33" i="13"/>
  <c r="G32" i="13"/>
  <c r="K34" i="13"/>
  <c r="L34" i="13"/>
  <c r="M33" i="13"/>
  <c r="J13" i="17" l="1"/>
  <c r="T13" i="17" s="1"/>
  <c r="G14" i="16"/>
  <c r="H14" i="16"/>
  <c r="O14" i="16"/>
  <c r="P14" i="16"/>
  <c r="R14" i="16" s="1"/>
  <c r="U14" i="16" s="1"/>
  <c r="E34" i="13"/>
  <c r="G33" i="13"/>
  <c r="F34" i="13"/>
  <c r="K35" i="13"/>
  <c r="L35" i="13"/>
  <c r="M34" i="13"/>
  <c r="L13" i="17" l="1"/>
  <c r="Q14" i="16"/>
  <c r="S14" i="16" s="1"/>
  <c r="J14" i="16"/>
  <c r="G34" i="13"/>
  <c r="E35" i="13"/>
  <c r="F35" i="13"/>
  <c r="K36" i="13"/>
  <c r="L36" i="13"/>
  <c r="M35" i="13"/>
  <c r="V13" i="17" l="1"/>
  <c r="W13" i="17"/>
  <c r="F14" i="17"/>
  <c r="H14" i="17" s="1"/>
  <c r="T14" i="16"/>
  <c r="L14" i="16"/>
  <c r="M14" i="17"/>
  <c r="P14" i="17" s="1"/>
  <c r="R14" i="17" s="1"/>
  <c r="X13" i="17"/>
  <c r="Y13" i="17"/>
  <c r="Y14" i="16"/>
  <c r="E36" i="13"/>
  <c r="G35" i="13"/>
  <c r="F36" i="13"/>
  <c r="L37" i="13"/>
  <c r="K37" i="13"/>
  <c r="M36" i="13"/>
  <c r="G14" i="17" l="1"/>
  <c r="I14" i="17"/>
  <c r="K14" i="17" s="1"/>
  <c r="U14" i="17" s="1"/>
  <c r="O14" i="17"/>
  <c r="N14" i="17"/>
  <c r="M15" i="16"/>
  <c r="P15" i="16" s="1"/>
  <c r="R15" i="16" s="1"/>
  <c r="W14" i="16"/>
  <c r="V14" i="16"/>
  <c r="F15" i="16"/>
  <c r="G15" i="16" s="1"/>
  <c r="X14" i="16"/>
  <c r="J14" i="17"/>
  <c r="L14" i="17" s="1"/>
  <c r="F37" i="13"/>
  <c r="G36" i="13"/>
  <c r="E37" i="13"/>
  <c r="L38" i="13"/>
  <c r="K38" i="13"/>
  <c r="M37" i="13"/>
  <c r="O15" i="16" l="1"/>
  <c r="N15" i="16"/>
  <c r="Q15" i="16" s="1"/>
  <c r="S15" i="16" s="1"/>
  <c r="Q14" i="17"/>
  <c r="T14" i="17" s="1"/>
  <c r="I15" i="16"/>
  <c r="K15" i="16" s="1"/>
  <c r="U15" i="16" s="1"/>
  <c r="H15" i="16"/>
  <c r="E38" i="13"/>
  <c r="G37" i="13"/>
  <c r="F38" i="13"/>
  <c r="K39" i="13"/>
  <c r="L39" i="13"/>
  <c r="M38" i="13"/>
  <c r="S14" i="17" l="1"/>
  <c r="F15" i="17" s="1"/>
  <c r="I15" i="17" s="1"/>
  <c r="K15" i="17" s="1"/>
  <c r="W14" i="17"/>
  <c r="J15" i="16"/>
  <c r="T15" i="16" s="1"/>
  <c r="F39" i="13"/>
  <c r="G38" i="13"/>
  <c r="E39" i="13"/>
  <c r="K40" i="13"/>
  <c r="L40" i="13"/>
  <c r="M39" i="13"/>
  <c r="G15" i="17" l="1"/>
  <c r="X14" i="17"/>
  <c r="V14" i="17"/>
  <c r="Y14" i="17"/>
  <c r="M15" i="17"/>
  <c r="N15" i="17" s="1"/>
  <c r="H15" i="17"/>
  <c r="L15" i="16"/>
  <c r="Y15" i="16" s="1"/>
  <c r="J15" i="17"/>
  <c r="L15" i="17" s="1"/>
  <c r="O15" i="17"/>
  <c r="F16" i="16"/>
  <c r="F40" i="13"/>
  <c r="G39" i="13"/>
  <c r="E40" i="13"/>
  <c r="K41" i="13"/>
  <c r="L41" i="13"/>
  <c r="M40" i="13"/>
  <c r="P15" i="17" l="1"/>
  <c r="R15" i="17" s="1"/>
  <c r="U15" i="17" s="1"/>
  <c r="V15" i="16"/>
  <c r="M16" i="16"/>
  <c r="N16" i="16" s="1"/>
  <c r="X15" i="16"/>
  <c r="W15" i="16"/>
  <c r="Q15" i="17"/>
  <c r="S15" i="17" s="1"/>
  <c r="X15" i="17" s="1"/>
  <c r="I16" i="16"/>
  <c r="K16" i="16" s="1"/>
  <c r="H16" i="16"/>
  <c r="G16" i="16"/>
  <c r="G40" i="13"/>
  <c r="E41" i="13"/>
  <c r="F41" i="13"/>
  <c r="K42" i="13"/>
  <c r="L42" i="13"/>
  <c r="M41" i="13"/>
  <c r="O16" i="16" l="1"/>
  <c r="P16" i="16"/>
  <c r="R16" i="16" s="1"/>
  <c r="U16" i="16" s="1"/>
  <c r="W15" i="17"/>
  <c r="M16" i="17"/>
  <c r="O16" i="17" s="1"/>
  <c r="F16" i="17"/>
  <c r="I16" i="17" s="1"/>
  <c r="K16" i="17" s="1"/>
  <c r="T15" i="17"/>
  <c r="V15" i="17" s="1"/>
  <c r="Y15" i="17"/>
  <c r="J16" i="16"/>
  <c r="E42" i="13"/>
  <c r="G41" i="13"/>
  <c r="F42" i="13"/>
  <c r="L43" i="13"/>
  <c r="K43" i="13"/>
  <c r="M42" i="13"/>
  <c r="Q16" i="16" l="1"/>
  <c r="S16" i="16" s="1"/>
  <c r="H16" i="17"/>
  <c r="G16" i="17"/>
  <c r="N16" i="17"/>
  <c r="P16" i="17"/>
  <c r="R16" i="17" s="1"/>
  <c r="U16" i="17" s="1"/>
  <c r="T16" i="16"/>
  <c r="L16" i="16"/>
  <c r="E43" i="13"/>
  <c r="G42" i="13"/>
  <c r="F43" i="13"/>
  <c r="L44" i="13"/>
  <c r="K44" i="13"/>
  <c r="M43" i="13"/>
  <c r="J16" i="17" l="1"/>
  <c r="Y16" i="16"/>
  <c r="W16" i="16"/>
  <c r="Q16" i="17"/>
  <c r="S16" i="17" s="1"/>
  <c r="L16" i="17"/>
  <c r="X16" i="16"/>
  <c r="M17" i="16"/>
  <c r="F17" i="16"/>
  <c r="V16" i="16"/>
  <c r="F44" i="13"/>
  <c r="G43" i="13"/>
  <c r="E44" i="13"/>
  <c r="L45" i="13"/>
  <c r="K45" i="13"/>
  <c r="M44" i="13"/>
  <c r="W16" i="17" l="1"/>
  <c r="T16" i="17"/>
  <c r="V16" i="17" s="1"/>
  <c r="Y16" i="17"/>
  <c r="F17" i="17"/>
  <c r="H17" i="17" s="1"/>
  <c r="M17" i="17"/>
  <c r="P17" i="17" s="1"/>
  <c r="R17" i="17" s="1"/>
  <c r="X16" i="17"/>
  <c r="P17" i="16"/>
  <c r="R17" i="16" s="1"/>
  <c r="O17" i="16"/>
  <c r="N17" i="16"/>
  <c r="H17" i="16"/>
  <c r="G17" i="16"/>
  <c r="I17" i="16"/>
  <c r="K17" i="16" s="1"/>
  <c r="E45" i="13"/>
  <c r="F45" i="13"/>
  <c r="G44" i="13"/>
  <c r="K46" i="13"/>
  <c r="L46" i="13"/>
  <c r="M45" i="13"/>
  <c r="G17" i="17" l="1"/>
  <c r="I17" i="17"/>
  <c r="K17" i="17" s="1"/>
  <c r="U17" i="17" s="1"/>
  <c r="N17" i="17"/>
  <c r="O17" i="17"/>
  <c r="U17" i="16"/>
  <c r="Q17" i="16"/>
  <c r="S17" i="16" s="1"/>
  <c r="J17" i="16"/>
  <c r="F46" i="13"/>
  <c r="G45" i="13"/>
  <c r="E46" i="13"/>
  <c r="L47" i="13"/>
  <c r="K47" i="13"/>
  <c r="M46" i="13"/>
  <c r="J17" i="17" l="1"/>
  <c r="L17" i="17" s="1"/>
  <c r="W17" i="17" s="1"/>
  <c r="Q17" i="17"/>
  <c r="S17" i="17" s="1"/>
  <c r="T17" i="16"/>
  <c r="L17" i="16"/>
  <c r="E47" i="13"/>
  <c r="F47" i="13"/>
  <c r="G46" i="13"/>
  <c r="L48" i="13"/>
  <c r="K48" i="13"/>
  <c r="M47" i="13"/>
  <c r="Y17" i="16" l="1"/>
  <c r="W17" i="16"/>
  <c r="T17" i="17"/>
  <c r="V17" i="17" s="1"/>
  <c r="X17" i="17"/>
  <c r="Y17" i="17"/>
  <c r="F18" i="17"/>
  <c r="M18" i="17"/>
  <c r="X17" i="16"/>
  <c r="F18" i="16"/>
  <c r="M18" i="16"/>
  <c r="V17" i="16"/>
  <c r="E48" i="13"/>
  <c r="G47" i="13"/>
  <c r="F48" i="13"/>
  <c r="K49" i="13"/>
  <c r="L49" i="13"/>
  <c r="M48" i="13"/>
  <c r="H18" i="17" l="1"/>
  <c r="I18" i="17"/>
  <c r="K18" i="17" s="1"/>
  <c r="G18" i="17"/>
  <c r="N18" i="17"/>
  <c r="O18" i="17"/>
  <c r="P18" i="17"/>
  <c r="R18" i="17" s="1"/>
  <c r="O18" i="16"/>
  <c r="N18" i="16"/>
  <c r="P18" i="16"/>
  <c r="R18" i="16" s="1"/>
  <c r="G18" i="16"/>
  <c r="H18" i="16"/>
  <c r="I18" i="16"/>
  <c r="K18" i="16" s="1"/>
  <c r="G48" i="13"/>
  <c r="E49" i="13"/>
  <c r="F49" i="13"/>
  <c r="K50" i="13"/>
  <c r="L50" i="13"/>
  <c r="M49" i="13"/>
  <c r="Q18" i="17" l="1"/>
  <c r="S18" i="17" s="1"/>
  <c r="J18" i="17"/>
  <c r="U18" i="17"/>
  <c r="U18" i="16"/>
  <c r="Q18" i="16"/>
  <c r="S18" i="16" s="1"/>
  <c r="J18" i="16"/>
  <c r="L18" i="16" s="1"/>
  <c r="E50" i="13"/>
  <c r="F50" i="13"/>
  <c r="G49" i="13"/>
  <c r="L51" i="13"/>
  <c r="K51" i="13"/>
  <c r="M50" i="13"/>
  <c r="W18" i="16" l="1"/>
  <c r="T18" i="17"/>
  <c r="L18" i="17"/>
  <c r="W18" i="17" s="1"/>
  <c r="Y18" i="16"/>
  <c r="F19" i="16"/>
  <c r="M19" i="16"/>
  <c r="X18" i="16"/>
  <c r="T18" i="16"/>
  <c r="V18" i="16" s="1"/>
  <c r="E51" i="13"/>
  <c r="F51" i="13"/>
  <c r="G50" i="13"/>
  <c r="K52" i="13"/>
  <c r="L52" i="13"/>
  <c r="M51" i="13"/>
  <c r="X18" i="17" l="1"/>
  <c r="M19" i="17"/>
  <c r="P19" i="17" s="1"/>
  <c r="R19" i="17" s="1"/>
  <c r="F19" i="17"/>
  <c r="I19" i="17" s="1"/>
  <c r="K19" i="17" s="1"/>
  <c r="Y18" i="17"/>
  <c r="V18" i="17"/>
  <c r="N19" i="16"/>
  <c r="O19" i="16"/>
  <c r="P19" i="16"/>
  <c r="R19" i="16" s="1"/>
  <c r="I19" i="16"/>
  <c r="K19" i="16" s="1"/>
  <c r="G19" i="16"/>
  <c r="H19" i="16"/>
  <c r="E52" i="13"/>
  <c r="G51" i="13"/>
  <c r="F52" i="13"/>
  <c r="K53" i="13"/>
  <c r="L53" i="13"/>
  <c r="M52" i="13"/>
  <c r="G19" i="17" l="1"/>
  <c r="H19" i="17"/>
  <c r="N19" i="17"/>
  <c r="O19" i="17"/>
  <c r="U19" i="17"/>
  <c r="J19" i="16"/>
  <c r="L19" i="16" s="1"/>
  <c r="U19" i="16"/>
  <c r="Q19" i="16"/>
  <c r="F53" i="13"/>
  <c r="E53" i="13"/>
  <c r="G52" i="13"/>
  <c r="L54" i="13"/>
  <c r="K54" i="13"/>
  <c r="M53" i="13"/>
  <c r="J19" i="17" l="1"/>
  <c r="L19" i="17" s="1"/>
  <c r="W19" i="17" s="1"/>
  <c r="Q19" i="17"/>
  <c r="S19" i="17" s="1"/>
  <c r="T19" i="16"/>
  <c r="S19" i="16"/>
  <c r="W19" i="16" s="1"/>
  <c r="F54" i="13"/>
  <c r="G53" i="13"/>
  <c r="E54" i="13"/>
  <c r="K55" i="13"/>
  <c r="L55" i="13"/>
  <c r="M54" i="13"/>
  <c r="T19" i="17" l="1"/>
  <c r="V19" i="17" s="1"/>
  <c r="F20" i="17"/>
  <c r="Y19" i="17"/>
  <c r="M20" i="17"/>
  <c r="X19" i="17"/>
  <c r="Y19" i="16"/>
  <c r="V19" i="16"/>
  <c r="X19" i="16"/>
  <c r="M20" i="16"/>
  <c r="P20" i="16" s="1"/>
  <c r="R20" i="16" s="1"/>
  <c r="F20" i="16"/>
  <c r="I20" i="16" s="1"/>
  <c r="K20" i="16" s="1"/>
  <c r="F55" i="13"/>
  <c r="G54" i="13"/>
  <c r="E55" i="13"/>
  <c r="K56" i="13"/>
  <c r="L56" i="13"/>
  <c r="M55" i="13"/>
  <c r="N20" i="17" l="1"/>
  <c r="P20" i="17"/>
  <c r="R20" i="17" s="1"/>
  <c r="O20" i="17"/>
  <c r="G20" i="17"/>
  <c r="H20" i="17"/>
  <c r="I20" i="17"/>
  <c r="K20" i="17" s="1"/>
  <c r="O20" i="16"/>
  <c r="N20" i="16"/>
  <c r="G20" i="16"/>
  <c r="H20" i="16"/>
  <c r="U20" i="16"/>
  <c r="E56" i="13"/>
  <c r="F56" i="13"/>
  <c r="G55" i="13"/>
  <c r="K57" i="13"/>
  <c r="L57" i="13"/>
  <c r="M56" i="13"/>
  <c r="Q20" i="17" l="1"/>
  <c r="S20" i="17" s="1"/>
  <c r="U20" i="17"/>
  <c r="J20" i="17"/>
  <c r="L20" i="17" s="1"/>
  <c r="W20" i="17" s="1"/>
  <c r="Q20" i="16"/>
  <c r="S20" i="16" s="1"/>
  <c r="J20" i="16"/>
  <c r="E57" i="13"/>
  <c r="F57" i="13"/>
  <c r="G56" i="13"/>
  <c r="L58" i="13"/>
  <c r="K58" i="13"/>
  <c r="M57" i="13"/>
  <c r="T20" i="17" l="1"/>
  <c r="V20" i="17" s="1"/>
  <c r="M21" i="17"/>
  <c r="X20" i="17"/>
  <c r="F21" i="17"/>
  <c r="Y20" i="17"/>
  <c r="T20" i="16"/>
  <c r="L20" i="16"/>
  <c r="F58" i="13"/>
  <c r="G57" i="13"/>
  <c r="E58" i="13"/>
  <c r="K59" i="13"/>
  <c r="L59" i="13"/>
  <c r="M58" i="13"/>
  <c r="Y20" i="16" l="1"/>
  <c r="W20" i="16"/>
  <c r="F21" i="16"/>
  <c r="H21" i="16" s="1"/>
  <c r="M21" i="16"/>
  <c r="P21" i="16" s="1"/>
  <c r="R21" i="16" s="1"/>
  <c r="G21" i="17"/>
  <c r="H21" i="17"/>
  <c r="I21" i="17"/>
  <c r="K21" i="17" s="1"/>
  <c r="P21" i="17"/>
  <c r="R21" i="17" s="1"/>
  <c r="N21" i="17"/>
  <c r="O21" i="17"/>
  <c r="V20" i="16"/>
  <c r="X20" i="16"/>
  <c r="I21" i="16"/>
  <c r="K21" i="16" s="1"/>
  <c r="E59" i="13"/>
  <c r="F59" i="13"/>
  <c r="G58" i="13"/>
  <c r="K60" i="13"/>
  <c r="L60" i="13"/>
  <c r="M59" i="13"/>
  <c r="G21" i="16" l="1"/>
  <c r="J21" i="16" s="1"/>
  <c r="N21" i="16"/>
  <c r="O21" i="16"/>
  <c r="Q21" i="17"/>
  <c r="S21" i="17" s="1"/>
  <c r="J21" i="17"/>
  <c r="L21" i="17" s="1"/>
  <c r="W21" i="17" s="1"/>
  <c r="U21" i="17"/>
  <c r="U21" i="16"/>
  <c r="E60" i="13"/>
  <c r="F60" i="13"/>
  <c r="G59" i="13"/>
  <c r="L61" i="13"/>
  <c r="K61" i="13"/>
  <c r="M60" i="13"/>
  <c r="Q21" i="16" l="1"/>
  <c r="S21" i="16" s="1"/>
  <c r="T21" i="17"/>
  <c r="Y21" i="17"/>
  <c r="F22" i="17"/>
  <c r="G22" i="17" s="1"/>
  <c r="M22" i="17"/>
  <c r="N22" i="17" s="1"/>
  <c r="X21" i="17"/>
  <c r="V21" i="17"/>
  <c r="L21" i="16"/>
  <c r="G60" i="13"/>
  <c r="E61" i="13"/>
  <c r="F61" i="13"/>
  <c r="K62" i="13"/>
  <c r="L62" i="13"/>
  <c r="M61" i="13"/>
  <c r="T21" i="16" l="1"/>
  <c r="Y21" i="16"/>
  <c r="W21" i="16"/>
  <c r="H22" i="17"/>
  <c r="I22" i="17"/>
  <c r="K22" i="17" s="1"/>
  <c r="P22" i="17"/>
  <c r="R22" i="17" s="1"/>
  <c r="O22" i="17"/>
  <c r="X21" i="16"/>
  <c r="F22" i="16"/>
  <c r="M22" i="16"/>
  <c r="V21" i="16"/>
  <c r="E62" i="13"/>
  <c r="F62" i="13"/>
  <c r="G61" i="13"/>
  <c r="L63" i="13"/>
  <c r="K63" i="13"/>
  <c r="M62" i="13"/>
  <c r="U22" i="17" l="1"/>
  <c r="J22" i="17"/>
  <c r="L22" i="17" s="1"/>
  <c r="Q22" i="17"/>
  <c r="O22" i="16"/>
  <c r="N22" i="16"/>
  <c r="P22" i="16"/>
  <c r="R22" i="16" s="1"/>
  <c r="G22" i="16"/>
  <c r="H22" i="16"/>
  <c r="I22" i="16"/>
  <c r="K22" i="16" s="1"/>
  <c r="G62" i="13"/>
  <c r="E63" i="13"/>
  <c r="F63" i="13"/>
  <c r="K64" i="13"/>
  <c r="L64" i="13"/>
  <c r="M63" i="13"/>
  <c r="W22" i="17" l="1"/>
  <c r="T22" i="17"/>
  <c r="S22" i="17"/>
  <c r="U22" i="16"/>
  <c r="Q22" i="16"/>
  <c r="S22" i="16" s="1"/>
  <c r="J22" i="16"/>
  <c r="L22" i="16" s="1"/>
  <c r="F64" i="13"/>
  <c r="G63" i="13"/>
  <c r="E64" i="13"/>
  <c r="K65" i="13"/>
  <c r="L65" i="13"/>
  <c r="M64" i="13"/>
  <c r="V22" i="17" l="1"/>
  <c r="W22" i="16"/>
  <c r="F23" i="17"/>
  <c r="H23" i="17" s="1"/>
  <c r="M23" i="17"/>
  <c r="P23" i="17" s="1"/>
  <c r="R23" i="17" s="1"/>
  <c r="Y22" i="17"/>
  <c r="X22" i="17"/>
  <c r="Y22" i="16"/>
  <c r="F23" i="16"/>
  <c r="M23" i="16"/>
  <c r="X22" i="16"/>
  <c r="T22" i="16"/>
  <c r="V22" i="16" s="1"/>
  <c r="E65" i="13"/>
  <c r="F65" i="13"/>
  <c r="G64" i="13"/>
  <c r="K66" i="13"/>
  <c r="L66" i="13"/>
  <c r="M65" i="13"/>
  <c r="I23" i="17" l="1"/>
  <c r="K23" i="17" s="1"/>
  <c r="U23" i="17" s="1"/>
  <c r="N23" i="17"/>
  <c r="G23" i="17"/>
  <c r="O23" i="17"/>
  <c r="N23" i="16"/>
  <c r="O23" i="16"/>
  <c r="P23" i="16"/>
  <c r="R23" i="16" s="1"/>
  <c r="I23" i="16"/>
  <c r="K23" i="16" s="1"/>
  <c r="G23" i="16"/>
  <c r="H23" i="16"/>
  <c r="G65" i="13"/>
  <c r="E66" i="13"/>
  <c r="F66" i="13"/>
  <c r="M66" i="13"/>
  <c r="Q23" i="17" l="1"/>
  <c r="S23" i="17" s="1"/>
  <c r="J23" i="17"/>
  <c r="L23" i="17" s="1"/>
  <c r="W23" i="17" s="1"/>
  <c r="J23" i="16"/>
  <c r="L23" i="16" s="1"/>
  <c r="Q23" i="16"/>
  <c r="S23" i="16" s="1"/>
  <c r="U23" i="16"/>
  <c r="G66" i="13"/>
  <c r="X23" i="17" l="1"/>
  <c r="F24" i="17"/>
  <c r="G24" i="17" s="1"/>
  <c r="Y23" i="17"/>
  <c r="T23" i="17"/>
  <c r="V23" i="17" s="1"/>
  <c r="M24" i="17"/>
  <c r="N24" i="17" s="1"/>
  <c r="W23" i="16"/>
  <c r="Y23" i="16"/>
  <c r="T23" i="16"/>
  <c r="V23" i="16" s="1"/>
  <c r="M24" i="16"/>
  <c r="X23" i="16"/>
  <c r="F24" i="16"/>
  <c r="P24" i="17" l="1"/>
  <c r="R24" i="17" s="1"/>
  <c r="O24" i="17"/>
  <c r="I24" i="17"/>
  <c r="K24" i="17" s="1"/>
  <c r="H24" i="17"/>
  <c r="I24" i="16"/>
  <c r="K24" i="16" s="1"/>
  <c r="H24" i="16"/>
  <c r="G24" i="16"/>
  <c r="P24" i="16"/>
  <c r="R24" i="16" s="1"/>
  <c r="O24" i="16"/>
  <c r="N24" i="16"/>
  <c r="U24" i="17" l="1"/>
  <c r="J24" i="17"/>
  <c r="L24" i="17" s="1"/>
  <c r="Q24" i="17"/>
  <c r="S24" i="17" s="1"/>
  <c r="Q24" i="16"/>
  <c r="S24" i="16" s="1"/>
  <c r="U24" i="16"/>
  <c r="J24" i="16"/>
  <c r="Y24" i="17" l="1"/>
  <c r="W24" i="17"/>
  <c r="T24" i="17"/>
  <c r="V24" i="17" s="1"/>
  <c r="F25" i="17"/>
  <c r="H25" i="17" s="1"/>
  <c r="X24" i="17"/>
  <c r="M25" i="17"/>
  <c r="P25" i="17" s="1"/>
  <c r="R25" i="17" s="1"/>
  <c r="T24" i="16"/>
  <c r="L24" i="16"/>
  <c r="Y24" i="16" l="1"/>
  <c r="W24" i="16"/>
  <c r="G25" i="17"/>
  <c r="I25" i="17"/>
  <c r="K25" i="17" s="1"/>
  <c r="U25" i="17" s="1"/>
  <c r="N25" i="17"/>
  <c r="O25" i="17"/>
  <c r="X24" i="16"/>
  <c r="M25" i="16"/>
  <c r="F25" i="16"/>
  <c r="V24" i="16"/>
  <c r="J25" i="17" l="1"/>
  <c r="L25" i="17" s="1"/>
  <c r="Q25" i="17"/>
  <c r="P25" i="16"/>
  <c r="R25" i="16" s="1"/>
  <c r="O25" i="16"/>
  <c r="N25" i="16"/>
  <c r="H25" i="16"/>
  <c r="G25" i="16"/>
  <c r="I25" i="16"/>
  <c r="K25" i="16" s="1"/>
  <c r="W25" i="17" l="1"/>
  <c r="T25" i="17"/>
  <c r="S25" i="17"/>
  <c r="X25" i="17" s="1"/>
  <c r="Q25" i="16"/>
  <c r="S25" i="16" s="1"/>
  <c r="U25" i="16"/>
  <c r="J25" i="16"/>
  <c r="V25" i="17" l="1"/>
  <c r="F26" i="17"/>
  <c r="I26" i="17" s="1"/>
  <c r="K26" i="17" s="1"/>
  <c r="M26" i="17"/>
  <c r="O26" i="17" s="1"/>
  <c r="Y25" i="17"/>
  <c r="T25" i="16"/>
  <c r="L25" i="16"/>
  <c r="P26" i="17" l="1"/>
  <c r="R26" i="17" s="1"/>
  <c r="U26" i="17" s="1"/>
  <c r="G26" i="17"/>
  <c r="H26" i="17"/>
  <c r="N26" i="17"/>
  <c r="Y25" i="16"/>
  <c r="W25" i="16"/>
  <c r="X25" i="16"/>
  <c r="F26" i="16"/>
  <c r="M26" i="16"/>
  <c r="V25" i="16"/>
  <c r="Q26" i="17" l="1"/>
  <c r="S26" i="17" s="1"/>
  <c r="J26" i="17"/>
  <c r="L26" i="17" s="1"/>
  <c r="W26" i="17" s="1"/>
  <c r="O26" i="16"/>
  <c r="N26" i="16"/>
  <c r="P26" i="16"/>
  <c r="R26" i="16" s="1"/>
  <c r="G26" i="16"/>
  <c r="H26" i="16"/>
  <c r="I26" i="16"/>
  <c r="K26" i="16" s="1"/>
  <c r="Y26" i="17" l="1"/>
  <c r="F27" i="17"/>
  <c r="G27" i="17" s="1"/>
  <c r="X26" i="17"/>
  <c r="T26" i="17"/>
  <c r="V26" i="17" s="1"/>
  <c r="M27" i="17"/>
  <c r="O27" i="17" s="1"/>
  <c r="H27" i="17"/>
  <c r="U26" i="16"/>
  <c r="Q26" i="16"/>
  <c r="S26" i="16" s="1"/>
  <c r="J26" i="16"/>
  <c r="I27" i="17" l="1"/>
  <c r="K27" i="17" s="1"/>
  <c r="N27" i="17"/>
  <c r="P27" i="17"/>
  <c r="R27" i="17" s="1"/>
  <c r="T26" i="16"/>
  <c r="L26" i="16"/>
  <c r="U27" i="17" l="1"/>
  <c r="J27" i="17"/>
  <c r="L27" i="17" s="1"/>
  <c r="W27" i="17" s="1"/>
  <c r="Q27" i="17"/>
  <c r="S27" i="17" s="1"/>
  <c r="Y26" i="16"/>
  <c r="W26" i="16"/>
  <c r="F27" i="16"/>
  <c r="M27" i="16"/>
  <c r="X26" i="16"/>
  <c r="V26" i="16"/>
  <c r="Y27" i="17" l="1"/>
  <c r="M28" i="17"/>
  <c r="P28" i="17" s="1"/>
  <c r="R28" i="17" s="1"/>
  <c r="F28" i="17"/>
  <c r="G28" i="17" s="1"/>
  <c r="X27" i="17"/>
  <c r="T27" i="17"/>
  <c r="V27" i="17" s="1"/>
  <c r="N27" i="16"/>
  <c r="O27" i="16"/>
  <c r="P27" i="16"/>
  <c r="R27" i="16" s="1"/>
  <c r="I27" i="16"/>
  <c r="K27" i="16" s="1"/>
  <c r="G27" i="16"/>
  <c r="H27" i="16"/>
  <c r="H28" i="17" l="1"/>
  <c r="O28" i="17"/>
  <c r="N28" i="17"/>
  <c r="I28" i="17"/>
  <c r="K28" i="17" s="1"/>
  <c r="U28" i="17" s="1"/>
  <c r="J27" i="16"/>
  <c r="L27" i="16" s="1"/>
  <c r="W27" i="16" s="1"/>
  <c r="U27" i="16"/>
  <c r="Q27" i="16"/>
  <c r="S27" i="16" s="1"/>
  <c r="J28" i="17" l="1"/>
  <c r="L28" i="17" s="1"/>
  <c r="W28" i="17" s="1"/>
  <c r="Q28" i="17"/>
  <c r="S28" i="17" s="1"/>
  <c r="Y27" i="16"/>
  <c r="M28" i="16"/>
  <c r="F28" i="16"/>
  <c r="X27" i="16"/>
  <c r="T27" i="16"/>
  <c r="V27" i="16" s="1"/>
  <c r="T28" i="17" l="1"/>
  <c r="F29" i="17"/>
  <c r="X28" i="17"/>
  <c r="Y28" i="17"/>
  <c r="V28" i="17"/>
  <c r="M29" i="17"/>
  <c r="I28" i="16"/>
  <c r="K28" i="16" s="1"/>
  <c r="H28" i="16"/>
  <c r="G28" i="16"/>
  <c r="P28" i="16"/>
  <c r="O28" i="16"/>
  <c r="N28" i="16"/>
  <c r="N29" i="17" l="1"/>
  <c r="P29" i="17"/>
  <c r="R29" i="17" s="1"/>
  <c r="O29" i="17"/>
  <c r="H29" i="17"/>
  <c r="I29" i="17"/>
  <c r="K29" i="17" s="1"/>
  <c r="G29" i="17"/>
  <c r="Q28" i="16"/>
  <c r="R28" i="16"/>
  <c r="J28" i="16"/>
  <c r="J29" i="17" l="1"/>
  <c r="L29" i="17" s="1"/>
  <c r="W29" i="17" s="1"/>
  <c r="Q29" i="17"/>
  <c r="S29" i="17" s="1"/>
  <c r="U29" i="17"/>
  <c r="T28" i="16"/>
  <c r="S28" i="16"/>
  <c r="L28" i="16"/>
  <c r="W28" i="16" s="1"/>
  <c r="U28" i="16"/>
  <c r="Y28" i="16" l="1"/>
  <c r="T29" i="17"/>
  <c r="V29" i="17" s="1"/>
  <c r="F30" i="17"/>
  <c r="Y29" i="17"/>
  <c r="M30" i="17"/>
  <c r="X29" i="17"/>
  <c r="X28" i="16"/>
  <c r="M29" i="16"/>
  <c r="F29" i="16"/>
  <c r="V28" i="16"/>
  <c r="H30" i="17" l="1"/>
  <c r="G30" i="17"/>
  <c r="I30" i="17"/>
  <c r="K30" i="17" s="1"/>
  <c r="P30" i="17"/>
  <c r="R30" i="17" s="1"/>
  <c r="N30" i="17"/>
  <c r="O30" i="17"/>
  <c r="P29" i="16"/>
  <c r="R29" i="16" s="1"/>
  <c r="O29" i="16"/>
  <c r="N29" i="16"/>
  <c r="H29" i="16"/>
  <c r="G29" i="16"/>
  <c r="I29" i="16"/>
  <c r="K29" i="16" s="1"/>
  <c r="Q30" i="17" l="1"/>
  <c r="S30" i="17" s="1"/>
  <c r="U30" i="17"/>
  <c r="J30" i="17"/>
  <c r="Q29" i="16"/>
  <c r="S29" i="16" s="1"/>
  <c r="U29" i="16"/>
  <c r="J29" i="16"/>
  <c r="T30" i="17" l="1"/>
  <c r="L30" i="17"/>
  <c r="W30" i="17" s="1"/>
  <c r="T29" i="16"/>
  <c r="L29" i="16"/>
  <c r="M31" i="17" l="1"/>
  <c r="Y29" i="16"/>
  <c r="W29" i="16"/>
  <c r="V30" i="17"/>
  <c r="F31" i="17"/>
  <c r="I31" i="17" s="1"/>
  <c r="K31" i="17" s="1"/>
  <c r="Y30" i="17"/>
  <c r="X30" i="17"/>
  <c r="O31" i="17"/>
  <c r="P31" i="17"/>
  <c r="R31" i="17" s="1"/>
  <c r="N31" i="17"/>
  <c r="X29" i="16"/>
  <c r="F30" i="16"/>
  <c r="M30" i="16"/>
  <c r="V29" i="16"/>
  <c r="G31" i="17" l="1"/>
  <c r="H31" i="17"/>
  <c r="Q31" i="17"/>
  <c r="S31" i="17" s="1"/>
  <c r="U31" i="17"/>
  <c r="O30" i="16"/>
  <c r="N30" i="16"/>
  <c r="P30" i="16"/>
  <c r="R30" i="16" s="1"/>
  <c r="G30" i="16"/>
  <c r="H30" i="16"/>
  <c r="I30" i="16"/>
  <c r="K30" i="16" s="1"/>
  <c r="J31" i="17" l="1"/>
  <c r="L31" i="17" s="1"/>
  <c r="W31" i="17" s="1"/>
  <c r="U30" i="16"/>
  <c r="Q30" i="16"/>
  <c r="S30" i="16" s="1"/>
  <c r="J30" i="16"/>
  <c r="T31" i="17" l="1"/>
  <c r="Y31" i="17"/>
  <c r="M32" i="17"/>
  <c r="F32" i="17"/>
  <c r="X31" i="17"/>
  <c r="V31" i="17"/>
  <c r="T30" i="16"/>
  <c r="L30" i="16"/>
  <c r="Y30" i="16" l="1"/>
  <c r="W30" i="16"/>
  <c r="N32" i="17"/>
  <c r="O32" i="17"/>
  <c r="P32" i="17"/>
  <c r="R32" i="17" s="1"/>
  <c r="H32" i="17"/>
  <c r="I32" i="17"/>
  <c r="K32" i="17" s="1"/>
  <c r="G32" i="17"/>
  <c r="F31" i="16"/>
  <c r="M31" i="16"/>
  <c r="X30" i="16"/>
  <c r="V30" i="16"/>
  <c r="J32" i="17" l="1"/>
  <c r="L32" i="17" s="1"/>
  <c r="W32" i="17" s="1"/>
  <c r="U32" i="17"/>
  <c r="Q32" i="17"/>
  <c r="S32" i="17" s="1"/>
  <c r="N31" i="16"/>
  <c r="O31" i="16"/>
  <c r="P31" i="16"/>
  <c r="R31" i="16" s="1"/>
  <c r="I31" i="16"/>
  <c r="G31" i="16"/>
  <c r="H31" i="16"/>
  <c r="T32" i="17" l="1"/>
  <c r="V32" i="17" s="1"/>
  <c r="F33" i="17"/>
  <c r="X32" i="17"/>
  <c r="M33" i="17"/>
  <c r="Y32" i="17"/>
  <c r="J31" i="16"/>
  <c r="K31" i="16"/>
  <c r="Q31" i="16"/>
  <c r="T31" i="16" l="1"/>
  <c r="G33" i="17"/>
  <c r="I33" i="17"/>
  <c r="K33" i="17" s="1"/>
  <c r="H33" i="17"/>
  <c r="N33" i="17"/>
  <c r="O33" i="17"/>
  <c r="P33" i="17"/>
  <c r="R33" i="17" s="1"/>
  <c r="L31" i="16"/>
  <c r="U31" i="16"/>
  <c r="S31" i="16"/>
  <c r="F32" i="16" l="1"/>
  <c r="G32" i="16" s="1"/>
  <c r="W31" i="16"/>
  <c r="J33" i="17"/>
  <c r="L33" i="17" s="1"/>
  <c r="V31" i="16"/>
  <c r="U33" i="17"/>
  <c r="Q33" i="17"/>
  <c r="Y31" i="16"/>
  <c r="X31" i="16"/>
  <c r="M32" i="16"/>
  <c r="N32" i="16" s="1"/>
  <c r="H32" i="16"/>
  <c r="I32" i="16" l="1"/>
  <c r="K32" i="16" s="1"/>
  <c r="W33" i="17"/>
  <c r="T33" i="17"/>
  <c r="S33" i="17"/>
  <c r="X33" i="17" s="1"/>
  <c r="P32" i="16"/>
  <c r="R32" i="16" s="1"/>
  <c r="U32" i="16" s="1"/>
  <c r="O32" i="16"/>
  <c r="J32" i="16"/>
  <c r="V33" i="17" l="1"/>
  <c r="Q32" i="16"/>
  <c r="S32" i="16" s="1"/>
  <c r="F34" i="17"/>
  <c r="G34" i="17" s="1"/>
  <c r="Y33" i="17"/>
  <c r="M34" i="17"/>
  <c r="P34" i="17" s="1"/>
  <c r="R34" i="17" s="1"/>
  <c r="L32" i="16"/>
  <c r="T32" i="16" l="1"/>
  <c r="V32" i="16" s="1"/>
  <c r="Y32" i="16"/>
  <c r="W32" i="16"/>
  <c r="H34" i="17"/>
  <c r="I34" i="17"/>
  <c r="K34" i="17" s="1"/>
  <c r="U34" i="17" s="1"/>
  <c r="N34" i="17"/>
  <c r="O34" i="17"/>
  <c r="X32" i="16"/>
  <c r="M33" i="16"/>
  <c r="F33" i="16"/>
  <c r="J34" i="17" l="1"/>
  <c r="L34" i="17" s="1"/>
  <c r="Q34" i="17"/>
  <c r="P33" i="16"/>
  <c r="R33" i="16" s="1"/>
  <c r="O33" i="16"/>
  <c r="N33" i="16"/>
  <c r="H33" i="16"/>
  <c r="G33" i="16"/>
  <c r="I33" i="16"/>
  <c r="K33" i="16" s="1"/>
  <c r="W34" i="17" l="1"/>
  <c r="T34" i="17"/>
  <c r="S34" i="17"/>
  <c r="M35" i="17" s="1"/>
  <c r="O35" i="17" s="1"/>
  <c r="Q33" i="16"/>
  <c r="S33" i="16" s="1"/>
  <c r="U33" i="16"/>
  <c r="J33" i="16"/>
  <c r="F35" i="17" l="1"/>
  <c r="H35" i="17" s="1"/>
  <c r="V34" i="17"/>
  <c r="Y34" i="17"/>
  <c r="N35" i="17"/>
  <c r="P35" i="17"/>
  <c r="R35" i="17" s="1"/>
  <c r="X34" i="17"/>
  <c r="T33" i="16"/>
  <c r="L33" i="16"/>
  <c r="I35" i="17" l="1"/>
  <c r="K35" i="17" s="1"/>
  <c r="U35" i="17" s="1"/>
  <c r="G35" i="17"/>
  <c r="Q35" i="17"/>
  <c r="S35" i="17" s="1"/>
  <c r="Y33" i="16"/>
  <c r="W33" i="16"/>
  <c r="J35" i="17"/>
  <c r="L35" i="17" s="1"/>
  <c r="W35" i="17" s="1"/>
  <c r="X33" i="16"/>
  <c r="F34" i="16"/>
  <c r="M34" i="16"/>
  <c r="V33" i="16"/>
  <c r="T35" i="17" l="1"/>
  <c r="Y35" i="17"/>
  <c r="F36" i="17"/>
  <c r="M36" i="17"/>
  <c r="X35" i="17"/>
  <c r="V35" i="17"/>
  <c r="G34" i="16"/>
  <c r="H34" i="16"/>
  <c r="I34" i="16"/>
  <c r="K34" i="16" s="1"/>
  <c r="O34" i="16"/>
  <c r="N34" i="16"/>
  <c r="P34" i="16"/>
  <c r="R34" i="16" s="1"/>
  <c r="G36" i="17" l="1"/>
  <c r="H36" i="17"/>
  <c r="I36" i="17"/>
  <c r="K36" i="17" s="1"/>
  <c r="P36" i="17"/>
  <c r="R36" i="17" s="1"/>
  <c r="O36" i="17"/>
  <c r="N36" i="17"/>
  <c r="Q34" i="16"/>
  <c r="S34" i="16" s="1"/>
  <c r="J34" i="16"/>
  <c r="U34" i="16"/>
  <c r="J36" i="17" l="1"/>
  <c r="L36" i="17" s="1"/>
  <c r="W36" i="17" s="1"/>
  <c r="U36" i="17"/>
  <c r="T34" i="16"/>
  <c r="Q36" i="17"/>
  <c r="S36" i="17" s="1"/>
  <c r="L34" i="16"/>
  <c r="Y34" i="16" l="1"/>
  <c r="W34" i="16"/>
  <c r="X34" i="16"/>
  <c r="X36" i="17"/>
  <c r="M37" i="17"/>
  <c r="Y36" i="17"/>
  <c r="F37" i="17"/>
  <c r="T36" i="17"/>
  <c r="M35" i="16"/>
  <c r="P35" i="16" s="1"/>
  <c r="R35" i="16" s="1"/>
  <c r="V34" i="16"/>
  <c r="F35" i="16"/>
  <c r="G35" i="16" s="1"/>
  <c r="G37" i="17" l="1"/>
  <c r="I37" i="17"/>
  <c r="K37" i="17" s="1"/>
  <c r="H37" i="17"/>
  <c r="V36" i="17"/>
  <c r="P37" i="17"/>
  <c r="R37" i="17" s="1"/>
  <c r="O37" i="17"/>
  <c r="N37" i="17"/>
  <c r="H35" i="16"/>
  <c r="N35" i="16"/>
  <c r="I35" i="16"/>
  <c r="K35" i="16" s="1"/>
  <c r="U35" i="16" s="1"/>
  <c r="O35" i="16"/>
  <c r="Q37" i="17" l="1"/>
  <c r="S37" i="17" s="1"/>
  <c r="U37" i="17"/>
  <c r="J37" i="17"/>
  <c r="Q35" i="16"/>
  <c r="S35" i="16" s="1"/>
  <c r="J35" i="16"/>
  <c r="T37" i="17" l="1"/>
  <c r="T35" i="16"/>
  <c r="L37" i="17"/>
  <c r="W37" i="17" s="1"/>
  <c r="L35" i="16"/>
  <c r="X37" i="17" l="1"/>
  <c r="Y35" i="16"/>
  <c r="W35" i="16"/>
  <c r="V35" i="16"/>
  <c r="X35" i="16"/>
  <c r="F38" i="17"/>
  <c r="M38" i="17"/>
  <c r="Y37" i="17"/>
  <c r="V37" i="17"/>
  <c r="M36" i="16"/>
  <c r="N36" i="16" s="1"/>
  <c r="F36" i="16"/>
  <c r="H36" i="16" s="1"/>
  <c r="N38" i="17" l="1"/>
  <c r="P38" i="17"/>
  <c r="R38" i="17" s="1"/>
  <c r="O38" i="17"/>
  <c r="G36" i="16"/>
  <c r="H38" i="17"/>
  <c r="I38" i="17"/>
  <c r="K38" i="17" s="1"/>
  <c r="U38" i="17" s="1"/>
  <c r="G38" i="17"/>
  <c r="O36" i="16"/>
  <c r="P36" i="16"/>
  <c r="R36" i="16" s="1"/>
  <c r="I36" i="16"/>
  <c r="K36" i="16" s="1"/>
  <c r="Q38" i="17" l="1"/>
  <c r="S38" i="17" s="1"/>
  <c r="J38" i="17"/>
  <c r="Q36" i="16"/>
  <c r="S36" i="16" s="1"/>
  <c r="U36" i="16"/>
  <c r="J36" i="16"/>
  <c r="T38" i="17" l="1"/>
  <c r="L38" i="17"/>
  <c r="W38" i="17" s="1"/>
  <c r="T36" i="16"/>
  <c r="L36" i="16"/>
  <c r="Y36" i="16" l="1"/>
  <c r="W36" i="16"/>
  <c r="M39" i="17"/>
  <c r="X38" i="17"/>
  <c r="F39" i="17"/>
  <c r="Y38" i="17"/>
  <c r="V38" i="17"/>
  <c r="X36" i="16"/>
  <c r="V36" i="16"/>
  <c r="F37" i="16"/>
  <c r="I37" i="16" s="1"/>
  <c r="K37" i="16" s="1"/>
  <c r="M37" i="16"/>
  <c r="N37" i="16" s="1"/>
  <c r="O37" i="16" l="1"/>
  <c r="G37" i="16"/>
  <c r="H39" i="17"/>
  <c r="G39" i="17"/>
  <c r="I39" i="17"/>
  <c r="K39" i="17" s="1"/>
  <c r="P39" i="17"/>
  <c r="R39" i="17" s="1"/>
  <c r="N39" i="17"/>
  <c r="O39" i="17"/>
  <c r="P37" i="16"/>
  <c r="R37" i="16" s="1"/>
  <c r="U37" i="16" s="1"/>
  <c r="H37" i="16"/>
  <c r="J37" i="16" s="1"/>
  <c r="L37" i="16" s="1"/>
  <c r="Q37" i="16" l="1"/>
  <c r="S37" i="16" s="1"/>
  <c r="U39" i="17"/>
  <c r="Q39" i="17"/>
  <c r="S39" i="17" s="1"/>
  <c r="J39" i="17"/>
  <c r="X37" i="16" l="1"/>
  <c r="F38" i="16"/>
  <c r="H38" i="16" s="1"/>
  <c r="M38" i="16"/>
  <c r="N38" i="16" s="1"/>
  <c r="T37" i="16"/>
  <c r="W37" i="16"/>
  <c r="Y37" i="16"/>
  <c r="T39" i="17"/>
  <c r="L39" i="17"/>
  <c r="W39" i="17" s="1"/>
  <c r="V37" i="16"/>
  <c r="P38" i="16"/>
  <c r="R38" i="16" s="1"/>
  <c r="O38" i="16"/>
  <c r="G38" i="16"/>
  <c r="I38" i="16"/>
  <c r="K38" i="16" s="1"/>
  <c r="X39" i="17" l="1"/>
  <c r="F40" i="17"/>
  <c r="Y39" i="17"/>
  <c r="M40" i="17"/>
  <c r="V39" i="17"/>
  <c r="U38" i="16"/>
  <c r="Q38" i="16"/>
  <c r="S38" i="16" s="1"/>
  <c r="J38" i="16"/>
  <c r="L38" i="16" s="1"/>
  <c r="W38" i="16" l="1"/>
  <c r="O40" i="17"/>
  <c r="P40" i="17"/>
  <c r="R40" i="17" s="1"/>
  <c r="N40" i="17"/>
  <c r="H40" i="17"/>
  <c r="G40" i="17"/>
  <c r="I40" i="17"/>
  <c r="K40" i="17" s="1"/>
  <c r="Y38" i="16"/>
  <c r="T38" i="16"/>
  <c r="V38" i="16" s="1"/>
  <c r="X38" i="16"/>
  <c r="F39" i="16"/>
  <c r="M39" i="16"/>
  <c r="U40" i="17" l="1"/>
  <c r="Q40" i="17"/>
  <c r="S40" i="17" s="1"/>
  <c r="J40" i="17"/>
  <c r="G39" i="16"/>
  <c r="I39" i="16"/>
  <c r="K39" i="16" s="1"/>
  <c r="H39" i="16"/>
  <c r="O39" i="16"/>
  <c r="N39" i="16"/>
  <c r="P39" i="16"/>
  <c r="R39" i="16" s="1"/>
  <c r="T40" i="17" l="1"/>
  <c r="L40" i="17"/>
  <c r="U39" i="16"/>
  <c r="Q39" i="16"/>
  <c r="S39" i="16" s="1"/>
  <c r="J39" i="16"/>
  <c r="L39" i="16" s="1"/>
  <c r="W39" i="16" s="1"/>
  <c r="M41" i="17" l="1"/>
  <c r="O41" i="17" s="1"/>
  <c r="W40" i="17"/>
  <c r="X40" i="17"/>
  <c r="Y40" i="17"/>
  <c r="F41" i="17"/>
  <c r="H41" i="17" s="1"/>
  <c r="V40" i="17"/>
  <c r="Y39" i="16"/>
  <c r="F40" i="16"/>
  <c r="M40" i="16"/>
  <c r="X39" i="16"/>
  <c r="T39" i="16"/>
  <c r="V39" i="16" s="1"/>
  <c r="N41" i="17" l="1"/>
  <c r="P41" i="17"/>
  <c r="R41" i="17" s="1"/>
  <c r="I41" i="17"/>
  <c r="K41" i="17" s="1"/>
  <c r="G41" i="17"/>
  <c r="N40" i="16"/>
  <c r="P40" i="16"/>
  <c r="R40" i="16" s="1"/>
  <c r="O40" i="16"/>
  <c r="I40" i="16"/>
  <c r="K40" i="16" s="1"/>
  <c r="H40" i="16"/>
  <c r="G40" i="16"/>
  <c r="J41" i="17" l="1"/>
  <c r="L41" i="17" s="1"/>
  <c r="W41" i="17" s="1"/>
  <c r="U41" i="17"/>
  <c r="Q41" i="17"/>
  <c r="S41" i="17" s="1"/>
  <c r="X41" i="17" s="1"/>
  <c r="Y41" i="17"/>
  <c r="U40" i="16"/>
  <c r="J40" i="16"/>
  <c r="Q40" i="16"/>
  <c r="S40" i="16" s="1"/>
  <c r="T41" i="17" l="1"/>
  <c r="M42" i="17"/>
  <c r="N42" i="17" s="1"/>
  <c r="F42" i="17"/>
  <c r="I42" i="17" s="1"/>
  <c r="K42" i="17" s="1"/>
  <c r="V41" i="17"/>
  <c r="T40" i="16"/>
  <c r="L40" i="16"/>
  <c r="P42" i="17" l="1"/>
  <c r="R42" i="17" s="1"/>
  <c r="U42" i="17" s="1"/>
  <c r="G42" i="17"/>
  <c r="H42" i="17"/>
  <c r="J42" i="17" s="1"/>
  <c r="O42" i="17"/>
  <c r="Y40" i="16"/>
  <c r="W40" i="16"/>
  <c r="Q42" i="17"/>
  <c r="S42" i="17" s="1"/>
  <c r="M41" i="16"/>
  <c r="X40" i="16"/>
  <c r="F41" i="16"/>
  <c r="V40" i="16"/>
  <c r="T42" i="17" l="1"/>
  <c r="L42" i="17"/>
  <c r="W42" i="17" s="1"/>
  <c r="I41" i="16"/>
  <c r="K41" i="16" s="1"/>
  <c r="H41" i="16"/>
  <c r="G41" i="16"/>
  <c r="P41" i="16"/>
  <c r="R41" i="16" s="1"/>
  <c r="O41" i="16"/>
  <c r="N41" i="16"/>
  <c r="V42" i="17" l="1"/>
  <c r="M43" i="17"/>
  <c r="N43" i="17" s="1"/>
  <c r="F43" i="17"/>
  <c r="H43" i="17" s="1"/>
  <c r="X42" i="17"/>
  <c r="Y42" i="17"/>
  <c r="U41" i="16"/>
  <c r="Q41" i="16"/>
  <c r="S41" i="16" s="1"/>
  <c r="J41" i="16"/>
  <c r="O43" i="17" l="1"/>
  <c r="P43" i="17"/>
  <c r="R43" i="17" s="1"/>
  <c r="I43" i="17"/>
  <c r="K43" i="17" s="1"/>
  <c r="G43" i="17"/>
  <c r="T41" i="16"/>
  <c r="L41" i="16"/>
  <c r="Q43" i="17" l="1"/>
  <c r="S43" i="17" s="1"/>
  <c r="J43" i="17"/>
  <c r="U43" i="17"/>
  <c r="Y41" i="16"/>
  <c r="W41" i="16"/>
  <c r="X41" i="16"/>
  <c r="F42" i="16"/>
  <c r="M42" i="16"/>
  <c r="V41" i="16"/>
  <c r="T43" i="17" l="1"/>
  <c r="L43" i="17"/>
  <c r="W43" i="17" s="1"/>
  <c r="H42" i="16"/>
  <c r="G42" i="16"/>
  <c r="I42" i="16"/>
  <c r="K42" i="16" s="1"/>
  <c r="P42" i="16"/>
  <c r="R42" i="16" s="1"/>
  <c r="O42" i="16"/>
  <c r="N42" i="16"/>
  <c r="V43" i="17" l="1"/>
  <c r="X43" i="17"/>
  <c r="Y43" i="17"/>
  <c r="F44" i="17"/>
  <c r="M44" i="17"/>
  <c r="O44" i="17" s="1"/>
  <c r="Q42" i="16"/>
  <c r="S42" i="16" s="1"/>
  <c r="U42" i="16"/>
  <c r="J42" i="16"/>
  <c r="P44" i="17" l="1"/>
  <c r="R44" i="17" s="1"/>
  <c r="N44" i="17"/>
  <c r="I44" i="17"/>
  <c r="K44" i="17" s="1"/>
  <c r="H44" i="17"/>
  <c r="G44" i="17"/>
  <c r="T42" i="16"/>
  <c r="L42" i="16"/>
  <c r="J44" i="17" l="1"/>
  <c r="L44" i="17" s="1"/>
  <c r="W44" i="17" s="1"/>
  <c r="Q44" i="17"/>
  <c r="S44" i="17" s="1"/>
  <c r="U44" i="17"/>
  <c r="Y42" i="16"/>
  <c r="W42" i="16"/>
  <c r="X42" i="16"/>
  <c r="F43" i="16"/>
  <c r="M43" i="16"/>
  <c r="V42" i="16"/>
  <c r="M45" i="17" l="1"/>
  <c r="O45" i="17" s="1"/>
  <c r="F45" i="17"/>
  <c r="I45" i="17" s="1"/>
  <c r="K45" i="17" s="1"/>
  <c r="Y44" i="17"/>
  <c r="T44" i="17"/>
  <c r="V44" i="17" s="1"/>
  <c r="X44" i="17"/>
  <c r="G45" i="17"/>
  <c r="H45" i="17"/>
  <c r="G43" i="16"/>
  <c r="I43" i="16"/>
  <c r="K43" i="16" s="1"/>
  <c r="H43" i="16"/>
  <c r="O43" i="16"/>
  <c r="N43" i="16"/>
  <c r="P43" i="16"/>
  <c r="R43" i="16" s="1"/>
  <c r="P45" i="17" l="1"/>
  <c r="R45" i="17" s="1"/>
  <c r="U45" i="17" s="1"/>
  <c r="N45" i="17"/>
  <c r="Q45" i="17" s="1"/>
  <c r="S45" i="17" s="1"/>
  <c r="J45" i="17"/>
  <c r="L45" i="17" s="1"/>
  <c r="U43" i="16"/>
  <c r="Q43" i="16"/>
  <c r="S43" i="16" s="1"/>
  <c r="J43" i="16"/>
  <c r="L43" i="16" s="1"/>
  <c r="W43" i="16" s="1"/>
  <c r="W45" i="17" l="1"/>
  <c r="T45" i="17"/>
  <c r="V45" i="17" s="1"/>
  <c r="Y45" i="17"/>
  <c r="M46" i="17"/>
  <c r="X45" i="17"/>
  <c r="F46" i="17"/>
  <c r="Y43" i="16"/>
  <c r="F44" i="16"/>
  <c r="M44" i="16"/>
  <c r="X43" i="16"/>
  <c r="T43" i="16"/>
  <c r="V43" i="16" s="1"/>
  <c r="P46" i="17" l="1"/>
  <c r="R46" i="17" s="1"/>
  <c r="N46" i="17"/>
  <c r="O46" i="17"/>
  <c r="I46" i="17"/>
  <c r="K46" i="17" s="1"/>
  <c r="H46" i="17"/>
  <c r="G46" i="17"/>
  <c r="N44" i="16"/>
  <c r="P44" i="16"/>
  <c r="R44" i="16" s="1"/>
  <c r="O44" i="16"/>
  <c r="I44" i="16"/>
  <c r="K44" i="16" s="1"/>
  <c r="H44" i="16"/>
  <c r="G44" i="16"/>
  <c r="U44" i="16" l="1"/>
  <c r="J46" i="17"/>
  <c r="L46" i="17" s="1"/>
  <c r="U46" i="17"/>
  <c r="Q46" i="17"/>
  <c r="Q44" i="16"/>
  <c r="S44" i="16" s="1"/>
  <c r="J44" i="16"/>
  <c r="T44" i="16" l="1"/>
  <c r="W46" i="17"/>
  <c r="T46" i="17"/>
  <c r="S46" i="17"/>
  <c r="L44" i="16"/>
  <c r="Y44" i="16" l="1"/>
  <c r="W44" i="16"/>
  <c r="V46" i="17"/>
  <c r="Y46" i="17"/>
  <c r="M47" i="17"/>
  <c r="F47" i="17"/>
  <c r="X46" i="17"/>
  <c r="M45" i="16"/>
  <c r="X44" i="16"/>
  <c r="F45" i="16"/>
  <c r="V44" i="16"/>
  <c r="I47" i="17" l="1"/>
  <c r="K47" i="17" s="1"/>
  <c r="G47" i="17"/>
  <c r="H47" i="17"/>
  <c r="N47" i="17"/>
  <c r="O47" i="17"/>
  <c r="P47" i="17"/>
  <c r="R47" i="17" s="1"/>
  <c r="I45" i="16"/>
  <c r="K45" i="16" s="1"/>
  <c r="H45" i="16"/>
  <c r="G45" i="16"/>
  <c r="P45" i="16"/>
  <c r="R45" i="16" s="1"/>
  <c r="O45" i="16"/>
  <c r="N45" i="16"/>
  <c r="Q47" i="17" l="1"/>
  <c r="S47" i="17" s="1"/>
  <c r="J47" i="17"/>
  <c r="U47" i="17"/>
  <c r="J45" i="16"/>
  <c r="U45" i="16"/>
  <c r="Q45" i="16"/>
  <c r="S45" i="16" s="1"/>
  <c r="T47" i="17" l="1"/>
  <c r="L47" i="17"/>
  <c r="T45" i="16"/>
  <c r="L45" i="16"/>
  <c r="M48" i="17" l="1"/>
  <c r="W47" i="17"/>
  <c r="Y47" i="17"/>
  <c r="Y45" i="16"/>
  <c r="W45" i="16"/>
  <c r="F48" i="17"/>
  <c r="G48" i="17" s="1"/>
  <c r="V47" i="17"/>
  <c r="X47" i="17"/>
  <c r="O48" i="17"/>
  <c r="P48" i="17"/>
  <c r="R48" i="17" s="1"/>
  <c r="N48" i="17"/>
  <c r="X45" i="16"/>
  <c r="F46" i="16"/>
  <c r="M46" i="16"/>
  <c r="V45" i="16"/>
  <c r="I48" i="17" l="1"/>
  <c r="K48" i="17" s="1"/>
  <c r="U48" i="17" s="1"/>
  <c r="H48" i="17"/>
  <c r="Q48" i="17"/>
  <c r="H46" i="16"/>
  <c r="G46" i="16"/>
  <c r="I46" i="16"/>
  <c r="K46" i="16" s="1"/>
  <c r="P46" i="16"/>
  <c r="R46" i="16" s="1"/>
  <c r="O46" i="16"/>
  <c r="N46" i="16"/>
  <c r="J48" i="17" l="1"/>
  <c r="L48" i="17" s="1"/>
  <c r="S48" i="17"/>
  <c r="Q46" i="16"/>
  <c r="S46" i="16" s="1"/>
  <c r="U46" i="16"/>
  <c r="J46" i="16"/>
  <c r="T48" i="17" l="1"/>
  <c r="V48" i="17" s="1"/>
  <c r="W48" i="17"/>
  <c r="Y48" i="17"/>
  <c r="F49" i="17"/>
  <c r="G49" i="17" s="1"/>
  <c r="M49" i="17"/>
  <c r="T46" i="16"/>
  <c r="X48" i="17"/>
  <c r="L46" i="16"/>
  <c r="Y46" i="16" l="1"/>
  <c r="W46" i="16"/>
  <c r="H49" i="17"/>
  <c r="I49" i="17"/>
  <c r="K49" i="17" s="1"/>
  <c r="N49" i="17"/>
  <c r="P49" i="17"/>
  <c r="R49" i="17" s="1"/>
  <c r="O49" i="17"/>
  <c r="X46" i="16"/>
  <c r="F47" i="16"/>
  <c r="M47" i="16"/>
  <c r="V46" i="16"/>
  <c r="U49" i="17" l="1"/>
  <c r="J49" i="17"/>
  <c r="L49" i="17" s="1"/>
  <c r="Q49" i="17"/>
  <c r="O47" i="16"/>
  <c r="N47" i="16"/>
  <c r="P47" i="16"/>
  <c r="R47" i="16" s="1"/>
  <c r="G47" i="16"/>
  <c r="I47" i="16"/>
  <c r="K47" i="16" s="1"/>
  <c r="H47" i="16"/>
  <c r="W49" i="17" l="1"/>
  <c r="T49" i="17"/>
  <c r="S49" i="17"/>
  <c r="F50" i="17" s="1"/>
  <c r="U47" i="16"/>
  <c r="J47" i="16"/>
  <c r="Q47" i="16"/>
  <c r="S47" i="16" s="1"/>
  <c r="M50" i="17" l="1"/>
  <c r="N50" i="17" s="1"/>
  <c r="V49" i="17"/>
  <c r="Y49" i="17"/>
  <c r="X49" i="17"/>
  <c r="H50" i="17"/>
  <c r="I50" i="17"/>
  <c r="K50" i="17" s="1"/>
  <c r="G50" i="17"/>
  <c r="T47" i="16"/>
  <c r="L47" i="16"/>
  <c r="P50" i="17" l="1"/>
  <c r="R50" i="17" s="1"/>
  <c r="U50" i="17" s="1"/>
  <c r="O50" i="17"/>
  <c r="Y47" i="16"/>
  <c r="W47" i="16"/>
  <c r="J50" i="17"/>
  <c r="L50" i="17" s="1"/>
  <c r="F48" i="16"/>
  <c r="M48" i="16"/>
  <c r="X47" i="16"/>
  <c r="V47" i="16"/>
  <c r="Q50" i="17" l="1"/>
  <c r="S50" i="17" s="1"/>
  <c r="F51" i="17" s="1"/>
  <c r="W50" i="17"/>
  <c r="Y50" i="17"/>
  <c r="N48" i="16"/>
  <c r="P48" i="16"/>
  <c r="R48" i="16" s="1"/>
  <c r="O48" i="16"/>
  <c r="I48" i="16"/>
  <c r="K48" i="16" s="1"/>
  <c r="H48" i="16"/>
  <c r="G48" i="16"/>
  <c r="T50" i="17" l="1"/>
  <c r="V50" i="17" s="1"/>
  <c r="X50" i="17"/>
  <c r="M51" i="17"/>
  <c r="O51" i="17" s="1"/>
  <c r="G51" i="17"/>
  <c r="I51" i="17"/>
  <c r="K51" i="17" s="1"/>
  <c r="H51" i="17"/>
  <c r="Q48" i="16"/>
  <c r="S48" i="16" s="1"/>
  <c r="U48" i="16"/>
  <c r="J48" i="16"/>
  <c r="P51" i="17" l="1"/>
  <c r="R51" i="17" s="1"/>
  <c r="U51" i="17" s="1"/>
  <c r="N51" i="17"/>
  <c r="T48" i="16"/>
  <c r="J51" i="17"/>
  <c r="L48" i="16"/>
  <c r="Q51" i="17" l="1"/>
  <c r="S51" i="17" s="1"/>
  <c r="Y48" i="16"/>
  <c r="W48" i="16"/>
  <c r="L51" i="17"/>
  <c r="W51" i="17" s="1"/>
  <c r="M49" i="16"/>
  <c r="X48" i="16"/>
  <c r="F49" i="16"/>
  <c r="V48" i="16"/>
  <c r="T51" i="17" l="1"/>
  <c r="Y51" i="17"/>
  <c r="X51" i="17"/>
  <c r="F52" i="17"/>
  <c r="M52" i="17"/>
  <c r="V51" i="17"/>
  <c r="I49" i="16"/>
  <c r="K49" i="16" s="1"/>
  <c r="H49" i="16"/>
  <c r="G49" i="16"/>
  <c r="P49" i="16"/>
  <c r="R49" i="16" s="1"/>
  <c r="O49" i="16"/>
  <c r="N49" i="16"/>
  <c r="O52" i="17" l="1"/>
  <c r="P52" i="17"/>
  <c r="R52" i="17" s="1"/>
  <c r="N52" i="17"/>
  <c r="I52" i="17"/>
  <c r="K52" i="17" s="1"/>
  <c r="H52" i="17"/>
  <c r="G52" i="17"/>
  <c r="J49" i="16"/>
  <c r="L49" i="16" s="1"/>
  <c r="U49" i="16"/>
  <c r="Q49" i="16"/>
  <c r="Q52" i="17" l="1"/>
  <c r="S52" i="17" s="1"/>
  <c r="U52" i="17"/>
  <c r="T49" i="16"/>
  <c r="J52" i="17"/>
  <c r="S49" i="16"/>
  <c r="Y49" i="16" s="1"/>
  <c r="T52" i="17" l="1"/>
  <c r="W49" i="16"/>
  <c r="L52" i="17"/>
  <c r="M50" i="16"/>
  <c r="X49" i="16"/>
  <c r="V49" i="16"/>
  <c r="F50" i="16"/>
  <c r="F53" i="17" l="1"/>
  <c r="I53" i="17" s="1"/>
  <c r="K53" i="17" s="1"/>
  <c r="W52" i="17"/>
  <c r="V52" i="17"/>
  <c r="Y52" i="17"/>
  <c r="M53" i="17"/>
  <c r="O53" i="17" s="1"/>
  <c r="X52" i="17"/>
  <c r="P50" i="16"/>
  <c r="R50" i="16" s="1"/>
  <c r="O50" i="16"/>
  <c r="N50" i="16"/>
  <c r="H50" i="16"/>
  <c r="G50" i="16"/>
  <c r="I50" i="16"/>
  <c r="K50" i="16" s="1"/>
  <c r="G53" i="17" l="1"/>
  <c r="H53" i="17"/>
  <c r="J53" i="17" s="1"/>
  <c r="L53" i="17" s="1"/>
  <c r="N53" i="17"/>
  <c r="P53" i="17"/>
  <c r="R53" i="17" s="1"/>
  <c r="U53" i="17" s="1"/>
  <c r="U50" i="16"/>
  <c r="J50" i="16"/>
  <c r="L50" i="16" s="1"/>
  <c r="W50" i="16" s="1"/>
  <c r="Q50" i="16"/>
  <c r="S50" i="16" s="1"/>
  <c r="Q53" i="17" l="1"/>
  <c r="S53" i="17" s="1"/>
  <c r="M54" i="17" s="1"/>
  <c r="Y50" i="16"/>
  <c r="T50" i="16"/>
  <c r="V50" i="16" s="1"/>
  <c r="X50" i="16"/>
  <c r="F51" i="16"/>
  <c r="M51" i="16"/>
  <c r="W53" i="17" l="1"/>
  <c r="Y53" i="17"/>
  <c r="F54" i="17"/>
  <c r="X53" i="17"/>
  <c r="T53" i="17"/>
  <c r="V53" i="17" s="1"/>
  <c r="O54" i="17"/>
  <c r="N54" i="17"/>
  <c r="P54" i="17"/>
  <c r="R54" i="17" s="1"/>
  <c r="H54" i="17"/>
  <c r="G54" i="17"/>
  <c r="I54" i="17"/>
  <c r="K54" i="17" s="1"/>
  <c r="G51" i="16"/>
  <c r="I51" i="16"/>
  <c r="K51" i="16" s="1"/>
  <c r="H51" i="16"/>
  <c r="O51" i="16"/>
  <c r="N51" i="16"/>
  <c r="P51" i="16"/>
  <c r="R51" i="16" s="1"/>
  <c r="J54" i="17" l="1"/>
  <c r="L54" i="17" s="1"/>
  <c r="W54" i="17" s="1"/>
  <c r="Q54" i="17"/>
  <c r="S54" i="17" s="1"/>
  <c r="U54" i="17"/>
  <c r="J51" i="16"/>
  <c r="L51" i="16" s="1"/>
  <c r="U51" i="16"/>
  <c r="Q51" i="16"/>
  <c r="S51" i="16" s="1"/>
  <c r="Y51" i="16" l="1"/>
  <c r="W51" i="16"/>
  <c r="F55" i="17"/>
  <c r="H55" i="17" s="1"/>
  <c r="T54" i="17"/>
  <c r="V54" i="17" s="1"/>
  <c r="X54" i="17"/>
  <c r="M55" i="17"/>
  <c r="O55" i="17" s="1"/>
  <c r="Y54" i="17"/>
  <c r="T51" i="16"/>
  <c r="V51" i="16" s="1"/>
  <c r="F52" i="16"/>
  <c r="M52" i="16"/>
  <c r="X51" i="16"/>
  <c r="I55" i="17" l="1"/>
  <c r="K55" i="17" s="1"/>
  <c r="P55" i="17"/>
  <c r="R55" i="17" s="1"/>
  <c r="G55" i="17"/>
  <c r="J55" i="17" s="1"/>
  <c r="N55" i="17"/>
  <c r="I52" i="16"/>
  <c r="K52" i="16" s="1"/>
  <c r="H52" i="16"/>
  <c r="G52" i="16"/>
  <c r="N52" i="16"/>
  <c r="P52" i="16"/>
  <c r="R52" i="16" s="1"/>
  <c r="O52" i="16"/>
  <c r="Q55" i="17" l="1"/>
  <c r="S55" i="17" s="1"/>
  <c r="U55" i="17"/>
  <c r="L55" i="17"/>
  <c r="W55" i="17" s="1"/>
  <c r="Q52" i="16"/>
  <c r="S52" i="16" s="1"/>
  <c r="U52" i="16"/>
  <c r="J52" i="16"/>
  <c r="T55" i="17" l="1"/>
  <c r="F56" i="17"/>
  <c r="Y55" i="17"/>
  <c r="V55" i="17"/>
  <c r="M56" i="17"/>
  <c r="X55" i="17"/>
  <c r="T52" i="16"/>
  <c r="L52" i="16"/>
  <c r="Y52" i="16" l="1"/>
  <c r="W52" i="16"/>
  <c r="N56" i="17"/>
  <c r="P56" i="17"/>
  <c r="R56" i="17" s="1"/>
  <c r="O56" i="17"/>
  <c r="I56" i="17"/>
  <c r="K56" i="17" s="1"/>
  <c r="U56" i="17" s="1"/>
  <c r="G56" i="17"/>
  <c r="H56" i="17"/>
  <c r="M53" i="16"/>
  <c r="X52" i="16"/>
  <c r="F53" i="16"/>
  <c r="V52" i="16"/>
  <c r="J56" i="17" l="1"/>
  <c r="Q56" i="17"/>
  <c r="S56" i="17" s="1"/>
  <c r="I53" i="16"/>
  <c r="K53" i="16" s="1"/>
  <c r="H53" i="16"/>
  <c r="G53" i="16"/>
  <c r="P53" i="16"/>
  <c r="R53" i="16" s="1"/>
  <c r="O53" i="16"/>
  <c r="N53" i="16"/>
  <c r="T56" i="17" l="1"/>
  <c r="L56" i="17"/>
  <c r="W56" i="17" s="1"/>
  <c r="J53" i="16"/>
  <c r="L53" i="16" s="1"/>
  <c r="U53" i="16"/>
  <c r="Q53" i="16"/>
  <c r="T53" i="16" l="1"/>
  <c r="X56" i="17"/>
  <c r="F57" i="17"/>
  <c r="V56" i="17"/>
  <c r="M57" i="17"/>
  <c r="Y56" i="17"/>
  <c r="S53" i="16"/>
  <c r="Y53" i="16" s="1"/>
  <c r="W53" i="16" l="1"/>
  <c r="H57" i="17"/>
  <c r="G57" i="17"/>
  <c r="I57" i="17"/>
  <c r="K57" i="17" s="1"/>
  <c r="N57" i="17"/>
  <c r="O57" i="17"/>
  <c r="P57" i="17"/>
  <c r="R57" i="17" s="1"/>
  <c r="M54" i="16"/>
  <c r="X53" i="16"/>
  <c r="V53" i="16"/>
  <c r="F54" i="16"/>
  <c r="Q57" i="17" l="1"/>
  <c r="S57" i="17" s="1"/>
  <c r="U57" i="17"/>
  <c r="J57" i="17"/>
  <c r="H54" i="16"/>
  <c r="G54" i="16"/>
  <c r="I54" i="16"/>
  <c r="K54" i="16" s="1"/>
  <c r="P54" i="16"/>
  <c r="R54" i="16" s="1"/>
  <c r="O54" i="16"/>
  <c r="N54" i="16"/>
  <c r="T57" i="17" l="1"/>
  <c r="L57" i="17"/>
  <c r="W57" i="17" s="1"/>
  <c r="Q54" i="16"/>
  <c r="S54" i="16" s="1"/>
  <c r="U54" i="16"/>
  <c r="J54" i="16"/>
  <c r="M58" i="17" l="1"/>
  <c r="Y57" i="17"/>
  <c r="F58" i="17"/>
  <c r="X57" i="17"/>
  <c r="V57" i="17"/>
  <c r="T54" i="16"/>
  <c r="L54" i="16"/>
  <c r="Y54" i="16" l="1"/>
  <c r="W54" i="16"/>
  <c r="H58" i="17"/>
  <c r="G58" i="17"/>
  <c r="I58" i="17"/>
  <c r="K58" i="17" s="1"/>
  <c r="O58" i="17"/>
  <c r="N58" i="17"/>
  <c r="P58" i="17"/>
  <c r="R58" i="17" s="1"/>
  <c r="X54" i="16"/>
  <c r="F55" i="16"/>
  <c r="M55" i="16"/>
  <c r="V54" i="16"/>
  <c r="J58" i="17" l="1"/>
  <c r="L58" i="17" s="1"/>
  <c r="W58" i="17" s="1"/>
  <c r="U58" i="17"/>
  <c r="Q58" i="17"/>
  <c r="S58" i="17" s="1"/>
  <c r="O55" i="16"/>
  <c r="N55" i="16"/>
  <c r="P55" i="16"/>
  <c r="R55" i="16" s="1"/>
  <c r="G55" i="16"/>
  <c r="I55" i="16"/>
  <c r="K55" i="16" s="1"/>
  <c r="H55" i="16"/>
  <c r="T58" i="17" l="1"/>
  <c r="V58" i="17" s="1"/>
  <c r="X58" i="17"/>
  <c r="M59" i="17"/>
  <c r="Y58" i="17"/>
  <c r="F59" i="17"/>
  <c r="U55" i="16"/>
  <c r="J55" i="16"/>
  <c r="Q55" i="16"/>
  <c r="S55" i="16" s="1"/>
  <c r="P59" i="17" l="1"/>
  <c r="R59" i="17" s="1"/>
  <c r="N59" i="17"/>
  <c r="O59" i="17"/>
  <c r="H59" i="17"/>
  <c r="G59" i="17"/>
  <c r="I59" i="17"/>
  <c r="K59" i="17" s="1"/>
  <c r="T55" i="16"/>
  <c r="L55" i="16"/>
  <c r="Y55" i="16" l="1"/>
  <c r="W55" i="16"/>
  <c r="U59" i="17"/>
  <c r="J59" i="17"/>
  <c r="Q59" i="17"/>
  <c r="S59" i="17" s="1"/>
  <c r="F56" i="16"/>
  <c r="M56" i="16"/>
  <c r="X55" i="16"/>
  <c r="V55" i="16"/>
  <c r="T59" i="17" l="1"/>
  <c r="L59" i="17"/>
  <c r="W59" i="17" s="1"/>
  <c r="N56" i="16"/>
  <c r="P56" i="16"/>
  <c r="R56" i="16" s="1"/>
  <c r="O56" i="16"/>
  <c r="I56" i="16"/>
  <c r="K56" i="16" s="1"/>
  <c r="H56" i="16"/>
  <c r="G56" i="16"/>
  <c r="U56" i="16" l="1"/>
  <c r="V59" i="17"/>
  <c r="X59" i="17"/>
  <c r="M60" i="17"/>
  <c r="F60" i="17"/>
  <c r="Y59" i="17"/>
  <c r="J56" i="16"/>
  <c r="L56" i="16" s="1"/>
  <c r="Q56" i="16"/>
  <c r="O60" i="17" l="1"/>
  <c r="N60" i="17"/>
  <c r="P60" i="17"/>
  <c r="R60" i="17" s="1"/>
  <c r="H60" i="17"/>
  <c r="I60" i="17"/>
  <c r="K60" i="17" s="1"/>
  <c r="G60" i="17"/>
  <c r="T56" i="16"/>
  <c r="S56" i="16"/>
  <c r="V56" i="16" s="1"/>
  <c r="W56" i="16" l="1"/>
  <c r="U60" i="17"/>
  <c r="Q60" i="17"/>
  <c r="S60" i="17" s="1"/>
  <c r="J60" i="17"/>
  <c r="X56" i="16"/>
  <c r="Y56" i="16"/>
  <c r="M57" i="16"/>
  <c r="P57" i="16" s="1"/>
  <c r="R57" i="16" s="1"/>
  <c r="F57" i="16"/>
  <c r="I57" i="16" s="1"/>
  <c r="K57" i="16" s="1"/>
  <c r="T60" i="17" l="1"/>
  <c r="L60" i="17"/>
  <c r="W60" i="17" s="1"/>
  <c r="N57" i="16"/>
  <c r="G57" i="16"/>
  <c r="O57" i="16"/>
  <c r="H57" i="16"/>
  <c r="U57" i="16"/>
  <c r="J57" i="16" l="1"/>
  <c r="L57" i="16" s="1"/>
  <c r="Y60" i="17"/>
  <c r="V60" i="17"/>
  <c r="F61" i="17"/>
  <c r="X60" i="17"/>
  <c r="M61" i="17"/>
  <c r="Q57" i="16"/>
  <c r="S57" i="16" s="1"/>
  <c r="X57" i="16" s="1"/>
  <c r="W57" i="16" l="1"/>
  <c r="Y57" i="16"/>
  <c r="I61" i="17"/>
  <c r="K61" i="17" s="1"/>
  <c r="G61" i="17"/>
  <c r="H61" i="17"/>
  <c r="F58" i="16"/>
  <c r="H58" i="16" s="1"/>
  <c r="P61" i="17"/>
  <c r="R61" i="17" s="1"/>
  <c r="N61" i="17"/>
  <c r="O61" i="17"/>
  <c r="M58" i="16"/>
  <c r="N58" i="16" s="1"/>
  <c r="T57" i="16"/>
  <c r="V57" i="16" s="1"/>
  <c r="O58" i="16" l="1"/>
  <c r="J61" i="17"/>
  <c r="L61" i="17" s="1"/>
  <c r="W61" i="17" s="1"/>
  <c r="P58" i="16"/>
  <c r="R58" i="16" s="1"/>
  <c r="G58" i="16"/>
  <c r="I58" i="16"/>
  <c r="K58" i="16" s="1"/>
  <c r="Q61" i="17"/>
  <c r="S61" i="17" s="1"/>
  <c r="U61" i="17"/>
  <c r="Q58" i="16" l="1"/>
  <c r="S58" i="16" s="1"/>
  <c r="U58" i="16"/>
  <c r="J58" i="16"/>
  <c r="L58" i="16" s="1"/>
  <c r="T61" i="17"/>
  <c r="V61" i="17" s="1"/>
  <c r="M62" i="17"/>
  <c r="F62" i="17"/>
  <c r="X61" i="17"/>
  <c r="Y61" i="17"/>
  <c r="T58" i="16" l="1"/>
  <c r="Y58" i="16"/>
  <c r="W58" i="16"/>
  <c r="G62" i="17"/>
  <c r="H62" i="17"/>
  <c r="I62" i="17"/>
  <c r="K62" i="17" s="1"/>
  <c r="O62" i="17"/>
  <c r="N62" i="17"/>
  <c r="P62" i="17"/>
  <c r="R62" i="17" s="1"/>
  <c r="X58" i="16"/>
  <c r="F59" i="16"/>
  <c r="M59" i="16"/>
  <c r="V58" i="16"/>
  <c r="U62" i="17" l="1"/>
  <c r="Q62" i="17"/>
  <c r="S62" i="17" s="1"/>
  <c r="J62" i="17"/>
  <c r="O59" i="16"/>
  <c r="N59" i="16"/>
  <c r="P59" i="16"/>
  <c r="R59" i="16" s="1"/>
  <c r="G59" i="16"/>
  <c r="I59" i="16"/>
  <c r="K59" i="16" s="1"/>
  <c r="H59" i="16"/>
  <c r="T62" i="17" l="1"/>
  <c r="L62" i="17"/>
  <c r="W62" i="17" s="1"/>
  <c r="U59" i="16"/>
  <c r="J59" i="16"/>
  <c r="Q59" i="16"/>
  <c r="S59" i="16" s="1"/>
  <c r="M63" i="17" l="1"/>
  <c r="V62" i="17"/>
  <c r="X62" i="17"/>
  <c r="Y62" i="17"/>
  <c r="F63" i="17"/>
  <c r="T59" i="16"/>
  <c r="L59" i="16"/>
  <c r="Y59" i="16" l="1"/>
  <c r="W59" i="16"/>
  <c r="I63" i="17"/>
  <c r="K63" i="17" s="1"/>
  <c r="H63" i="17"/>
  <c r="G63" i="17"/>
  <c r="O63" i="17"/>
  <c r="P63" i="17"/>
  <c r="R63" i="17" s="1"/>
  <c r="N63" i="17"/>
  <c r="F60" i="16"/>
  <c r="M60" i="16"/>
  <c r="X59" i="16"/>
  <c r="V59" i="16"/>
  <c r="J63" i="17" l="1"/>
  <c r="L63" i="17" s="1"/>
  <c r="Q63" i="17"/>
  <c r="U63" i="17"/>
  <c r="N60" i="16"/>
  <c r="P60" i="16"/>
  <c r="R60" i="16" s="1"/>
  <c r="O60" i="16"/>
  <c r="I60" i="16"/>
  <c r="K60" i="16" s="1"/>
  <c r="H60" i="16"/>
  <c r="G60" i="16"/>
  <c r="W63" i="17" l="1"/>
  <c r="T63" i="17"/>
  <c r="S63" i="17"/>
  <c r="J60" i="16"/>
  <c r="L60" i="16" s="1"/>
  <c r="Q60" i="16"/>
  <c r="U60" i="16"/>
  <c r="V63" i="17" l="1"/>
  <c r="X63" i="17"/>
  <c r="T60" i="16"/>
  <c r="M64" i="17"/>
  <c r="Y63" i="17"/>
  <c r="F64" i="17"/>
  <c r="S60" i="16"/>
  <c r="Y60" i="16" s="1"/>
  <c r="W60" i="16" l="1"/>
  <c r="F61" i="16"/>
  <c r="I61" i="16" s="1"/>
  <c r="K61" i="16" s="1"/>
  <c r="H64" i="17"/>
  <c r="I64" i="17"/>
  <c r="K64" i="17" s="1"/>
  <c r="G64" i="17"/>
  <c r="P64" i="17"/>
  <c r="R64" i="17" s="1"/>
  <c r="N64" i="17"/>
  <c r="O64" i="17"/>
  <c r="M61" i="16"/>
  <c r="P61" i="16" s="1"/>
  <c r="R61" i="16" s="1"/>
  <c r="V60" i="16"/>
  <c r="X60" i="16"/>
  <c r="H61" i="16" l="1"/>
  <c r="G61" i="16"/>
  <c r="J61" i="16" s="1"/>
  <c r="N61" i="16"/>
  <c r="O61" i="16"/>
  <c r="J64" i="17"/>
  <c r="U64" i="17"/>
  <c r="Q64" i="17"/>
  <c r="S64" i="17" s="1"/>
  <c r="U61" i="16"/>
  <c r="Q61" i="16" l="1"/>
  <c r="S61" i="16" s="1"/>
  <c r="T64" i="17"/>
  <c r="L64" i="17"/>
  <c r="W64" i="17" s="1"/>
  <c r="L61" i="16"/>
  <c r="M65" i="17" l="1"/>
  <c r="O65" i="17" s="1"/>
  <c r="Y61" i="16"/>
  <c r="W61" i="16"/>
  <c r="T61" i="16"/>
  <c r="V61" i="16" s="1"/>
  <c r="V64" i="17"/>
  <c r="X64" i="17"/>
  <c r="Y64" i="17"/>
  <c r="F65" i="17"/>
  <c r="X61" i="16"/>
  <c r="F62" i="16"/>
  <c r="M62" i="16"/>
  <c r="P65" i="17" l="1"/>
  <c r="R65" i="17" s="1"/>
  <c r="N65" i="17"/>
  <c r="H65" i="17"/>
  <c r="G65" i="17"/>
  <c r="I65" i="17"/>
  <c r="K65" i="17" s="1"/>
  <c r="P62" i="16"/>
  <c r="R62" i="16" s="1"/>
  <c r="O62" i="16"/>
  <c r="N62" i="16"/>
  <c r="H62" i="16"/>
  <c r="G62" i="16"/>
  <c r="I62" i="16"/>
  <c r="K62" i="16" s="1"/>
  <c r="U65" i="17" l="1"/>
  <c r="Q65" i="17"/>
  <c r="S65" i="17" s="1"/>
  <c r="J65" i="17"/>
  <c r="U62" i="16"/>
  <c r="Q62" i="16"/>
  <c r="S62" i="16" s="1"/>
  <c r="J62" i="16"/>
  <c r="T65" i="17" l="1"/>
  <c r="L65" i="17"/>
  <c r="T62" i="16"/>
  <c r="L62" i="16"/>
  <c r="F66" i="17" l="1"/>
  <c r="I66" i="17" s="1"/>
  <c r="K66" i="17" s="1"/>
  <c r="W65" i="17"/>
  <c r="V65" i="17"/>
  <c r="M66" i="17"/>
  <c r="O66" i="17" s="1"/>
  <c r="Y65" i="17"/>
  <c r="Y62" i="16"/>
  <c r="W62" i="16"/>
  <c r="X65" i="17"/>
  <c r="X62" i="16"/>
  <c r="F63" i="16"/>
  <c r="M63" i="16"/>
  <c r="V62" i="16"/>
  <c r="N66" i="17" l="1"/>
  <c r="P66" i="17"/>
  <c r="R66" i="17" s="1"/>
  <c r="U66" i="17" s="1"/>
  <c r="H66" i="17"/>
  <c r="G66" i="17"/>
  <c r="O63" i="16"/>
  <c r="N63" i="16"/>
  <c r="P63" i="16"/>
  <c r="R63" i="16" s="1"/>
  <c r="G63" i="16"/>
  <c r="I63" i="16"/>
  <c r="K63" i="16" s="1"/>
  <c r="H63" i="16"/>
  <c r="J66" i="17" l="1"/>
  <c r="L66" i="17" s="1"/>
  <c r="W66" i="17" s="1"/>
  <c r="Q66" i="17"/>
  <c r="S66" i="17" s="1"/>
  <c r="U63" i="16"/>
  <c r="J63" i="16"/>
  <c r="Q63" i="16"/>
  <c r="S63" i="16" s="1"/>
  <c r="X66" i="17" l="1"/>
  <c r="T66" i="17"/>
  <c r="V66" i="17" s="1"/>
  <c r="Y66" i="17"/>
  <c r="F67" i="17"/>
  <c r="G67" i="17" s="1"/>
  <c r="M67" i="17"/>
  <c r="O67" i="17" s="1"/>
  <c r="T63" i="16"/>
  <c r="L63" i="16"/>
  <c r="N67" i="17" l="1"/>
  <c r="P67" i="17"/>
  <c r="R67" i="17" s="1"/>
  <c r="I67" i="17"/>
  <c r="K67" i="17" s="1"/>
  <c r="H67" i="17"/>
  <c r="Y63" i="16"/>
  <c r="W63" i="16"/>
  <c r="F64" i="16"/>
  <c r="M64" i="16"/>
  <c r="X63" i="16"/>
  <c r="V63" i="16"/>
  <c r="J67" i="17" l="1"/>
  <c r="L67" i="17" s="1"/>
  <c r="U67" i="17"/>
  <c r="Q67" i="17"/>
  <c r="S67" i="17" s="1"/>
  <c r="W67" i="17" s="1"/>
  <c r="N64" i="16"/>
  <c r="P64" i="16"/>
  <c r="R64" i="16" s="1"/>
  <c r="O64" i="16"/>
  <c r="I64" i="16"/>
  <c r="K64" i="16" s="1"/>
  <c r="H64" i="16"/>
  <c r="G64" i="16"/>
  <c r="X67" i="17" l="1"/>
  <c r="F68" i="17"/>
  <c r="I68" i="17" s="1"/>
  <c r="K68" i="17" s="1"/>
  <c r="M68" i="17"/>
  <c r="O68" i="17" s="1"/>
  <c r="T67" i="17"/>
  <c r="V67" i="17" s="1"/>
  <c r="Y67" i="17"/>
  <c r="G68" i="17"/>
  <c r="U64" i="16"/>
  <c r="Q64" i="16"/>
  <c r="S64" i="16" s="1"/>
  <c r="J64" i="16"/>
  <c r="P68" i="17" l="1"/>
  <c r="R68" i="17" s="1"/>
  <c r="U68" i="17" s="1"/>
  <c r="H68" i="17"/>
  <c r="T64" i="16"/>
  <c r="N68" i="17"/>
  <c r="J68" i="17"/>
  <c r="L68" i="17" s="1"/>
  <c r="L64" i="16"/>
  <c r="Q68" i="17" l="1"/>
  <c r="T68" i="17" s="1"/>
  <c r="F65" i="16"/>
  <c r="I65" i="16" s="1"/>
  <c r="K65" i="16" s="1"/>
  <c r="W64" i="16"/>
  <c r="V64" i="16"/>
  <c r="M65" i="16"/>
  <c r="P65" i="16" s="1"/>
  <c r="R65" i="16" s="1"/>
  <c r="Y64" i="16"/>
  <c r="X64" i="16"/>
  <c r="S68" i="17" l="1"/>
  <c r="V68" i="17" s="1"/>
  <c r="G65" i="16"/>
  <c r="H65" i="16"/>
  <c r="M69" i="17"/>
  <c r="Y68" i="17"/>
  <c r="N65" i="16"/>
  <c r="O65" i="16"/>
  <c r="U65" i="16"/>
  <c r="J65" i="16" l="1"/>
  <c r="L65" i="16" s="1"/>
  <c r="F69" i="17"/>
  <c r="I69" i="17" s="1"/>
  <c r="K69" i="17" s="1"/>
  <c r="X68" i="17"/>
  <c r="W68" i="17"/>
  <c r="Q65" i="16"/>
  <c r="T65" i="16" s="1"/>
  <c r="P69" i="17"/>
  <c r="R69" i="17" s="1"/>
  <c r="N69" i="17"/>
  <c r="O69" i="17"/>
  <c r="G69" i="17" l="1"/>
  <c r="H69" i="17"/>
  <c r="S65" i="16"/>
  <c r="Y65" i="16" s="1"/>
  <c r="W65" i="16"/>
  <c r="Q69" i="17"/>
  <c r="S69" i="17" s="1"/>
  <c r="U69" i="17"/>
  <c r="M66" i="16"/>
  <c r="X65" i="16"/>
  <c r="J69" i="17" l="1"/>
  <c r="T69" i="17" s="1"/>
  <c r="F66" i="16"/>
  <c r="G66" i="16" s="1"/>
  <c r="V65" i="16"/>
  <c r="L69" i="17"/>
  <c r="W69" i="17" s="1"/>
  <c r="P66" i="16"/>
  <c r="R66" i="16" s="1"/>
  <c r="O66" i="16"/>
  <c r="N66" i="16"/>
  <c r="H66" i="16" l="1"/>
  <c r="I66" i="16"/>
  <c r="K66" i="16" s="1"/>
  <c r="U66" i="16" s="1"/>
  <c r="V69" i="17"/>
  <c r="F70" i="17"/>
  <c r="G70" i="17" s="1"/>
  <c r="M70" i="17"/>
  <c r="P70" i="17" s="1"/>
  <c r="R70" i="17" s="1"/>
  <c r="Y69" i="17"/>
  <c r="Q66" i="16"/>
  <c r="S66" i="16" s="1"/>
  <c r="X69" i="17"/>
  <c r="J66" i="16"/>
  <c r="H70" i="17" l="1"/>
  <c r="N70" i="17"/>
  <c r="O70" i="17"/>
  <c r="I70" i="17"/>
  <c r="K70" i="17" s="1"/>
  <c r="U70" i="17" s="1"/>
  <c r="T66" i="16"/>
  <c r="L66" i="16"/>
  <c r="Q70" i="17" l="1"/>
  <c r="S70" i="17" s="1"/>
  <c r="J70" i="17"/>
  <c r="Y66" i="16"/>
  <c r="W66" i="16"/>
  <c r="X66" i="16"/>
  <c r="F67" i="16"/>
  <c r="M67" i="16"/>
  <c r="V66" i="16"/>
  <c r="T70" i="17" l="1"/>
  <c r="L70" i="17"/>
  <c r="W70" i="17" s="1"/>
  <c r="O67" i="16"/>
  <c r="N67" i="16"/>
  <c r="P67" i="16"/>
  <c r="R67" i="16" s="1"/>
  <c r="G67" i="16"/>
  <c r="I67" i="16"/>
  <c r="K67" i="16" s="1"/>
  <c r="H67" i="16"/>
  <c r="V70" i="17" l="1"/>
  <c r="X70" i="17"/>
  <c r="F71" i="17"/>
  <c r="G71" i="17" s="1"/>
  <c r="M71" i="17"/>
  <c r="N71" i="17" s="1"/>
  <c r="Y70" i="17"/>
  <c r="U67" i="16"/>
  <c r="J67" i="16"/>
  <c r="Q67" i="16"/>
  <c r="S67" i="16" s="1"/>
  <c r="O71" i="17" l="1"/>
  <c r="P71" i="17"/>
  <c r="R71" i="17" s="1"/>
  <c r="I71" i="17"/>
  <c r="K71" i="17" s="1"/>
  <c r="H71" i="17"/>
  <c r="T67" i="16"/>
  <c r="L67" i="16"/>
  <c r="U71" i="17" l="1"/>
  <c r="J71" i="17"/>
  <c r="Q71" i="17"/>
  <c r="S71" i="17" s="1"/>
  <c r="Y67" i="16"/>
  <c r="W67" i="16"/>
  <c r="L71" i="17"/>
  <c r="W71" i="17" s="1"/>
  <c r="F68" i="16"/>
  <c r="M68" i="16"/>
  <c r="X67" i="16"/>
  <c r="V67" i="16"/>
  <c r="T71" i="17" l="1"/>
  <c r="V71" i="17" s="1"/>
  <c r="F72" i="17"/>
  <c r="Y71" i="17"/>
  <c r="X71" i="17"/>
  <c r="M72" i="17"/>
  <c r="N68" i="16"/>
  <c r="P68" i="16"/>
  <c r="R68" i="16" s="1"/>
  <c r="O68" i="16"/>
  <c r="I68" i="16"/>
  <c r="K68" i="16" s="1"/>
  <c r="H68" i="16"/>
  <c r="G68" i="16"/>
  <c r="N72" i="17" l="1"/>
  <c r="P72" i="17"/>
  <c r="R72" i="17" s="1"/>
  <c r="O72" i="17"/>
  <c r="I72" i="17"/>
  <c r="K72" i="17" s="1"/>
  <c r="H72" i="17"/>
  <c r="G72" i="17"/>
  <c r="J68" i="16"/>
  <c r="L68" i="16" s="1"/>
  <c r="U68" i="16"/>
  <c r="Q68" i="16"/>
  <c r="U72" i="17" l="1"/>
  <c r="T68" i="16"/>
  <c r="J72" i="17"/>
  <c r="Q72" i="17"/>
  <c r="S72" i="17" s="1"/>
  <c r="S68" i="16"/>
  <c r="W68" i="16" s="1"/>
  <c r="V68" i="16" l="1"/>
  <c r="T72" i="17"/>
  <c r="L72" i="17"/>
  <c r="W72" i="17" s="1"/>
  <c r="F69" i="16"/>
  <c r="G69" i="16" s="1"/>
  <c r="M69" i="16"/>
  <c r="N69" i="16" s="1"/>
  <c r="Y68" i="16"/>
  <c r="X68" i="16"/>
  <c r="V72" i="17" l="1"/>
  <c r="H69" i="16"/>
  <c r="I69" i="16"/>
  <c r="K69" i="16" s="1"/>
  <c r="F73" i="17"/>
  <c r="G73" i="17" s="1"/>
  <c r="M73" i="17"/>
  <c r="O73" i="17" s="1"/>
  <c r="X72" i="17"/>
  <c r="Y72" i="17"/>
  <c r="O69" i="16"/>
  <c r="P69" i="16"/>
  <c r="R69" i="16" s="1"/>
  <c r="U69" i="16" l="1"/>
  <c r="J69" i="16"/>
  <c r="L69" i="16" s="1"/>
  <c r="N73" i="17"/>
  <c r="I73" i="17"/>
  <c r="K73" i="17" s="1"/>
  <c r="P73" i="17"/>
  <c r="R73" i="17" s="1"/>
  <c r="H73" i="17"/>
  <c r="J73" i="17" s="1"/>
  <c r="Q69" i="16"/>
  <c r="Q73" i="17" l="1"/>
  <c r="S73" i="17" s="1"/>
  <c r="T69" i="16"/>
  <c r="U73" i="17"/>
  <c r="S69" i="16"/>
  <c r="X69" i="16" s="1"/>
  <c r="L73" i="17"/>
  <c r="W73" i="17" s="1"/>
  <c r="F70" i="16"/>
  <c r="V69" i="16" l="1"/>
  <c r="M70" i="16"/>
  <c r="O70" i="16" s="1"/>
  <c r="T73" i="17"/>
  <c r="V73" i="17" s="1"/>
  <c r="M74" i="17"/>
  <c r="O74" i="17" s="1"/>
  <c r="Y69" i="16"/>
  <c r="W69" i="16"/>
  <c r="Y73" i="17"/>
  <c r="F74" i="17"/>
  <c r="I74" i="17" s="1"/>
  <c r="K74" i="17" s="1"/>
  <c r="X73" i="17"/>
  <c r="P70" i="16"/>
  <c r="R70" i="16" s="1"/>
  <c r="H70" i="16"/>
  <c r="G70" i="16"/>
  <c r="I70" i="16"/>
  <c r="K70" i="16" s="1"/>
  <c r="N70" i="16" l="1"/>
  <c r="Q70" i="16" s="1"/>
  <c r="S70" i="16" s="1"/>
  <c r="P74" i="17"/>
  <c r="R74" i="17" s="1"/>
  <c r="U74" i="17" s="1"/>
  <c r="N74" i="17"/>
  <c r="Q74" i="17" s="1"/>
  <c r="H74" i="17"/>
  <c r="G74" i="17"/>
  <c r="U70" i="16"/>
  <c r="J70" i="16"/>
  <c r="L70" i="16" s="1"/>
  <c r="J74" i="17" l="1"/>
  <c r="L74" i="17" s="1"/>
  <c r="Y70" i="16"/>
  <c r="W70" i="16"/>
  <c r="S74" i="17"/>
  <c r="T70" i="16"/>
  <c r="V70" i="16" s="1"/>
  <c r="X70" i="16"/>
  <c r="F71" i="16"/>
  <c r="M71" i="16"/>
  <c r="T74" i="17" l="1"/>
  <c r="V74" i="17" s="1"/>
  <c r="W74" i="17"/>
  <c r="Y74" i="17"/>
  <c r="F75" i="17"/>
  <c r="M75" i="17"/>
  <c r="X74" i="17"/>
  <c r="G71" i="16"/>
  <c r="I71" i="16"/>
  <c r="K71" i="16" s="1"/>
  <c r="H71" i="16"/>
  <c r="O71" i="16"/>
  <c r="N71" i="16"/>
  <c r="P71" i="16"/>
  <c r="R71" i="16" s="1"/>
  <c r="H75" i="17" l="1"/>
  <c r="G75" i="17"/>
  <c r="I75" i="17"/>
  <c r="K75" i="17" s="1"/>
  <c r="N75" i="17"/>
  <c r="P75" i="17"/>
  <c r="R75" i="17" s="1"/>
  <c r="O75" i="17"/>
  <c r="J71" i="16"/>
  <c r="L71" i="16" s="1"/>
  <c r="W71" i="16" s="1"/>
  <c r="U71" i="16"/>
  <c r="Q71" i="16"/>
  <c r="S71" i="16" s="1"/>
  <c r="Q75" i="17" l="1"/>
  <c r="S75" i="17" s="1"/>
  <c r="U75" i="17"/>
  <c r="J75" i="17"/>
  <c r="Y71" i="16"/>
  <c r="T71" i="16"/>
  <c r="V71" i="16" s="1"/>
  <c r="F72" i="16"/>
  <c r="M72" i="16"/>
  <c r="X71" i="16"/>
  <c r="T75" i="17" l="1"/>
  <c r="L75" i="17"/>
  <c r="W75" i="17" s="1"/>
  <c r="I72" i="16"/>
  <c r="K72" i="16" s="1"/>
  <c r="H72" i="16"/>
  <c r="G72" i="16"/>
  <c r="N72" i="16"/>
  <c r="P72" i="16"/>
  <c r="R72" i="16" s="1"/>
  <c r="O72" i="16"/>
  <c r="V75" i="17" l="1"/>
  <c r="M76" i="17"/>
  <c r="X75" i="17"/>
  <c r="Y75" i="17"/>
  <c r="F76" i="17"/>
  <c r="Q72" i="16"/>
  <c r="S72" i="16" s="1"/>
  <c r="U72" i="16"/>
  <c r="J72" i="16"/>
  <c r="G76" i="17" l="1"/>
  <c r="H76" i="17"/>
  <c r="I76" i="17"/>
  <c r="K76" i="17" s="1"/>
  <c r="P76" i="17"/>
  <c r="R76" i="17" s="1"/>
  <c r="O76" i="17"/>
  <c r="N76" i="17"/>
  <c r="T72" i="16"/>
  <c r="L72" i="16"/>
  <c r="Y72" i="16" l="1"/>
  <c r="W72" i="16"/>
  <c r="U76" i="17"/>
  <c r="Q76" i="17"/>
  <c r="S76" i="17" s="1"/>
  <c r="J76" i="17"/>
  <c r="M73" i="16"/>
  <c r="X72" i="16"/>
  <c r="F73" i="16"/>
  <c r="V72" i="16"/>
  <c r="T76" i="17" l="1"/>
  <c r="L76" i="17"/>
  <c r="W76" i="17" s="1"/>
  <c r="I73" i="16"/>
  <c r="K73" i="16" s="1"/>
  <c r="H73" i="16"/>
  <c r="G73" i="16"/>
  <c r="P73" i="16"/>
  <c r="R73" i="16" s="1"/>
  <c r="O73" i="16"/>
  <c r="N73" i="16"/>
  <c r="V76" i="17" l="1"/>
  <c r="X76" i="17"/>
  <c r="F77" i="17"/>
  <c r="M77" i="17"/>
  <c r="Y76" i="17"/>
  <c r="J73" i="16"/>
  <c r="L73" i="16" s="1"/>
  <c r="U73" i="16"/>
  <c r="Q73" i="16"/>
  <c r="P77" i="17" l="1"/>
  <c r="R77" i="17" s="1"/>
  <c r="N77" i="17"/>
  <c r="O77" i="17"/>
  <c r="H77" i="17"/>
  <c r="G77" i="17"/>
  <c r="I77" i="17"/>
  <c r="K77" i="17" s="1"/>
  <c r="T73" i="16"/>
  <c r="S73" i="16"/>
  <c r="Y73" i="16" s="1"/>
  <c r="W73" i="16" l="1"/>
  <c r="J77" i="17"/>
  <c r="U77" i="17"/>
  <c r="Q77" i="17"/>
  <c r="S77" i="17" s="1"/>
  <c r="M74" i="16"/>
  <c r="X73" i="16"/>
  <c r="V73" i="16"/>
  <c r="F74" i="16"/>
  <c r="T77" i="17" l="1"/>
  <c r="L77" i="17"/>
  <c r="W77" i="17" s="1"/>
  <c r="H74" i="16"/>
  <c r="G74" i="16"/>
  <c r="I74" i="16"/>
  <c r="K74" i="16" s="1"/>
  <c r="P74" i="16"/>
  <c r="R74" i="16" s="1"/>
  <c r="O74" i="16"/>
  <c r="N74" i="16"/>
  <c r="Q74" i="16" l="1"/>
  <c r="S74" i="16" s="1"/>
  <c r="V77" i="17"/>
  <c r="F78" i="17"/>
  <c r="M78" i="17"/>
  <c r="Y77" i="17"/>
  <c r="X77" i="17"/>
  <c r="U74" i="16"/>
  <c r="J74" i="16"/>
  <c r="T74" i="16" l="1"/>
  <c r="P78" i="17"/>
  <c r="R78" i="17" s="1"/>
  <c r="O78" i="17"/>
  <c r="N78" i="17"/>
  <c r="G78" i="17"/>
  <c r="H78" i="17"/>
  <c r="I78" i="17"/>
  <c r="K78" i="17" s="1"/>
  <c r="L74" i="16"/>
  <c r="Y74" i="16" l="1"/>
  <c r="W74" i="16"/>
  <c r="U78" i="17"/>
  <c r="Q78" i="17"/>
  <c r="S78" i="17" s="1"/>
  <c r="J78" i="17"/>
  <c r="X74" i="16"/>
  <c r="F75" i="16"/>
  <c r="M75" i="16"/>
  <c r="V74" i="16"/>
  <c r="T78" i="17" l="1"/>
  <c r="L78" i="17"/>
  <c r="W78" i="17" s="1"/>
  <c r="O75" i="16"/>
  <c r="N75" i="16"/>
  <c r="P75" i="16"/>
  <c r="R75" i="16" s="1"/>
  <c r="G75" i="16"/>
  <c r="I75" i="16"/>
  <c r="K75" i="16" s="1"/>
  <c r="H75" i="16"/>
  <c r="V78" i="17" l="1"/>
  <c r="X78" i="17"/>
  <c r="Y78" i="17"/>
  <c r="M79" i="17"/>
  <c r="F79" i="17"/>
  <c r="U75" i="16"/>
  <c r="J75" i="16"/>
  <c r="Q75" i="16"/>
  <c r="S75" i="16" s="1"/>
  <c r="I79" i="17" l="1"/>
  <c r="K79" i="17" s="1"/>
  <c r="H79" i="17"/>
  <c r="G79" i="17"/>
  <c r="P79" i="17"/>
  <c r="R79" i="17" s="1"/>
  <c r="O79" i="17"/>
  <c r="N79" i="17"/>
  <c r="T75" i="16"/>
  <c r="L75" i="16"/>
  <c r="Y75" i="16" l="1"/>
  <c r="W75" i="16"/>
  <c r="J79" i="17"/>
  <c r="L79" i="17" s="1"/>
  <c r="Q79" i="17"/>
  <c r="S79" i="17" s="1"/>
  <c r="U79" i="17"/>
  <c r="F76" i="16"/>
  <c r="M76" i="16"/>
  <c r="X75" i="16"/>
  <c r="V75" i="16"/>
  <c r="W79" i="17" l="1"/>
  <c r="T79" i="17"/>
  <c r="V79" i="17" s="1"/>
  <c r="Y79" i="17"/>
  <c r="M80" i="17"/>
  <c r="X79" i="17"/>
  <c r="F80" i="17"/>
  <c r="N76" i="16"/>
  <c r="P76" i="16"/>
  <c r="R76" i="16" s="1"/>
  <c r="O76" i="16"/>
  <c r="I76" i="16"/>
  <c r="K76" i="16" s="1"/>
  <c r="H76" i="16"/>
  <c r="G76" i="16"/>
  <c r="G80" i="17" l="1"/>
  <c r="I80" i="17"/>
  <c r="K80" i="17" s="1"/>
  <c r="H80" i="17"/>
  <c r="O80" i="17"/>
  <c r="N80" i="17"/>
  <c r="P80" i="17"/>
  <c r="R80" i="17" s="1"/>
  <c r="U76" i="16"/>
  <c r="J76" i="16"/>
  <c r="L76" i="16" s="1"/>
  <c r="Q76" i="16"/>
  <c r="Q80" i="17" l="1"/>
  <c r="S80" i="17" s="1"/>
  <c r="J80" i="17"/>
  <c r="U80" i="17"/>
  <c r="T76" i="16"/>
  <c r="S76" i="16"/>
  <c r="X76" i="16" s="1"/>
  <c r="W76" i="16" l="1"/>
  <c r="T80" i="17"/>
  <c r="L80" i="17"/>
  <c r="W80" i="17" s="1"/>
  <c r="F77" i="16"/>
  <c r="H77" i="16" s="1"/>
  <c r="M77" i="16"/>
  <c r="N77" i="16" s="1"/>
  <c r="Y76" i="16"/>
  <c r="V76" i="16"/>
  <c r="I77" i="16" l="1"/>
  <c r="K77" i="16" s="1"/>
  <c r="U77" i="16" s="1"/>
  <c r="O77" i="16"/>
  <c r="P77" i="16"/>
  <c r="R77" i="16" s="1"/>
  <c r="V80" i="17"/>
  <c r="M81" i="17"/>
  <c r="Y80" i="17"/>
  <c r="F81" i="17"/>
  <c r="X80" i="17"/>
  <c r="G77" i="16"/>
  <c r="J77" i="16" s="1"/>
  <c r="Q77" i="16"/>
  <c r="S77" i="16" s="1"/>
  <c r="N81" i="17" l="1"/>
  <c r="O81" i="17"/>
  <c r="P81" i="17"/>
  <c r="R81" i="17" s="1"/>
  <c r="I81" i="17"/>
  <c r="K81" i="17" s="1"/>
  <c r="H81" i="17"/>
  <c r="G81" i="17"/>
  <c r="L77" i="16"/>
  <c r="T77" i="16"/>
  <c r="V77" i="16" l="1"/>
  <c r="Y77" i="16"/>
  <c r="W77" i="16"/>
  <c r="Q81" i="17"/>
  <c r="S81" i="17" s="1"/>
  <c r="J81" i="17"/>
  <c r="U81" i="17"/>
  <c r="F78" i="16"/>
  <c r="I78" i="16" s="1"/>
  <c r="K78" i="16" s="1"/>
  <c r="X77" i="16"/>
  <c r="M78" i="16"/>
  <c r="N78" i="16" s="1"/>
  <c r="T81" i="17" l="1"/>
  <c r="L81" i="17"/>
  <c r="M82" i="17" s="1"/>
  <c r="O78" i="16"/>
  <c r="G78" i="16"/>
  <c r="H78" i="16"/>
  <c r="P78" i="16"/>
  <c r="R78" i="16" s="1"/>
  <c r="U78" i="16" s="1"/>
  <c r="Y81" i="17" l="1"/>
  <c r="W81" i="17"/>
  <c r="V81" i="17"/>
  <c r="F82" i="17"/>
  <c r="I82" i="17" s="1"/>
  <c r="K82" i="17" s="1"/>
  <c r="Q78" i="16"/>
  <c r="S78" i="16" s="1"/>
  <c r="J78" i="16"/>
  <c r="L78" i="16" s="1"/>
  <c r="X81" i="17"/>
  <c r="P82" i="17"/>
  <c r="R82" i="17" s="1"/>
  <c r="N82" i="17"/>
  <c r="O82" i="17"/>
  <c r="T78" i="16" l="1"/>
  <c r="G82" i="17"/>
  <c r="H82" i="17"/>
  <c r="Y78" i="16"/>
  <c r="W78" i="16"/>
  <c r="Q82" i="17"/>
  <c r="U82" i="17"/>
  <c r="X78" i="16"/>
  <c r="F79" i="16"/>
  <c r="M79" i="16"/>
  <c r="V78" i="16"/>
  <c r="J82" i="17" l="1"/>
  <c r="L82" i="17" s="1"/>
  <c r="S82" i="17"/>
  <c r="O79" i="16"/>
  <c r="N79" i="16"/>
  <c r="P79" i="16"/>
  <c r="R79" i="16" s="1"/>
  <c r="G79" i="16"/>
  <c r="I79" i="16"/>
  <c r="K79" i="16" s="1"/>
  <c r="H79" i="16"/>
  <c r="F83" i="17" l="1"/>
  <c r="I83" i="17" s="1"/>
  <c r="K83" i="17" s="1"/>
  <c r="T82" i="17"/>
  <c r="W82" i="17"/>
  <c r="Y82" i="17"/>
  <c r="V82" i="17"/>
  <c r="M83" i="17"/>
  <c r="P83" i="17" s="1"/>
  <c r="R83" i="17" s="1"/>
  <c r="X82" i="17"/>
  <c r="G83" i="17"/>
  <c r="U79" i="16"/>
  <c r="J79" i="16"/>
  <c r="Q79" i="16"/>
  <c r="S79" i="16" s="1"/>
  <c r="H83" i="17" l="1"/>
  <c r="J83" i="17" s="1"/>
  <c r="N83" i="17"/>
  <c r="O83" i="17"/>
  <c r="U83" i="17"/>
  <c r="T79" i="16"/>
  <c r="L79" i="16"/>
  <c r="Q83" i="17" l="1"/>
  <c r="S83" i="17" s="1"/>
  <c r="Y79" i="16"/>
  <c r="W79" i="16"/>
  <c r="L83" i="17"/>
  <c r="F80" i="16"/>
  <c r="M80" i="16"/>
  <c r="X79" i="16"/>
  <c r="V79" i="16"/>
  <c r="W83" i="17" l="1"/>
  <c r="F84" i="17"/>
  <c r="H84" i="17" s="1"/>
  <c r="T83" i="17"/>
  <c r="X83" i="17"/>
  <c r="Y83" i="17"/>
  <c r="M84" i="17"/>
  <c r="P84" i="17" s="1"/>
  <c r="R84" i="17" s="1"/>
  <c r="V83" i="17"/>
  <c r="N80" i="16"/>
  <c r="P80" i="16"/>
  <c r="R80" i="16" s="1"/>
  <c r="O80" i="16"/>
  <c r="I80" i="16"/>
  <c r="K80" i="16" s="1"/>
  <c r="H80" i="16"/>
  <c r="G80" i="16"/>
  <c r="G84" i="17" l="1"/>
  <c r="I84" i="17"/>
  <c r="K84" i="17" s="1"/>
  <c r="U84" i="17" s="1"/>
  <c r="N84" i="17"/>
  <c r="O84" i="17"/>
  <c r="U80" i="16"/>
  <c r="J80" i="16"/>
  <c r="L80" i="16" s="1"/>
  <c r="Q80" i="16"/>
  <c r="J84" i="17" l="1"/>
  <c r="L84" i="17" s="1"/>
  <c r="W84" i="17" s="1"/>
  <c r="Q84" i="17"/>
  <c r="S84" i="17" s="1"/>
  <c r="T80" i="16"/>
  <c r="S80" i="16"/>
  <c r="X80" i="16" s="1"/>
  <c r="F85" i="17" l="1"/>
  <c r="G85" i="17" s="1"/>
  <c r="M85" i="17"/>
  <c r="P85" i="17" s="1"/>
  <c r="R85" i="17" s="1"/>
  <c r="T84" i="17"/>
  <c r="V84" i="17" s="1"/>
  <c r="Y84" i="17"/>
  <c r="X84" i="17"/>
  <c r="W80" i="16"/>
  <c r="F81" i="16"/>
  <c r="I81" i="16" s="1"/>
  <c r="K81" i="16" s="1"/>
  <c r="M81" i="16"/>
  <c r="P81" i="16" s="1"/>
  <c r="R81" i="16" s="1"/>
  <c r="Y80" i="16"/>
  <c r="V80" i="16"/>
  <c r="I85" i="17" l="1"/>
  <c r="K85" i="17" s="1"/>
  <c r="U85" i="17" s="1"/>
  <c r="H85" i="17"/>
  <c r="N85" i="17"/>
  <c r="O85" i="17"/>
  <c r="G81" i="16"/>
  <c r="H81" i="16"/>
  <c r="N81" i="16"/>
  <c r="O81" i="16"/>
  <c r="J85" i="17"/>
  <c r="L85" i="17" s="1"/>
  <c r="U81" i="16"/>
  <c r="Q85" i="17" l="1"/>
  <c r="S85" i="17" s="1"/>
  <c r="W85" i="17"/>
  <c r="J81" i="16"/>
  <c r="L81" i="16" s="1"/>
  <c r="M82" i="16" s="1"/>
  <c r="Q81" i="16"/>
  <c r="S81" i="16" s="1"/>
  <c r="Y81" i="16" s="1"/>
  <c r="M86" i="17"/>
  <c r="N86" i="17" s="1"/>
  <c r="F86" i="17"/>
  <c r="I86" i="17" s="1"/>
  <c r="K86" i="17" s="1"/>
  <c r="T85" i="17"/>
  <c r="V85" i="17" s="1"/>
  <c r="Y85" i="17"/>
  <c r="X85" i="17"/>
  <c r="W81" i="16" l="1"/>
  <c r="F82" i="16"/>
  <c r="I82" i="16" s="1"/>
  <c r="K82" i="16" s="1"/>
  <c r="T81" i="16"/>
  <c r="V81" i="16" s="1"/>
  <c r="X81" i="16"/>
  <c r="P86" i="17"/>
  <c r="R86" i="17" s="1"/>
  <c r="U86" i="17" s="1"/>
  <c r="O86" i="17"/>
  <c r="H86" i="17"/>
  <c r="G86" i="17"/>
  <c r="H82" i="16"/>
  <c r="G82" i="16"/>
  <c r="P82" i="16"/>
  <c r="R82" i="16" s="1"/>
  <c r="O82" i="16"/>
  <c r="N82" i="16"/>
  <c r="Q86" i="17" l="1"/>
  <c r="S86" i="17" s="1"/>
  <c r="J86" i="17"/>
  <c r="L86" i="17" s="1"/>
  <c r="Q82" i="16"/>
  <c r="S82" i="16" s="1"/>
  <c r="U82" i="16"/>
  <c r="J82" i="16"/>
  <c r="W86" i="17" l="1"/>
  <c r="T86" i="17"/>
  <c r="V86" i="17" s="1"/>
  <c r="X86" i="17"/>
  <c r="M87" i="17"/>
  <c r="Y86" i="17"/>
  <c r="F87" i="17"/>
  <c r="T82" i="16"/>
  <c r="L82" i="16"/>
  <c r="Y82" i="16" l="1"/>
  <c r="W82" i="16"/>
  <c r="N87" i="17"/>
  <c r="P87" i="17"/>
  <c r="R87" i="17" s="1"/>
  <c r="O87" i="17"/>
  <c r="G87" i="17"/>
  <c r="H87" i="17"/>
  <c r="I87" i="17"/>
  <c r="K87" i="17" s="1"/>
  <c r="X82" i="16"/>
  <c r="F83" i="16"/>
  <c r="M83" i="16"/>
  <c r="V82" i="16"/>
  <c r="U87" i="17" l="1"/>
  <c r="Q87" i="17"/>
  <c r="S87" i="17" s="1"/>
  <c r="J87" i="17"/>
  <c r="L87" i="17" s="1"/>
  <c r="W87" i="17" s="1"/>
  <c r="O83" i="16"/>
  <c r="N83" i="16"/>
  <c r="P83" i="16"/>
  <c r="R83" i="16" s="1"/>
  <c r="G83" i="16"/>
  <c r="I83" i="16"/>
  <c r="K83" i="16" s="1"/>
  <c r="H83" i="16"/>
  <c r="T87" i="17" l="1"/>
  <c r="X87" i="17"/>
  <c r="M88" i="17"/>
  <c r="Y87" i="17"/>
  <c r="F88" i="17"/>
  <c r="V87" i="17"/>
  <c r="U83" i="16"/>
  <c r="J83" i="16"/>
  <c r="Q83" i="16"/>
  <c r="S83" i="16" s="1"/>
  <c r="P88" i="17" l="1"/>
  <c r="R88" i="17" s="1"/>
  <c r="O88" i="17"/>
  <c r="N88" i="17"/>
  <c r="H88" i="17"/>
  <c r="G88" i="17"/>
  <c r="I88" i="17"/>
  <c r="K88" i="17" s="1"/>
  <c r="T83" i="16"/>
  <c r="L83" i="16"/>
  <c r="Y83" i="16" l="1"/>
  <c r="W83" i="16"/>
  <c r="Q88" i="17"/>
  <c r="S88" i="17" s="1"/>
  <c r="U88" i="17"/>
  <c r="J88" i="17"/>
  <c r="F84" i="16"/>
  <c r="M84" i="16"/>
  <c r="X83" i="16"/>
  <c r="V83" i="16"/>
  <c r="T88" i="17" l="1"/>
  <c r="L88" i="17"/>
  <c r="W88" i="17" s="1"/>
  <c r="N84" i="16"/>
  <c r="P84" i="16"/>
  <c r="R84" i="16" s="1"/>
  <c r="O84" i="16"/>
  <c r="I84" i="16"/>
  <c r="K84" i="16" s="1"/>
  <c r="H84" i="16"/>
  <c r="G84" i="16"/>
  <c r="U84" i="16" l="1"/>
  <c r="M89" i="17"/>
  <c r="Y88" i="17"/>
  <c r="F89" i="17"/>
  <c r="X88" i="17"/>
  <c r="V88" i="17"/>
  <c r="Q84" i="16"/>
  <c r="S84" i="16" s="1"/>
  <c r="J84" i="16"/>
  <c r="T84" i="16" l="1"/>
  <c r="N89" i="17"/>
  <c r="P89" i="17"/>
  <c r="R89" i="17" s="1"/>
  <c r="O89" i="17"/>
  <c r="I89" i="17"/>
  <c r="K89" i="17" s="1"/>
  <c r="H89" i="17"/>
  <c r="G89" i="17"/>
  <c r="L84" i="16"/>
  <c r="Y84" i="16" l="1"/>
  <c r="W84" i="16"/>
  <c r="U89" i="17"/>
  <c r="Q89" i="17"/>
  <c r="S89" i="17" s="1"/>
  <c r="J89" i="17"/>
  <c r="M85" i="16"/>
  <c r="X84" i="16"/>
  <c r="F85" i="16"/>
  <c r="V84" i="16"/>
  <c r="T89" i="17" l="1"/>
  <c r="L89" i="17"/>
  <c r="I85" i="16"/>
  <c r="K85" i="16" s="1"/>
  <c r="H85" i="16"/>
  <c r="G85" i="16"/>
  <c r="P85" i="16"/>
  <c r="R85" i="16" s="1"/>
  <c r="O85" i="16"/>
  <c r="N85" i="16"/>
  <c r="Y89" i="17" l="1"/>
  <c r="W89" i="17"/>
  <c r="V89" i="17"/>
  <c r="M90" i="17"/>
  <c r="P90" i="17" s="1"/>
  <c r="R90" i="17" s="1"/>
  <c r="X89" i="17"/>
  <c r="F90" i="17"/>
  <c r="I90" i="17" s="1"/>
  <c r="K90" i="17" s="1"/>
  <c r="Q85" i="16"/>
  <c r="S85" i="16" s="1"/>
  <c r="J85" i="16"/>
  <c r="L85" i="16" s="1"/>
  <c r="U85" i="16"/>
  <c r="O90" i="17" l="1"/>
  <c r="W85" i="16"/>
  <c r="N90" i="17"/>
  <c r="U90" i="17"/>
  <c r="H90" i="17"/>
  <c r="G90" i="17"/>
  <c r="T85" i="16"/>
  <c r="V85" i="16" s="1"/>
  <c r="Y85" i="16"/>
  <c r="X85" i="16"/>
  <c r="F86" i="16"/>
  <c r="M86" i="16"/>
  <c r="Q90" i="17" l="1"/>
  <c r="S90" i="17" s="1"/>
  <c r="J90" i="17"/>
  <c r="P86" i="16"/>
  <c r="R86" i="16" s="1"/>
  <c r="O86" i="16"/>
  <c r="N86" i="16"/>
  <c r="H86" i="16"/>
  <c r="G86" i="16"/>
  <c r="I86" i="16"/>
  <c r="K86" i="16" s="1"/>
  <c r="T90" i="17" l="1"/>
  <c r="L90" i="17"/>
  <c r="W90" i="17" s="1"/>
  <c r="U86" i="16"/>
  <c r="J86" i="16"/>
  <c r="Q86" i="16"/>
  <c r="S86" i="16" s="1"/>
  <c r="X90" i="17" l="1"/>
  <c r="V90" i="17"/>
  <c r="Y90" i="17"/>
  <c r="M91" i="17"/>
  <c r="F91" i="17"/>
  <c r="T86" i="16"/>
  <c r="L86" i="16"/>
  <c r="Y86" i="16" l="1"/>
  <c r="W86" i="16"/>
  <c r="H91" i="17"/>
  <c r="G91" i="17"/>
  <c r="I91" i="17"/>
  <c r="K91" i="17" s="1"/>
  <c r="O91" i="17"/>
  <c r="P91" i="17"/>
  <c r="R91" i="17" s="1"/>
  <c r="N91" i="17"/>
  <c r="X86" i="16"/>
  <c r="F87" i="16"/>
  <c r="M87" i="16"/>
  <c r="V86" i="16"/>
  <c r="J91" i="17" l="1"/>
  <c r="L91" i="17" s="1"/>
  <c r="U91" i="17"/>
  <c r="Q91" i="17"/>
  <c r="O87" i="16"/>
  <c r="N87" i="16"/>
  <c r="P87" i="16"/>
  <c r="R87" i="16" s="1"/>
  <c r="G87" i="16"/>
  <c r="I87" i="16"/>
  <c r="K87" i="16" s="1"/>
  <c r="H87" i="16"/>
  <c r="W91" i="17" l="1"/>
  <c r="T91" i="17"/>
  <c r="S91" i="17"/>
  <c r="U87" i="16"/>
  <c r="J87" i="16"/>
  <c r="Q87" i="16"/>
  <c r="S87" i="16" s="1"/>
  <c r="V91" i="17" l="1"/>
  <c r="Y91" i="17"/>
  <c r="M92" i="17"/>
  <c r="X91" i="17"/>
  <c r="F92" i="17"/>
  <c r="T87" i="16"/>
  <c r="L87" i="16"/>
  <c r="Y87" i="16" l="1"/>
  <c r="W87" i="16"/>
  <c r="P92" i="17"/>
  <c r="R92" i="17" s="1"/>
  <c r="N92" i="17"/>
  <c r="O92" i="17"/>
  <c r="I92" i="17"/>
  <c r="K92" i="17" s="1"/>
  <c r="G92" i="17"/>
  <c r="H92" i="17"/>
  <c r="F88" i="16"/>
  <c r="M88" i="16"/>
  <c r="X87" i="16"/>
  <c r="V87" i="16"/>
  <c r="U92" i="17" l="1"/>
  <c r="Q92" i="17"/>
  <c r="S92" i="17" s="1"/>
  <c r="J92" i="17"/>
  <c r="N88" i="16"/>
  <c r="P88" i="16"/>
  <c r="R88" i="16" s="1"/>
  <c r="O88" i="16"/>
  <c r="I88" i="16"/>
  <c r="K88" i="16" s="1"/>
  <c r="H88" i="16"/>
  <c r="G88" i="16"/>
  <c r="T92" i="17" l="1"/>
  <c r="L92" i="17"/>
  <c r="W92" i="17" s="1"/>
  <c r="U88" i="16"/>
  <c r="J88" i="16"/>
  <c r="L88" i="16" s="1"/>
  <c r="Q88" i="16"/>
  <c r="T88" i="16" l="1"/>
  <c r="Y92" i="17"/>
  <c r="V92" i="17"/>
  <c r="F93" i="17"/>
  <c r="M93" i="17"/>
  <c r="X92" i="17"/>
  <c r="S88" i="16"/>
  <c r="V88" i="16" l="1"/>
  <c r="W88" i="16"/>
  <c r="F89" i="16"/>
  <c r="G89" i="16" s="1"/>
  <c r="O93" i="17"/>
  <c r="P93" i="17"/>
  <c r="R93" i="17" s="1"/>
  <c r="N93" i="17"/>
  <c r="H93" i="17"/>
  <c r="I93" i="17"/>
  <c r="K93" i="17" s="1"/>
  <c r="G93" i="17"/>
  <c r="Y88" i="16"/>
  <c r="M89" i="16"/>
  <c r="P89" i="16" s="1"/>
  <c r="R89" i="16" s="1"/>
  <c r="X88" i="16"/>
  <c r="H89" i="16" l="1"/>
  <c r="I89" i="16"/>
  <c r="K89" i="16" s="1"/>
  <c r="U89" i="16" s="1"/>
  <c r="J93" i="17"/>
  <c r="L93" i="17" s="1"/>
  <c r="Q93" i="17"/>
  <c r="U93" i="17"/>
  <c r="N89" i="16"/>
  <c r="O89" i="16"/>
  <c r="J89" i="16" l="1"/>
  <c r="L89" i="16" s="1"/>
  <c r="T93" i="17"/>
  <c r="S93" i="17"/>
  <c r="V93" i="17" s="1"/>
  <c r="Q89" i="16"/>
  <c r="S89" i="16" s="1"/>
  <c r="F94" i="17"/>
  <c r="M94" i="17" l="1"/>
  <c r="Y93" i="17"/>
  <c r="W93" i="17"/>
  <c r="W89" i="16"/>
  <c r="X93" i="17"/>
  <c r="F90" i="16"/>
  <c r="H90" i="16" s="1"/>
  <c r="X89" i="16"/>
  <c r="M90" i="16"/>
  <c r="N90" i="16" s="1"/>
  <c r="T89" i="16"/>
  <c r="V89" i="16" s="1"/>
  <c r="Y89" i="16"/>
  <c r="H94" i="17"/>
  <c r="G94" i="17"/>
  <c r="I94" i="17"/>
  <c r="K94" i="17" s="1"/>
  <c r="N94" i="17"/>
  <c r="O94" i="17"/>
  <c r="P94" i="17"/>
  <c r="R94" i="17" s="1"/>
  <c r="G90" i="16" l="1"/>
  <c r="O90" i="16"/>
  <c r="I90" i="16"/>
  <c r="K90" i="16" s="1"/>
  <c r="P90" i="16"/>
  <c r="R90" i="16" s="1"/>
  <c r="J94" i="17"/>
  <c r="L94" i="17" s="1"/>
  <c r="Q94" i="17"/>
  <c r="U94" i="17"/>
  <c r="Q90" i="16"/>
  <c r="J90" i="16" l="1"/>
  <c r="T90" i="16" s="1"/>
  <c r="S90" i="16"/>
  <c r="U90" i="16"/>
  <c r="W94" i="17"/>
  <c r="S94" i="17"/>
  <c r="T94" i="17"/>
  <c r="L90" i="16" l="1"/>
  <c r="Y90" i="16" s="1"/>
  <c r="V94" i="17"/>
  <c r="X94" i="17"/>
  <c r="F95" i="17"/>
  <c r="M95" i="17"/>
  <c r="Y94" i="17"/>
  <c r="X90" i="16"/>
  <c r="F91" i="16"/>
  <c r="M91" i="16"/>
  <c r="V90" i="16"/>
  <c r="W90" i="16" l="1"/>
  <c r="H95" i="17"/>
  <c r="G95" i="17"/>
  <c r="I95" i="17"/>
  <c r="K95" i="17" s="1"/>
  <c r="N95" i="17"/>
  <c r="P95" i="17"/>
  <c r="R95" i="17" s="1"/>
  <c r="O95" i="17"/>
  <c r="O91" i="16"/>
  <c r="N91" i="16"/>
  <c r="P91" i="16"/>
  <c r="R91" i="16" s="1"/>
  <c r="G91" i="16"/>
  <c r="I91" i="16"/>
  <c r="K91" i="16" s="1"/>
  <c r="H91" i="16"/>
  <c r="Q95" i="17" l="1"/>
  <c r="S95" i="17" s="1"/>
  <c r="J95" i="17"/>
  <c r="U95" i="17"/>
  <c r="U91" i="16"/>
  <c r="J91" i="16"/>
  <c r="Q91" i="16"/>
  <c r="S91" i="16" s="1"/>
  <c r="T95" i="17" l="1"/>
  <c r="L95" i="17"/>
  <c r="T91" i="16"/>
  <c r="L91" i="16"/>
  <c r="F96" i="17" l="1"/>
  <c r="W95" i="17"/>
  <c r="X95" i="17"/>
  <c r="Y91" i="16"/>
  <c r="W91" i="16"/>
  <c r="Y95" i="17"/>
  <c r="M96" i="17"/>
  <c r="N96" i="17" s="1"/>
  <c r="V95" i="17"/>
  <c r="G96" i="17"/>
  <c r="I96" i="17"/>
  <c r="K96" i="17" s="1"/>
  <c r="H96" i="17"/>
  <c r="F92" i="16"/>
  <c r="M92" i="16"/>
  <c r="X91" i="16"/>
  <c r="V91" i="16"/>
  <c r="O96" i="17" l="1"/>
  <c r="P96" i="17"/>
  <c r="R96" i="17" s="1"/>
  <c r="U96" i="17" s="1"/>
  <c r="J96" i="17"/>
  <c r="N92" i="16"/>
  <c r="P92" i="16"/>
  <c r="R92" i="16" s="1"/>
  <c r="O92" i="16"/>
  <c r="I92" i="16"/>
  <c r="K92" i="16" s="1"/>
  <c r="H92" i="16"/>
  <c r="G92" i="16"/>
  <c r="Q96" i="17" l="1"/>
  <c r="S96" i="17" s="1"/>
  <c r="U92" i="16"/>
  <c r="L96" i="17"/>
  <c r="W96" i="17" s="1"/>
  <c r="J92" i="16"/>
  <c r="L92" i="16" s="1"/>
  <c r="Q92" i="16"/>
  <c r="T96" i="17" l="1"/>
  <c r="F97" i="17"/>
  <c r="V96" i="17"/>
  <c r="Y96" i="17"/>
  <c r="X96" i="17"/>
  <c r="M97" i="17"/>
  <c r="T92" i="16"/>
  <c r="S92" i="16"/>
  <c r="W92" i="16" s="1"/>
  <c r="O97" i="17" l="1"/>
  <c r="N97" i="17"/>
  <c r="P97" i="17"/>
  <c r="R97" i="17" s="1"/>
  <c r="H97" i="17"/>
  <c r="G97" i="17"/>
  <c r="I97" i="17"/>
  <c r="K97" i="17" s="1"/>
  <c r="V92" i="16"/>
  <c r="F93" i="16"/>
  <c r="I93" i="16" s="1"/>
  <c r="K93" i="16" s="1"/>
  <c r="Y92" i="16"/>
  <c r="X92" i="16"/>
  <c r="M93" i="16"/>
  <c r="P93" i="16" s="1"/>
  <c r="R93" i="16" s="1"/>
  <c r="G93" i="16" l="1"/>
  <c r="H93" i="16"/>
  <c r="U97" i="17"/>
  <c r="J97" i="17"/>
  <c r="L97" i="17" s="1"/>
  <c r="W97" i="17" s="1"/>
  <c r="Q97" i="17"/>
  <c r="S97" i="17" s="1"/>
  <c r="N93" i="16"/>
  <c r="O93" i="16"/>
  <c r="U93" i="16"/>
  <c r="J93" i="16" l="1"/>
  <c r="L93" i="16" s="1"/>
  <c r="Y97" i="17"/>
  <c r="X97" i="17"/>
  <c r="F98" i="17"/>
  <c r="M98" i="17"/>
  <c r="T97" i="17"/>
  <c r="V97" i="17" s="1"/>
  <c r="Q93" i="16"/>
  <c r="S93" i="16" s="1"/>
  <c r="Y93" i="16" s="1"/>
  <c r="W93" i="16" l="1"/>
  <c r="O98" i="17"/>
  <c r="N98" i="17"/>
  <c r="P98" i="17"/>
  <c r="R98" i="17" s="1"/>
  <c r="G98" i="17"/>
  <c r="H98" i="17"/>
  <c r="I98" i="17"/>
  <c r="K98" i="17" s="1"/>
  <c r="M94" i="16"/>
  <c r="P94" i="16" s="1"/>
  <c r="R94" i="16" s="1"/>
  <c r="F94" i="16"/>
  <c r="G94" i="16" s="1"/>
  <c r="T93" i="16"/>
  <c r="V93" i="16" s="1"/>
  <c r="X93" i="16"/>
  <c r="U98" i="17" l="1"/>
  <c r="Q98" i="17"/>
  <c r="S98" i="17" s="1"/>
  <c r="O94" i="16"/>
  <c r="J98" i="17"/>
  <c r="N94" i="16"/>
  <c r="I94" i="16"/>
  <c r="K94" i="16" s="1"/>
  <c r="U94" i="16" s="1"/>
  <c r="H94" i="16"/>
  <c r="T98" i="17" l="1"/>
  <c r="Q94" i="16"/>
  <c r="S94" i="16" s="1"/>
  <c r="L98" i="17"/>
  <c r="W98" i="17" s="1"/>
  <c r="J94" i="16"/>
  <c r="X98" i="17" l="1"/>
  <c r="V98" i="17"/>
  <c r="T94" i="16"/>
  <c r="F99" i="17"/>
  <c r="G99" i="17" s="1"/>
  <c r="Y98" i="17"/>
  <c r="M99" i="17"/>
  <c r="P99" i="17" s="1"/>
  <c r="R99" i="17" s="1"/>
  <c r="L94" i="16"/>
  <c r="H99" i="17" l="1"/>
  <c r="I99" i="17"/>
  <c r="K99" i="17" s="1"/>
  <c r="O99" i="17"/>
  <c r="N99" i="17"/>
  <c r="Y94" i="16"/>
  <c r="W94" i="16"/>
  <c r="M95" i="16"/>
  <c r="O95" i="16" s="1"/>
  <c r="V94" i="16"/>
  <c r="U99" i="17"/>
  <c r="J99" i="17"/>
  <c r="F95" i="16"/>
  <c r="H95" i="16" s="1"/>
  <c r="X94" i="16"/>
  <c r="P95" i="16" l="1"/>
  <c r="R95" i="16" s="1"/>
  <c r="Q99" i="17"/>
  <c r="S99" i="17" s="1"/>
  <c r="N95" i="16"/>
  <c r="I95" i="16"/>
  <c r="K95" i="16" s="1"/>
  <c r="L99" i="17"/>
  <c r="W99" i="17" s="1"/>
  <c r="G95" i="16"/>
  <c r="Q95" i="16" l="1"/>
  <c r="S95" i="16" s="1"/>
  <c r="U95" i="16"/>
  <c r="T99" i="17"/>
  <c r="V99" i="17" s="1"/>
  <c r="J95" i="16"/>
  <c r="M100" i="17"/>
  <c r="Y99" i="17"/>
  <c r="F100" i="17"/>
  <c r="X99" i="17"/>
  <c r="T95" i="16" l="1"/>
  <c r="L95" i="16"/>
  <c r="Y95" i="16" s="1"/>
  <c r="H100" i="17"/>
  <c r="G100" i="17"/>
  <c r="I100" i="17"/>
  <c r="K100" i="17" s="1"/>
  <c r="N100" i="17"/>
  <c r="O100" i="17"/>
  <c r="P100" i="17"/>
  <c r="R100" i="17" s="1"/>
  <c r="F96" i="16"/>
  <c r="X95" i="16"/>
  <c r="M96" i="16" l="1"/>
  <c r="P96" i="16" s="1"/>
  <c r="R96" i="16" s="1"/>
  <c r="W95" i="16"/>
  <c r="V95" i="16"/>
  <c r="J100" i="17"/>
  <c r="L100" i="17" s="1"/>
  <c r="U100" i="17"/>
  <c r="Q100" i="17"/>
  <c r="N96" i="16"/>
  <c r="O96" i="16"/>
  <c r="I96" i="16"/>
  <c r="K96" i="16" s="1"/>
  <c r="H96" i="16"/>
  <c r="G96" i="16"/>
  <c r="W100" i="17" l="1"/>
  <c r="T100" i="17"/>
  <c r="U96" i="16"/>
  <c r="S100" i="17"/>
  <c r="M101" i="17" s="1"/>
  <c r="Q96" i="16"/>
  <c r="S96" i="16" s="1"/>
  <c r="J96" i="16"/>
  <c r="O101" i="17" l="1"/>
  <c r="N101" i="17"/>
  <c r="P101" i="17"/>
  <c r="R101" i="17" s="1"/>
  <c r="Y100" i="17"/>
  <c r="V100" i="17"/>
  <c r="F101" i="17"/>
  <c r="X100" i="17"/>
  <c r="T96" i="16"/>
  <c r="L96" i="16"/>
  <c r="W96" i="16" s="1"/>
  <c r="Q101" i="17" l="1"/>
  <c r="S101" i="17" s="1"/>
  <c r="G101" i="17"/>
  <c r="H101" i="17"/>
  <c r="I101" i="17"/>
  <c r="K101" i="17" s="1"/>
  <c r="U101" i="17" s="1"/>
  <c r="F97" i="16"/>
  <c r="H97" i="16" s="1"/>
  <c r="V96" i="16"/>
  <c r="Y96" i="16"/>
  <c r="X96" i="16"/>
  <c r="M97" i="16"/>
  <c r="N97" i="16" s="1"/>
  <c r="G97" i="16" l="1"/>
  <c r="I97" i="16"/>
  <c r="K97" i="16" s="1"/>
  <c r="J101" i="17"/>
  <c r="L101" i="17" s="1"/>
  <c r="W101" i="17" s="1"/>
  <c r="O97" i="16"/>
  <c r="P97" i="16"/>
  <c r="R97" i="16" s="1"/>
  <c r="J97" i="16" l="1"/>
  <c r="L97" i="16" s="1"/>
  <c r="U97" i="16"/>
  <c r="T101" i="17"/>
  <c r="V101" i="17" s="1"/>
  <c r="Y101" i="17"/>
  <c r="M102" i="17"/>
  <c r="X101" i="17"/>
  <c r="F102" i="17"/>
  <c r="Q97" i="16"/>
  <c r="S97" i="16" s="1"/>
  <c r="W97" i="16" l="1"/>
  <c r="N102" i="17"/>
  <c r="O102" i="17"/>
  <c r="P102" i="17"/>
  <c r="R102" i="17" s="1"/>
  <c r="G102" i="17"/>
  <c r="I102" i="17"/>
  <c r="K102" i="17" s="1"/>
  <c r="H102" i="17"/>
  <c r="Y97" i="16"/>
  <c r="T97" i="16"/>
  <c r="V97" i="16" s="1"/>
  <c r="X97" i="16"/>
  <c r="F98" i="16"/>
  <c r="M98" i="16"/>
  <c r="Q102" i="17" l="1"/>
  <c r="S102" i="17" s="1"/>
  <c r="U102" i="17"/>
  <c r="J102" i="17"/>
  <c r="P98" i="16"/>
  <c r="R98" i="16" s="1"/>
  <c r="O98" i="16"/>
  <c r="N98" i="16"/>
  <c r="H98" i="16"/>
  <c r="G98" i="16"/>
  <c r="I98" i="16"/>
  <c r="K98" i="16" s="1"/>
  <c r="T102" i="17" l="1"/>
  <c r="L102" i="17"/>
  <c r="W102" i="17" s="1"/>
  <c r="U98" i="16"/>
  <c r="Q98" i="16"/>
  <c r="S98" i="16" s="1"/>
  <c r="J98" i="16"/>
  <c r="Y102" i="17" l="1"/>
  <c r="X102" i="17"/>
  <c r="M103" i="17"/>
  <c r="F103" i="17"/>
  <c r="V102" i="17"/>
  <c r="T98" i="16"/>
  <c r="L98" i="16"/>
  <c r="Y98" i="16" l="1"/>
  <c r="W98" i="16"/>
  <c r="G103" i="17"/>
  <c r="I103" i="17"/>
  <c r="K103" i="17" s="1"/>
  <c r="H103" i="17"/>
  <c r="N103" i="17"/>
  <c r="O103" i="17"/>
  <c r="P103" i="17"/>
  <c r="R103" i="17" s="1"/>
  <c r="X98" i="16"/>
  <c r="F99" i="16"/>
  <c r="M99" i="16"/>
  <c r="V98" i="16"/>
  <c r="Q103" i="17" l="1"/>
  <c r="S103" i="17" s="1"/>
  <c r="J103" i="17"/>
  <c r="U103" i="17"/>
  <c r="O99" i="16"/>
  <c r="N99" i="16"/>
  <c r="P99" i="16"/>
  <c r="R99" i="16" s="1"/>
  <c r="G99" i="16"/>
  <c r="I99" i="16"/>
  <c r="K99" i="16" s="1"/>
  <c r="H99" i="16"/>
  <c r="T103" i="17" l="1"/>
  <c r="L103" i="17"/>
  <c r="W103" i="17" s="1"/>
  <c r="U99" i="16"/>
  <c r="J99" i="16"/>
  <c r="Q99" i="16"/>
  <c r="S99" i="16" s="1"/>
  <c r="F104" i="17" l="1"/>
  <c r="M104" i="17"/>
  <c r="Y103" i="17"/>
  <c r="V103" i="17"/>
  <c r="X103" i="17"/>
  <c r="T99" i="16"/>
  <c r="L99" i="16"/>
  <c r="Y99" i="16" l="1"/>
  <c r="W99" i="16"/>
  <c r="P104" i="17"/>
  <c r="R104" i="17" s="1"/>
  <c r="O104" i="17"/>
  <c r="N104" i="17"/>
  <c r="G104" i="17"/>
  <c r="I104" i="17"/>
  <c r="K104" i="17" s="1"/>
  <c r="U104" i="17" s="1"/>
  <c r="H104" i="17"/>
  <c r="F100" i="16"/>
  <c r="M100" i="16"/>
  <c r="X99" i="16"/>
  <c r="V99" i="16"/>
  <c r="J104" i="17" l="1"/>
  <c r="L104" i="17" s="1"/>
  <c r="W104" i="17" s="1"/>
  <c r="Q104" i="17"/>
  <c r="S104" i="17" s="1"/>
  <c r="N100" i="16"/>
  <c r="P100" i="16"/>
  <c r="R100" i="16" s="1"/>
  <c r="O100" i="16"/>
  <c r="I100" i="16"/>
  <c r="K100" i="16" s="1"/>
  <c r="H100" i="16"/>
  <c r="G100" i="16"/>
  <c r="T104" i="17" l="1"/>
  <c r="V104" i="17" s="1"/>
  <c r="F105" i="17"/>
  <c r="Y104" i="17"/>
  <c r="X104" i="17"/>
  <c r="M105" i="17"/>
  <c r="J100" i="16"/>
  <c r="L100" i="16" s="1"/>
  <c r="U100" i="16"/>
  <c r="Q100" i="16"/>
  <c r="P105" i="17" l="1"/>
  <c r="R105" i="17" s="1"/>
  <c r="N105" i="17"/>
  <c r="O105" i="17"/>
  <c r="I105" i="17"/>
  <c r="K105" i="17" s="1"/>
  <c r="H105" i="17"/>
  <c r="G105" i="17"/>
  <c r="T100" i="16"/>
  <c r="S100" i="16"/>
  <c r="V100" i="16" s="1"/>
  <c r="U105" i="17" l="1"/>
  <c r="W100" i="16"/>
  <c r="J105" i="17"/>
  <c r="L105" i="17" s="1"/>
  <c r="Q105" i="17"/>
  <c r="S105" i="17" s="1"/>
  <c r="F101" i="16"/>
  <c r="G101" i="16" s="1"/>
  <c r="M101" i="16"/>
  <c r="P101" i="16" s="1"/>
  <c r="R101" i="16" s="1"/>
  <c r="X100" i="16"/>
  <c r="Y100" i="16"/>
  <c r="W105" i="17" l="1"/>
  <c r="T105" i="17"/>
  <c r="V105" i="17" s="1"/>
  <c r="H101" i="16"/>
  <c r="I101" i="16"/>
  <c r="K101" i="16" s="1"/>
  <c r="U101" i="16" s="1"/>
  <c r="N101" i="16"/>
  <c r="O101" i="16"/>
  <c r="M106" i="17"/>
  <c r="X105" i="17"/>
  <c r="F106" i="17"/>
  <c r="Y105" i="17"/>
  <c r="J101" i="16" l="1"/>
  <c r="L101" i="16" s="1"/>
  <c r="Q101" i="16"/>
  <c r="S101" i="16" s="1"/>
  <c r="I106" i="17"/>
  <c r="K106" i="17" s="1"/>
  <c r="H106" i="17"/>
  <c r="G106" i="17"/>
  <c r="O106" i="17"/>
  <c r="P106" i="17"/>
  <c r="R106" i="17" s="1"/>
  <c r="N106" i="17"/>
  <c r="Y101" i="16" l="1"/>
  <c r="T101" i="16"/>
  <c r="V101" i="16" s="1"/>
  <c r="W101" i="16"/>
  <c r="Q106" i="17"/>
  <c r="S106" i="17" s="1"/>
  <c r="U106" i="17"/>
  <c r="J106" i="17"/>
  <c r="M102" i="16"/>
  <c r="X101" i="16"/>
  <c r="F102" i="16"/>
  <c r="L106" i="17" l="1"/>
  <c r="W106" i="17" s="1"/>
  <c r="T106" i="17"/>
  <c r="H102" i="16"/>
  <c r="G102" i="16"/>
  <c r="I102" i="16"/>
  <c r="K102" i="16" s="1"/>
  <c r="P102" i="16"/>
  <c r="R102" i="16" s="1"/>
  <c r="O102" i="16"/>
  <c r="N102" i="16"/>
  <c r="Y106" i="17" l="1"/>
  <c r="M107" i="17"/>
  <c r="F107" i="17"/>
  <c r="X106" i="17"/>
  <c r="V106" i="17"/>
  <c r="Q102" i="16"/>
  <c r="S102" i="16" s="1"/>
  <c r="U102" i="16"/>
  <c r="J102" i="16"/>
  <c r="I107" i="17" l="1"/>
  <c r="K107" i="17" s="1"/>
  <c r="H107" i="17"/>
  <c r="G107" i="17"/>
  <c r="P107" i="17"/>
  <c r="R107" i="17" s="1"/>
  <c r="N107" i="17"/>
  <c r="O107" i="17"/>
  <c r="T102" i="16"/>
  <c r="L102" i="16"/>
  <c r="Y102" i="16" l="1"/>
  <c r="W102" i="16"/>
  <c r="Q107" i="17"/>
  <c r="S107" i="17" s="1"/>
  <c r="J107" i="17"/>
  <c r="L107" i="17" s="1"/>
  <c r="U107" i="17"/>
  <c r="X102" i="16"/>
  <c r="F103" i="16"/>
  <c r="M103" i="16"/>
  <c r="V102" i="16"/>
  <c r="W107" i="17" l="1"/>
  <c r="T107" i="17"/>
  <c r="V107" i="17" s="1"/>
  <c r="M108" i="17"/>
  <c r="X107" i="17"/>
  <c r="Y107" i="17"/>
  <c r="F108" i="17"/>
  <c r="O103" i="16"/>
  <c r="N103" i="16"/>
  <c r="P103" i="16"/>
  <c r="R103" i="16" s="1"/>
  <c r="G103" i="16"/>
  <c r="I103" i="16"/>
  <c r="K103" i="16" s="1"/>
  <c r="H103" i="16"/>
  <c r="I108" i="17" l="1"/>
  <c r="K108" i="17" s="1"/>
  <c r="H108" i="17"/>
  <c r="G108" i="17"/>
  <c r="O108" i="17"/>
  <c r="P108" i="17"/>
  <c r="R108" i="17" s="1"/>
  <c r="N108" i="17"/>
  <c r="U103" i="16"/>
  <c r="J103" i="16"/>
  <c r="Q103" i="16"/>
  <c r="S103" i="16" s="1"/>
  <c r="J108" i="17" l="1"/>
  <c r="L108" i="17" s="1"/>
  <c r="W108" i="17" s="1"/>
  <c r="Q108" i="17"/>
  <c r="S108" i="17" s="1"/>
  <c r="U108" i="17"/>
  <c r="T103" i="16"/>
  <c r="L103" i="16"/>
  <c r="Y103" i="16" l="1"/>
  <c r="W103" i="16"/>
  <c r="T108" i="17"/>
  <c r="V108" i="17" s="1"/>
  <c r="M109" i="17"/>
  <c r="F109" i="17"/>
  <c r="Y108" i="17"/>
  <c r="X108" i="17"/>
  <c r="F104" i="16"/>
  <c r="M104" i="16"/>
  <c r="X103" i="16"/>
  <c r="V103" i="16"/>
  <c r="H109" i="17" l="1"/>
  <c r="I109" i="17"/>
  <c r="K109" i="17" s="1"/>
  <c r="G109" i="17"/>
  <c r="P109" i="17"/>
  <c r="R109" i="17" s="1"/>
  <c r="O109" i="17"/>
  <c r="N109" i="17"/>
  <c r="N104" i="16"/>
  <c r="P104" i="16"/>
  <c r="R104" i="16" s="1"/>
  <c r="O104" i="16"/>
  <c r="I104" i="16"/>
  <c r="K104" i="16" s="1"/>
  <c r="H104" i="16"/>
  <c r="G104" i="16"/>
  <c r="J109" i="17" l="1"/>
  <c r="L109" i="17" s="1"/>
  <c r="W109" i="17" s="1"/>
  <c r="Q109" i="17"/>
  <c r="S109" i="17" s="1"/>
  <c r="U109" i="17"/>
  <c r="U104" i="16"/>
  <c r="Q104" i="16"/>
  <c r="S104" i="16" s="1"/>
  <c r="J104" i="16"/>
  <c r="T109" i="17" l="1"/>
  <c r="X109" i="17"/>
  <c r="F110" i="17"/>
  <c r="Y109" i="17"/>
  <c r="M110" i="17"/>
  <c r="V109" i="17"/>
  <c r="T104" i="16"/>
  <c r="L104" i="16"/>
  <c r="Y104" i="16" l="1"/>
  <c r="W104" i="16"/>
  <c r="I110" i="17"/>
  <c r="K110" i="17" s="1"/>
  <c r="G110" i="17"/>
  <c r="H110" i="17"/>
  <c r="O110" i="17"/>
  <c r="N110" i="17"/>
  <c r="P110" i="17"/>
  <c r="R110" i="17" s="1"/>
  <c r="M105" i="16"/>
  <c r="X104" i="16"/>
  <c r="F105" i="16"/>
  <c r="V104" i="16"/>
  <c r="U110" i="17" l="1"/>
  <c r="Q110" i="17"/>
  <c r="S110" i="17" s="1"/>
  <c r="J110" i="17"/>
  <c r="I105" i="16"/>
  <c r="K105" i="16" s="1"/>
  <c r="H105" i="16"/>
  <c r="G105" i="16"/>
  <c r="P105" i="16"/>
  <c r="R105" i="16" s="1"/>
  <c r="O105" i="16"/>
  <c r="N105" i="16"/>
  <c r="T110" i="17" l="1"/>
  <c r="L110" i="17"/>
  <c r="W110" i="17" s="1"/>
  <c r="U105" i="16"/>
  <c r="Q105" i="16"/>
  <c r="S105" i="16" s="1"/>
  <c r="J105" i="16"/>
  <c r="X110" i="17" l="1"/>
  <c r="M111" i="17"/>
  <c r="Y110" i="17"/>
  <c r="F111" i="17"/>
  <c r="V110" i="17"/>
  <c r="T105" i="16"/>
  <c r="L105" i="16"/>
  <c r="Y105" i="16" l="1"/>
  <c r="W105" i="16"/>
  <c r="P111" i="17"/>
  <c r="R111" i="17" s="1"/>
  <c r="O111" i="17"/>
  <c r="N111" i="17"/>
  <c r="G111" i="17"/>
  <c r="H111" i="17"/>
  <c r="I111" i="17"/>
  <c r="K111" i="17" s="1"/>
  <c r="X105" i="16"/>
  <c r="F106" i="16"/>
  <c r="M106" i="16"/>
  <c r="V105" i="16"/>
  <c r="J111" i="17" l="1"/>
  <c r="L111" i="17" s="1"/>
  <c r="W111" i="17" s="1"/>
  <c r="U111" i="17"/>
  <c r="Q111" i="17"/>
  <c r="S111" i="17" s="1"/>
  <c r="P106" i="16"/>
  <c r="R106" i="16" s="1"/>
  <c r="O106" i="16"/>
  <c r="N106" i="16"/>
  <c r="H106" i="16"/>
  <c r="G106" i="16"/>
  <c r="I106" i="16"/>
  <c r="K106" i="16" s="1"/>
  <c r="T111" i="17" l="1"/>
  <c r="V111" i="17" s="1"/>
  <c r="Y111" i="17"/>
  <c r="M112" i="17"/>
  <c r="F112" i="17"/>
  <c r="X111" i="17"/>
  <c r="U106" i="16"/>
  <c r="J106" i="16"/>
  <c r="L106" i="16" s="1"/>
  <c r="Q106" i="16"/>
  <c r="S106" i="16" s="1"/>
  <c r="W106" i="16" l="1"/>
  <c r="I112" i="17"/>
  <c r="K112" i="17" s="1"/>
  <c r="G112" i="17"/>
  <c r="H112" i="17"/>
  <c r="O112" i="17"/>
  <c r="P112" i="17"/>
  <c r="R112" i="17" s="1"/>
  <c r="N112" i="17"/>
  <c r="Y106" i="16"/>
  <c r="T106" i="16"/>
  <c r="V106" i="16" s="1"/>
  <c r="X106" i="16"/>
  <c r="F107" i="16"/>
  <c r="M107" i="16"/>
  <c r="J112" i="17" l="1"/>
  <c r="L112" i="17" s="1"/>
  <c r="W112" i="17" s="1"/>
  <c r="Q112" i="17"/>
  <c r="S112" i="17" s="1"/>
  <c r="U112" i="17"/>
  <c r="G107" i="16"/>
  <c r="I107" i="16"/>
  <c r="K107" i="16" s="1"/>
  <c r="H107" i="16"/>
  <c r="O107" i="16"/>
  <c r="N107" i="16"/>
  <c r="P107" i="16"/>
  <c r="R107" i="16" s="1"/>
  <c r="Y112" i="17" l="1"/>
  <c r="T112" i="17"/>
  <c r="V112" i="17" s="1"/>
  <c r="M113" i="17"/>
  <c r="P113" i="17" s="1"/>
  <c r="R113" i="17" s="1"/>
  <c r="X112" i="17"/>
  <c r="F113" i="17"/>
  <c r="J107" i="16"/>
  <c r="L107" i="16" s="1"/>
  <c r="U107" i="16"/>
  <c r="Q107" i="16"/>
  <c r="S107" i="16" s="1"/>
  <c r="O113" i="17" l="1"/>
  <c r="Y107" i="16"/>
  <c r="W107" i="16"/>
  <c r="N113" i="17"/>
  <c r="G113" i="17"/>
  <c r="H113" i="17"/>
  <c r="I113" i="17"/>
  <c r="K113" i="17" s="1"/>
  <c r="U113" i="17" s="1"/>
  <c r="T107" i="16"/>
  <c r="V107" i="16" s="1"/>
  <c r="F108" i="16"/>
  <c r="M108" i="16"/>
  <c r="X107" i="16"/>
  <c r="Q113" i="17" l="1"/>
  <c r="S113" i="17" s="1"/>
  <c r="J113" i="17"/>
  <c r="I108" i="16"/>
  <c r="K108" i="16" s="1"/>
  <c r="H108" i="16"/>
  <c r="G108" i="16"/>
  <c r="N108" i="16"/>
  <c r="P108" i="16"/>
  <c r="R108" i="16" s="1"/>
  <c r="O108" i="16"/>
  <c r="T113" i="17" l="1"/>
  <c r="L113" i="17"/>
  <c r="W113" i="17" s="1"/>
  <c r="U108" i="16"/>
  <c r="Q108" i="16"/>
  <c r="S108" i="16" s="1"/>
  <c r="J108" i="16"/>
  <c r="Y113" i="17" l="1"/>
  <c r="X113" i="17"/>
  <c r="F114" i="17"/>
  <c r="I114" i="17" s="1"/>
  <c r="K114" i="17" s="1"/>
  <c r="M114" i="17"/>
  <c r="O114" i="17" s="1"/>
  <c r="V113" i="17"/>
  <c r="T108" i="16"/>
  <c r="L108" i="16"/>
  <c r="H114" i="17" l="1"/>
  <c r="G114" i="17"/>
  <c r="N114" i="17"/>
  <c r="P114" i="17"/>
  <c r="R114" i="17" s="1"/>
  <c r="U114" i="17" s="1"/>
  <c r="Y108" i="16"/>
  <c r="W108" i="16"/>
  <c r="J114" i="17"/>
  <c r="M109" i="16"/>
  <c r="X108" i="16"/>
  <c r="F109" i="16"/>
  <c r="V108" i="16"/>
  <c r="Q114" i="17" l="1"/>
  <c r="S114" i="17" s="1"/>
  <c r="L114" i="17"/>
  <c r="W114" i="17" s="1"/>
  <c r="I109" i="16"/>
  <c r="K109" i="16" s="1"/>
  <c r="H109" i="16"/>
  <c r="G109" i="16"/>
  <c r="P109" i="16"/>
  <c r="R109" i="16" s="1"/>
  <c r="O109" i="16"/>
  <c r="N109" i="16"/>
  <c r="T114" i="17" l="1"/>
  <c r="V114" i="17" s="1"/>
  <c r="M115" i="17"/>
  <c r="X114" i="17"/>
  <c r="F115" i="17"/>
  <c r="Y114" i="17"/>
  <c r="U109" i="16"/>
  <c r="Q109" i="16"/>
  <c r="S109" i="16" s="1"/>
  <c r="J109" i="16"/>
  <c r="L109" i="16" s="1"/>
  <c r="W109" i="16" s="1"/>
  <c r="N115" i="17" l="1"/>
  <c r="O115" i="17"/>
  <c r="P115" i="17"/>
  <c r="H115" i="17"/>
  <c r="I115" i="17"/>
  <c r="K115" i="17" s="1"/>
  <c r="G115" i="17"/>
  <c r="Y109" i="16"/>
  <c r="X109" i="16"/>
  <c r="F110" i="16"/>
  <c r="M110" i="16"/>
  <c r="T109" i="16"/>
  <c r="V109" i="16" s="1"/>
  <c r="Q115" i="17" l="1"/>
  <c r="J115" i="17"/>
  <c r="R115" i="17"/>
  <c r="U115" i="17" s="1"/>
  <c r="P110" i="16"/>
  <c r="R110" i="16" s="1"/>
  <c r="O110" i="16"/>
  <c r="N110" i="16"/>
  <c r="H110" i="16"/>
  <c r="G110" i="16"/>
  <c r="I110" i="16"/>
  <c r="K110" i="16" s="1"/>
  <c r="T115" i="17" l="1"/>
  <c r="L115" i="17"/>
  <c r="W115" i="17" s="1"/>
  <c r="S115" i="17"/>
  <c r="U110" i="16"/>
  <c r="J110" i="16"/>
  <c r="L110" i="16" s="1"/>
  <c r="Q110" i="16"/>
  <c r="S110" i="16" s="1"/>
  <c r="Y115" i="17" l="1"/>
  <c r="W110" i="16"/>
  <c r="M116" i="17"/>
  <c r="O116" i="17" s="1"/>
  <c r="F116" i="17"/>
  <c r="G116" i="17" s="1"/>
  <c r="X115" i="17"/>
  <c r="V115" i="17"/>
  <c r="Y110" i="16"/>
  <c r="T110" i="16"/>
  <c r="V110" i="16" s="1"/>
  <c r="X110" i="16"/>
  <c r="F111" i="16"/>
  <c r="M111" i="16"/>
  <c r="P116" i="17" l="1"/>
  <c r="R116" i="17" s="1"/>
  <c r="I116" i="17"/>
  <c r="K116" i="17" s="1"/>
  <c r="N116" i="17"/>
  <c r="H116" i="17"/>
  <c r="G111" i="16"/>
  <c r="I111" i="16"/>
  <c r="K111" i="16" s="1"/>
  <c r="H111" i="16"/>
  <c r="O111" i="16"/>
  <c r="N111" i="16"/>
  <c r="P111" i="16"/>
  <c r="R111" i="16" s="1"/>
  <c r="Q116" i="17" l="1"/>
  <c r="J116" i="17"/>
  <c r="L116" i="17" s="1"/>
  <c r="W116" i="17" s="1"/>
  <c r="U116" i="17"/>
  <c r="S116" i="17"/>
  <c r="J111" i="16"/>
  <c r="L111" i="16" s="1"/>
  <c r="U111" i="16"/>
  <c r="Q111" i="16"/>
  <c r="S111" i="16" s="1"/>
  <c r="T116" i="17" l="1"/>
  <c r="W111" i="16"/>
  <c r="Y111" i="16"/>
  <c r="F117" i="17"/>
  <c r="Y116" i="17"/>
  <c r="M117" i="17"/>
  <c r="V116" i="17"/>
  <c r="X116" i="17"/>
  <c r="F112" i="16"/>
  <c r="M112" i="16"/>
  <c r="X111" i="16"/>
  <c r="T111" i="16"/>
  <c r="V111" i="16" s="1"/>
  <c r="P117" i="17" l="1"/>
  <c r="R117" i="17" s="1"/>
  <c r="O117" i="17"/>
  <c r="N117" i="17"/>
  <c r="I117" i="17"/>
  <c r="K117" i="17" s="1"/>
  <c r="G117" i="17"/>
  <c r="H117" i="17"/>
  <c r="N112" i="16"/>
  <c r="P112" i="16"/>
  <c r="R112" i="16" s="1"/>
  <c r="O112" i="16"/>
  <c r="I112" i="16"/>
  <c r="K112" i="16" s="1"/>
  <c r="H112" i="16"/>
  <c r="G112" i="16"/>
  <c r="U117" i="17" l="1"/>
  <c r="Q117" i="17"/>
  <c r="S117" i="17" s="1"/>
  <c r="J117" i="17"/>
  <c r="L117" i="17" s="1"/>
  <c r="W117" i="17" s="1"/>
  <c r="Q112" i="16"/>
  <c r="S112" i="16" s="1"/>
  <c r="U112" i="16"/>
  <c r="J112" i="16"/>
  <c r="T112" i="16" l="1"/>
  <c r="T117" i="17"/>
  <c r="V117" i="17" s="1"/>
  <c r="X117" i="17"/>
  <c r="F118" i="17"/>
  <c r="M118" i="17"/>
  <c r="Y117" i="17"/>
  <c r="L112" i="16"/>
  <c r="Y112" i="16" l="1"/>
  <c r="W112" i="16"/>
  <c r="O118" i="17"/>
  <c r="P118" i="17"/>
  <c r="R118" i="17" s="1"/>
  <c r="N118" i="17"/>
  <c r="G118" i="17"/>
  <c r="H118" i="17"/>
  <c r="I118" i="17"/>
  <c r="K118" i="17" s="1"/>
  <c r="U118" i="17" s="1"/>
  <c r="M113" i="16"/>
  <c r="X112" i="16"/>
  <c r="F113" i="16"/>
  <c r="V112" i="16"/>
  <c r="J118" i="17" l="1"/>
  <c r="L118" i="17" s="1"/>
  <c r="Q118" i="17"/>
  <c r="I113" i="16"/>
  <c r="K113" i="16" s="1"/>
  <c r="H113" i="16"/>
  <c r="G113" i="16"/>
  <c r="P113" i="16"/>
  <c r="R113" i="16" s="1"/>
  <c r="O113" i="16"/>
  <c r="N113" i="16"/>
  <c r="T118" i="17" l="1"/>
  <c r="S118" i="17"/>
  <c r="M119" i="17" s="1"/>
  <c r="U113" i="16"/>
  <c r="Q113" i="16"/>
  <c r="S113" i="16" s="1"/>
  <c r="J113" i="16"/>
  <c r="L113" i="16" s="1"/>
  <c r="W118" i="17" l="1"/>
  <c r="W113" i="16"/>
  <c r="F119" i="17"/>
  <c r="G119" i="17" s="1"/>
  <c r="Y118" i="17"/>
  <c r="X118" i="17"/>
  <c r="V118" i="17"/>
  <c r="P119" i="17"/>
  <c r="R119" i="17" s="1"/>
  <c r="O119" i="17"/>
  <c r="N119" i="17"/>
  <c r="Y113" i="16"/>
  <c r="X113" i="16"/>
  <c r="F114" i="16"/>
  <c r="M114" i="16"/>
  <c r="T113" i="16"/>
  <c r="V113" i="16" s="1"/>
  <c r="I119" i="17" l="1"/>
  <c r="K119" i="17" s="1"/>
  <c r="U119" i="17" s="1"/>
  <c r="H119" i="17"/>
  <c r="J119" i="17" s="1"/>
  <c r="L119" i="17" s="1"/>
  <c r="W119" i="17" s="1"/>
  <c r="Q119" i="17"/>
  <c r="S119" i="17" s="1"/>
  <c r="P114" i="16"/>
  <c r="R114" i="16" s="1"/>
  <c r="O114" i="16"/>
  <c r="N114" i="16"/>
  <c r="H114" i="16"/>
  <c r="G114" i="16"/>
  <c r="I114" i="16"/>
  <c r="K114" i="16" s="1"/>
  <c r="T119" i="17" l="1"/>
  <c r="V119" i="17" s="1"/>
  <c r="Y119" i="17"/>
  <c r="X119" i="17"/>
  <c r="F120" i="17"/>
  <c r="M120" i="17"/>
  <c r="U114" i="16"/>
  <c r="J114" i="16"/>
  <c r="Q114" i="16"/>
  <c r="S114" i="16" s="1"/>
  <c r="I120" i="17" l="1"/>
  <c r="K120" i="17" s="1"/>
  <c r="G120" i="17"/>
  <c r="H120" i="17"/>
  <c r="P120" i="17"/>
  <c r="R120" i="17" s="1"/>
  <c r="O120" i="17"/>
  <c r="N120" i="17"/>
  <c r="T114" i="16"/>
  <c r="L114" i="16"/>
  <c r="Q120" i="17" l="1"/>
  <c r="Y114" i="16"/>
  <c r="W114" i="16"/>
  <c r="J120" i="17"/>
  <c r="L120" i="17" s="1"/>
  <c r="W120" i="17" s="1"/>
  <c r="S120" i="17"/>
  <c r="U120" i="17"/>
  <c r="X114" i="16"/>
  <c r="F115" i="16"/>
  <c r="M115" i="16"/>
  <c r="V114" i="16"/>
  <c r="T120" i="17" l="1"/>
  <c r="V120" i="17" s="1"/>
  <c r="M121" i="17"/>
  <c r="N121" i="17" s="1"/>
  <c r="F121" i="17"/>
  <c r="Y120" i="17"/>
  <c r="X120" i="17"/>
  <c r="O115" i="16"/>
  <c r="N115" i="16"/>
  <c r="P115" i="16"/>
  <c r="R115" i="16" s="1"/>
  <c r="G115" i="16"/>
  <c r="I115" i="16"/>
  <c r="K115" i="16" s="1"/>
  <c r="H115" i="16"/>
  <c r="O121" i="17" l="1"/>
  <c r="P121" i="17"/>
  <c r="R121" i="17" s="1"/>
  <c r="I121" i="17"/>
  <c r="K121" i="17" s="1"/>
  <c r="H121" i="17"/>
  <c r="G121" i="17"/>
  <c r="U115" i="16"/>
  <c r="J115" i="16"/>
  <c r="Q115" i="16"/>
  <c r="S115" i="16" s="1"/>
  <c r="U121" i="17" l="1"/>
  <c r="Q121" i="17"/>
  <c r="S121" i="17" s="1"/>
  <c r="J121" i="17"/>
  <c r="L121" i="17" s="1"/>
  <c r="W121" i="17" s="1"/>
  <c r="T115" i="16"/>
  <c r="L115" i="16"/>
  <c r="Y115" i="16" l="1"/>
  <c r="W115" i="16"/>
  <c r="T121" i="17"/>
  <c r="V121" i="17" s="1"/>
  <c r="F122" i="17"/>
  <c r="X121" i="17"/>
  <c r="Y121" i="17"/>
  <c r="M122" i="17"/>
  <c r="F116" i="16"/>
  <c r="M116" i="16"/>
  <c r="X115" i="16"/>
  <c r="V115" i="16"/>
  <c r="N122" i="17" l="1"/>
  <c r="O122" i="17"/>
  <c r="P122" i="17"/>
  <c r="R122" i="17" s="1"/>
  <c r="G122" i="17"/>
  <c r="H122" i="17"/>
  <c r="I122" i="17"/>
  <c r="K122" i="17" s="1"/>
  <c r="N116" i="16"/>
  <c r="P116" i="16"/>
  <c r="R116" i="16" s="1"/>
  <c r="O116" i="16"/>
  <c r="I116" i="16"/>
  <c r="K116" i="16" s="1"/>
  <c r="H116" i="16"/>
  <c r="G116" i="16"/>
  <c r="J122" i="17" l="1"/>
  <c r="L122" i="17" s="1"/>
  <c r="U122" i="17"/>
  <c r="Q122" i="17"/>
  <c r="U116" i="16"/>
  <c r="J116" i="16"/>
  <c r="L116" i="16" s="1"/>
  <c r="Q116" i="16"/>
  <c r="T122" i="17" l="1"/>
  <c r="W122" i="17"/>
  <c r="S122" i="17"/>
  <c r="V122" i="17" s="1"/>
  <c r="T116" i="16"/>
  <c r="S116" i="16"/>
  <c r="Y116" i="16" s="1"/>
  <c r="Y122" i="17" l="1"/>
  <c r="X122" i="17"/>
  <c r="M123" i="17"/>
  <c r="N123" i="17" s="1"/>
  <c r="F123" i="17"/>
  <c r="I123" i="17" s="1"/>
  <c r="K123" i="17" s="1"/>
  <c r="W116" i="16"/>
  <c r="M117" i="16"/>
  <c r="P117" i="16" s="1"/>
  <c r="R117" i="16" s="1"/>
  <c r="X116" i="16"/>
  <c r="F117" i="16"/>
  <c r="H117" i="16" s="1"/>
  <c r="V116" i="16"/>
  <c r="O123" i="17" l="1"/>
  <c r="P123" i="17"/>
  <c r="R123" i="17" s="1"/>
  <c r="U123" i="17" s="1"/>
  <c r="H123" i="17"/>
  <c r="G123" i="17"/>
  <c r="N117" i="16"/>
  <c r="O117" i="16"/>
  <c r="I117" i="16"/>
  <c r="K117" i="16" s="1"/>
  <c r="U117" i="16" s="1"/>
  <c r="G117" i="16"/>
  <c r="Q123" i="17" l="1"/>
  <c r="S123" i="17" s="1"/>
  <c r="J123" i="17"/>
  <c r="L123" i="17" s="1"/>
  <c r="W123" i="17" s="1"/>
  <c r="Q117" i="16"/>
  <c r="S117" i="16" s="1"/>
  <c r="J117" i="16"/>
  <c r="L117" i="16" s="1"/>
  <c r="W117" i="16" l="1"/>
  <c r="F124" i="17"/>
  <c r="G124" i="17" s="1"/>
  <c r="T123" i="17"/>
  <c r="V123" i="17" s="1"/>
  <c r="M124" i="17"/>
  <c r="O124" i="17" s="1"/>
  <c r="Y123" i="17"/>
  <c r="X123" i="17"/>
  <c r="Y117" i="16"/>
  <c r="T117" i="16"/>
  <c r="V117" i="16" s="1"/>
  <c r="P124" i="17"/>
  <c r="R124" i="17" s="1"/>
  <c r="M118" i="16"/>
  <c r="X117" i="16"/>
  <c r="F118" i="16"/>
  <c r="N124" i="17" l="1"/>
  <c r="Q124" i="17" s="1"/>
  <c r="S124" i="17" s="1"/>
  <c r="I124" i="17"/>
  <c r="K124" i="17" s="1"/>
  <c r="U124" i="17" s="1"/>
  <c r="H124" i="17"/>
  <c r="H118" i="16"/>
  <c r="G118" i="16"/>
  <c r="I118" i="16"/>
  <c r="K118" i="16" s="1"/>
  <c r="P118" i="16"/>
  <c r="R118" i="16" s="1"/>
  <c r="O118" i="16"/>
  <c r="N118" i="16"/>
  <c r="J124" i="17" l="1"/>
  <c r="L124" i="17" s="1"/>
  <c r="W124" i="17" s="1"/>
  <c r="Q118" i="16"/>
  <c r="S118" i="16" s="1"/>
  <c r="U118" i="16"/>
  <c r="J118" i="16"/>
  <c r="F125" i="17" l="1"/>
  <c r="H125" i="17" s="1"/>
  <c r="M125" i="17"/>
  <c r="N125" i="17" s="1"/>
  <c r="Y124" i="17"/>
  <c r="T124" i="17"/>
  <c r="V124" i="17" s="1"/>
  <c r="X124" i="17"/>
  <c r="T118" i="16"/>
  <c r="L118" i="16"/>
  <c r="P125" i="17" l="1"/>
  <c r="R125" i="17" s="1"/>
  <c r="O125" i="17"/>
  <c r="G125" i="17"/>
  <c r="I125" i="17"/>
  <c r="K125" i="17" s="1"/>
  <c r="Y118" i="16"/>
  <c r="W118" i="16"/>
  <c r="X118" i="16"/>
  <c r="F119" i="16"/>
  <c r="M119" i="16"/>
  <c r="V118" i="16"/>
  <c r="U125" i="17" l="1"/>
  <c r="Q125" i="17"/>
  <c r="S125" i="17" s="1"/>
  <c r="J125" i="17"/>
  <c r="L125" i="17" s="1"/>
  <c r="O119" i="16"/>
  <c r="N119" i="16"/>
  <c r="P119" i="16"/>
  <c r="R119" i="16" s="1"/>
  <c r="G119" i="16"/>
  <c r="I119" i="16"/>
  <c r="K119" i="16" s="1"/>
  <c r="H119" i="16"/>
  <c r="T125" i="17" l="1"/>
  <c r="F126" i="17"/>
  <c r="G126" i="17" s="1"/>
  <c r="M126" i="17"/>
  <c r="P126" i="17" s="1"/>
  <c r="R126" i="17" s="1"/>
  <c r="W125" i="17"/>
  <c r="X125" i="17"/>
  <c r="Y125" i="17"/>
  <c r="V125" i="17"/>
  <c r="O126" i="17"/>
  <c r="U119" i="16"/>
  <c r="J119" i="16"/>
  <c r="Q119" i="16"/>
  <c r="S119" i="16" s="1"/>
  <c r="H126" i="17" l="1"/>
  <c r="I126" i="17"/>
  <c r="K126" i="17" s="1"/>
  <c r="U126" i="17" s="1"/>
  <c r="N126" i="17"/>
  <c r="Q126" i="17" s="1"/>
  <c r="S126" i="17" s="1"/>
  <c r="T119" i="16"/>
  <c r="L119" i="16"/>
  <c r="J126" i="17" l="1"/>
  <c r="L126" i="17" s="1"/>
  <c r="Y119" i="16"/>
  <c r="W119" i="16"/>
  <c r="F120" i="16"/>
  <c r="M120" i="16"/>
  <c r="X119" i="16"/>
  <c r="V119" i="16"/>
  <c r="T126" i="17" l="1"/>
  <c r="X126" i="17"/>
  <c r="F127" i="17"/>
  <c r="V126" i="17"/>
  <c r="Y126" i="17"/>
  <c r="M127" i="17"/>
  <c r="N127" i="17" s="1"/>
  <c r="W126" i="17"/>
  <c r="H127" i="17"/>
  <c r="I127" i="17"/>
  <c r="K127" i="17" s="1"/>
  <c r="G127" i="17"/>
  <c r="N120" i="16"/>
  <c r="P120" i="16"/>
  <c r="R120" i="16" s="1"/>
  <c r="O120" i="16"/>
  <c r="I120" i="16"/>
  <c r="K120" i="16" s="1"/>
  <c r="H120" i="16"/>
  <c r="G120" i="16"/>
  <c r="O127" i="17" l="1"/>
  <c r="P127" i="17"/>
  <c r="R127" i="17" s="1"/>
  <c r="U127" i="17" s="1"/>
  <c r="J127" i="17"/>
  <c r="J120" i="16"/>
  <c r="L120" i="16" s="1"/>
  <c r="U120" i="16"/>
  <c r="Q120" i="16"/>
  <c r="Q127" i="17" l="1"/>
  <c r="S127" i="17" s="1"/>
  <c r="L127" i="17"/>
  <c r="W127" i="17" s="1"/>
  <c r="T120" i="16"/>
  <c r="S120" i="16"/>
  <c r="T127" i="17" l="1"/>
  <c r="V120" i="16"/>
  <c r="W120" i="16"/>
  <c r="F121" i="16"/>
  <c r="H121" i="16" s="1"/>
  <c r="M121" i="16"/>
  <c r="N121" i="16" s="1"/>
  <c r="Y127" i="17"/>
  <c r="X127" i="17"/>
  <c r="F128" i="17"/>
  <c r="M128" i="17"/>
  <c r="V127" i="17"/>
  <c r="Y120" i="16"/>
  <c r="X120" i="16"/>
  <c r="O121" i="16" l="1"/>
  <c r="G121" i="16"/>
  <c r="P121" i="16"/>
  <c r="R121" i="16" s="1"/>
  <c r="I121" i="16"/>
  <c r="K121" i="16" s="1"/>
  <c r="U121" i="16" s="1"/>
  <c r="G128" i="17"/>
  <c r="I128" i="17"/>
  <c r="K128" i="17" s="1"/>
  <c r="H128" i="17"/>
  <c r="O128" i="17"/>
  <c r="P128" i="17"/>
  <c r="R128" i="17" s="1"/>
  <c r="N128" i="17"/>
  <c r="Q121" i="16"/>
  <c r="S121" i="16" s="1"/>
  <c r="J121" i="16"/>
  <c r="L121" i="16" s="1"/>
  <c r="W121" i="16" s="1"/>
  <c r="J128" i="17" l="1"/>
  <c r="L128" i="17" s="1"/>
  <c r="W128" i="17" s="1"/>
  <c r="Q128" i="17"/>
  <c r="S128" i="17" s="1"/>
  <c r="U128" i="17"/>
  <c r="Y121" i="16"/>
  <c r="X121" i="16"/>
  <c r="F122" i="16"/>
  <c r="M122" i="16"/>
  <c r="T121" i="16"/>
  <c r="V121" i="16" s="1"/>
  <c r="T128" i="17" l="1"/>
  <c r="V128" i="17" s="1"/>
  <c r="F129" i="17"/>
  <c r="X128" i="17"/>
  <c r="M129" i="17"/>
  <c r="Y128" i="17"/>
  <c r="P122" i="16"/>
  <c r="R122" i="16" s="1"/>
  <c r="O122" i="16"/>
  <c r="N122" i="16"/>
  <c r="H122" i="16"/>
  <c r="G122" i="16"/>
  <c r="I122" i="16"/>
  <c r="K122" i="16" s="1"/>
  <c r="O129" i="17" l="1"/>
  <c r="N129" i="17"/>
  <c r="P129" i="17"/>
  <c r="R129" i="17" s="1"/>
  <c r="G129" i="17"/>
  <c r="H129" i="17"/>
  <c r="I129" i="17"/>
  <c r="K129" i="17" s="1"/>
  <c r="U122" i="16"/>
  <c r="J122" i="16"/>
  <c r="Q122" i="16"/>
  <c r="S122" i="16" s="1"/>
  <c r="J129" i="17" l="1"/>
  <c r="L129" i="17" s="1"/>
  <c r="U129" i="17"/>
  <c r="Q129" i="17"/>
  <c r="T122" i="16"/>
  <c r="L122" i="16"/>
  <c r="Y122" i="16" l="1"/>
  <c r="W122" i="16"/>
  <c r="T129" i="17"/>
  <c r="S129" i="17"/>
  <c r="X129" i="17" s="1"/>
  <c r="M130" i="17"/>
  <c r="P130" i="17" s="1"/>
  <c r="R130" i="17" s="1"/>
  <c r="X122" i="16"/>
  <c r="F123" i="16"/>
  <c r="M123" i="16"/>
  <c r="V122" i="16"/>
  <c r="W129" i="17" l="1"/>
  <c r="V129" i="17"/>
  <c r="F130" i="17"/>
  <c r="I130" i="17" s="1"/>
  <c r="K130" i="17" s="1"/>
  <c r="U130" i="17" s="1"/>
  <c r="O130" i="17"/>
  <c r="N130" i="17"/>
  <c r="Y129" i="17"/>
  <c r="O123" i="16"/>
  <c r="N123" i="16"/>
  <c r="P123" i="16"/>
  <c r="R123" i="16" s="1"/>
  <c r="G123" i="16"/>
  <c r="I123" i="16"/>
  <c r="K123" i="16" s="1"/>
  <c r="H123" i="16"/>
  <c r="Q130" i="17" l="1"/>
  <c r="S130" i="17" s="1"/>
  <c r="G130" i="17"/>
  <c r="H130" i="17"/>
  <c r="U123" i="16"/>
  <c r="J123" i="16"/>
  <c r="Q123" i="16"/>
  <c r="S123" i="16" s="1"/>
  <c r="J130" i="17" l="1"/>
  <c r="T130" i="17" s="1"/>
  <c r="T123" i="16"/>
  <c r="L123" i="16"/>
  <c r="Y123" i="16" l="1"/>
  <c r="W123" i="16"/>
  <c r="L130" i="17"/>
  <c r="F124" i="16"/>
  <c r="M124" i="16"/>
  <c r="X123" i="16"/>
  <c r="V123" i="16"/>
  <c r="Y130" i="17" l="1"/>
  <c r="W130" i="17"/>
  <c r="F131" i="17"/>
  <c r="G131" i="17" s="1"/>
  <c r="X130" i="17"/>
  <c r="M131" i="17"/>
  <c r="V130" i="17"/>
  <c r="N124" i="16"/>
  <c r="P124" i="16"/>
  <c r="R124" i="16" s="1"/>
  <c r="O124" i="16"/>
  <c r="I124" i="16"/>
  <c r="K124" i="16" s="1"/>
  <c r="H124" i="16"/>
  <c r="G124" i="16"/>
  <c r="H131" i="17" l="1"/>
  <c r="I131" i="17"/>
  <c r="K131" i="17" s="1"/>
  <c r="U124" i="16"/>
  <c r="P131" i="17"/>
  <c r="R131" i="17" s="1"/>
  <c r="O131" i="17"/>
  <c r="N131" i="17"/>
  <c r="J124" i="16"/>
  <c r="L124" i="16" s="1"/>
  <c r="Q124" i="16"/>
  <c r="J131" i="17" l="1"/>
  <c r="L131" i="17" s="1"/>
  <c r="W131" i="17" s="1"/>
  <c r="U131" i="17"/>
  <c r="Q131" i="17"/>
  <c r="S131" i="17" s="1"/>
  <c r="T124" i="16"/>
  <c r="S124" i="16"/>
  <c r="W124" i="16" s="1"/>
  <c r="X131" i="17" l="1"/>
  <c r="Y131" i="17"/>
  <c r="T131" i="17"/>
  <c r="V131" i="17" s="1"/>
  <c r="M132" i="17"/>
  <c r="F132" i="17"/>
  <c r="V124" i="16"/>
  <c r="F125" i="16"/>
  <c r="G125" i="16" s="1"/>
  <c r="Y124" i="16"/>
  <c r="M125" i="16"/>
  <c r="P125" i="16" s="1"/>
  <c r="R125" i="16" s="1"/>
  <c r="X124" i="16"/>
  <c r="H125" i="16" l="1"/>
  <c r="I125" i="16"/>
  <c r="K125" i="16" s="1"/>
  <c r="U125" i="16" s="1"/>
  <c r="P132" i="17"/>
  <c r="R132" i="17" s="1"/>
  <c r="O132" i="17"/>
  <c r="N132" i="17"/>
  <c r="H132" i="17"/>
  <c r="G132" i="17"/>
  <c r="I132" i="17"/>
  <c r="K132" i="17" s="1"/>
  <c r="N125" i="16"/>
  <c r="O125" i="16"/>
  <c r="J125" i="16" l="1"/>
  <c r="L125" i="16" s="1"/>
  <c r="J132" i="17"/>
  <c r="L132" i="17" s="1"/>
  <c r="W132" i="17" s="1"/>
  <c r="Q132" i="17"/>
  <c r="S132" i="17" s="1"/>
  <c r="U132" i="17"/>
  <c r="Q125" i="16"/>
  <c r="S125" i="16" s="1"/>
  <c r="M133" i="17" l="1"/>
  <c r="N133" i="17" s="1"/>
  <c r="Y132" i="17"/>
  <c r="T125" i="16"/>
  <c r="V125" i="16" s="1"/>
  <c r="X132" i="17"/>
  <c r="F133" i="17"/>
  <c r="H133" i="17" s="1"/>
  <c r="T132" i="17"/>
  <c r="V132" i="17" s="1"/>
  <c r="Y125" i="16"/>
  <c r="W125" i="16"/>
  <c r="X125" i="16"/>
  <c r="F126" i="16"/>
  <c r="M126" i="16"/>
  <c r="O133" i="17" l="1"/>
  <c r="P133" i="17"/>
  <c r="R133" i="17" s="1"/>
  <c r="I133" i="17"/>
  <c r="K133" i="17" s="1"/>
  <c r="G133" i="17"/>
  <c r="P126" i="16"/>
  <c r="R126" i="16" s="1"/>
  <c r="O126" i="16"/>
  <c r="N126" i="16"/>
  <c r="H126" i="16"/>
  <c r="G126" i="16"/>
  <c r="I126" i="16"/>
  <c r="K126" i="16" s="1"/>
  <c r="Q133" i="17" l="1"/>
  <c r="S133" i="17" s="1"/>
  <c r="U133" i="17"/>
  <c r="J133" i="17"/>
  <c r="L133" i="17" s="1"/>
  <c r="U126" i="16"/>
  <c r="J126" i="16"/>
  <c r="Q126" i="16"/>
  <c r="S126" i="16" s="1"/>
  <c r="W133" i="17" l="1"/>
  <c r="Y133" i="17"/>
  <c r="F134" i="17"/>
  <c r="H134" i="17" s="1"/>
  <c r="T133" i="17"/>
  <c r="V133" i="17" s="1"/>
  <c r="M134" i="17"/>
  <c r="P134" i="17" s="1"/>
  <c r="R134" i="17" s="1"/>
  <c r="X133" i="17"/>
  <c r="I134" i="17"/>
  <c r="K134" i="17" s="1"/>
  <c r="T126" i="16"/>
  <c r="L126" i="16"/>
  <c r="G134" i="17" l="1"/>
  <c r="J134" i="17" s="1"/>
  <c r="L134" i="17" s="1"/>
  <c r="O134" i="17"/>
  <c r="N134" i="17"/>
  <c r="Y126" i="16"/>
  <c r="W126" i="16"/>
  <c r="U134" i="17"/>
  <c r="X126" i="16"/>
  <c r="F127" i="16"/>
  <c r="M127" i="16"/>
  <c r="V126" i="16"/>
  <c r="Q134" i="17" l="1"/>
  <c r="T134" i="17" s="1"/>
  <c r="O127" i="16"/>
  <c r="N127" i="16"/>
  <c r="P127" i="16"/>
  <c r="R127" i="16" s="1"/>
  <c r="G127" i="16"/>
  <c r="I127" i="16"/>
  <c r="K127" i="16" s="1"/>
  <c r="H127" i="16"/>
  <c r="S134" i="17" l="1"/>
  <c r="V134" i="17" s="1"/>
  <c r="F135" i="17"/>
  <c r="G135" i="17" s="1"/>
  <c r="U127" i="16"/>
  <c r="J127" i="16"/>
  <c r="Q127" i="16"/>
  <c r="S127" i="16" s="1"/>
  <c r="M135" i="17" l="1"/>
  <c r="N135" i="17" s="1"/>
  <c r="X134" i="17"/>
  <c r="Y134" i="17"/>
  <c r="W134" i="17"/>
  <c r="H135" i="17"/>
  <c r="I135" i="17"/>
  <c r="K135" i="17" s="1"/>
  <c r="T127" i="16"/>
  <c r="L127" i="16"/>
  <c r="O135" i="17" l="1"/>
  <c r="P135" i="17"/>
  <c r="R135" i="17" s="1"/>
  <c r="U135" i="17" s="1"/>
  <c r="Y127" i="16"/>
  <c r="W127" i="16"/>
  <c r="J135" i="17"/>
  <c r="L135" i="17" s="1"/>
  <c r="F128" i="16"/>
  <c r="M128" i="16"/>
  <c r="X127" i="16"/>
  <c r="V127" i="16"/>
  <c r="Q135" i="17" l="1"/>
  <c r="S135" i="17" s="1"/>
  <c r="N128" i="16"/>
  <c r="P128" i="16"/>
  <c r="R128" i="16" s="1"/>
  <c r="O128" i="16"/>
  <c r="I128" i="16"/>
  <c r="K128" i="16" s="1"/>
  <c r="H128" i="16"/>
  <c r="G128" i="16"/>
  <c r="Y135" i="17" l="1"/>
  <c r="F136" i="17"/>
  <c r="G136" i="17" s="1"/>
  <c r="W135" i="17"/>
  <c r="X135" i="17"/>
  <c r="M136" i="17"/>
  <c r="T135" i="17"/>
  <c r="V135" i="17" s="1"/>
  <c r="P136" i="17"/>
  <c r="R136" i="17" s="1"/>
  <c r="I136" i="17"/>
  <c r="K136" i="17" s="1"/>
  <c r="J128" i="16"/>
  <c r="L128" i="16" s="1"/>
  <c r="U128" i="16"/>
  <c r="Q128" i="16"/>
  <c r="N136" i="17" l="1"/>
  <c r="O136" i="17"/>
  <c r="H136" i="17"/>
  <c r="U136" i="17"/>
  <c r="Q136" i="17"/>
  <c r="S136" i="17" s="1"/>
  <c r="J136" i="17"/>
  <c r="T128" i="16"/>
  <c r="S128" i="16"/>
  <c r="V128" i="16" l="1"/>
  <c r="T136" i="17"/>
  <c r="L136" i="17"/>
  <c r="W136" i="17" s="1"/>
  <c r="W128" i="16"/>
  <c r="M137" i="17"/>
  <c r="Y128" i="16"/>
  <c r="F129" i="16"/>
  <c r="G129" i="16" s="1"/>
  <c r="M129" i="16"/>
  <c r="O129" i="16" s="1"/>
  <c r="X128" i="16"/>
  <c r="V136" i="17" l="1"/>
  <c r="X136" i="17"/>
  <c r="Y136" i="17"/>
  <c r="F137" i="17"/>
  <c r="H137" i="17" s="1"/>
  <c r="N129" i="16"/>
  <c r="P137" i="17"/>
  <c r="R137" i="17" s="1"/>
  <c r="O137" i="17"/>
  <c r="N137" i="17"/>
  <c r="H129" i="16"/>
  <c r="P129" i="16"/>
  <c r="R129" i="16" s="1"/>
  <c r="I129" i="16"/>
  <c r="K129" i="16" s="1"/>
  <c r="I137" i="17" l="1"/>
  <c r="K137" i="17" s="1"/>
  <c r="U137" i="17" s="1"/>
  <c r="G137" i="17"/>
  <c r="Q137" i="17"/>
  <c r="S137" i="17" s="1"/>
  <c r="J129" i="16"/>
  <c r="L129" i="16" s="1"/>
  <c r="W129" i="16" s="1"/>
  <c r="U129" i="16"/>
  <c r="Q129" i="16"/>
  <c r="S129" i="16" s="1"/>
  <c r="J137" i="17" l="1"/>
  <c r="T137" i="17" s="1"/>
  <c r="Y129" i="16"/>
  <c r="T129" i="16"/>
  <c r="V129" i="16" s="1"/>
  <c r="M130" i="16"/>
  <c r="X129" i="16"/>
  <c r="F130" i="16"/>
  <c r="L137" i="17" l="1"/>
  <c r="W137" i="17" s="1"/>
  <c r="V137" i="17"/>
  <c r="P130" i="16"/>
  <c r="R130" i="16" s="1"/>
  <c r="O130" i="16"/>
  <c r="N130" i="16"/>
  <c r="H130" i="16"/>
  <c r="G130" i="16"/>
  <c r="I130" i="16"/>
  <c r="K130" i="16" s="1"/>
  <c r="M138" i="17" l="1"/>
  <c r="O138" i="17" s="1"/>
  <c r="Y137" i="17"/>
  <c r="X137" i="17"/>
  <c r="F138" i="17"/>
  <c r="H138" i="17" s="1"/>
  <c r="P138" i="17"/>
  <c r="R138" i="17" s="1"/>
  <c r="U130" i="16"/>
  <c r="J130" i="16"/>
  <c r="Q130" i="16"/>
  <c r="S130" i="16" s="1"/>
  <c r="N138" i="17" l="1"/>
  <c r="G138" i="17"/>
  <c r="I138" i="17"/>
  <c r="K138" i="17" s="1"/>
  <c r="U138" i="17" s="1"/>
  <c r="Q138" i="17"/>
  <c r="S138" i="17" s="1"/>
  <c r="T130" i="16"/>
  <c r="L130" i="16"/>
  <c r="J138" i="17" l="1"/>
  <c r="T138" i="17" s="1"/>
  <c r="Y130" i="16"/>
  <c r="W130" i="16"/>
  <c r="X130" i="16"/>
  <c r="F131" i="16"/>
  <c r="M131" i="16"/>
  <c r="V130" i="16"/>
  <c r="L138" i="17" l="1"/>
  <c r="F139" i="17" s="1"/>
  <c r="H139" i="17" s="1"/>
  <c r="O131" i="16"/>
  <c r="N131" i="16"/>
  <c r="P131" i="16"/>
  <c r="R131" i="16" s="1"/>
  <c r="G131" i="16"/>
  <c r="I131" i="16"/>
  <c r="K131" i="16" s="1"/>
  <c r="H131" i="16"/>
  <c r="V138" i="17" l="1"/>
  <c r="X138" i="17"/>
  <c r="W138" i="17"/>
  <c r="M139" i="17"/>
  <c r="Y138" i="17"/>
  <c r="G139" i="17"/>
  <c r="I139" i="17"/>
  <c r="K139" i="17" s="1"/>
  <c r="U131" i="16"/>
  <c r="J131" i="16"/>
  <c r="Q131" i="16"/>
  <c r="S131" i="16" s="1"/>
  <c r="P139" i="17" l="1"/>
  <c r="R139" i="17" s="1"/>
  <c r="U139" i="17" s="1"/>
  <c r="N139" i="17"/>
  <c r="O139" i="17"/>
  <c r="J139" i="17"/>
  <c r="L139" i="17" s="1"/>
  <c r="T131" i="16"/>
  <c r="L131" i="16"/>
  <c r="W139" i="17" l="1"/>
  <c r="Q139" i="17"/>
  <c r="S139" i="17" s="1"/>
  <c r="X139" i="17" s="1"/>
  <c r="Y131" i="16"/>
  <c r="W131" i="16"/>
  <c r="F132" i="16"/>
  <c r="M132" i="16"/>
  <c r="X131" i="16"/>
  <c r="V131" i="16"/>
  <c r="Y139" i="17" l="1"/>
  <c r="T139" i="17"/>
  <c r="V139" i="17" s="1"/>
  <c r="M140" i="17"/>
  <c r="P140" i="17" s="1"/>
  <c r="R140" i="17" s="1"/>
  <c r="F140" i="17"/>
  <c r="H140" i="17" s="1"/>
  <c r="N132" i="16"/>
  <c r="P132" i="16"/>
  <c r="R132" i="16" s="1"/>
  <c r="O132" i="16"/>
  <c r="I132" i="16"/>
  <c r="K132" i="16" s="1"/>
  <c r="H132" i="16"/>
  <c r="G132" i="16"/>
  <c r="N140" i="17" l="1"/>
  <c r="O140" i="17"/>
  <c r="G140" i="17"/>
  <c r="J140" i="17" s="1"/>
  <c r="I140" i="17"/>
  <c r="K140" i="17" s="1"/>
  <c r="U140" i="17" s="1"/>
  <c r="U132" i="16"/>
  <c r="J132" i="16"/>
  <c r="L132" i="16" s="1"/>
  <c r="Q132" i="16"/>
  <c r="Q140" i="17" l="1"/>
  <c r="S140" i="17" s="1"/>
  <c r="L140" i="17"/>
  <c r="W140" i="17" s="1"/>
  <c r="T132" i="16"/>
  <c r="S132" i="16"/>
  <c r="W132" i="16" s="1"/>
  <c r="X140" i="17" l="1"/>
  <c r="M141" i="17"/>
  <c r="T140" i="17"/>
  <c r="V140" i="17" s="1"/>
  <c r="F141" i="17"/>
  <c r="H141" i="17" s="1"/>
  <c r="Y140" i="17"/>
  <c r="V132" i="16"/>
  <c r="P141" i="17"/>
  <c r="R141" i="17" s="1"/>
  <c r="O141" i="17"/>
  <c r="N141" i="17"/>
  <c r="F133" i="16"/>
  <c r="G133" i="16" s="1"/>
  <c r="Y132" i="16"/>
  <c r="M133" i="16"/>
  <c r="P133" i="16" s="1"/>
  <c r="R133" i="16" s="1"/>
  <c r="X132" i="16"/>
  <c r="G141" i="17" l="1"/>
  <c r="I141" i="17"/>
  <c r="K141" i="17" s="1"/>
  <c r="H133" i="16"/>
  <c r="I133" i="16"/>
  <c r="K133" i="16" s="1"/>
  <c r="U133" i="16" s="1"/>
  <c r="U141" i="17"/>
  <c r="N133" i="16"/>
  <c r="O133" i="16"/>
  <c r="Q141" i="17"/>
  <c r="S141" i="17" s="1"/>
  <c r="J141" i="17" l="1"/>
  <c r="L141" i="17"/>
  <c r="W141" i="17" s="1"/>
  <c r="Q133" i="16"/>
  <c r="S133" i="16" s="1"/>
  <c r="J133" i="16"/>
  <c r="T141" i="17"/>
  <c r="X141" i="17"/>
  <c r="Y141" i="17"/>
  <c r="M142" i="17"/>
  <c r="F142" i="17"/>
  <c r="T133" i="16" l="1"/>
  <c r="L133" i="16"/>
  <c r="Y133" i="16" s="1"/>
  <c r="H142" i="17"/>
  <c r="I142" i="17"/>
  <c r="K142" i="17" s="1"/>
  <c r="G142" i="17"/>
  <c r="N142" i="17"/>
  <c r="P142" i="17"/>
  <c r="R142" i="17" s="1"/>
  <c r="O142" i="17"/>
  <c r="V141" i="17"/>
  <c r="M134" i="16"/>
  <c r="F134" i="16" l="1"/>
  <c r="X133" i="16"/>
  <c r="V133" i="16"/>
  <c r="W133" i="16"/>
  <c r="J142" i="17"/>
  <c r="L142" i="17" s="1"/>
  <c r="Q142" i="17"/>
  <c r="U142" i="17"/>
  <c r="P134" i="16"/>
  <c r="R134" i="16" s="1"/>
  <c r="O134" i="16"/>
  <c r="N134" i="16"/>
  <c r="H134" i="16"/>
  <c r="G134" i="16"/>
  <c r="I134" i="16"/>
  <c r="K134" i="16" s="1"/>
  <c r="T142" i="17" l="1"/>
  <c r="S142" i="17"/>
  <c r="U134" i="16"/>
  <c r="Q134" i="16"/>
  <c r="S134" i="16" s="1"/>
  <c r="J134" i="16"/>
  <c r="V142" i="17" l="1"/>
  <c r="W142" i="17"/>
  <c r="M143" i="17"/>
  <c r="O143" i="17" s="1"/>
  <c r="X142" i="17"/>
  <c r="Y142" i="17"/>
  <c r="F143" i="17"/>
  <c r="G143" i="17" s="1"/>
  <c r="T134" i="16"/>
  <c r="L134" i="16"/>
  <c r="P143" i="17" l="1"/>
  <c r="R143" i="17" s="1"/>
  <c r="N143" i="17"/>
  <c r="I143" i="17"/>
  <c r="K143" i="17" s="1"/>
  <c r="H143" i="17"/>
  <c r="Y134" i="16"/>
  <c r="W134" i="16"/>
  <c r="X134" i="16"/>
  <c r="F135" i="16"/>
  <c r="M135" i="16"/>
  <c r="V134" i="16"/>
  <c r="J143" i="17" l="1"/>
  <c r="L143" i="17" s="1"/>
  <c r="U143" i="17"/>
  <c r="Q143" i="17"/>
  <c r="S143" i="17" s="1"/>
  <c r="X143" i="17" s="1"/>
  <c r="W143" i="17"/>
  <c r="Y143" i="17"/>
  <c r="O135" i="16"/>
  <c r="N135" i="16"/>
  <c r="P135" i="16"/>
  <c r="R135" i="16" s="1"/>
  <c r="G135" i="16"/>
  <c r="I135" i="16"/>
  <c r="K135" i="16" s="1"/>
  <c r="H135" i="16"/>
  <c r="M144" i="17" l="1"/>
  <c r="O144" i="17" s="1"/>
  <c r="F144" i="17"/>
  <c r="H144" i="17" s="1"/>
  <c r="T143" i="17"/>
  <c r="V143" i="17" s="1"/>
  <c r="U135" i="16"/>
  <c r="J135" i="16"/>
  <c r="Q135" i="16"/>
  <c r="S135" i="16" s="1"/>
  <c r="N144" i="17" l="1"/>
  <c r="P144" i="17"/>
  <c r="R144" i="17" s="1"/>
  <c r="I144" i="17"/>
  <c r="K144" i="17" s="1"/>
  <c r="G144" i="17"/>
  <c r="J144" i="17" s="1"/>
  <c r="T135" i="16"/>
  <c r="L135" i="16"/>
  <c r="Q144" i="17" l="1"/>
  <c r="S144" i="17" s="1"/>
  <c r="U144" i="17"/>
  <c r="Y135" i="16"/>
  <c r="W135" i="16"/>
  <c r="T144" i="17"/>
  <c r="L144" i="17"/>
  <c r="W144" i="17" s="1"/>
  <c r="F136" i="16"/>
  <c r="M136" i="16"/>
  <c r="X135" i="16"/>
  <c r="V135" i="16"/>
  <c r="M145" i="17" l="1"/>
  <c r="X144" i="17"/>
  <c r="Y144" i="17"/>
  <c r="F145" i="17"/>
  <c r="V144" i="17"/>
  <c r="N136" i="16"/>
  <c r="P136" i="16"/>
  <c r="R136" i="16" s="1"/>
  <c r="O136" i="16"/>
  <c r="I136" i="16"/>
  <c r="K136" i="16" s="1"/>
  <c r="H136" i="16"/>
  <c r="G136" i="16"/>
  <c r="I145" i="17" l="1"/>
  <c r="K145" i="17" s="1"/>
  <c r="G145" i="17"/>
  <c r="H145" i="17"/>
  <c r="P145" i="17"/>
  <c r="R145" i="17" s="1"/>
  <c r="O145" i="17"/>
  <c r="N145" i="17"/>
  <c r="U136" i="16"/>
  <c r="Q136" i="16"/>
  <c r="S136" i="16" s="1"/>
  <c r="J136" i="16"/>
  <c r="Q145" i="17" l="1"/>
  <c r="S145" i="17" s="1"/>
  <c r="J145" i="17"/>
  <c r="U145" i="17"/>
  <c r="T136" i="16"/>
  <c r="L136" i="16"/>
  <c r="Y136" i="16" l="1"/>
  <c r="W136" i="16"/>
  <c r="T145" i="17"/>
  <c r="L145" i="17"/>
  <c r="W145" i="17" s="1"/>
  <c r="M137" i="16"/>
  <c r="X136" i="16"/>
  <c r="F137" i="16"/>
  <c r="V136" i="16"/>
  <c r="Y145" i="17" l="1"/>
  <c r="M146" i="17"/>
  <c r="F146" i="17"/>
  <c r="V145" i="17"/>
  <c r="X145" i="17"/>
  <c r="I137" i="16"/>
  <c r="K137" i="16" s="1"/>
  <c r="H137" i="16"/>
  <c r="G137" i="16"/>
  <c r="P137" i="16"/>
  <c r="R137" i="16" s="1"/>
  <c r="O137" i="16"/>
  <c r="N137" i="16"/>
  <c r="I146" i="17" l="1"/>
  <c r="K146" i="17" s="1"/>
  <c r="G146" i="17"/>
  <c r="H146" i="17"/>
  <c r="P146" i="17"/>
  <c r="R146" i="17" s="1"/>
  <c r="N146" i="17"/>
  <c r="O146" i="17"/>
  <c r="J137" i="16"/>
  <c r="L137" i="16" s="1"/>
  <c r="U137" i="16"/>
  <c r="Q137" i="16"/>
  <c r="J146" i="17" l="1"/>
  <c r="L146" i="17" s="1"/>
  <c r="W146" i="17" s="1"/>
  <c r="T137" i="16"/>
  <c r="Q146" i="17"/>
  <c r="S146" i="17" s="1"/>
  <c r="U146" i="17"/>
  <c r="S137" i="16"/>
  <c r="Y137" i="16" s="1"/>
  <c r="W137" i="16" l="1"/>
  <c r="T146" i="17"/>
  <c r="V146" i="17" s="1"/>
  <c r="X146" i="17"/>
  <c r="Y146" i="17"/>
  <c r="M147" i="17"/>
  <c r="F147" i="17"/>
  <c r="M138" i="16"/>
  <c r="X137" i="16"/>
  <c r="V137" i="16"/>
  <c r="F138" i="16"/>
  <c r="H147" i="17" l="1"/>
  <c r="G147" i="17"/>
  <c r="I147" i="17"/>
  <c r="K147" i="17" s="1"/>
  <c r="P147" i="17"/>
  <c r="R147" i="17" s="1"/>
  <c r="O147" i="17"/>
  <c r="N147" i="17"/>
  <c r="H138" i="16"/>
  <c r="G138" i="16"/>
  <c r="I138" i="16"/>
  <c r="K138" i="16" s="1"/>
  <c r="P138" i="16"/>
  <c r="R138" i="16" s="1"/>
  <c r="O138" i="16"/>
  <c r="N138" i="16"/>
  <c r="Q147" i="17" l="1"/>
  <c r="S147" i="17" s="1"/>
  <c r="U147" i="17"/>
  <c r="J147" i="17"/>
  <c r="Q138" i="16"/>
  <c r="S138" i="16" s="1"/>
  <c r="U138" i="16"/>
  <c r="J138" i="16"/>
  <c r="T138" i="16" l="1"/>
  <c r="T147" i="17"/>
  <c r="L147" i="17"/>
  <c r="W147" i="17" s="1"/>
  <c r="L138" i="16"/>
  <c r="Y138" i="16" l="1"/>
  <c r="W138" i="16"/>
  <c r="Y147" i="17"/>
  <c r="M148" i="17"/>
  <c r="X147" i="17"/>
  <c r="F148" i="17"/>
  <c r="V147" i="17"/>
  <c r="X138" i="16"/>
  <c r="F139" i="16"/>
  <c r="M139" i="16"/>
  <c r="V138" i="16"/>
  <c r="P148" i="17" l="1"/>
  <c r="R148" i="17" s="1"/>
  <c r="N148" i="17"/>
  <c r="O148" i="17"/>
  <c r="G148" i="17"/>
  <c r="H148" i="17"/>
  <c r="I148" i="17"/>
  <c r="K148" i="17" s="1"/>
  <c r="O139" i="16"/>
  <c r="N139" i="16"/>
  <c r="P139" i="16"/>
  <c r="R139" i="16" s="1"/>
  <c r="G139" i="16"/>
  <c r="I139" i="16"/>
  <c r="K139" i="16" s="1"/>
  <c r="H139" i="16"/>
  <c r="U148" i="17" l="1"/>
  <c r="Q148" i="17"/>
  <c r="S148" i="17" s="1"/>
  <c r="J148" i="17"/>
  <c r="U139" i="16"/>
  <c r="J139" i="16"/>
  <c r="Q139" i="16"/>
  <c r="S139" i="16" s="1"/>
  <c r="L148" i="17" l="1"/>
  <c r="W148" i="17" s="1"/>
  <c r="T148" i="17"/>
  <c r="T139" i="16"/>
  <c r="L139" i="16"/>
  <c r="Y139" i="16" l="1"/>
  <c r="W139" i="16"/>
  <c r="X148" i="17"/>
  <c r="Y148" i="17"/>
  <c r="M149" i="17"/>
  <c r="F149" i="17"/>
  <c r="V148" i="17"/>
  <c r="F140" i="16"/>
  <c r="M140" i="16"/>
  <c r="X139" i="16"/>
  <c r="V139" i="16"/>
  <c r="N149" i="17" l="1"/>
  <c r="P149" i="17"/>
  <c r="R149" i="17" s="1"/>
  <c r="O149" i="17"/>
  <c r="H149" i="17"/>
  <c r="I149" i="17"/>
  <c r="K149" i="17" s="1"/>
  <c r="G149" i="17"/>
  <c r="N140" i="16"/>
  <c r="P140" i="16"/>
  <c r="R140" i="16" s="1"/>
  <c r="O140" i="16"/>
  <c r="I140" i="16"/>
  <c r="K140" i="16" s="1"/>
  <c r="H140" i="16"/>
  <c r="G140" i="16"/>
  <c r="J149" i="17" l="1"/>
  <c r="L149" i="17" s="1"/>
  <c r="Q149" i="17"/>
  <c r="U149" i="17"/>
  <c r="U140" i="16"/>
  <c r="J140" i="16"/>
  <c r="L140" i="16" s="1"/>
  <c r="Q140" i="16"/>
  <c r="W149" i="17" l="1"/>
  <c r="T149" i="17"/>
  <c r="S149" i="17"/>
  <c r="M150" i="17" s="1"/>
  <c r="T140" i="16"/>
  <c r="S140" i="16"/>
  <c r="W140" i="16" s="1"/>
  <c r="V149" i="17" l="1"/>
  <c r="F150" i="17"/>
  <c r="H150" i="17" s="1"/>
  <c r="X149" i="17"/>
  <c r="F141" i="16"/>
  <c r="G141" i="16" s="1"/>
  <c r="Y149" i="17"/>
  <c r="V140" i="16"/>
  <c r="M141" i="16"/>
  <c r="O141" i="16" s="1"/>
  <c r="I150" i="17"/>
  <c r="K150" i="17" s="1"/>
  <c r="P150" i="17"/>
  <c r="R150" i="17" s="1"/>
  <c r="N150" i="17"/>
  <c r="O150" i="17"/>
  <c r="X140" i="16"/>
  <c r="Y140" i="16"/>
  <c r="P141" i="16" l="1"/>
  <c r="R141" i="16" s="1"/>
  <c r="G150" i="17"/>
  <c r="H141" i="16"/>
  <c r="I141" i="16"/>
  <c r="K141" i="16" s="1"/>
  <c r="U141" i="16" s="1"/>
  <c r="N141" i="16"/>
  <c r="J150" i="17"/>
  <c r="L150" i="17" s="1"/>
  <c r="W150" i="17" s="1"/>
  <c r="U150" i="17"/>
  <c r="Q150" i="17"/>
  <c r="S150" i="17" s="1"/>
  <c r="Q141" i="16"/>
  <c r="S141" i="16" s="1"/>
  <c r="J141" i="16" l="1"/>
  <c r="L141" i="16" s="1"/>
  <c r="W141" i="16" s="1"/>
  <c r="F151" i="17"/>
  <c r="T150" i="17"/>
  <c r="V150" i="17" s="1"/>
  <c r="Y150" i="17"/>
  <c r="M151" i="17"/>
  <c r="X150" i="17"/>
  <c r="T141" i="16" l="1"/>
  <c r="V141" i="16" s="1"/>
  <c r="F142" i="16"/>
  <c r="H142" i="16" s="1"/>
  <c r="X141" i="16"/>
  <c r="Y141" i="16"/>
  <c r="M142" i="16"/>
  <c r="O142" i="16" s="1"/>
  <c r="N151" i="17"/>
  <c r="P151" i="17"/>
  <c r="R151" i="17" s="1"/>
  <c r="O151" i="17"/>
  <c r="I151" i="17"/>
  <c r="K151" i="17" s="1"/>
  <c r="H151" i="17"/>
  <c r="G151" i="17"/>
  <c r="G142" i="16" l="1"/>
  <c r="I142" i="16"/>
  <c r="K142" i="16" s="1"/>
  <c r="N142" i="16"/>
  <c r="P142" i="16"/>
  <c r="R142" i="16" s="1"/>
  <c r="U142" i="16" s="1"/>
  <c r="U151" i="17"/>
  <c r="Q151" i="17"/>
  <c r="S151" i="17" s="1"/>
  <c r="J151" i="17"/>
  <c r="J142" i="16"/>
  <c r="Q142" i="16" l="1"/>
  <c r="S142" i="16" s="1"/>
  <c r="T151" i="17"/>
  <c r="L151" i="17"/>
  <c r="W151" i="17" s="1"/>
  <c r="L142" i="16"/>
  <c r="T142" i="16" l="1"/>
  <c r="Y142" i="16"/>
  <c r="W142" i="16"/>
  <c r="F152" i="17"/>
  <c r="M152" i="17"/>
  <c r="X151" i="17"/>
  <c r="Y151" i="17"/>
  <c r="V151" i="17"/>
  <c r="X142" i="16"/>
  <c r="F143" i="16"/>
  <c r="M143" i="16"/>
  <c r="V142" i="16"/>
  <c r="O152" i="17" l="1"/>
  <c r="N152" i="17"/>
  <c r="P152" i="17"/>
  <c r="R152" i="17" s="1"/>
  <c r="G152" i="17"/>
  <c r="I152" i="17"/>
  <c r="K152" i="17" s="1"/>
  <c r="H152" i="17"/>
  <c r="O143" i="16"/>
  <c r="N143" i="16"/>
  <c r="P143" i="16"/>
  <c r="R143" i="16" s="1"/>
  <c r="G143" i="16"/>
  <c r="I143" i="16"/>
  <c r="K143" i="16" s="1"/>
  <c r="H143" i="16"/>
  <c r="U152" i="17" l="1"/>
  <c r="Q152" i="17"/>
  <c r="S152" i="17" s="1"/>
  <c r="J152" i="17"/>
  <c r="U143" i="16"/>
  <c r="J143" i="16"/>
  <c r="Q143" i="16"/>
  <c r="S143" i="16" s="1"/>
  <c r="T152" i="17" l="1"/>
  <c r="L152" i="17"/>
  <c r="W152" i="17" s="1"/>
  <c r="T143" i="16"/>
  <c r="L143" i="16"/>
  <c r="Y143" i="16" l="1"/>
  <c r="W143" i="16"/>
  <c r="Y152" i="17"/>
  <c r="F153" i="17"/>
  <c r="M153" i="17"/>
  <c r="X152" i="17"/>
  <c r="V152" i="17"/>
  <c r="F144" i="16"/>
  <c r="M144" i="16"/>
  <c r="X143" i="16"/>
  <c r="V143" i="16"/>
  <c r="N153" i="17" l="1"/>
  <c r="O153" i="17"/>
  <c r="P153" i="17"/>
  <c r="R153" i="17" s="1"/>
  <c r="H153" i="17"/>
  <c r="G153" i="17"/>
  <c r="I153" i="17"/>
  <c r="K153" i="17" s="1"/>
  <c r="N144" i="16"/>
  <c r="P144" i="16"/>
  <c r="R144" i="16" s="1"/>
  <c r="O144" i="16"/>
  <c r="I144" i="16"/>
  <c r="K144" i="16" s="1"/>
  <c r="H144" i="16"/>
  <c r="G144" i="16"/>
  <c r="J144" i="16" l="1"/>
  <c r="L144" i="16" s="1"/>
  <c r="J153" i="17"/>
  <c r="L153" i="17" s="1"/>
  <c r="U153" i="17"/>
  <c r="Q153" i="17"/>
  <c r="U144" i="16"/>
  <c r="Q144" i="16"/>
  <c r="W153" i="17" l="1"/>
  <c r="T144" i="16"/>
  <c r="T153" i="17"/>
  <c r="S153" i="17"/>
  <c r="S144" i="16"/>
  <c r="V144" i="16" l="1"/>
  <c r="F145" i="16"/>
  <c r="H145" i="16" s="1"/>
  <c r="W144" i="16"/>
  <c r="Y153" i="17"/>
  <c r="V153" i="17"/>
  <c r="M154" i="17"/>
  <c r="N154" i="17" s="1"/>
  <c r="X153" i="17"/>
  <c r="Y144" i="16"/>
  <c r="F154" i="17"/>
  <c r="M145" i="16"/>
  <c r="N145" i="16" s="1"/>
  <c r="X144" i="16"/>
  <c r="I145" i="16"/>
  <c r="K145" i="16" s="1"/>
  <c r="G145" i="16" l="1"/>
  <c r="P154" i="17"/>
  <c r="R154" i="17" s="1"/>
  <c r="O154" i="17"/>
  <c r="O145" i="16"/>
  <c r="P145" i="16"/>
  <c r="R145" i="16" s="1"/>
  <c r="U145" i="16" s="1"/>
  <c r="G154" i="17"/>
  <c r="H154" i="17"/>
  <c r="I154" i="17"/>
  <c r="K154" i="17" s="1"/>
  <c r="J145" i="16"/>
  <c r="L145" i="16" s="1"/>
  <c r="U154" i="17" l="1"/>
  <c r="Q154" i="17"/>
  <c r="S154" i="17" s="1"/>
  <c r="Q145" i="16"/>
  <c r="S145" i="16" s="1"/>
  <c r="M146" i="16" s="1"/>
  <c r="J154" i="17"/>
  <c r="W145" i="16" l="1"/>
  <c r="T145" i="16"/>
  <c r="V145" i="16" s="1"/>
  <c r="F146" i="16"/>
  <c r="I146" i="16" s="1"/>
  <c r="K146" i="16" s="1"/>
  <c r="Y145" i="16"/>
  <c r="X145" i="16"/>
  <c r="T154" i="17"/>
  <c r="L154" i="17"/>
  <c r="W154" i="17" s="1"/>
  <c r="P146" i="16"/>
  <c r="R146" i="16" s="1"/>
  <c r="O146" i="16"/>
  <c r="N146" i="16"/>
  <c r="H146" i="16"/>
  <c r="G146" i="16"/>
  <c r="F155" i="17" l="1"/>
  <c r="Y154" i="17"/>
  <c r="X154" i="17"/>
  <c r="M155" i="17"/>
  <c r="V154" i="17"/>
  <c r="U146" i="16"/>
  <c r="J146" i="16"/>
  <c r="Q146" i="16"/>
  <c r="S146" i="16" s="1"/>
  <c r="N155" i="17" l="1"/>
  <c r="O155" i="17"/>
  <c r="P155" i="17"/>
  <c r="R155" i="17" s="1"/>
  <c r="G155" i="17"/>
  <c r="I155" i="17"/>
  <c r="K155" i="17" s="1"/>
  <c r="H155" i="17"/>
  <c r="T146" i="16"/>
  <c r="L146" i="16"/>
  <c r="Y146" i="16" l="1"/>
  <c r="W146" i="16"/>
  <c r="J155" i="17"/>
  <c r="L155" i="17" s="1"/>
  <c r="Q155" i="17"/>
  <c r="S155" i="17" s="1"/>
  <c r="U155" i="17"/>
  <c r="X146" i="16"/>
  <c r="F147" i="16"/>
  <c r="M147" i="16"/>
  <c r="V146" i="16"/>
  <c r="W155" i="17" l="1"/>
  <c r="T155" i="17"/>
  <c r="V155" i="17" s="1"/>
  <c r="F156" i="17"/>
  <c r="Y155" i="17"/>
  <c r="X155" i="17"/>
  <c r="M156" i="17"/>
  <c r="O147" i="16"/>
  <c r="N147" i="16"/>
  <c r="P147" i="16"/>
  <c r="R147" i="16" s="1"/>
  <c r="G147" i="16"/>
  <c r="I147" i="16"/>
  <c r="K147" i="16" s="1"/>
  <c r="H147" i="16"/>
  <c r="O156" i="17" l="1"/>
  <c r="N156" i="17"/>
  <c r="P156" i="17"/>
  <c r="R156" i="17" s="1"/>
  <c r="I156" i="17"/>
  <c r="K156" i="17" s="1"/>
  <c r="H156" i="17"/>
  <c r="G156" i="17"/>
  <c r="U147" i="16"/>
  <c r="J147" i="16"/>
  <c r="Q147" i="16"/>
  <c r="S147" i="16" s="1"/>
  <c r="Q156" i="17" l="1"/>
  <c r="S156" i="17" s="1"/>
  <c r="J156" i="17"/>
  <c r="U156" i="17"/>
  <c r="T147" i="16"/>
  <c r="L147" i="16"/>
  <c r="Y147" i="16" l="1"/>
  <c r="W147" i="16"/>
  <c r="T156" i="17"/>
  <c r="L156" i="17"/>
  <c r="W156" i="17" s="1"/>
  <c r="F148" i="16"/>
  <c r="M148" i="16"/>
  <c r="X147" i="16"/>
  <c r="V147" i="16"/>
  <c r="V156" i="17" l="1"/>
  <c r="Y156" i="17"/>
  <c r="X156" i="17"/>
  <c r="F157" i="17"/>
  <c r="M157" i="17"/>
  <c r="N148" i="16"/>
  <c r="P148" i="16"/>
  <c r="R148" i="16" s="1"/>
  <c r="O148" i="16"/>
  <c r="I148" i="16"/>
  <c r="K148" i="16" s="1"/>
  <c r="H148" i="16"/>
  <c r="G148" i="16"/>
  <c r="O157" i="17" l="1"/>
  <c r="N157" i="17"/>
  <c r="P157" i="17"/>
  <c r="H157" i="17"/>
  <c r="I157" i="17"/>
  <c r="K157" i="17" s="1"/>
  <c r="G157" i="17"/>
  <c r="R157" i="17"/>
  <c r="U148" i="16"/>
  <c r="Q148" i="16"/>
  <c r="S148" i="16" s="1"/>
  <c r="J148" i="16"/>
  <c r="U157" i="17" l="1"/>
  <c r="J157" i="17"/>
  <c r="L157" i="17" s="1"/>
  <c r="W157" i="17" s="1"/>
  <c r="Q157" i="17"/>
  <c r="S157" i="17" s="1"/>
  <c r="T148" i="16"/>
  <c r="L148" i="16"/>
  <c r="F149" i="16" l="1"/>
  <c r="G149" i="16" s="1"/>
  <c r="W148" i="16"/>
  <c r="T157" i="17"/>
  <c r="X157" i="17"/>
  <c r="V157" i="17"/>
  <c r="Y157" i="17"/>
  <c r="F158" i="17"/>
  <c r="H158" i="17" s="1"/>
  <c r="M158" i="17"/>
  <c r="O158" i="17" s="1"/>
  <c r="M149" i="16"/>
  <c r="N149" i="16" s="1"/>
  <c r="P158" i="17"/>
  <c r="R158" i="17" s="1"/>
  <c r="X148" i="16"/>
  <c r="V148" i="16"/>
  <c r="Y148" i="16"/>
  <c r="I149" i="16"/>
  <c r="K149" i="16" s="1"/>
  <c r="H149" i="16" l="1"/>
  <c r="O149" i="16"/>
  <c r="P149" i="16"/>
  <c r="R149" i="16" s="1"/>
  <c r="U149" i="16" s="1"/>
  <c r="N158" i="17"/>
  <c r="Q158" i="17" s="1"/>
  <c r="S158" i="17" s="1"/>
  <c r="G158" i="17"/>
  <c r="I158" i="17"/>
  <c r="K158" i="17" s="1"/>
  <c r="U158" i="17" s="1"/>
  <c r="J149" i="16"/>
  <c r="Q149" i="16" l="1"/>
  <c r="S149" i="16" s="1"/>
  <c r="J158" i="17"/>
  <c r="L158" i="17" s="1"/>
  <c r="W158" i="17" s="1"/>
  <c r="L149" i="16"/>
  <c r="T149" i="16" l="1"/>
  <c r="Y149" i="16"/>
  <c r="W149" i="16"/>
  <c r="X158" i="17"/>
  <c r="M159" i="17"/>
  <c r="N159" i="17" s="1"/>
  <c r="F159" i="17"/>
  <c r="G159" i="17" s="1"/>
  <c r="Y158" i="17"/>
  <c r="T158" i="17"/>
  <c r="V158" i="17" s="1"/>
  <c r="P159" i="17"/>
  <c r="R159" i="17" s="1"/>
  <c r="X149" i="16"/>
  <c r="F150" i="16"/>
  <c r="M150" i="16"/>
  <c r="V149" i="16"/>
  <c r="O159" i="17" l="1"/>
  <c r="Q159" i="17" s="1"/>
  <c r="S159" i="17" s="1"/>
  <c r="I159" i="17"/>
  <c r="K159" i="17" s="1"/>
  <c r="U159" i="17" s="1"/>
  <c r="H159" i="17"/>
  <c r="P150" i="16"/>
  <c r="R150" i="16" s="1"/>
  <c r="O150" i="16"/>
  <c r="N150" i="16"/>
  <c r="H150" i="16"/>
  <c r="G150" i="16"/>
  <c r="I150" i="16"/>
  <c r="K150" i="16" s="1"/>
  <c r="J159" i="17" l="1"/>
  <c r="L159" i="17" s="1"/>
  <c r="W159" i="17" s="1"/>
  <c r="U150" i="16"/>
  <c r="Q150" i="16"/>
  <c r="S150" i="16" s="1"/>
  <c r="J150" i="16"/>
  <c r="Y159" i="17" l="1"/>
  <c r="M160" i="17"/>
  <c r="P160" i="17" s="1"/>
  <c r="R160" i="17" s="1"/>
  <c r="F160" i="17"/>
  <c r="X159" i="17"/>
  <c r="T159" i="17"/>
  <c r="V159" i="17" s="1"/>
  <c r="T150" i="16"/>
  <c r="L150" i="16"/>
  <c r="O160" i="17" l="1"/>
  <c r="N160" i="17"/>
  <c r="H160" i="17"/>
  <c r="G160" i="17"/>
  <c r="I160" i="17"/>
  <c r="K160" i="17" s="1"/>
  <c r="U160" i="17" s="1"/>
  <c r="Y150" i="16"/>
  <c r="W150" i="16"/>
  <c r="X150" i="16"/>
  <c r="F151" i="16"/>
  <c r="M151" i="16"/>
  <c r="V150" i="16"/>
  <c r="J160" i="17" l="1"/>
  <c r="Q160" i="17"/>
  <c r="S160" i="17" s="1"/>
  <c r="O151" i="16"/>
  <c r="N151" i="16"/>
  <c r="P151" i="16"/>
  <c r="R151" i="16" s="1"/>
  <c r="G151" i="16"/>
  <c r="I151" i="16"/>
  <c r="K151" i="16" s="1"/>
  <c r="H151" i="16"/>
  <c r="T160" i="17" l="1"/>
  <c r="L160" i="17"/>
  <c r="W160" i="17" s="1"/>
  <c r="U151" i="16"/>
  <c r="J151" i="16"/>
  <c r="Q151" i="16"/>
  <c r="S151" i="16" s="1"/>
  <c r="X160" i="17" l="1"/>
  <c r="Y160" i="17"/>
  <c r="F161" i="17"/>
  <c r="M161" i="17"/>
  <c r="V160" i="17"/>
  <c r="T151" i="16"/>
  <c r="L151" i="16"/>
  <c r="O161" i="17" l="1"/>
  <c r="P161" i="17"/>
  <c r="R161" i="17" s="1"/>
  <c r="N161" i="17"/>
  <c r="G161" i="17"/>
  <c r="I161" i="17"/>
  <c r="K161" i="17" s="1"/>
  <c r="H161" i="17"/>
  <c r="Y151" i="16"/>
  <c r="W151" i="16"/>
  <c r="F152" i="16"/>
  <c r="M152" i="16"/>
  <c r="X151" i="16"/>
  <c r="V151" i="16"/>
  <c r="Q161" i="17" l="1"/>
  <c r="S161" i="17" s="1"/>
  <c r="J161" i="17"/>
  <c r="U161" i="17"/>
  <c r="N152" i="16"/>
  <c r="P152" i="16"/>
  <c r="R152" i="16" s="1"/>
  <c r="O152" i="16"/>
  <c r="I152" i="16"/>
  <c r="K152" i="16" s="1"/>
  <c r="H152" i="16"/>
  <c r="G152" i="16"/>
  <c r="T161" i="17" l="1"/>
  <c r="L161" i="17"/>
  <c r="W161" i="17" s="1"/>
  <c r="U152" i="16"/>
  <c r="Q152" i="16"/>
  <c r="S152" i="16" s="1"/>
  <c r="J152" i="16"/>
  <c r="Y161" i="17" l="1"/>
  <c r="F162" i="17"/>
  <c r="G162" i="17" s="1"/>
  <c r="V161" i="17"/>
  <c r="M162" i="17"/>
  <c r="N162" i="17" s="1"/>
  <c r="X161" i="17"/>
  <c r="I162" i="17"/>
  <c r="K162" i="17" s="1"/>
  <c r="T152" i="16"/>
  <c r="L152" i="16"/>
  <c r="W152" i="16" s="1"/>
  <c r="H162" i="17" l="1"/>
  <c r="O162" i="17"/>
  <c r="P162" i="17"/>
  <c r="R162" i="17" s="1"/>
  <c r="U162" i="17" s="1"/>
  <c r="J162" i="17"/>
  <c r="V152" i="16"/>
  <c r="Y152" i="16"/>
  <c r="F153" i="16"/>
  <c r="H153" i="16" s="1"/>
  <c r="X152" i="16"/>
  <c r="M153" i="16"/>
  <c r="O153" i="16" s="1"/>
  <c r="Q162" i="17" l="1"/>
  <c r="S162" i="17" s="1"/>
  <c r="L162" i="17"/>
  <c r="W162" i="17" s="1"/>
  <c r="I153" i="16"/>
  <c r="K153" i="16" s="1"/>
  <c r="N153" i="16"/>
  <c r="P153" i="16"/>
  <c r="R153" i="16" s="1"/>
  <c r="G153" i="16"/>
  <c r="Y162" i="17" l="1"/>
  <c r="X162" i="17"/>
  <c r="F163" i="17"/>
  <c r="I163" i="17" s="1"/>
  <c r="K163" i="17" s="1"/>
  <c r="M163" i="17"/>
  <c r="P163" i="17" s="1"/>
  <c r="R163" i="17" s="1"/>
  <c r="T162" i="17"/>
  <c r="V162" i="17" s="1"/>
  <c r="J153" i="16"/>
  <c r="L153" i="16" s="1"/>
  <c r="Q153" i="16"/>
  <c r="U153" i="16"/>
  <c r="H163" i="17" l="1"/>
  <c r="O163" i="17"/>
  <c r="N163" i="17"/>
  <c r="G163" i="17"/>
  <c r="T153" i="16"/>
  <c r="U163" i="17"/>
  <c r="S153" i="16"/>
  <c r="X153" i="16" s="1"/>
  <c r="Q163" i="17" l="1"/>
  <c r="J163" i="17"/>
  <c r="L163" i="17" s="1"/>
  <c r="F154" i="16"/>
  <c r="H154" i="16" s="1"/>
  <c r="W153" i="16"/>
  <c r="M154" i="16"/>
  <c r="O154" i="16" s="1"/>
  <c r="V153" i="16"/>
  <c r="Y153" i="16"/>
  <c r="S163" i="17"/>
  <c r="W163" i="17" s="1"/>
  <c r="T163" i="17"/>
  <c r="I154" i="16" l="1"/>
  <c r="K154" i="16" s="1"/>
  <c r="G154" i="16"/>
  <c r="J154" i="16" s="1"/>
  <c r="P154" i="16"/>
  <c r="R154" i="16" s="1"/>
  <c r="U154" i="16" s="1"/>
  <c r="N154" i="16"/>
  <c r="V163" i="17"/>
  <c r="F164" i="17"/>
  <c r="Y163" i="17"/>
  <c r="X163" i="17"/>
  <c r="M164" i="17"/>
  <c r="Q154" i="16" l="1"/>
  <c r="S154" i="16" s="1"/>
  <c r="O164" i="17"/>
  <c r="N164" i="17"/>
  <c r="P164" i="17"/>
  <c r="R164" i="17" s="1"/>
  <c r="G164" i="17"/>
  <c r="I164" i="17"/>
  <c r="K164" i="17" s="1"/>
  <c r="H164" i="17"/>
  <c r="L154" i="16"/>
  <c r="T154" i="16" l="1"/>
  <c r="J164" i="17"/>
  <c r="Q164" i="17"/>
  <c r="S164" i="17" s="1"/>
  <c r="U164" i="17"/>
  <c r="Y154" i="16"/>
  <c r="W154" i="16"/>
  <c r="X154" i="16"/>
  <c r="F155" i="16"/>
  <c r="M155" i="16"/>
  <c r="V154" i="16"/>
  <c r="T164" i="17" l="1"/>
  <c r="L164" i="17"/>
  <c r="W164" i="17" s="1"/>
  <c r="O155" i="16"/>
  <c r="N155" i="16"/>
  <c r="P155" i="16"/>
  <c r="R155" i="16" s="1"/>
  <c r="G155" i="16"/>
  <c r="I155" i="16"/>
  <c r="K155" i="16" s="1"/>
  <c r="H155" i="16"/>
  <c r="Y164" i="17" l="1"/>
  <c r="F165" i="17"/>
  <c r="X164" i="17"/>
  <c r="M165" i="17"/>
  <c r="V164" i="17"/>
  <c r="U155" i="16"/>
  <c r="J155" i="16"/>
  <c r="Q155" i="16"/>
  <c r="S155" i="16" s="1"/>
  <c r="O165" i="17" l="1"/>
  <c r="N165" i="17"/>
  <c r="P165" i="17"/>
  <c r="R165" i="17" s="1"/>
  <c r="I165" i="17"/>
  <c r="K165" i="17" s="1"/>
  <c r="H165" i="17"/>
  <c r="G165" i="17"/>
  <c r="T155" i="16"/>
  <c r="L155" i="16"/>
  <c r="J165" i="17" l="1"/>
  <c r="L165" i="17" s="1"/>
  <c r="W165" i="17" s="1"/>
  <c r="Q165" i="17"/>
  <c r="S165" i="17" s="1"/>
  <c r="U165" i="17"/>
  <c r="Y155" i="16"/>
  <c r="W155" i="16"/>
  <c r="F156" i="16"/>
  <c r="M156" i="16"/>
  <c r="X155" i="16"/>
  <c r="V155" i="16"/>
  <c r="X165" i="17" l="1"/>
  <c r="T165" i="17"/>
  <c r="V165" i="17" s="1"/>
  <c r="F166" i="17"/>
  <c r="Y165" i="17"/>
  <c r="M166" i="17"/>
  <c r="N156" i="16"/>
  <c r="P156" i="16"/>
  <c r="R156" i="16" s="1"/>
  <c r="O156" i="16"/>
  <c r="I156" i="16"/>
  <c r="K156" i="16" s="1"/>
  <c r="H156" i="16"/>
  <c r="G156" i="16"/>
  <c r="N166" i="17" l="1"/>
  <c r="P166" i="17"/>
  <c r="R166" i="17" s="1"/>
  <c r="O166" i="17"/>
  <c r="I166" i="17"/>
  <c r="K166" i="17" s="1"/>
  <c r="H166" i="17"/>
  <c r="G166" i="17"/>
  <c r="J156" i="16"/>
  <c r="L156" i="16" s="1"/>
  <c r="Q156" i="16"/>
  <c r="U156" i="16"/>
  <c r="U166" i="17" l="1"/>
  <c r="Q166" i="17"/>
  <c r="S166" i="17" s="1"/>
  <c r="J166" i="17"/>
  <c r="T156" i="16"/>
  <c r="S156" i="16"/>
  <c r="F157" i="16" s="1"/>
  <c r="T166" i="17" l="1"/>
  <c r="L166" i="17"/>
  <c r="W166" i="17" s="1"/>
  <c r="W156" i="16"/>
  <c r="V156" i="16"/>
  <c r="Y156" i="16"/>
  <c r="M157" i="16"/>
  <c r="N157" i="16" s="1"/>
  <c r="X156" i="16"/>
  <c r="I157" i="16"/>
  <c r="K157" i="16" s="1"/>
  <c r="H157" i="16"/>
  <c r="G157" i="16"/>
  <c r="Y166" i="17" l="1"/>
  <c r="M167" i="17"/>
  <c r="N167" i="17" s="1"/>
  <c r="V166" i="17"/>
  <c r="F167" i="17"/>
  <c r="G167" i="17" s="1"/>
  <c r="X166" i="17"/>
  <c r="P167" i="17"/>
  <c r="R167" i="17" s="1"/>
  <c r="O157" i="16"/>
  <c r="P157" i="16"/>
  <c r="R157" i="16" s="1"/>
  <c r="U157" i="16" s="1"/>
  <c r="J157" i="16"/>
  <c r="O167" i="17" l="1"/>
  <c r="Q167" i="17" s="1"/>
  <c r="S167" i="17" s="1"/>
  <c r="I167" i="17"/>
  <c r="K167" i="17" s="1"/>
  <c r="U167" i="17" s="1"/>
  <c r="H167" i="17"/>
  <c r="Q157" i="16"/>
  <c r="S157" i="16" s="1"/>
  <c r="L157" i="16"/>
  <c r="W157" i="16" s="1"/>
  <c r="J167" i="17" l="1"/>
  <c r="L167" i="17" s="1"/>
  <c r="Y157" i="16"/>
  <c r="T157" i="16"/>
  <c r="V157" i="16" s="1"/>
  <c r="X157" i="16"/>
  <c r="F158" i="16"/>
  <c r="M158" i="16"/>
  <c r="T167" i="17" l="1"/>
  <c r="W167" i="17"/>
  <c r="X167" i="17"/>
  <c r="Y167" i="17"/>
  <c r="M168" i="17"/>
  <c r="P168" i="17" s="1"/>
  <c r="R168" i="17" s="1"/>
  <c r="F168" i="17"/>
  <c r="H168" i="17" s="1"/>
  <c r="V167" i="17"/>
  <c r="P158" i="16"/>
  <c r="R158" i="16" s="1"/>
  <c r="O158" i="16"/>
  <c r="N158" i="16"/>
  <c r="H158" i="16"/>
  <c r="G158" i="16"/>
  <c r="I158" i="16"/>
  <c r="K158" i="16" s="1"/>
  <c r="I168" i="17" l="1"/>
  <c r="K168" i="17" s="1"/>
  <c r="U168" i="17" s="1"/>
  <c r="O168" i="17"/>
  <c r="N168" i="17"/>
  <c r="G168" i="17"/>
  <c r="U158" i="16"/>
  <c r="Q158" i="16"/>
  <c r="S158" i="16" s="1"/>
  <c r="J158" i="16"/>
  <c r="J168" i="17" l="1"/>
  <c r="L168" i="17" s="1"/>
  <c r="W168" i="17" s="1"/>
  <c r="Q168" i="17"/>
  <c r="S168" i="17" s="1"/>
  <c r="T158" i="16"/>
  <c r="L158" i="16"/>
  <c r="M169" i="17" l="1"/>
  <c r="P169" i="17" s="1"/>
  <c r="R169" i="17" s="1"/>
  <c r="F169" i="17"/>
  <c r="G169" i="17" s="1"/>
  <c r="Y168" i="17"/>
  <c r="X168" i="17"/>
  <c r="T168" i="17"/>
  <c r="V168" i="17" s="1"/>
  <c r="Y158" i="16"/>
  <c r="W158" i="16"/>
  <c r="O169" i="17"/>
  <c r="N169" i="17"/>
  <c r="H169" i="17"/>
  <c r="I169" i="17"/>
  <c r="K169" i="17" s="1"/>
  <c r="X158" i="16"/>
  <c r="F159" i="16"/>
  <c r="M159" i="16"/>
  <c r="V158" i="16"/>
  <c r="U169" i="17" l="1"/>
  <c r="Q169" i="17"/>
  <c r="S169" i="17" s="1"/>
  <c r="J169" i="17"/>
  <c r="O159" i="16"/>
  <c r="N159" i="16"/>
  <c r="P159" i="16"/>
  <c r="R159" i="16" s="1"/>
  <c r="G159" i="16"/>
  <c r="I159" i="16"/>
  <c r="K159" i="16" s="1"/>
  <c r="H159" i="16"/>
  <c r="T169" i="17" l="1"/>
  <c r="L169" i="17"/>
  <c r="W169" i="17" s="1"/>
  <c r="U159" i="16"/>
  <c r="J159" i="16"/>
  <c r="Q159" i="16"/>
  <c r="S159" i="16" s="1"/>
  <c r="M170" i="17" l="1"/>
  <c r="X169" i="17"/>
  <c r="Y169" i="17"/>
  <c r="F170" i="17"/>
  <c r="V169" i="17"/>
  <c r="T159" i="16"/>
  <c r="L159" i="16"/>
  <c r="Y159" i="16" l="1"/>
  <c r="W159" i="16"/>
  <c r="H170" i="17"/>
  <c r="I170" i="17"/>
  <c r="K170" i="17" s="1"/>
  <c r="G170" i="17"/>
  <c r="N170" i="17"/>
  <c r="O170" i="17"/>
  <c r="P170" i="17"/>
  <c r="R170" i="17" s="1"/>
  <c r="F160" i="16"/>
  <c r="M160" i="16"/>
  <c r="X159" i="16"/>
  <c r="V159" i="16"/>
  <c r="Q170" i="17" l="1"/>
  <c r="S170" i="17" s="1"/>
  <c r="J170" i="17"/>
  <c r="U170" i="17"/>
  <c r="N160" i="16"/>
  <c r="P160" i="16"/>
  <c r="R160" i="16" s="1"/>
  <c r="O160" i="16"/>
  <c r="I160" i="16"/>
  <c r="K160" i="16" s="1"/>
  <c r="H160" i="16"/>
  <c r="G160" i="16"/>
  <c r="T170" i="17" l="1"/>
  <c r="L170" i="17"/>
  <c r="W170" i="17" s="1"/>
  <c r="U160" i="16"/>
  <c r="Q160" i="16"/>
  <c r="S160" i="16" s="1"/>
  <c r="J160" i="16"/>
  <c r="Y170" i="17" l="1"/>
  <c r="F171" i="17"/>
  <c r="M171" i="17"/>
  <c r="X170" i="17"/>
  <c r="V170" i="17"/>
  <c r="T160" i="16"/>
  <c r="L160" i="16"/>
  <c r="Y160" i="16" l="1"/>
  <c r="W160" i="16"/>
  <c r="N171" i="17"/>
  <c r="P171" i="17"/>
  <c r="R171" i="17" s="1"/>
  <c r="O171" i="17"/>
  <c r="I171" i="17"/>
  <c r="K171" i="17" s="1"/>
  <c r="H171" i="17"/>
  <c r="G171" i="17"/>
  <c r="M161" i="16"/>
  <c r="X160" i="16"/>
  <c r="F161" i="16"/>
  <c r="V160" i="16"/>
  <c r="U171" i="17" l="1"/>
  <c r="Q171" i="17"/>
  <c r="S171" i="17" s="1"/>
  <c r="J171" i="17"/>
  <c r="I161" i="16"/>
  <c r="K161" i="16" s="1"/>
  <c r="H161" i="16"/>
  <c r="G161" i="16"/>
  <c r="P161" i="16"/>
  <c r="R161" i="16" s="1"/>
  <c r="O161" i="16"/>
  <c r="N161" i="16"/>
  <c r="T171" i="17" l="1"/>
  <c r="L171" i="17"/>
  <c r="W171" i="17" s="1"/>
  <c r="J161" i="16"/>
  <c r="L161" i="16" s="1"/>
  <c r="U161" i="16"/>
  <c r="Q161" i="16"/>
  <c r="F172" i="17" l="1"/>
  <c r="X171" i="17"/>
  <c r="M172" i="17"/>
  <c r="Y171" i="17"/>
  <c r="V171" i="17"/>
  <c r="T161" i="16"/>
  <c r="S161" i="16"/>
  <c r="Y161" i="16" s="1"/>
  <c r="W161" i="16" l="1"/>
  <c r="O172" i="17"/>
  <c r="P172" i="17"/>
  <c r="R172" i="17" s="1"/>
  <c r="N172" i="17"/>
  <c r="I172" i="17"/>
  <c r="K172" i="17" s="1"/>
  <c r="G172" i="17"/>
  <c r="H172" i="17"/>
  <c r="M162" i="16"/>
  <c r="X161" i="16"/>
  <c r="V161" i="16"/>
  <c r="F162" i="16"/>
  <c r="Q172" i="17" l="1"/>
  <c r="S172" i="17" s="1"/>
  <c r="J172" i="17"/>
  <c r="U172" i="17"/>
  <c r="H162" i="16"/>
  <c r="G162" i="16"/>
  <c r="I162" i="16"/>
  <c r="K162" i="16" s="1"/>
  <c r="P162" i="16"/>
  <c r="R162" i="16" s="1"/>
  <c r="O162" i="16"/>
  <c r="N162" i="16"/>
  <c r="T172" i="17" l="1"/>
  <c r="L172" i="17"/>
  <c r="W172" i="17" s="1"/>
  <c r="U162" i="16"/>
  <c r="Q162" i="16"/>
  <c r="S162" i="16" s="1"/>
  <c r="J162" i="16"/>
  <c r="F173" i="17" l="1"/>
  <c r="M173" i="17"/>
  <c r="Y172" i="17"/>
  <c r="V172" i="17"/>
  <c r="X172" i="17"/>
  <c r="T162" i="16"/>
  <c r="L162" i="16"/>
  <c r="Y162" i="16" l="1"/>
  <c r="W162" i="16"/>
  <c r="O173" i="17"/>
  <c r="N173" i="17"/>
  <c r="P173" i="17"/>
  <c r="R173" i="17" s="1"/>
  <c r="I173" i="17"/>
  <c r="K173" i="17" s="1"/>
  <c r="H173" i="17"/>
  <c r="G173" i="17"/>
  <c r="X162" i="16"/>
  <c r="F163" i="16"/>
  <c r="M163" i="16"/>
  <c r="V162" i="16"/>
  <c r="U173" i="17" l="1"/>
  <c r="J173" i="17"/>
  <c r="Q173" i="17"/>
  <c r="S173" i="17" s="1"/>
  <c r="O163" i="16"/>
  <c r="N163" i="16"/>
  <c r="P163" i="16"/>
  <c r="R163" i="16" s="1"/>
  <c r="G163" i="16"/>
  <c r="I163" i="16"/>
  <c r="K163" i="16" s="1"/>
  <c r="H163" i="16"/>
  <c r="L173" i="17" l="1"/>
  <c r="W173" i="17" s="1"/>
  <c r="T173" i="17"/>
  <c r="U163" i="16"/>
  <c r="J163" i="16"/>
  <c r="Q163" i="16"/>
  <c r="S163" i="16" s="1"/>
  <c r="X173" i="17" l="1"/>
  <c r="V173" i="17"/>
  <c r="Y173" i="17"/>
  <c r="F174" i="17"/>
  <c r="M174" i="17"/>
  <c r="T163" i="16"/>
  <c r="L163" i="16"/>
  <c r="Y163" i="16" l="1"/>
  <c r="W163" i="16"/>
  <c r="P174" i="17"/>
  <c r="R174" i="17" s="1"/>
  <c r="O174" i="17"/>
  <c r="N174" i="17"/>
  <c r="G174" i="17"/>
  <c r="H174" i="17"/>
  <c r="I174" i="17"/>
  <c r="K174" i="17" s="1"/>
  <c r="F164" i="16"/>
  <c r="M164" i="16"/>
  <c r="X163" i="16"/>
  <c r="V163" i="16"/>
  <c r="U174" i="17" l="1"/>
  <c r="Q174" i="17"/>
  <c r="S174" i="17" s="1"/>
  <c r="J174" i="17"/>
  <c r="L174" i="17" s="1"/>
  <c r="W174" i="17" s="1"/>
  <c r="N164" i="16"/>
  <c r="P164" i="16"/>
  <c r="R164" i="16" s="1"/>
  <c r="O164" i="16"/>
  <c r="I164" i="16"/>
  <c r="K164" i="16" s="1"/>
  <c r="H164" i="16"/>
  <c r="G164" i="16"/>
  <c r="X174" i="17" l="1"/>
  <c r="F175" i="17"/>
  <c r="I175" i="17" s="1"/>
  <c r="K175" i="17" s="1"/>
  <c r="T174" i="17"/>
  <c r="V174" i="17" s="1"/>
  <c r="Y174" i="17"/>
  <c r="M175" i="17"/>
  <c r="N175" i="17" s="1"/>
  <c r="J164" i="16"/>
  <c r="L164" i="16" s="1"/>
  <c r="Q164" i="16"/>
  <c r="U164" i="16"/>
  <c r="H175" i="17" l="1"/>
  <c r="G175" i="17"/>
  <c r="O175" i="17"/>
  <c r="P175" i="17"/>
  <c r="R175" i="17" s="1"/>
  <c r="U175" i="17" s="1"/>
  <c r="T164" i="16"/>
  <c r="S164" i="16"/>
  <c r="W164" i="16" s="1"/>
  <c r="F165" i="16"/>
  <c r="J175" i="17" l="1"/>
  <c r="L175" i="17" s="1"/>
  <c r="V164" i="16"/>
  <c r="Q175" i="17"/>
  <c r="S175" i="17" s="1"/>
  <c r="X175" i="17" s="1"/>
  <c r="X164" i="16"/>
  <c r="Y164" i="16"/>
  <c r="M165" i="16"/>
  <c r="O165" i="16" s="1"/>
  <c r="I165" i="16"/>
  <c r="K165" i="16" s="1"/>
  <c r="H165" i="16"/>
  <c r="G165" i="16"/>
  <c r="W175" i="17" l="1"/>
  <c r="Y175" i="17"/>
  <c r="F176" i="17"/>
  <c r="I176" i="17" s="1"/>
  <c r="K176" i="17" s="1"/>
  <c r="M176" i="17"/>
  <c r="O176" i="17" s="1"/>
  <c r="T175" i="17"/>
  <c r="V175" i="17" s="1"/>
  <c r="N165" i="16"/>
  <c r="P165" i="16"/>
  <c r="R165" i="16" s="1"/>
  <c r="U165" i="16" s="1"/>
  <c r="J165" i="16"/>
  <c r="G176" i="17" l="1"/>
  <c r="H176" i="17"/>
  <c r="N176" i="17"/>
  <c r="P176" i="17"/>
  <c r="R176" i="17" s="1"/>
  <c r="U176" i="17" s="1"/>
  <c r="Q165" i="16"/>
  <c r="S165" i="16" s="1"/>
  <c r="L165" i="16"/>
  <c r="J176" i="17" l="1"/>
  <c r="L176" i="17" s="1"/>
  <c r="W176" i="17" s="1"/>
  <c r="Q176" i="17"/>
  <c r="S176" i="17" s="1"/>
  <c r="T165" i="16"/>
  <c r="Y165" i="16"/>
  <c r="W165" i="16"/>
  <c r="X165" i="16"/>
  <c r="F166" i="16"/>
  <c r="M166" i="16"/>
  <c r="V165" i="16"/>
  <c r="T176" i="17" l="1"/>
  <c r="V176" i="17" s="1"/>
  <c r="M177" i="17"/>
  <c r="X176" i="17"/>
  <c r="Y176" i="17"/>
  <c r="F177" i="17"/>
  <c r="P166" i="16"/>
  <c r="R166" i="16" s="1"/>
  <c r="O166" i="16"/>
  <c r="N166" i="16"/>
  <c r="H166" i="16"/>
  <c r="G166" i="16"/>
  <c r="I166" i="16"/>
  <c r="K166" i="16" s="1"/>
  <c r="G177" i="17" l="1"/>
  <c r="I177" i="17"/>
  <c r="K177" i="17" s="1"/>
  <c r="H177" i="17"/>
  <c r="P177" i="17"/>
  <c r="R177" i="17" s="1"/>
  <c r="O177" i="17"/>
  <c r="N177" i="17"/>
  <c r="U166" i="16"/>
  <c r="J166" i="16"/>
  <c r="L166" i="16" s="1"/>
  <c r="W166" i="16" s="1"/>
  <c r="Q166" i="16"/>
  <c r="S166" i="16" s="1"/>
  <c r="J177" i="17" l="1"/>
  <c r="L177" i="17" s="1"/>
  <c r="Q177" i="17"/>
  <c r="U177" i="17"/>
  <c r="Y166" i="16"/>
  <c r="T166" i="16"/>
  <c r="V166" i="16" s="1"/>
  <c r="X166" i="16"/>
  <c r="F167" i="16"/>
  <c r="M167" i="16"/>
  <c r="T177" i="17" l="1"/>
  <c r="W177" i="17"/>
  <c r="S177" i="17"/>
  <c r="V177" i="17" s="1"/>
  <c r="G167" i="16"/>
  <c r="I167" i="16"/>
  <c r="K167" i="16" s="1"/>
  <c r="H167" i="16"/>
  <c r="O167" i="16"/>
  <c r="N167" i="16"/>
  <c r="P167" i="16"/>
  <c r="R167" i="16" s="1"/>
  <c r="Y177" i="17" l="1"/>
  <c r="X177" i="17"/>
  <c r="M178" i="17"/>
  <c r="N178" i="17" s="1"/>
  <c r="F178" i="17"/>
  <c r="G178" i="17" s="1"/>
  <c r="J167" i="16"/>
  <c r="L167" i="16" s="1"/>
  <c r="W167" i="16" s="1"/>
  <c r="U167" i="16"/>
  <c r="Q167" i="16"/>
  <c r="S167" i="16" s="1"/>
  <c r="P178" i="17" l="1"/>
  <c r="R178" i="17" s="1"/>
  <c r="O178" i="17"/>
  <c r="H178" i="17"/>
  <c r="I178" i="17"/>
  <c r="K178" i="17" s="1"/>
  <c r="Y167" i="16"/>
  <c r="T167" i="16"/>
  <c r="V167" i="16" s="1"/>
  <c r="F168" i="16"/>
  <c r="M168" i="16"/>
  <c r="X167" i="16"/>
  <c r="U178" i="17" l="1"/>
  <c r="Q178" i="17"/>
  <c r="S178" i="17" s="1"/>
  <c r="J178" i="17"/>
  <c r="L178" i="17" s="1"/>
  <c r="I168" i="16"/>
  <c r="K168" i="16" s="1"/>
  <c r="H168" i="16"/>
  <c r="G168" i="16"/>
  <c r="N168" i="16"/>
  <c r="P168" i="16"/>
  <c r="R168" i="16" s="1"/>
  <c r="O168" i="16"/>
  <c r="M179" i="17" l="1"/>
  <c r="N179" i="17" s="1"/>
  <c r="W178" i="17"/>
  <c r="Y178" i="17"/>
  <c r="T178" i="17"/>
  <c r="V178" i="17" s="1"/>
  <c r="X178" i="17"/>
  <c r="F179" i="17"/>
  <c r="G179" i="17" s="1"/>
  <c r="O179" i="17"/>
  <c r="Q168" i="16"/>
  <c r="S168" i="16" s="1"/>
  <c r="U168" i="16"/>
  <c r="J168" i="16"/>
  <c r="P179" i="17" l="1"/>
  <c r="R179" i="17" s="1"/>
  <c r="I179" i="17"/>
  <c r="K179" i="17" s="1"/>
  <c r="H179" i="17"/>
  <c r="T168" i="16"/>
  <c r="L168" i="16"/>
  <c r="Q179" i="17" l="1"/>
  <c r="S179" i="17" s="1"/>
  <c r="U179" i="17"/>
  <c r="J179" i="17"/>
  <c r="L179" i="17" s="1"/>
  <c r="Y168" i="16"/>
  <c r="W168" i="16"/>
  <c r="M169" i="16"/>
  <c r="X168" i="16"/>
  <c r="F169" i="16"/>
  <c r="V168" i="16"/>
  <c r="T179" i="17" l="1"/>
  <c r="X179" i="17"/>
  <c r="W179" i="17"/>
  <c r="Y179" i="17"/>
  <c r="V179" i="17"/>
  <c r="F180" i="17"/>
  <c r="G180" i="17" s="1"/>
  <c r="M180" i="17"/>
  <c r="O180" i="17" s="1"/>
  <c r="I169" i="16"/>
  <c r="K169" i="16" s="1"/>
  <c r="H169" i="16"/>
  <c r="G169" i="16"/>
  <c r="P169" i="16"/>
  <c r="R169" i="16" s="1"/>
  <c r="O169" i="16"/>
  <c r="N169" i="16"/>
  <c r="H180" i="17" l="1"/>
  <c r="I180" i="17"/>
  <c r="K180" i="17" s="1"/>
  <c r="P180" i="17"/>
  <c r="R180" i="17" s="1"/>
  <c r="N180" i="17"/>
  <c r="U169" i="16"/>
  <c r="Q169" i="16"/>
  <c r="S169" i="16" s="1"/>
  <c r="J169" i="16"/>
  <c r="L169" i="16" s="1"/>
  <c r="Q180" i="17" l="1"/>
  <c r="S180" i="17" s="1"/>
  <c r="U180" i="17"/>
  <c r="J180" i="17"/>
  <c r="L180" i="17" s="1"/>
  <c r="W180" i="17" s="1"/>
  <c r="Y169" i="16"/>
  <c r="W169" i="16"/>
  <c r="X169" i="16"/>
  <c r="F170" i="16"/>
  <c r="M170" i="16"/>
  <c r="T169" i="16"/>
  <c r="V169" i="16" s="1"/>
  <c r="T180" i="17" l="1"/>
  <c r="V180" i="17" s="1"/>
  <c r="M181" i="17"/>
  <c r="P181" i="17" s="1"/>
  <c r="R181" i="17" s="1"/>
  <c r="Y180" i="17"/>
  <c r="F181" i="17"/>
  <c r="G181" i="17" s="1"/>
  <c r="X180" i="17"/>
  <c r="P170" i="16"/>
  <c r="R170" i="16" s="1"/>
  <c r="O170" i="16"/>
  <c r="N170" i="16"/>
  <c r="H170" i="16"/>
  <c r="G170" i="16"/>
  <c r="I170" i="16"/>
  <c r="K170" i="16" s="1"/>
  <c r="O181" i="17" l="1"/>
  <c r="N181" i="17"/>
  <c r="I181" i="17"/>
  <c r="K181" i="17" s="1"/>
  <c r="U181" i="17" s="1"/>
  <c r="H181" i="17"/>
  <c r="U170" i="16"/>
  <c r="Q170" i="16"/>
  <c r="S170" i="16" s="1"/>
  <c r="J170" i="16"/>
  <c r="J181" i="17" l="1"/>
  <c r="L181" i="17" s="1"/>
  <c r="W181" i="17" s="1"/>
  <c r="Q181" i="17"/>
  <c r="S181" i="17" s="1"/>
  <c r="T170" i="16"/>
  <c r="L170" i="16"/>
  <c r="F182" i="17" l="1"/>
  <c r="Y181" i="17"/>
  <c r="X181" i="17"/>
  <c r="T181" i="17"/>
  <c r="V181" i="17" s="1"/>
  <c r="M182" i="17"/>
  <c r="N182" i="17" s="1"/>
  <c r="Y170" i="16"/>
  <c r="W170" i="16"/>
  <c r="I182" i="17"/>
  <c r="K182" i="17" s="1"/>
  <c r="H182" i="17"/>
  <c r="G182" i="17"/>
  <c r="X170" i="16"/>
  <c r="F171" i="16"/>
  <c r="M171" i="16"/>
  <c r="V170" i="16"/>
  <c r="O182" i="17" l="1"/>
  <c r="P182" i="17"/>
  <c r="R182" i="17" s="1"/>
  <c r="U182" i="17" s="1"/>
  <c r="J182" i="17"/>
  <c r="O171" i="16"/>
  <c r="N171" i="16"/>
  <c r="P171" i="16"/>
  <c r="R171" i="16" s="1"/>
  <c r="G171" i="16"/>
  <c r="I171" i="16"/>
  <c r="K171" i="16" s="1"/>
  <c r="H171" i="16"/>
  <c r="Q182" i="17" l="1"/>
  <c r="S182" i="17" s="1"/>
  <c r="L182" i="17"/>
  <c r="W182" i="17" s="1"/>
  <c r="U171" i="16"/>
  <c r="J171" i="16"/>
  <c r="Q171" i="16"/>
  <c r="S171" i="16" s="1"/>
  <c r="T182" i="17" l="1"/>
  <c r="M183" i="17"/>
  <c r="O183" i="17" s="1"/>
  <c r="V182" i="17"/>
  <c r="F183" i="17"/>
  <c r="G183" i="17" s="1"/>
  <c r="X182" i="17"/>
  <c r="Y182" i="17"/>
  <c r="T171" i="16"/>
  <c r="L171" i="16"/>
  <c r="N183" i="17" l="1"/>
  <c r="P183" i="17"/>
  <c r="R183" i="17" s="1"/>
  <c r="Y171" i="16"/>
  <c r="W171" i="16"/>
  <c r="H183" i="17"/>
  <c r="I183" i="17"/>
  <c r="K183" i="17" s="1"/>
  <c r="U183" i="17" s="1"/>
  <c r="F172" i="16"/>
  <c r="M172" i="16"/>
  <c r="X171" i="16"/>
  <c r="V171" i="16"/>
  <c r="Q183" i="17" l="1"/>
  <c r="S183" i="17" s="1"/>
  <c r="J183" i="17"/>
  <c r="T183" i="17" s="1"/>
  <c r="N172" i="16"/>
  <c r="P172" i="16"/>
  <c r="R172" i="16" s="1"/>
  <c r="O172" i="16"/>
  <c r="I172" i="16"/>
  <c r="K172" i="16" s="1"/>
  <c r="H172" i="16"/>
  <c r="G172" i="16"/>
  <c r="L183" i="17" l="1"/>
  <c r="W183" i="17" s="1"/>
  <c r="U172" i="16"/>
  <c r="Q172" i="16"/>
  <c r="S172" i="16" s="1"/>
  <c r="J172" i="16"/>
  <c r="X183" i="17" l="1"/>
  <c r="F184" i="17"/>
  <c r="H184" i="17" s="1"/>
  <c r="V183" i="17"/>
  <c r="M184" i="17"/>
  <c r="O184" i="17" s="1"/>
  <c r="Y183" i="17"/>
  <c r="G184" i="17"/>
  <c r="T172" i="16"/>
  <c r="L172" i="16"/>
  <c r="I184" i="17" l="1"/>
  <c r="K184" i="17" s="1"/>
  <c r="P184" i="17"/>
  <c r="R184" i="17" s="1"/>
  <c r="N184" i="17"/>
  <c r="Y172" i="16"/>
  <c r="W172" i="16"/>
  <c r="M173" i="16"/>
  <c r="X172" i="16"/>
  <c r="F173" i="16"/>
  <c r="V172" i="16"/>
  <c r="U184" i="17" l="1"/>
  <c r="J184" i="17"/>
  <c r="L184" i="17" s="1"/>
  <c r="W184" i="17" s="1"/>
  <c r="Q184" i="17"/>
  <c r="S184" i="17" s="1"/>
  <c r="I173" i="16"/>
  <c r="K173" i="16" s="1"/>
  <c r="H173" i="16"/>
  <c r="G173" i="16"/>
  <c r="P173" i="16"/>
  <c r="R173" i="16" s="1"/>
  <c r="O173" i="16"/>
  <c r="N173" i="16"/>
  <c r="T184" i="17" l="1"/>
  <c r="X184" i="17"/>
  <c r="M185" i="17"/>
  <c r="F185" i="17"/>
  <c r="Y184" i="17"/>
  <c r="V184" i="17"/>
  <c r="U173" i="16"/>
  <c r="Q173" i="16"/>
  <c r="S173" i="16" s="1"/>
  <c r="J173" i="16"/>
  <c r="L173" i="16" s="1"/>
  <c r="W173" i="16" s="1"/>
  <c r="I185" i="17" l="1"/>
  <c r="K185" i="17" s="1"/>
  <c r="G185" i="17"/>
  <c r="H185" i="17"/>
  <c r="N185" i="17"/>
  <c r="P185" i="17"/>
  <c r="R185" i="17" s="1"/>
  <c r="O185" i="17"/>
  <c r="Y173" i="16"/>
  <c r="X173" i="16"/>
  <c r="F174" i="16"/>
  <c r="M174" i="16"/>
  <c r="T173" i="16"/>
  <c r="V173" i="16" s="1"/>
  <c r="J185" i="17" l="1"/>
  <c r="L185" i="17" s="1"/>
  <c r="Q185" i="17"/>
  <c r="U185" i="17"/>
  <c r="H174" i="16"/>
  <c r="G174" i="16"/>
  <c r="I174" i="16"/>
  <c r="K174" i="16" s="1"/>
  <c r="P174" i="16"/>
  <c r="R174" i="16" s="1"/>
  <c r="O174" i="16"/>
  <c r="N174" i="16"/>
  <c r="W185" i="17" l="1"/>
  <c r="T185" i="17"/>
  <c r="S185" i="17"/>
  <c r="F186" i="17" s="1"/>
  <c r="Q174" i="16"/>
  <c r="S174" i="16" s="1"/>
  <c r="U174" i="16"/>
  <c r="J174" i="16"/>
  <c r="M186" i="17" l="1"/>
  <c r="P186" i="17" s="1"/>
  <c r="R186" i="17" s="1"/>
  <c r="Y185" i="17"/>
  <c r="X185" i="17"/>
  <c r="V185" i="17"/>
  <c r="I186" i="17"/>
  <c r="K186" i="17" s="1"/>
  <c r="H186" i="17"/>
  <c r="G186" i="17"/>
  <c r="T174" i="16"/>
  <c r="L174" i="16"/>
  <c r="O186" i="17" l="1"/>
  <c r="N186" i="17"/>
  <c r="Q186" i="17" s="1"/>
  <c r="S186" i="17" s="1"/>
  <c r="Y174" i="16"/>
  <c r="W174" i="16"/>
  <c r="U186" i="17"/>
  <c r="J186" i="17"/>
  <c r="X174" i="16"/>
  <c r="F175" i="16"/>
  <c r="M175" i="16"/>
  <c r="V174" i="16"/>
  <c r="T186" i="17" l="1"/>
  <c r="L186" i="17"/>
  <c r="W186" i="17" s="1"/>
  <c r="O175" i="16"/>
  <c r="N175" i="16"/>
  <c r="P175" i="16"/>
  <c r="R175" i="16" s="1"/>
  <c r="G175" i="16"/>
  <c r="I175" i="16"/>
  <c r="K175" i="16" s="1"/>
  <c r="H175" i="16"/>
  <c r="V186" i="17" l="1"/>
  <c r="Y186" i="17"/>
  <c r="M187" i="17"/>
  <c r="P187" i="17" s="1"/>
  <c r="R187" i="17" s="1"/>
  <c r="X186" i="17"/>
  <c r="F187" i="17"/>
  <c r="H187" i="17" s="1"/>
  <c r="U175" i="16"/>
  <c r="J175" i="16"/>
  <c r="Q175" i="16"/>
  <c r="S175" i="16" s="1"/>
  <c r="O187" i="17" l="1"/>
  <c r="N187" i="17"/>
  <c r="I187" i="17"/>
  <c r="K187" i="17" s="1"/>
  <c r="U187" i="17" s="1"/>
  <c r="G187" i="17"/>
  <c r="T175" i="16"/>
  <c r="L175" i="16"/>
  <c r="Q187" i="17" l="1"/>
  <c r="S187" i="17" s="1"/>
  <c r="Y175" i="16"/>
  <c r="W175" i="16"/>
  <c r="J187" i="17"/>
  <c r="F176" i="16"/>
  <c r="M176" i="16"/>
  <c r="X175" i="16"/>
  <c r="V175" i="16"/>
  <c r="T187" i="17" l="1"/>
  <c r="L187" i="17"/>
  <c r="W187" i="17" s="1"/>
  <c r="N176" i="16"/>
  <c r="P176" i="16"/>
  <c r="R176" i="16" s="1"/>
  <c r="O176" i="16"/>
  <c r="I176" i="16"/>
  <c r="K176" i="16" s="1"/>
  <c r="H176" i="16"/>
  <c r="G176" i="16"/>
  <c r="V187" i="17" l="1"/>
  <c r="M188" i="17"/>
  <c r="P188" i="17" s="1"/>
  <c r="R188" i="17" s="1"/>
  <c r="Y187" i="17"/>
  <c r="X187" i="17"/>
  <c r="F188" i="17"/>
  <c r="H188" i="17" s="1"/>
  <c r="U176" i="16"/>
  <c r="Q176" i="16"/>
  <c r="S176" i="16" s="1"/>
  <c r="J176" i="16"/>
  <c r="N188" i="17" l="1"/>
  <c r="O188" i="17"/>
  <c r="G188" i="17"/>
  <c r="I188" i="17"/>
  <c r="K188" i="17" s="1"/>
  <c r="U188" i="17" s="1"/>
  <c r="T176" i="16"/>
  <c r="L176" i="16"/>
  <c r="Q188" i="17" l="1"/>
  <c r="S188" i="17" s="1"/>
  <c r="J188" i="17"/>
  <c r="Y176" i="16"/>
  <c r="W176" i="16"/>
  <c r="M177" i="16"/>
  <c r="X176" i="16"/>
  <c r="F177" i="16"/>
  <c r="V176" i="16"/>
  <c r="T188" i="17" l="1"/>
  <c r="L188" i="17"/>
  <c r="W188" i="17" s="1"/>
  <c r="I177" i="16"/>
  <c r="K177" i="16" s="1"/>
  <c r="H177" i="16"/>
  <c r="G177" i="16"/>
  <c r="P177" i="16"/>
  <c r="R177" i="16" s="1"/>
  <c r="O177" i="16"/>
  <c r="N177" i="16"/>
  <c r="V188" i="17" l="1"/>
  <c r="M189" i="17"/>
  <c r="P189" i="17" s="1"/>
  <c r="R189" i="17" s="1"/>
  <c r="F189" i="17"/>
  <c r="H189" i="17" s="1"/>
  <c r="X188" i="17"/>
  <c r="Y188" i="17"/>
  <c r="J177" i="16"/>
  <c r="L177" i="16" s="1"/>
  <c r="U177" i="16"/>
  <c r="Q177" i="16"/>
  <c r="S177" i="16" s="1"/>
  <c r="O189" i="17" l="1"/>
  <c r="N189" i="17"/>
  <c r="W177" i="16"/>
  <c r="G189" i="17"/>
  <c r="I189" i="17"/>
  <c r="K189" i="17" s="1"/>
  <c r="U189" i="17" s="1"/>
  <c r="Q189" i="17"/>
  <c r="Y177" i="16"/>
  <c r="M178" i="16"/>
  <c r="X177" i="16"/>
  <c r="F178" i="16"/>
  <c r="T177" i="16"/>
  <c r="V177" i="16" s="1"/>
  <c r="J189" i="17" l="1"/>
  <c r="L189" i="17" s="1"/>
  <c r="W189" i="17" s="1"/>
  <c r="S189" i="17"/>
  <c r="H178" i="16"/>
  <c r="G178" i="16"/>
  <c r="I178" i="16"/>
  <c r="K178" i="16" s="1"/>
  <c r="P178" i="16"/>
  <c r="R178" i="16" s="1"/>
  <c r="O178" i="16"/>
  <c r="N178" i="16"/>
  <c r="M190" i="17" l="1"/>
  <c r="T189" i="17"/>
  <c r="Q178" i="16"/>
  <c r="S178" i="16" s="1"/>
  <c r="Y189" i="17"/>
  <c r="X189" i="17"/>
  <c r="V189" i="17"/>
  <c r="P190" i="17"/>
  <c r="R190" i="17" s="1"/>
  <c r="N190" i="17"/>
  <c r="O190" i="17"/>
  <c r="F190" i="17"/>
  <c r="U178" i="16"/>
  <c r="J178" i="16"/>
  <c r="T178" i="16" l="1"/>
  <c r="Q190" i="17"/>
  <c r="S190" i="17" s="1"/>
  <c r="G190" i="17"/>
  <c r="I190" i="17"/>
  <c r="K190" i="17" s="1"/>
  <c r="U190" i="17" s="1"/>
  <c r="H190" i="17"/>
  <c r="L178" i="16"/>
  <c r="W178" i="16" s="1"/>
  <c r="J190" i="17" l="1"/>
  <c r="X178" i="16"/>
  <c r="Y178" i="16"/>
  <c r="V178" i="16"/>
  <c r="M179" i="16"/>
  <c r="O179" i="16" s="1"/>
  <c r="F179" i="16"/>
  <c r="H179" i="16" s="1"/>
  <c r="L190" i="17" l="1"/>
  <c r="W190" i="17" s="1"/>
  <c r="T190" i="17"/>
  <c r="G179" i="16"/>
  <c r="P179" i="16"/>
  <c r="R179" i="16" s="1"/>
  <c r="I179" i="16"/>
  <c r="K179" i="16" s="1"/>
  <c r="N179" i="16"/>
  <c r="Q179" i="16" s="1"/>
  <c r="S179" i="16" l="1"/>
  <c r="Y190" i="17"/>
  <c r="M191" i="17"/>
  <c r="F191" i="17"/>
  <c r="X190" i="17"/>
  <c r="V190" i="17"/>
  <c r="J179" i="16"/>
  <c r="L179" i="16" s="1"/>
  <c r="U179" i="16"/>
  <c r="Y179" i="16" l="1"/>
  <c r="W179" i="16"/>
  <c r="I191" i="17"/>
  <c r="K191" i="17" s="1"/>
  <c r="G191" i="17"/>
  <c r="H191" i="17"/>
  <c r="O191" i="17"/>
  <c r="N191" i="17"/>
  <c r="P191" i="17"/>
  <c r="R191" i="17" s="1"/>
  <c r="T179" i="16"/>
  <c r="V179" i="16" s="1"/>
  <c r="F180" i="16"/>
  <c r="M180" i="16"/>
  <c r="X179" i="16"/>
  <c r="J191" i="17" l="1"/>
  <c r="L191" i="17" s="1"/>
  <c r="U191" i="17"/>
  <c r="Q191" i="17"/>
  <c r="N180" i="16"/>
  <c r="P180" i="16"/>
  <c r="R180" i="16" s="1"/>
  <c r="O180" i="16"/>
  <c r="I180" i="16"/>
  <c r="K180" i="16" s="1"/>
  <c r="H180" i="16"/>
  <c r="G180" i="16"/>
  <c r="T191" i="17" l="1"/>
  <c r="S191" i="17"/>
  <c r="V191" i="17" s="1"/>
  <c r="U180" i="16"/>
  <c r="Q180" i="16"/>
  <c r="S180" i="16" s="1"/>
  <c r="J180" i="16"/>
  <c r="W191" i="17" l="1"/>
  <c r="Y191" i="17"/>
  <c r="F192" i="17"/>
  <c r="H192" i="17" s="1"/>
  <c r="T180" i="16"/>
  <c r="X191" i="17"/>
  <c r="M192" i="17"/>
  <c r="N192" i="17" s="1"/>
  <c r="L180" i="16"/>
  <c r="W180" i="16" s="1"/>
  <c r="G192" i="17" l="1"/>
  <c r="I192" i="17"/>
  <c r="K192" i="17" s="1"/>
  <c r="V180" i="16"/>
  <c r="O192" i="17"/>
  <c r="P192" i="17"/>
  <c r="R192" i="17" s="1"/>
  <c r="F181" i="16"/>
  <c r="I181" i="16" s="1"/>
  <c r="K181" i="16" s="1"/>
  <c r="M181" i="16"/>
  <c r="P181" i="16" s="1"/>
  <c r="R181" i="16" s="1"/>
  <c r="Y180" i="16"/>
  <c r="X180" i="16"/>
  <c r="U192" i="17" l="1"/>
  <c r="J192" i="17"/>
  <c r="L192" i="17" s="1"/>
  <c r="G181" i="16"/>
  <c r="H181" i="16"/>
  <c r="Q192" i="17"/>
  <c r="N181" i="16"/>
  <c r="O181" i="16"/>
  <c r="U181" i="16"/>
  <c r="J181" i="16" l="1"/>
  <c r="L181" i="16" s="1"/>
  <c r="Q181" i="16"/>
  <c r="S181" i="16" s="1"/>
  <c r="S192" i="17"/>
  <c r="W192" i="17" s="1"/>
  <c r="T192" i="17"/>
  <c r="W181" i="16" l="1"/>
  <c r="T181" i="16"/>
  <c r="V181" i="16" s="1"/>
  <c r="F182" i="16"/>
  <c r="H182" i="16" s="1"/>
  <c r="X181" i="16"/>
  <c r="Y181" i="16"/>
  <c r="M182" i="16"/>
  <c r="N182" i="16" s="1"/>
  <c r="V192" i="17"/>
  <c r="M193" i="17"/>
  <c r="F193" i="17"/>
  <c r="X192" i="17"/>
  <c r="Y192" i="17"/>
  <c r="I182" i="16" l="1"/>
  <c r="K182" i="16" s="1"/>
  <c r="G182" i="16"/>
  <c r="O182" i="16"/>
  <c r="P182" i="16"/>
  <c r="R182" i="16" s="1"/>
  <c r="G193" i="17"/>
  <c r="I193" i="17"/>
  <c r="K193" i="17" s="1"/>
  <c r="H193" i="17"/>
  <c r="O193" i="17"/>
  <c r="P193" i="17"/>
  <c r="R193" i="17" s="1"/>
  <c r="N193" i="17"/>
  <c r="J182" i="16" l="1"/>
  <c r="L182" i="16" s="1"/>
  <c r="U182" i="16"/>
  <c r="Q182" i="16"/>
  <c r="S182" i="16" s="1"/>
  <c r="J193" i="17"/>
  <c r="L193" i="17" s="1"/>
  <c r="W193" i="17" s="1"/>
  <c r="Q193" i="17"/>
  <c r="S193" i="17" s="1"/>
  <c r="U193" i="17"/>
  <c r="T182" i="16" l="1"/>
  <c r="V182" i="16" s="1"/>
  <c r="Y182" i="16"/>
  <c r="W182" i="16"/>
  <c r="T193" i="17"/>
  <c r="V193" i="17" s="1"/>
  <c r="Y193" i="17"/>
  <c r="M194" i="17"/>
  <c r="F194" i="17"/>
  <c r="X193" i="17"/>
  <c r="X182" i="16"/>
  <c r="F183" i="16"/>
  <c r="M183" i="16"/>
  <c r="H194" i="17" l="1"/>
  <c r="I194" i="17"/>
  <c r="K194" i="17" s="1"/>
  <c r="G194" i="17"/>
  <c r="P194" i="17"/>
  <c r="R194" i="17" s="1"/>
  <c r="O194" i="17"/>
  <c r="N194" i="17"/>
  <c r="O183" i="16"/>
  <c r="N183" i="16"/>
  <c r="P183" i="16"/>
  <c r="R183" i="16" s="1"/>
  <c r="G183" i="16"/>
  <c r="I183" i="16"/>
  <c r="K183" i="16" s="1"/>
  <c r="H183" i="16"/>
  <c r="J194" i="17" l="1"/>
  <c r="L194" i="17" s="1"/>
  <c r="W194" i="17" s="1"/>
  <c r="Q194" i="17"/>
  <c r="S194" i="17" s="1"/>
  <c r="U194" i="17"/>
  <c r="U183" i="16"/>
  <c r="J183" i="16"/>
  <c r="Q183" i="16"/>
  <c r="S183" i="16" s="1"/>
  <c r="F195" i="17" l="1"/>
  <c r="X194" i="17"/>
  <c r="M195" i="17"/>
  <c r="Y194" i="17"/>
  <c r="T194" i="17"/>
  <c r="V194" i="17" s="1"/>
  <c r="T183" i="16"/>
  <c r="L183" i="16"/>
  <c r="Y183" i="16" l="1"/>
  <c r="W183" i="16"/>
  <c r="O195" i="17"/>
  <c r="P195" i="17"/>
  <c r="R195" i="17" s="1"/>
  <c r="N195" i="17"/>
  <c r="G195" i="17"/>
  <c r="I195" i="17"/>
  <c r="K195" i="17" s="1"/>
  <c r="H195" i="17"/>
  <c r="F184" i="16"/>
  <c r="M184" i="16"/>
  <c r="X183" i="16"/>
  <c r="V183" i="16"/>
  <c r="Q195" i="17" l="1"/>
  <c r="S195" i="17" s="1"/>
  <c r="U195" i="17"/>
  <c r="J195" i="17"/>
  <c r="N184" i="16"/>
  <c r="P184" i="16"/>
  <c r="R184" i="16" s="1"/>
  <c r="O184" i="16"/>
  <c r="I184" i="16"/>
  <c r="K184" i="16" s="1"/>
  <c r="H184" i="16"/>
  <c r="G184" i="16"/>
  <c r="T195" i="17" l="1"/>
  <c r="L195" i="17"/>
  <c r="W195" i="17" s="1"/>
  <c r="U184" i="16"/>
  <c r="Q184" i="16"/>
  <c r="S184" i="16" s="1"/>
  <c r="J184" i="16"/>
  <c r="F196" i="17" l="1"/>
  <c r="X195" i="17"/>
  <c r="V195" i="17"/>
  <c r="Y195" i="17"/>
  <c r="M196" i="17"/>
  <c r="T184" i="16"/>
  <c r="L184" i="16"/>
  <c r="M185" i="16" l="1"/>
  <c r="N185" i="16" s="1"/>
  <c r="W184" i="16"/>
  <c r="F185" i="16"/>
  <c r="I185" i="16" s="1"/>
  <c r="K185" i="16" s="1"/>
  <c r="N196" i="17"/>
  <c r="O196" i="17"/>
  <c r="P196" i="17"/>
  <c r="R196" i="17" s="1"/>
  <c r="H196" i="17"/>
  <c r="I196" i="17"/>
  <c r="K196" i="17" s="1"/>
  <c r="G196" i="17"/>
  <c r="V184" i="16"/>
  <c r="X184" i="16"/>
  <c r="Y184" i="16"/>
  <c r="O185" i="16" l="1"/>
  <c r="P185" i="16"/>
  <c r="R185" i="16" s="1"/>
  <c r="U185" i="16" s="1"/>
  <c r="G185" i="16"/>
  <c r="H185" i="16"/>
  <c r="Q196" i="17"/>
  <c r="S196" i="17" s="1"/>
  <c r="J196" i="17"/>
  <c r="U196" i="17"/>
  <c r="Q185" i="16" l="1"/>
  <c r="S185" i="16" s="1"/>
  <c r="J185" i="16"/>
  <c r="L185" i="16" s="1"/>
  <c r="T196" i="17"/>
  <c r="L196" i="17"/>
  <c r="W196" i="17" s="1"/>
  <c r="F186" i="16" l="1"/>
  <c r="H186" i="16" s="1"/>
  <c r="W185" i="16"/>
  <c r="T185" i="16"/>
  <c r="V185" i="16" s="1"/>
  <c r="X185" i="16"/>
  <c r="Y185" i="16"/>
  <c r="M186" i="16"/>
  <c r="P186" i="16" s="1"/>
  <c r="R186" i="16" s="1"/>
  <c r="M197" i="17"/>
  <c r="Y196" i="17"/>
  <c r="F197" i="17"/>
  <c r="X196" i="17"/>
  <c r="V196" i="17"/>
  <c r="G186" i="16"/>
  <c r="I186" i="16"/>
  <c r="K186" i="16" s="1"/>
  <c r="N186" i="16" l="1"/>
  <c r="Q186" i="16" s="1"/>
  <c r="S186" i="16" s="1"/>
  <c r="O186" i="16"/>
  <c r="H197" i="17"/>
  <c r="G197" i="17"/>
  <c r="I197" i="17"/>
  <c r="K197" i="17" s="1"/>
  <c r="N197" i="17"/>
  <c r="O197" i="17"/>
  <c r="P197" i="17"/>
  <c r="R197" i="17" s="1"/>
  <c r="U186" i="16"/>
  <c r="J186" i="16"/>
  <c r="Q197" i="17" l="1"/>
  <c r="S197" i="17" s="1"/>
  <c r="J197" i="17"/>
  <c r="L197" i="17" s="1"/>
  <c r="W197" i="17" s="1"/>
  <c r="U197" i="17"/>
  <c r="T186" i="16"/>
  <c r="L186" i="16"/>
  <c r="Y186" i="16" l="1"/>
  <c r="W186" i="16"/>
  <c r="T197" i="17"/>
  <c r="V197" i="17" s="1"/>
  <c r="F198" i="17"/>
  <c r="Y197" i="17"/>
  <c r="M198" i="17"/>
  <c r="X197" i="17"/>
  <c r="X186" i="16"/>
  <c r="F187" i="16"/>
  <c r="M187" i="16"/>
  <c r="V186" i="16"/>
  <c r="O198" i="17" l="1"/>
  <c r="N198" i="17"/>
  <c r="P198" i="17"/>
  <c r="R198" i="17" s="1"/>
  <c r="G198" i="17"/>
  <c r="H198" i="17"/>
  <c r="I198" i="17"/>
  <c r="K198" i="17" s="1"/>
  <c r="O187" i="16"/>
  <c r="N187" i="16"/>
  <c r="P187" i="16"/>
  <c r="R187" i="16" s="1"/>
  <c r="G187" i="16"/>
  <c r="I187" i="16"/>
  <c r="K187" i="16" s="1"/>
  <c r="H187" i="16"/>
  <c r="U198" i="17" l="1"/>
  <c r="Q198" i="17"/>
  <c r="S198" i="17" s="1"/>
  <c r="J198" i="17"/>
  <c r="U187" i="16"/>
  <c r="J187" i="16"/>
  <c r="Q187" i="16"/>
  <c r="S187" i="16" s="1"/>
  <c r="T198" i="17" l="1"/>
  <c r="L198" i="17"/>
  <c r="W198" i="17" s="1"/>
  <c r="T187" i="16"/>
  <c r="L187" i="16"/>
  <c r="X198" i="17" l="1"/>
  <c r="Y187" i="16"/>
  <c r="W187" i="16"/>
  <c r="V198" i="17"/>
  <c r="Y198" i="17"/>
  <c r="M199" i="17"/>
  <c r="N199" i="17" s="1"/>
  <c r="F199" i="17"/>
  <c r="I199" i="17" s="1"/>
  <c r="K199" i="17" s="1"/>
  <c r="F188" i="16"/>
  <c r="M188" i="16"/>
  <c r="X187" i="16"/>
  <c r="V187" i="16"/>
  <c r="H199" i="17" l="1"/>
  <c r="G199" i="17"/>
  <c r="P199" i="17"/>
  <c r="R199" i="17" s="1"/>
  <c r="U199" i="17" s="1"/>
  <c r="O199" i="17"/>
  <c r="N188" i="16"/>
  <c r="P188" i="16"/>
  <c r="R188" i="16" s="1"/>
  <c r="O188" i="16"/>
  <c r="I188" i="16"/>
  <c r="K188" i="16" s="1"/>
  <c r="H188" i="16"/>
  <c r="G188" i="16"/>
  <c r="J199" i="17" l="1"/>
  <c r="L199" i="17" s="1"/>
  <c r="W199" i="17" s="1"/>
  <c r="Q199" i="17"/>
  <c r="S199" i="17" s="1"/>
  <c r="U188" i="16"/>
  <c r="J188" i="16"/>
  <c r="L188" i="16" s="1"/>
  <c r="Q188" i="16"/>
  <c r="T199" i="17" l="1"/>
  <c r="V199" i="17" s="1"/>
  <c r="M200" i="17"/>
  <c r="Y199" i="17"/>
  <c r="X199" i="17"/>
  <c r="F200" i="17"/>
  <c r="T188" i="16"/>
  <c r="S188" i="16"/>
  <c r="W188" i="16" s="1"/>
  <c r="V188" i="16" l="1"/>
  <c r="H200" i="17"/>
  <c r="G200" i="17"/>
  <c r="I200" i="17"/>
  <c r="K200" i="17" s="1"/>
  <c r="P200" i="17"/>
  <c r="R200" i="17" s="1"/>
  <c r="O200" i="17"/>
  <c r="N200" i="17"/>
  <c r="F189" i="16"/>
  <c r="H189" i="16" s="1"/>
  <c r="X188" i="16"/>
  <c r="Y188" i="16"/>
  <c r="M189" i="16"/>
  <c r="U200" i="17" l="1"/>
  <c r="Q200" i="17"/>
  <c r="S200" i="17" s="1"/>
  <c r="J200" i="17"/>
  <c r="G189" i="16"/>
  <c r="I189" i="16"/>
  <c r="K189" i="16" s="1"/>
  <c r="P189" i="16"/>
  <c r="R189" i="16" s="1"/>
  <c r="O189" i="16"/>
  <c r="N189" i="16"/>
  <c r="T200" i="17" l="1"/>
  <c r="U189" i="16"/>
  <c r="J189" i="16"/>
  <c r="L189" i="16" s="1"/>
  <c r="L200" i="17"/>
  <c r="W200" i="17" s="1"/>
  <c r="Q189" i="16"/>
  <c r="T189" i="16" l="1"/>
  <c r="M201" i="17"/>
  <c r="X200" i="17"/>
  <c r="F201" i="17"/>
  <c r="Y200" i="17"/>
  <c r="V200" i="17"/>
  <c r="S189" i="16"/>
  <c r="Y189" i="16" s="1"/>
  <c r="W189" i="16" l="1"/>
  <c r="I201" i="17"/>
  <c r="K201" i="17" s="1"/>
  <c r="G201" i="17"/>
  <c r="H201" i="17"/>
  <c r="N201" i="17"/>
  <c r="O201" i="17"/>
  <c r="P201" i="17"/>
  <c r="R201" i="17" s="1"/>
  <c r="V189" i="16"/>
  <c r="F190" i="16"/>
  <c r="M190" i="16"/>
  <c r="X189" i="16"/>
  <c r="Q201" i="17" l="1"/>
  <c r="S201" i="17" s="1"/>
  <c r="J201" i="17"/>
  <c r="L201" i="17" s="1"/>
  <c r="W201" i="17" s="1"/>
  <c r="U201" i="17"/>
  <c r="H190" i="16"/>
  <c r="G190" i="16"/>
  <c r="I190" i="16"/>
  <c r="K190" i="16" s="1"/>
  <c r="N190" i="16"/>
  <c r="P190" i="16"/>
  <c r="R190" i="16" s="1"/>
  <c r="O190" i="16"/>
  <c r="M202" i="17" l="1"/>
  <c r="F202" i="17"/>
  <c r="Y201" i="17"/>
  <c r="X201" i="17"/>
  <c r="T201" i="17"/>
  <c r="V201" i="17" s="1"/>
  <c r="J190" i="16"/>
  <c r="L190" i="16" s="1"/>
  <c r="Q190" i="16"/>
  <c r="S190" i="16" s="1"/>
  <c r="U190" i="16"/>
  <c r="W190" i="16" l="1"/>
  <c r="H202" i="17"/>
  <c r="I202" i="17"/>
  <c r="K202" i="17" s="1"/>
  <c r="G202" i="17"/>
  <c r="O202" i="17"/>
  <c r="P202" i="17"/>
  <c r="R202" i="17" s="1"/>
  <c r="N202" i="17"/>
  <c r="F191" i="16"/>
  <c r="G191" i="16" s="1"/>
  <c r="Y190" i="16"/>
  <c r="X190" i="16"/>
  <c r="M191" i="16"/>
  <c r="O191" i="16" s="1"/>
  <c r="T190" i="16"/>
  <c r="V190" i="16" s="1"/>
  <c r="J202" i="17" l="1"/>
  <c r="L202" i="17" s="1"/>
  <c r="W202" i="17" s="1"/>
  <c r="Q202" i="17"/>
  <c r="S202" i="17" s="1"/>
  <c r="U202" i="17"/>
  <c r="P191" i="16"/>
  <c r="R191" i="16" s="1"/>
  <c r="H191" i="16"/>
  <c r="I191" i="16"/>
  <c r="K191" i="16" s="1"/>
  <c r="N191" i="16"/>
  <c r="T202" i="17" l="1"/>
  <c r="Q191" i="16"/>
  <c r="S191" i="16" s="1"/>
  <c r="V202" i="17"/>
  <c r="U191" i="16"/>
  <c r="F203" i="17"/>
  <c r="Y202" i="17"/>
  <c r="M203" i="17"/>
  <c r="X202" i="17"/>
  <c r="J191" i="16"/>
  <c r="L191" i="16" s="1"/>
  <c r="Y191" i="16" l="1"/>
  <c r="W191" i="16"/>
  <c r="O203" i="17"/>
  <c r="N203" i="17"/>
  <c r="P203" i="17"/>
  <c r="R203" i="17" s="1"/>
  <c r="H203" i="17"/>
  <c r="G203" i="17"/>
  <c r="I203" i="17"/>
  <c r="K203" i="17" s="1"/>
  <c r="T191" i="16"/>
  <c r="V191" i="16" s="1"/>
  <c r="F192" i="16"/>
  <c r="M192" i="16"/>
  <c r="X191" i="16"/>
  <c r="U203" i="17" l="1"/>
  <c r="Q203" i="17"/>
  <c r="S203" i="17" s="1"/>
  <c r="J203" i="17"/>
  <c r="N192" i="16"/>
  <c r="P192" i="16"/>
  <c r="R192" i="16" s="1"/>
  <c r="O192" i="16"/>
  <c r="I192" i="16"/>
  <c r="K192" i="16" s="1"/>
  <c r="H192" i="16"/>
  <c r="G192" i="16"/>
  <c r="T203" i="17" l="1"/>
  <c r="L203" i="17"/>
  <c r="W203" i="17" s="1"/>
  <c r="U192" i="16"/>
  <c r="Q192" i="16"/>
  <c r="S192" i="16" s="1"/>
  <c r="J192" i="16"/>
  <c r="V203" i="17" l="1"/>
  <c r="F204" i="17"/>
  <c r="G204" i="17" s="1"/>
  <c r="Y203" i="17"/>
  <c r="X203" i="17"/>
  <c r="M204" i="17"/>
  <c r="N204" i="17" s="1"/>
  <c r="T192" i="16"/>
  <c r="L192" i="16"/>
  <c r="H204" i="17" l="1"/>
  <c r="I204" i="17"/>
  <c r="K204" i="17" s="1"/>
  <c r="F193" i="16"/>
  <c r="G193" i="16" s="1"/>
  <c r="W192" i="16"/>
  <c r="O204" i="17"/>
  <c r="P204" i="17"/>
  <c r="R204" i="17" s="1"/>
  <c r="X192" i="16"/>
  <c r="M193" i="16"/>
  <c r="O193" i="16" s="1"/>
  <c r="V192" i="16"/>
  <c r="Y192" i="16"/>
  <c r="H193" i="16" l="1"/>
  <c r="J193" i="16" s="1"/>
  <c r="I193" i="16"/>
  <c r="K193" i="16" s="1"/>
  <c r="U204" i="17"/>
  <c r="J204" i="17"/>
  <c r="L204" i="17" s="1"/>
  <c r="W204" i="17" s="1"/>
  <c r="Q204" i="17"/>
  <c r="S204" i="17" s="1"/>
  <c r="P193" i="16"/>
  <c r="R193" i="16" s="1"/>
  <c r="U193" i="16" s="1"/>
  <c r="N193" i="16"/>
  <c r="X204" i="17" l="1"/>
  <c r="Y204" i="17"/>
  <c r="Q193" i="16"/>
  <c r="T193" i="16" s="1"/>
  <c r="T204" i="17"/>
  <c r="V204" i="17" s="1"/>
  <c r="F205" i="17"/>
  <c r="H205" i="17" s="1"/>
  <c r="M205" i="17"/>
  <c r="O205" i="17" s="1"/>
  <c r="L193" i="16"/>
  <c r="S193" i="16" l="1"/>
  <c r="X193" i="16" s="1"/>
  <c r="I205" i="17"/>
  <c r="K205" i="17" s="1"/>
  <c r="G205" i="17"/>
  <c r="N205" i="17"/>
  <c r="P205" i="17"/>
  <c r="R205" i="17" s="1"/>
  <c r="W193" i="16"/>
  <c r="M194" i="16"/>
  <c r="V193" i="16"/>
  <c r="F194" i="16" l="1"/>
  <c r="I194" i="16" s="1"/>
  <c r="K194" i="16" s="1"/>
  <c r="Y193" i="16"/>
  <c r="U205" i="17"/>
  <c r="J205" i="17"/>
  <c r="L205" i="17" s="1"/>
  <c r="W205" i="17" s="1"/>
  <c r="Q205" i="17"/>
  <c r="S205" i="17" s="1"/>
  <c r="P194" i="16"/>
  <c r="R194" i="16" s="1"/>
  <c r="O194" i="16"/>
  <c r="N194" i="16"/>
  <c r="G194" i="16"/>
  <c r="H194" i="16" l="1"/>
  <c r="T205" i="17"/>
  <c r="V205" i="17" s="1"/>
  <c r="X205" i="17"/>
  <c r="F206" i="17"/>
  <c r="H206" i="17" s="1"/>
  <c r="M206" i="17"/>
  <c r="P206" i="17" s="1"/>
  <c r="R206" i="17" s="1"/>
  <c r="Y205" i="17"/>
  <c r="U194" i="16"/>
  <c r="J194" i="16"/>
  <c r="Q194" i="16"/>
  <c r="S194" i="16" s="1"/>
  <c r="G206" i="17" l="1"/>
  <c r="O206" i="17"/>
  <c r="N206" i="17"/>
  <c r="Q206" i="17" s="1"/>
  <c r="I206" i="17"/>
  <c r="K206" i="17" s="1"/>
  <c r="U206" i="17" s="1"/>
  <c r="T194" i="16"/>
  <c r="L194" i="16"/>
  <c r="J206" i="17" l="1"/>
  <c r="L206" i="17" s="1"/>
  <c r="Y194" i="16"/>
  <c r="W194" i="16"/>
  <c r="S206" i="17"/>
  <c r="X194" i="16"/>
  <c r="F195" i="16"/>
  <c r="M195" i="16"/>
  <c r="V194" i="16"/>
  <c r="W206" i="17" l="1"/>
  <c r="T206" i="17"/>
  <c r="V206" i="17" s="1"/>
  <c r="F207" i="17"/>
  <c r="I207" i="17" s="1"/>
  <c r="K207" i="17" s="1"/>
  <c r="M207" i="17"/>
  <c r="Y206" i="17"/>
  <c r="X206" i="17"/>
  <c r="O195" i="16"/>
  <c r="N195" i="16"/>
  <c r="P195" i="16"/>
  <c r="R195" i="16" s="1"/>
  <c r="G195" i="16"/>
  <c r="I195" i="16"/>
  <c r="K195" i="16" s="1"/>
  <c r="H195" i="16"/>
  <c r="G207" i="17" l="1"/>
  <c r="H207" i="17"/>
  <c r="P207" i="17"/>
  <c r="R207" i="17" s="1"/>
  <c r="U207" i="17" s="1"/>
  <c r="O207" i="17"/>
  <c r="N207" i="17"/>
  <c r="U195" i="16"/>
  <c r="J195" i="16"/>
  <c r="Q195" i="16"/>
  <c r="S195" i="16" s="1"/>
  <c r="J207" i="17" l="1"/>
  <c r="L207" i="17" s="1"/>
  <c r="W207" i="17" s="1"/>
  <c r="Q207" i="17"/>
  <c r="S207" i="17" s="1"/>
  <c r="T195" i="16"/>
  <c r="L195" i="16"/>
  <c r="V195" i="16" l="1"/>
  <c r="W195" i="16"/>
  <c r="T207" i="17"/>
  <c r="V207" i="17" s="1"/>
  <c r="Y207" i="17"/>
  <c r="F208" i="17"/>
  <c r="X207" i="17"/>
  <c r="M208" i="17"/>
  <c r="F196" i="16"/>
  <c r="H196" i="16" s="1"/>
  <c r="M196" i="16"/>
  <c r="N196" i="16" s="1"/>
  <c r="Y195" i="16"/>
  <c r="X195" i="16"/>
  <c r="I208" i="17" l="1"/>
  <c r="K208" i="17" s="1"/>
  <c r="H208" i="17"/>
  <c r="G208" i="17"/>
  <c r="P208" i="17"/>
  <c r="R208" i="17" s="1"/>
  <c r="N208" i="17"/>
  <c r="O208" i="17"/>
  <c r="I196" i="16"/>
  <c r="K196" i="16" s="1"/>
  <c r="G196" i="16"/>
  <c r="O196" i="16"/>
  <c r="P196" i="16"/>
  <c r="R196" i="16" s="1"/>
  <c r="Q208" i="17" l="1"/>
  <c r="S208" i="17" s="1"/>
  <c r="J208" i="17"/>
  <c r="U196" i="16"/>
  <c r="J196" i="16"/>
  <c r="L196" i="16" s="1"/>
  <c r="W196" i="16" s="1"/>
  <c r="U208" i="17"/>
  <c r="Q196" i="16"/>
  <c r="S196" i="16" s="1"/>
  <c r="T208" i="17" l="1"/>
  <c r="L208" i="17"/>
  <c r="W208" i="17" s="1"/>
  <c r="Y196" i="16"/>
  <c r="T196" i="16"/>
  <c r="V196" i="16" s="1"/>
  <c r="M197" i="16"/>
  <c r="X196" i="16"/>
  <c r="F197" i="16"/>
  <c r="M209" i="17" l="1"/>
  <c r="O209" i="17" s="1"/>
  <c r="X208" i="17"/>
  <c r="F209" i="17"/>
  <c r="G209" i="17" s="1"/>
  <c r="V208" i="17"/>
  <c r="Y208" i="17"/>
  <c r="I197" i="16"/>
  <c r="K197" i="16" s="1"/>
  <c r="H197" i="16"/>
  <c r="G197" i="16"/>
  <c r="P197" i="16"/>
  <c r="R197" i="16" s="1"/>
  <c r="O197" i="16"/>
  <c r="N197" i="16"/>
  <c r="N209" i="17" l="1"/>
  <c r="H209" i="17"/>
  <c r="P209" i="17"/>
  <c r="R209" i="17" s="1"/>
  <c r="I209" i="17"/>
  <c r="K209" i="17" s="1"/>
  <c r="U197" i="16"/>
  <c r="Q197" i="16"/>
  <c r="S197" i="16" s="1"/>
  <c r="J197" i="16"/>
  <c r="L197" i="16" s="1"/>
  <c r="W197" i="16" s="1"/>
  <c r="U209" i="17" l="1"/>
  <c r="Q209" i="17"/>
  <c r="S209" i="17" s="1"/>
  <c r="J209" i="17"/>
  <c r="Y197" i="16"/>
  <c r="X197" i="16"/>
  <c r="F198" i="16"/>
  <c r="M198" i="16"/>
  <c r="T197" i="16"/>
  <c r="V197" i="16" s="1"/>
  <c r="T209" i="17" l="1"/>
  <c r="L209" i="17"/>
  <c r="W209" i="17" s="1"/>
  <c r="P198" i="16"/>
  <c r="R198" i="16" s="1"/>
  <c r="O198" i="16"/>
  <c r="N198" i="16"/>
  <c r="H198" i="16"/>
  <c r="G198" i="16"/>
  <c r="I198" i="16"/>
  <c r="K198" i="16" s="1"/>
  <c r="M210" i="17" l="1"/>
  <c r="O210" i="17" s="1"/>
  <c r="Y209" i="17"/>
  <c r="F210" i="17"/>
  <c r="G210" i="17" s="1"/>
  <c r="V209" i="17"/>
  <c r="X209" i="17"/>
  <c r="U198" i="16"/>
  <c r="J198" i="16"/>
  <c r="L198" i="16" s="1"/>
  <c r="Q198" i="16"/>
  <c r="S198" i="16" s="1"/>
  <c r="I210" i="17" l="1"/>
  <c r="K210" i="17" s="1"/>
  <c r="H210" i="17"/>
  <c r="N210" i="17"/>
  <c r="P210" i="17"/>
  <c r="R210" i="17" s="1"/>
  <c r="W198" i="16"/>
  <c r="Y198" i="16"/>
  <c r="T198" i="16"/>
  <c r="V198" i="16" s="1"/>
  <c r="X198" i="16"/>
  <c r="F199" i="16"/>
  <c r="M199" i="16"/>
  <c r="U210" i="17" l="1"/>
  <c r="J210" i="17"/>
  <c r="L210" i="17" s="1"/>
  <c r="Q210" i="17"/>
  <c r="S210" i="17" s="1"/>
  <c r="Y210" i="17" s="1"/>
  <c r="G199" i="16"/>
  <c r="I199" i="16"/>
  <c r="K199" i="16" s="1"/>
  <c r="H199" i="16"/>
  <c r="O199" i="16"/>
  <c r="N199" i="16"/>
  <c r="P199" i="16"/>
  <c r="R199" i="16" s="1"/>
  <c r="W210" i="17" l="1"/>
  <c r="M211" i="17"/>
  <c r="N211" i="17" s="1"/>
  <c r="F211" i="17"/>
  <c r="H211" i="17" s="1"/>
  <c r="X210" i="17"/>
  <c r="T210" i="17"/>
  <c r="V210" i="17" s="1"/>
  <c r="P211" i="17"/>
  <c r="R211" i="17" s="1"/>
  <c r="J199" i="16"/>
  <c r="L199" i="16" s="1"/>
  <c r="U199" i="16"/>
  <c r="Q199" i="16"/>
  <c r="O211" i="17" l="1"/>
  <c r="Q211" i="17" s="1"/>
  <c r="G211" i="17"/>
  <c r="I211" i="17"/>
  <c r="K211" i="17" s="1"/>
  <c r="U211" i="17" s="1"/>
  <c r="T199" i="16"/>
  <c r="S199" i="16"/>
  <c r="W199" i="16" s="1"/>
  <c r="J211" i="17" l="1"/>
  <c r="L211" i="17" s="1"/>
  <c r="Y211" i="17" s="1"/>
  <c r="V199" i="16"/>
  <c r="S211" i="17"/>
  <c r="M200" i="16"/>
  <c r="N200" i="16" s="1"/>
  <c r="X199" i="16"/>
  <c r="F200" i="16"/>
  <c r="G200" i="16" s="1"/>
  <c r="Y199" i="16"/>
  <c r="F212" i="17" l="1"/>
  <c r="I212" i="17" s="1"/>
  <c r="K212" i="17" s="1"/>
  <c r="X211" i="17"/>
  <c r="M212" i="17"/>
  <c r="O212" i="17" s="1"/>
  <c r="W211" i="17"/>
  <c r="T211" i="17"/>
  <c r="V211" i="17" s="1"/>
  <c r="O200" i="16"/>
  <c r="P200" i="16"/>
  <c r="R200" i="16" s="1"/>
  <c r="H200" i="16"/>
  <c r="I200" i="16"/>
  <c r="K200" i="16" s="1"/>
  <c r="G212" i="17"/>
  <c r="U200" i="16" l="1"/>
  <c r="H212" i="17"/>
  <c r="P212" i="17"/>
  <c r="R212" i="17" s="1"/>
  <c r="Q200" i="16"/>
  <c r="S200" i="16" s="1"/>
  <c r="J200" i="16"/>
  <c r="L200" i="16" s="1"/>
  <c r="N212" i="17"/>
  <c r="J212" i="17"/>
  <c r="L212" i="17" s="1"/>
  <c r="U212" i="17"/>
  <c r="Q212" i="17" l="1"/>
  <c r="S212" i="17" s="1"/>
  <c r="F213" i="17" s="1"/>
  <c r="I213" i="17" s="1"/>
  <c r="K213" i="17" s="1"/>
  <c r="T200" i="16"/>
  <c r="W212" i="17"/>
  <c r="Y200" i="16"/>
  <c r="W200" i="16"/>
  <c r="Y212" i="17"/>
  <c r="T212" i="17"/>
  <c r="V212" i="17" s="1"/>
  <c r="X212" i="17"/>
  <c r="M213" i="17"/>
  <c r="N213" i="17" s="1"/>
  <c r="M201" i="16"/>
  <c r="X200" i="16"/>
  <c r="F201" i="16"/>
  <c r="V200" i="16"/>
  <c r="G213" i="17" l="1"/>
  <c r="H213" i="17"/>
  <c r="P213" i="17"/>
  <c r="R213" i="17" s="1"/>
  <c r="U213" i="17" s="1"/>
  <c r="O213" i="17"/>
  <c r="I201" i="16"/>
  <c r="K201" i="16" s="1"/>
  <c r="H201" i="16"/>
  <c r="G201" i="16"/>
  <c r="P201" i="16"/>
  <c r="R201" i="16" s="1"/>
  <c r="O201" i="16"/>
  <c r="N201" i="16"/>
  <c r="J213" i="17" l="1"/>
  <c r="L213" i="17" s="1"/>
  <c r="W213" i="17" s="1"/>
  <c r="Q213" i="17"/>
  <c r="S213" i="17" s="1"/>
  <c r="U201" i="16"/>
  <c r="Q201" i="16"/>
  <c r="S201" i="16" s="1"/>
  <c r="J201" i="16"/>
  <c r="L201" i="16" s="1"/>
  <c r="W201" i="16" s="1"/>
  <c r="T213" i="17" l="1"/>
  <c r="M214" i="17"/>
  <c r="N214" i="17" s="1"/>
  <c r="F214" i="17"/>
  <c r="I214" i="17" s="1"/>
  <c r="K214" i="17" s="1"/>
  <c r="V213" i="17"/>
  <c r="X213" i="17"/>
  <c r="Y213" i="17"/>
  <c r="O214" i="17"/>
  <c r="Y201" i="16"/>
  <c r="X201" i="16"/>
  <c r="F202" i="16"/>
  <c r="M202" i="16"/>
  <c r="T201" i="16"/>
  <c r="V201" i="16" s="1"/>
  <c r="G214" i="17" l="1"/>
  <c r="H214" i="17"/>
  <c r="P214" i="17"/>
  <c r="R214" i="17" s="1"/>
  <c r="U214" i="17" s="1"/>
  <c r="P202" i="16"/>
  <c r="R202" i="16" s="1"/>
  <c r="O202" i="16"/>
  <c r="N202" i="16"/>
  <c r="H202" i="16"/>
  <c r="G202" i="16"/>
  <c r="I202" i="16"/>
  <c r="K202" i="16" s="1"/>
  <c r="J214" i="17" l="1"/>
  <c r="L214" i="17" s="1"/>
  <c r="W214" i="17" s="1"/>
  <c r="Q214" i="17"/>
  <c r="S214" i="17" s="1"/>
  <c r="U202" i="16"/>
  <c r="J202" i="16"/>
  <c r="Q202" i="16"/>
  <c r="S202" i="16" s="1"/>
  <c r="T214" i="17" l="1"/>
  <c r="V214" i="17" s="1"/>
  <c r="Y214" i="17"/>
  <c r="M215" i="17"/>
  <c r="X214" i="17"/>
  <c r="F215" i="17"/>
  <c r="T202" i="16"/>
  <c r="L202" i="16"/>
  <c r="Y202" i="16" l="1"/>
  <c r="W202" i="16"/>
  <c r="O215" i="17"/>
  <c r="P215" i="17"/>
  <c r="R215" i="17" s="1"/>
  <c r="N215" i="17"/>
  <c r="I215" i="17"/>
  <c r="K215" i="17" s="1"/>
  <c r="G215" i="17"/>
  <c r="H215" i="17"/>
  <c r="X202" i="16"/>
  <c r="F203" i="16"/>
  <c r="M203" i="16"/>
  <c r="V202" i="16"/>
  <c r="J215" i="17" l="1"/>
  <c r="L215" i="17" s="1"/>
  <c r="W215" i="17" s="1"/>
  <c r="Q215" i="17"/>
  <c r="S215" i="17" s="1"/>
  <c r="U215" i="17"/>
  <c r="O203" i="16"/>
  <c r="N203" i="16"/>
  <c r="P203" i="16"/>
  <c r="R203" i="16" s="1"/>
  <c r="G203" i="16"/>
  <c r="I203" i="16"/>
  <c r="K203" i="16" s="1"/>
  <c r="H203" i="16"/>
  <c r="X215" i="17" l="1"/>
  <c r="F216" i="17"/>
  <c r="Y215" i="17"/>
  <c r="M216" i="17"/>
  <c r="T215" i="17"/>
  <c r="V215" i="17" s="1"/>
  <c r="U203" i="16"/>
  <c r="J203" i="16"/>
  <c r="Q203" i="16"/>
  <c r="S203" i="16" s="1"/>
  <c r="I216" i="17" l="1"/>
  <c r="K216" i="17" s="1"/>
  <c r="H216" i="17"/>
  <c r="G216" i="17"/>
  <c r="P216" i="17"/>
  <c r="R216" i="17" s="1"/>
  <c r="N216" i="17"/>
  <c r="O216" i="17"/>
  <c r="T203" i="16"/>
  <c r="L203" i="16"/>
  <c r="Y203" i="16" l="1"/>
  <c r="W203" i="16"/>
  <c r="Q216" i="17"/>
  <c r="S216" i="17" s="1"/>
  <c r="J216" i="17"/>
  <c r="U216" i="17"/>
  <c r="F204" i="16"/>
  <c r="M204" i="16"/>
  <c r="X203" i="16"/>
  <c r="V203" i="16"/>
  <c r="T216" i="17" l="1"/>
  <c r="L216" i="17"/>
  <c r="N204" i="16"/>
  <c r="P204" i="16"/>
  <c r="R204" i="16" s="1"/>
  <c r="O204" i="16"/>
  <c r="I204" i="16"/>
  <c r="K204" i="16" s="1"/>
  <c r="H204" i="16"/>
  <c r="G204" i="16"/>
  <c r="F217" i="17" l="1"/>
  <c r="G217" i="17" s="1"/>
  <c r="W216" i="17"/>
  <c r="Y216" i="17"/>
  <c r="V216" i="17"/>
  <c r="M217" i="17"/>
  <c r="P217" i="17" s="1"/>
  <c r="R217" i="17" s="1"/>
  <c r="X216" i="17"/>
  <c r="I217" i="17"/>
  <c r="K217" i="17" s="1"/>
  <c r="U204" i="16"/>
  <c r="J204" i="16"/>
  <c r="L204" i="16" s="1"/>
  <c r="Q204" i="16"/>
  <c r="H217" i="17" l="1"/>
  <c r="J217" i="17" s="1"/>
  <c r="L217" i="17" s="1"/>
  <c r="O217" i="17"/>
  <c r="N217" i="17"/>
  <c r="U217" i="17"/>
  <c r="T204" i="16"/>
  <c r="S204" i="16"/>
  <c r="W204" i="16" s="1"/>
  <c r="Q217" i="17" l="1"/>
  <c r="S217" i="17" s="1"/>
  <c r="X217" i="17" s="1"/>
  <c r="V204" i="16"/>
  <c r="Y204" i="16"/>
  <c r="X204" i="16"/>
  <c r="M205" i="16"/>
  <c r="P205" i="16" s="1"/>
  <c r="R205" i="16" s="1"/>
  <c r="F205" i="16"/>
  <c r="H205" i="16" s="1"/>
  <c r="Y217" i="17" l="1"/>
  <c r="M218" i="17"/>
  <c r="F218" i="17"/>
  <c r="I218" i="17" s="1"/>
  <c r="K218" i="17" s="1"/>
  <c r="W217" i="17"/>
  <c r="T217" i="17"/>
  <c r="V217" i="17" s="1"/>
  <c r="N218" i="17"/>
  <c r="O218" i="17"/>
  <c r="P218" i="17"/>
  <c r="R218" i="17" s="1"/>
  <c r="G218" i="17"/>
  <c r="N205" i="16"/>
  <c r="O205" i="16"/>
  <c r="G205" i="16"/>
  <c r="I205" i="16"/>
  <c r="K205" i="16" s="1"/>
  <c r="U205" i="16" s="1"/>
  <c r="H218" i="17" l="1"/>
  <c r="J218" i="17" s="1"/>
  <c r="Q218" i="17"/>
  <c r="S218" i="17" s="1"/>
  <c r="U218" i="17"/>
  <c r="Q205" i="16"/>
  <c r="S205" i="16" s="1"/>
  <c r="J205" i="16"/>
  <c r="L205" i="16" s="1"/>
  <c r="W205" i="16" s="1"/>
  <c r="T218" i="17" l="1"/>
  <c r="L218" i="17"/>
  <c r="W218" i="17" s="1"/>
  <c r="Y205" i="16"/>
  <c r="T205" i="16"/>
  <c r="V205" i="16" s="1"/>
  <c r="M206" i="16"/>
  <c r="X205" i="16"/>
  <c r="F206" i="16"/>
  <c r="V218" i="17" l="1"/>
  <c r="X218" i="17"/>
  <c r="M219" i="17"/>
  <c r="F219" i="17"/>
  <c r="Y218" i="17"/>
  <c r="P206" i="16"/>
  <c r="R206" i="16" s="1"/>
  <c r="O206" i="16"/>
  <c r="N206" i="16"/>
  <c r="H206" i="16"/>
  <c r="G206" i="16"/>
  <c r="I206" i="16"/>
  <c r="K206" i="16" s="1"/>
  <c r="H219" i="17" l="1"/>
  <c r="G219" i="17"/>
  <c r="I219" i="17"/>
  <c r="K219" i="17" s="1"/>
  <c r="P219" i="17"/>
  <c r="R219" i="17" s="1"/>
  <c r="N219" i="17"/>
  <c r="O219" i="17"/>
  <c r="U206" i="16"/>
  <c r="J206" i="16"/>
  <c r="Q206" i="16"/>
  <c r="S206" i="16" s="1"/>
  <c r="J219" i="17" l="1"/>
  <c r="L219" i="17" s="1"/>
  <c r="W219" i="17" s="1"/>
  <c r="U219" i="17"/>
  <c r="Q219" i="17"/>
  <c r="S219" i="17" s="1"/>
  <c r="T206" i="16"/>
  <c r="L206" i="16"/>
  <c r="Y206" i="16" l="1"/>
  <c r="W206" i="16"/>
  <c r="F220" i="17"/>
  <c r="Y219" i="17"/>
  <c r="X219" i="17"/>
  <c r="M220" i="17"/>
  <c r="T219" i="17"/>
  <c r="V219" i="17" s="1"/>
  <c r="X206" i="16"/>
  <c r="F207" i="16"/>
  <c r="M207" i="16"/>
  <c r="V206" i="16"/>
  <c r="P220" i="17" l="1"/>
  <c r="R220" i="17" s="1"/>
  <c r="O220" i="17"/>
  <c r="N220" i="17"/>
  <c r="I220" i="17"/>
  <c r="K220" i="17" s="1"/>
  <c r="G220" i="17"/>
  <c r="H220" i="17"/>
  <c r="O207" i="16"/>
  <c r="N207" i="16"/>
  <c r="P207" i="16"/>
  <c r="R207" i="16" s="1"/>
  <c r="G207" i="16"/>
  <c r="I207" i="16"/>
  <c r="K207" i="16" s="1"/>
  <c r="H207" i="16"/>
  <c r="U220" i="17" l="1"/>
  <c r="J220" i="17"/>
  <c r="L220" i="17" s="1"/>
  <c r="Q220" i="17"/>
  <c r="S220" i="17" s="1"/>
  <c r="U207" i="16"/>
  <c r="J207" i="16"/>
  <c r="Q207" i="16"/>
  <c r="S207" i="16" s="1"/>
  <c r="W220" i="17" l="1"/>
  <c r="T220" i="17"/>
  <c r="V220" i="17" s="1"/>
  <c r="M221" i="17"/>
  <c r="X220" i="17"/>
  <c r="Y220" i="17"/>
  <c r="F221" i="17"/>
  <c r="T207" i="16"/>
  <c r="L207" i="16"/>
  <c r="Y207" i="16" l="1"/>
  <c r="W207" i="16"/>
  <c r="N221" i="17"/>
  <c r="P221" i="17"/>
  <c r="R221" i="17" s="1"/>
  <c r="O221" i="17"/>
  <c r="I221" i="17"/>
  <c r="K221" i="17" s="1"/>
  <c r="G221" i="17"/>
  <c r="H221" i="17"/>
  <c r="F208" i="16"/>
  <c r="M208" i="16"/>
  <c r="X207" i="16"/>
  <c r="V207" i="16"/>
  <c r="J221" i="17" l="1"/>
  <c r="L221" i="17" s="1"/>
  <c r="W221" i="17" s="1"/>
  <c r="Q221" i="17"/>
  <c r="S221" i="17" s="1"/>
  <c r="U221" i="17"/>
  <c r="N208" i="16"/>
  <c r="P208" i="16"/>
  <c r="R208" i="16" s="1"/>
  <c r="O208" i="16"/>
  <c r="I208" i="16"/>
  <c r="K208" i="16" s="1"/>
  <c r="H208" i="16"/>
  <c r="G208" i="16"/>
  <c r="M222" i="17" l="1"/>
  <c r="P222" i="17" s="1"/>
  <c r="R222" i="17" s="1"/>
  <c r="F222" i="17"/>
  <c r="G222" i="17" s="1"/>
  <c r="Y221" i="17"/>
  <c r="X221" i="17"/>
  <c r="T221" i="17"/>
  <c r="V221" i="17" s="1"/>
  <c r="H222" i="17"/>
  <c r="O222" i="17"/>
  <c r="U208" i="16"/>
  <c r="Q208" i="16"/>
  <c r="S208" i="16" s="1"/>
  <c r="J208" i="16"/>
  <c r="N222" i="17" l="1"/>
  <c r="Q222" i="17" s="1"/>
  <c r="S222" i="17" s="1"/>
  <c r="I222" i="17"/>
  <c r="K222" i="17" s="1"/>
  <c r="U222" i="17" s="1"/>
  <c r="T208" i="16"/>
  <c r="L208" i="16"/>
  <c r="J222" i="17" l="1"/>
  <c r="L222" i="17" s="1"/>
  <c r="W222" i="17" s="1"/>
  <c r="Y208" i="16"/>
  <c r="W208" i="16"/>
  <c r="M209" i="16"/>
  <c r="X208" i="16"/>
  <c r="F209" i="16"/>
  <c r="V208" i="16"/>
  <c r="Y222" i="17" l="1"/>
  <c r="X222" i="17"/>
  <c r="T222" i="17"/>
  <c r="V222" i="17" s="1"/>
  <c r="F223" i="17"/>
  <c r="I223" i="17" s="1"/>
  <c r="K223" i="17" s="1"/>
  <c r="M223" i="17"/>
  <c r="P223" i="17" s="1"/>
  <c r="R223" i="17" s="1"/>
  <c r="I209" i="16"/>
  <c r="K209" i="16" s="1"/>
  <c r="H209" i="16"/>
  <c r="G209" i="16"/>
  <c r="P209" i="16"/>
  <c r="R209" i="16" s="1"/>
  <c r="O209" i="16"/>
  <c r="N209" i="16"/>
  <c r="G223" i="17" l="1"/>
  <c r="N223" i="17"/>
  <c r="O223" i="17"/>
  <c r="H223" i="17"/>
  <c r="U223" i="17"/>
  <c r="U209" i="16"/>
  <c r="Q209" i="16"/>
  <c r="S209" i="16" s="1"/>
  <c r="J209" i="16"/>
  <c r="L209" i="16" s="1"/>
  <c r="W209" i="16" s="1"/>
  <c r="Q223" i="17" l="1"/>
  <c r="S223" i="17" s="1"/>
  <c r="J223" i="17"/>
  <c r="L223" i="17" s="1"/>
  <c r="W223" i="17" s="1"/>
  <c r="Y209" i="16"/>
  <c r="X209" i="16"/>
  <c r="F210" i="16"/>
  <c r="M210" i="16"/>
  <c r="T209" i="16"/>
  <c r="V209" i="16" s="1"/>
  <c r="F224" i="17" l="1"/>
  <c r="H224" i="17" s="1"/>
  <c r="X223" i="17"/>
  <c r="Y223" i="17"/>
  <c r="M224" i="17"/>
  <c r="P224" i="17" s="1"/>
  <c r="R224" i="17" s="1"/>
  <c r="T223" i="17"/>
  <c r="V223" i="17" s="1"/>
  <c r="P210" i="16"/>
  <c r="R210" i="16" s="1"/>
  <c r="O210" i="16"/>
  <c r="N210" i="16"/>
  <c r="H210" i="16"/>
  <c r="G210" i="16"/>
  <c r="I210" i="16"/>
  <c r="K210" i="16" s="1"/>
  <c r="N224" i="17" l="1"/>
  <c r="I224" i="17"/>
  <c r="K224" i="17" s="1"/>
  <c r="U224" i="17" s="1"/>
  <c r="G224" i="17"/>
  <c r="J224" i="17" s="1"/>
  <c r="O224" i="17"/>
  <c r="U210" i="16"/>
  <c r="Q210" i="16"/>
  <c r="S210" i="16" s="1"/>
  <c r="J210" i="16"/>
  <c r="L224" i="17" l="1"/>
  <c r="Q224" i="17"/>
  <c r="S224" i="17" s="1"/>
  <c r="W224" i="17" s="1"/>
  <c r="T210" i="16"/>
  <c r="L210" i="16"/>
  <c r="X224" i="17" l="1"/>
  <c r="M225" i="17"/>
  <c r="O225" i="17" s="1"/>
  <c r="Y224" i="17"/>
  <c r="F225" i="17"/>
  <c r="I225" i="17" s="1"/>
  <c r="K225" i="17" s="1"/>
  <c r="T224" i="17"/>
  <c r="Y210" i="16"/>
  <c r="W210" i="16"/>
  <c r="N225" i="17"/>
  <c r="V224" i="17"/>
  <c r="X210" i="16"/>
  <c r="F211" i="16"/>
  <c r="M211" i="16"/>
  <c r="V210" i="16"/>
  <c r="P225" i="17" l="1"/>
  <c r="R225" i="17" s="1"/>
  <c r="U225" i="17" s="1"/>
  <c r="G225" i="17"/>
  <c r="H225" i="17"/>
  <c r="O211" i="16"/>
  <c r="N211" i="16"/>
  <c r="P211" i="16"/>
  <c r="R211" i="16" s="1"/>
  <c r="G211" i="16"/>
  <c r="I211" i="16"/>
  <c r="K211" i="16" s="1"/>
  <c r="H211" i="16"/>
  <c r="Q225" i="17" l="1"/>
  <c r="S225" i="17" s="1"/>
  <c r="J225" i="17"/>
  <c r="L225" i="17" s="1"/>
  <c r="U211" i="16"/>
  <c r="J211" i="16"/>
  <c r="Q211" i="16"/>
  <c r="S211" i="16" s="1"/>
  <c r="W225" i="17" l="1"/>
  <c r="T225" i="17"/>
  <c r="Y225" i="17"/>
  <c r="M226" i="17"/>
  <c r="F226" i="17"/>
  <c r="X225" i="17"/>
  <c r="V225" i="17"/>
  <c r="T211" i="16"/>
  <c r="L211" i="16"/>
  <c r="Y211" i="16" l="1"/>
  <c r="W211" i="16"/>
  <c r="N226" i="17"/>
  <c r="P226" i="17"/>
  <c r="R226" i="17" s="1"/>
  <c r="O226" i="17"/>
  <c r="Q226" i="17" s="1"/>
  <c r="H226" i="17"/>
  <c r="I226" i="17"/>
  <c r="K226" i="17" s="1"/>
  <c r="G226" i="17"/>
  <c r="F212" i="16"/>
  <c r="M212" i="16"/>
  <c r="X211" i="16"/>
  <c r="V211" i="16"/>
  <c r="S226" i="17" l="1"/>
  <c r="J226" i="17"/>
  <c r="L226" i="17" s="1"/>
  <c r="W226" i="17" s="1"/>
  <c r="U226" i="17"/>
  <c r="N212" i="16"/>
  <c r="P212" i="16"/>
  <c r="R212" i="16" s="1"/>
  <c r="O212" i="16"/>
  <c r="I212" i="16"/>
  <c r="K212" i="16" s="1"/>
  <c r="H212" i="16"/>
  <c r="G212" i="16"/>
  <c r="T226" i="17" l="1"/>
  <c r="V226" i="17" s="1"/>
  <c r="X226" i="17"/>
  <c r="M227" i="17"/>
  <c r="Y226" i="17"/>
  <c r="F227" i="17"/>
  <c r="U212" i="16"/>
  <c r="J212" i="16"/>
  <c r="L212" i="16" s="1"/>
  <c r="Q212" i="16"/>
  <c r="T212" i="16" l="1"/>
  <c r="N227" i="17"/>
  <c r="P227" i="17"/>
  <c r="R227" i="17" s="1"/>
  <c r="O227" i="17"/>
  <c r="H227" i="17"/>
  <c r="I227" i="17"/>
  <c r="K227" i="17" s="1"/>
  <c r="G227" i="17"/>
  <c r="S212" i="16"/>
  <c r="Y212" i="16" s="1"/>
  <c r="W212" i="16" l="1"/>
  <c r="Q227" i="17"/>
  <c r="U227" i="17"/>
  <c r="X212" i="16"/>
  <c r="S227" i="17"/>
  <c r="J227" i="17"/>
  <c r="T227" i="17" s="1"/>
  <c r="V212" i="16"/>
  <c r="M213" i="16"/>
  <c r="N213" i="16" s="1"/>
  <c r="F213" i="16"/>
  <c r="H213" i="16" s="1"/>
  <c r="O213" i="16" l="1"/>
  <c r="P213" i="16"/>
  <c r="R213" i="16" s="1"/>
  <c r="L227" i="17"/>
  <c r="W227" i="17" s="1"/>
  <c r="I213" i="16"/>
  <c r="G213" i="16"/>
  <c r="Q213" i="16" l="1"/>
  <c r="S213" i="16" s="1"/>
  <c r="J213" i="16"/>
  <c r="X227" i="17"/>
  <c r="Y227" i="17"/>
  <c r="F228" i="17"/>
  <c r="M228" i="17"/>
  <c r="V227" i="17"/>
  <c r="K213" i="16"/>
  <c r="U213" i="16" s="1"/>
  <c r="T213" i="16" l="1"/>
  <c r="P228" i="17"/>
  <c r="R228" i="17" s="1"/>
  <c r="O228" i="17"/>
  <c r="N228" i="17"/>
  <c r="H228" i="17"/>
  <c r="I228" i="17"/>
  <c r="K228" i="17" s="1"/>
  <c r="G228" i="17"/>
  <c r="L213" i="16"/>
  <c r="W213" i="16" s="1"/>
  <c r="Q228" i="17" l="1"/>
  <c r="S228" i="17" s="1"/>
  <c r="J228" i="17"/>
  <c r="U228" i="17"/>
  <c r="X213" i="16"/>
  <c r="Y213" i="16"/>
  <c r="F214" i="16"/>
  <c r="M214" i="16"/>
  <c r="V213" i="16"/>
  <c r="T228" i="17" l="1"/>
  <c r="L228" i="17"/>
  <c r="I214" i="16"/>
  <c r="K214" i="16" s="1"/>
  <c r="H214" i="16"/>
  <c r="G214" i="16"/>
  <c r="N214" i="16"/>
  <c r="P214" i="16"/>
  <c r="R214" i="16" s="1"/>
  <c r="O214" i="16"/>
  <c r="V228" i="17" l="1"/>
  <c r="W228" i="17"/>
  <c r="M229" i="17"/>
  <c r="O229" i="17" s="1"/>
  <c r="Y228" i="17"/>
  <c r="F229" i="17"/>
  <c r="H229" i="17" s="1"/>
  <c r="X228" i="17"/>
  <c r="J214" i="16"/>
  <c r="L214" i="16" s="1"/>
  <c r="U214" i="16"/>
  <c r="Q214" i="16"/>
  <c r="N229" i="17" l="1"/>
  <c r="P229" i="17"/>
  <c r="R229" i="17" s="1"/>
  <c r="I229" i="17"/>
  <c r="K229" i="17" s="1"/>
  <c r="G229" i="17"/>
  <c r="S214" i="16"/>
  <c r="W214" i="16" s="1"/>
  <c r="T214" i="16"/>
  <c r="Q229" i="17" l="1"/>
  <c r="S229" i="17" s="1"/>
  <c r="U229" i="17"/>
  <c r="Y214" i="16"/>
  <c r="J229" i="17"/>
  <c r="X214" i="16"/>
  <c r="V214" i="16"/>
  <c r="F215" i="16"/>
  <c r="M215" i="16"/>
  <c r="T229" i="17" l="1"/>
  <c r="L229" i="17"/>
  <c r="W229" i="17" s="1"/>
  <c r="I215" i="16"/>
  <c r="K215" i="16" s="1"/>
  <c r="H215" i="16"/>
  <c r="G215" i="16"/>
  <c r="O215" i="16"/>
  <c r="N215" i="16"/>
  <c r="P215" i="16"/>
  <c r="R215" i="16" s="1"/>
  <c r="F230" i="17" l="1"/>
  <c r="G230" i="17" s="1"/>
  <c r="V229" i="17"/>
  <c r="M230" i="17"/>
  <c r="O230" i="17" s="1"/>
  <c r="Y229" i="17"/>
  <c r="X229" i="17"/>
  <c r="Q215" i="16"/>
  <c r="S215" i="16" s="1"/>
  <c r="J215" i="16"/>
  <c r="L215" i="16" s="1"/>
  <c r="W215" i="16" s="1"/>
  <c r="I230" i="17"/>
  <c r="K230" i="17" s="1"/>
  <c r="H230" i="17"/>
  <c r="U215" i="16"/>
  <c r="P230" i="17" l="1"/>
  <c r="R230" i="17" s="1"/>
  <c r="U230" i="17" s="1"/>
  <c r="N230" i="17"/>
  <c r="Y215" i="16"/>
  <c r="X215" i="16"/>
  <c r="J230" i="17"/>
  <c r="L230" i="17" s="1"/>
  <c r="T215" i="16"/>
  <c r="V215" i="16" s="1"/>
  <c r="M216" i="16"/>
  <c r="N216" i="16" s="1"/>
  <c r="F216" i="16"/>
  <c r="H216" i="16" s="1"/>
  <c r="Q230" i="17" l="1"/>
  <c r="S230" i="17" s="1"/>
  <c r="W230" i="17" s="1"/>
  <c r="G216" i="16"/>
  <c r="I216" i="16"/>
  <c r="K216" i="16" s="1"/>
  <c r="O216" i="16"/>
  <c r="P216" i="16"/>
  <c r="R216" i="16" s="1"/>
  <c r="M231" i="17"/>
  <c r="F231" i="17"/>
  <c r="Y230" i="17"/>
  <c r="X230" i="17" l="1"/>
  <c r="T230" i="17"/>
  <c r="V230" i="17" s="1"/>
  <c r="Q216" i="16"/>
  <c r="S216" i="16" s="1"/>
  <c r="U216" i="16"/>
  <c r="J216" i="16"/>
  <c r="N231" i="17"/>
  <c r="P231" i="17"/>
  <c r="R231" i="17" s="1"/>
  <c r="O231" i="17"/>
  <c r="G231" i="17"/>
  <c r="I231" i="17"/>
  <c r="K231" i="17" s="1"/>
  <c r="H231" i="17"/>
  <c r="T216" i="16" l="1"/>
  <c r="L216" i="16"/>
  <c r="U231" i="17"/>
  <c r="Q231" i="17"/>
  <c r="S231" i="17" s="1"/>
  <c r="J231" i="17"/>
  <c r="M217" i="16"/>
  <c r="Y216" i="16" l="1"/>
  <c r="W216" i="16"/>
  <c r="F217" i="16"/>
  <c r="I217" i="16" s="1"/>
  <c r="K217" i="16" s="1"/>
  <c r="V216" i="16"/>
  <c r="X216" i="16"/>
  <c r="T231" i="17"/>
  <c r="L231" i="17"/>
  <c r="W231" i="17" s="1"/>
  <c r="P217" i="16"/>
  <c r="R217" i="16" s="1"/>
  <c r="O217" i="16"/>
  <c r="N217" i="16"/>
  <c r="H217" i="16" l="1"/>
  <c r="G217" i="16"/>
  <c r="X231" i="17"/>
  <c r="Y231" i="17"/>
  <c r="M232" i="17"/>
  <c r="F232" i="17"/>
  <c r="V231" i="17"/>
  <c r="U217" i="16"/>
  <c r="Q217" i="16"/>
  <c r="S217" i="16" s="1"/>
  <c r="J217" i="16" l="1"/>
  <c r="L217" i="16" s="1"/>
  <c r="W217" i="16" s="1"/>
  <c r="G232" i="17"/>
  <c r="H232" i="17"/>
  <c r="I232" i="17"/>
  <c r="K232" i="17" s="1"/>
  <c r="P232" i="17"/>
  <c r="R232" i="17" s="1"/>
  <c r="N232" i="17"/>
  <c r="O232" i="17"/>
  <c r="Y217" i="16"/>
  <c r="X217" i="16"/>
  <c r="F218" i="16"/>
  <c r="M218" i="16"/>
  <c r="T217" i="16"/>
  <c r="V217" i="16" s="1"/>
  <c r="J232" i="17" l="1"/>
  <c r="L232" i="17" s="1"/>
  <c r="U232" i="17"/>
  <c r="Q232" i="17"/>
  <c r="H218" i="16"/>
  <c r="G218" i="16"/>
  <c r="I218" i="16"/>
  <c r="K218" i="16" s="1"/>
  <c r="P218" i="16"/>
  <c r="R218" i="16" s="1"/>
  <c r="O218" i="16"/>
  <c r="N218" i="16"/>
  <c r="W232" i="17" l="1"/>
  <c r="T232" i="17"/>
  <c r="S232" i="17"/>
  <c r="V232" i="17" s="1"/>
  <c r="Q218" i="16"/>
  <c r="S218" i="16" s="1"/>
  <c r="U218" i="16"/>
  <c r="J218" i="16"/>
  <c r="M233" i="17" l="1"/>
  <c r="O233" i="17" s="1"/>
  <c r="Y232" i="17"/>
  <c r="X232" i="17"/>
  <c r="F233" i="17"/>
  <c r="I233" i="17" s="1"/>
  <c r="K233" i="17" s="1"/>
  <c r="T218" i="16"/>
  <c r="L218" i="16"/>
  <c r="P233" i="17" l="1"/>
  <c r="R233" i="17" s="1"/>
  <c r="N233" i="17"/>
  <c r="Q233" i="17" s="1"/>
  <c r="S233" i="17" s="1"/>
  <c r="Y218" i="16"/>
  <c r="W218" i="16"/>
  <c r="H233" i="17"/>
  <c r="G233" i="17"/>
  <c r="U233" i="17"/>
  <c r="X218" i="16"/>
  <c r="F219" i="16"/>
  <c r="M219" i="16"/>
  <c r="V218" i="16"/>
  <c r="J233" i="17" l="1"/>
  <c r="L233" i="17" s="1"/>
  <c r="W233" i="17" s="1"/>
  <c r="O219" i="16"/>
  <c r="N219" i="16"/>
  <c r="P219" i="16"/>
  <c r="R219" i="16" s="1"/>
  <c r="G219" i="16"/>
  <c r="I219" i="16"/>
  <c r="K219" i="16" s="1"/>
  <c r="H219" i="16"/>
  <c r="T233" i="17" l="1"/>
  <c r="V233" i="17" s="1"/>
  <c r="Y233" i="17"/>
  <c r="F234" i="17"/>
  <c r="H234" i="17" s="1"/>
  <c r="M234" i="17"/>
  <c r="P234" i="17" s="1"/>
  <c r="R234" i="17" s="1"/>
  <c r="X233" i="17"/>
  <c r="U219" i="16"/>
  <c r="J219" i="16"/>
  <c r="Q219" i="16"/>
  <c r="S219" i="16" s="1"/>
  <c r="I234" i="17" l="1"/>
  <c r="K234" i="17" s="1"/>
  <c r="U234" i="17" s="1"/>
  <c r="G234" i="17"/>
  <c r="O234" i="17"/>
  <c r="N234" i="17"/>
  <c r="T219" i="16"/>
  <c r="L219" i="16"/>
  <c r="Q234" i="17" l="1"/>
  <c r="S234" i="17" s="1"/>
  <c r="J234" i="17"/>
  <c r="L234" i="17" s="1"/>
  <c r="W234" i="17" s="1"/>
  <c r="Y219" i="16"/>
  <c r="W219" i="16"/>
  <c r="F220" i="16"/>
  <c r="M220" i="16"/>
  <c r="X219" i="16"/>
  <c r="V219" i="16"/>
  <c r="T234" i="17" l="1"/>
  <c r="M235" i="17"/>
  <c r="Y234" i="17"/>
  <c r="F235" i="17"/>
  <c r="X234" i="17"/>
  <c r="V234" i="17"/>
  <c r="N220" i="16"/>
  <c r="P220" i="16"/>
  <c r="R220" i="16" s="1"/>
  <c r="O220" i="16"/>
  <c r="I220" i="16"/>
  <c r="K220" i="16" s="1"/>
  <c r="H220" i="16"/>
  <c r="G220" i="16"/>
  <c r="O235" i="17" l="1"/>
  <c r="P235" i="17"/>
  <c r="R235" i="17" s="1"/>
  <c r="N235" i="17"/>
  <c r="G235" i="17"/>
  <c r="H235" i="17"/>
  <c r="I235" i="17"/>
  <c r="K235" i="17" s="1"/>
  <c r="U235" i="17" s="1"/>
  <c r="U220" i="16"/>
  <c r="Q220" i="16"/>
  <c r="S220" i="16" s="1"/>
  <c r="J220" i="16"/>
  <c r="Q235" i="17" l="1"/>
  <c r="S235" i="17" s="1"/>
  <c r="J235" i="17"/>
  <c r="T220" i="16"/>
  <c r="L220" i="16"/>
  <c r="T235" i="17" l="1"/>
  <c r="F221" i="16"/>
  <c r="I221" i="16" s="1"/>
  <c r="K221" i="16" s="1"/>
  <c r="W220" i="16"/>
  <c r="L235" i="17"/>
  <c r="W235" i="17" s="1"/>
  <c r="V220" i="16"/>
  <c r="Y220" i="16"/>
  <c r="X220" i="16"/>
  <c r="M221" i="16"/>
  <c r="O221" i="16" s="1"/>
  <c r="G221" i="16" l="1"/>
  <c r="H221" i="16"/>
  <c r="M236" i="17"/>
  <c r="Y235" i="17"/>
  <c r="F236" i="17"/>
  <c r="X235" i="17"/>
  <c r="V235" i="17"/>
  <c r="N221" i="16"/>
  <c r="P221" i="16"/>
  <c r="R221" i="16" s="1"/>
  <c r="U221" i="16" s="1"/>
  <c r="J221" i="16" l="1"/>
  <c r="L221" i="16" s="1"/>
  <c r="G236" i="17"/>
  <c r="I236" i="17"/>
  <c r="K236" i="17" s="1"/>
  <c r="H236" i="17"/>
  <c r="O236" i="17"/>
  <c r="P236" i="17"/>
  <c r="R236" i="17" s="1"/>
  <c r="N236" i="17"/>
  <c r="Q221" i="16"/>
  <c r="S221" i="16" s="1"/>
  <c r="Y221" i="16" l="1"/>
  <c r="W221" i="16"/>
  <c r="T221" i="16"/>
  <c r="J236" i="17"/>
  <c r="L236" i="17" s="1"/>
  <c r="Q236" i="17"/>
  <c r="S236" i="17" s="1"/>
  <c r="U236" i="17"/>
  <c r="M222" i="16"/>
  <c r="X221" i="16"/>
  <c r="V221" i="16"/>
  <c r="F222" i="16"/>
  <c r="W236" i="17" l="1"/>
  <c r="T236" i="17"/>
  <c r="V236" i="17" s="1"/>
  <c r="X236" i="17"/>
  <c r="M237" i="17"/>
  <c r="Y236" i="17"/>
  <c r="F237" i="17"/>
  <c r="H222" i="16"/>
  <c r="G222" i="16"/>
  <c r="I222" i="16"/>
  <c r="K222" i="16" s="1"/>
  <c r="P222" i="16"/>
  <c r="R222" i="16" s="1"/>
  <c r="O222" i="16"/>
  <c r="N222" i="16"/>
  <c r="O237" i="17" l="1"/>
  <c r="N237" i="17"/>
  <c r="P237" i="17"/>
  <c r="R237" i="17" s="1"/>
  <c r="I237" i="17"/>
  <c r="K237" i="17" s="1"/>
  <c r="G237" i="17"/>
  <c r="H237" i="17"/>
  <c r="Q222" i="16"/>
  <c r="S222" i="16" s="1"/>
  <c r="U222" i="16"/>
  <c r="J222" i="16"/>
  <c r="T222" i="16" l="1"/>
  <c r="U237" i="17"/>
  <c r="Q237" i="17"/>
  <c r="S237" i="17" s="1"/>
  <c r="J237" i="17"/>
  <c r="L222" i="16"/>
  <c r="Y222" i="16" l="1"/>
  <c r="W222" i="16"/>
  <c r="T237" i="17"/>
  <c r="L237" i="17"/>
  <c r="W237" i="17" s="1"/>
  <c r="X222" i="16"/>
  <c r="F223" i="16"/>
  <c r="M223" i="16"/>
  <c r="V222" i="16"/>
  <c r="X237" i="17" l="1"/>
  <c r="M238" i="17"/>
  <c r="F238" i="17"/>
  <c r="Y237" i="17"/>
  <c r="V237" i="17"/>
  <c r="O223" i="16"/>
  <c r="N223" i="16"/>
  <c r="P223" i="16"/>
  <c r="R223" i="16" s="1"/>
  <c r="G223" i="16"/>
  <c r="I223" i="16"/>
  <c r="K223" i="16" s="1"/>
  <c r="H223" i="16"/>
  <c r="I238" i="17" l="1"/>
  <c r="K238" i="17" s="1"/>
  <c r="H238" i="17"/>
  <c r="G238" i="17"/>
  <c r="O238" i="17"/>
  <c r="N238" i="17"/>
  <c r="P238" i="17"/>
  <c r="R238" i="17" s="1"/>
  <c r="U223" i="16"/>
  <c r="J223" i="16"/>
  <c r="Q223" i="16"/>
  <c r="S223" i="16" s="1"/>
  <c r="Q238" i="17" l="1"/>
  <c r="S238" i="17" s="1"/>
  <c r="U238" i="17"/>
  <c r="J238" i="17"/>
  <c r="T223" i="16"/>
  <c r="L223" i="16"/>
  <c r="T238" i="17" l="1"/>
  <c r="Y223" i="16"/>
  <c r="W223" i="16"/>
  <c r="L238" i="17"/>
  <c r="W238" i="17" s="1"/>
  <c r="F224" i="16"/>
  <c r="M224" i="16"/>
  <c r="X223" i="16"/>
  <c r="V223" i="16"/>
  <c r="V238" i="17" l="1"/>
  <c r="M239" i="17"/>
  <c r="N239" i="17" s="1"/>
  <c r="X238" i="17"/>
  <c r="F239" i="17"/>
  <c r="I239" i="17" s="1"/>
  <c r="K239" i="17" s="1"/>
  <c r="Y238" i="17"/>
  <c r="P239" i="17"/>
  <c r="R239" i="17" s="1"/>
  <c r="N224" i="16"/>
  <c r="P224" i="16"/>
  <c r="R224" i="16" s="1"/>
  <c r="O224" i="16"/>
  <c r="I224" i="16"/>
  <c r="K224" i="16" s="1"/>
  <c r="H224" i="16"/>
  <c r="G224" i="16"/>
  <c r="O239" i="17" l="1"/>
  <c r="Q239" i="17" s="1"/>
  <c r="S239" i="17" s="1"/>
  <c r="H239" i="17"/>
  <c r="G239" i="17"/>
  <c r="U239" i="17"/>
  <c r="J224" i="16"/>
  <c r="L224" i="16" s="1"/>
  <c r="Q224" i="16"/>
  <c r="U224" i="16"/>
  <c r="J239" i="17" l="1"/>
  <c r="L239" i="17" s="1"/>
  <c r="W239" i="17" s="1"/>
  <c r="T224" i="16"/>
  <c r="S224" i="16"/>
  <c r="Y224" i="16" s="1"/>
  <c r="T239" i="17" l="1"/>
  <c r="V239" i="17" s="1"/>
  <c r="F240" i="17"/>
  <c r="G240" i="17" s="1"/>
  <c r="M240" i="17"/>
  <c r="N240" i="17" s="1"/>
  <c r="X239" i="17"/>
  <c r="Y239" i="17"/>
  <c r="W224" i="16"/>
  <c r="V224" i="16"/>
  <c r="X224" i="16"/>
  <c r="F225" i="16"/>
  <c r="I225" i="16" s="1"/>
  <c r="M225" i="16"/>
  <c r="P225" i="16" s="1"/>
  <c r="R225" i="16" s="1"/>
  <c r="I240" i="17" l="1"/>
  <c r="K240" i="17" s="1"/>
  <c r="H240" i="17"/>
  <c r="O240" i="17"/>
  <c r="P240" i="17"/>
  <c r="R240" i="17" s="1"/>
  <c r="G225" i="16"/>
  <c r="H225" i="16"/>
  <c r="K225" i="16"/>
  <c r="U225" i="16" s="1"/>
  <c r="N225" i="16"/>
  <c r="O225" i="16"/>
  <c r="U240" i="17" l="1"/>
  <c r="J240" i="17"/>
  <c r="L240" i="17" s="1"/>
  <c r="Q240" i="17"/>
  <c r="T240" i="17" s="1"/>
  <c r="J225" i="16"/>
  <c r="L225" i="16" s="1"/>
  <c r="W225" i="16" s="1"/>
  <c r="Q225" i="16"/>
  <c r="S225" i="16" s="1"/>
  <c r="W240" i="17" l="1"/>
  <c r="S240" i="17"/>
  <c r="Y240" i="17" s="1"/>
  <c r="V240" i="17"/>
  <c r="Y225" i="16"/>
  <c r="M226" i="16"/>
  <c r="P226" i="16" s="1"/>
  <c r="R226" i="16" s="1"/>
  <c r="F226" i="16"/>
  <c r="H226" i="16" s="1"/>
  <c r="T225" i="16"/>
  <c r="V225" i="16" s="1"/>
  <c r="X225" i="16"/>
  <c r="F241" i="17"/>
  <c r="H241" i="17" s="1"/>
  <c r="M241" i="17"/>
  <c r="N241" i="17" s="1"/>
  <c r="X240" i="17"/>
  <c r="N226" i="16" l="1"/>
  <c r="O226" i="16"/>
  <c r="I226" i="16"/>
  <c r="K226" i="16" s="1"/>
  <c r="U226" i="16" s="1"/>
  <c r="G226" i="16"/>
  <c r="G241" i="17"/>
  <c r="I241" i="17"/>
  <c r="K241" i="17" s="1"/>
  <c r="O241" i="17"/>
  <c r="P241" i="17"/>
  <c r="R241" i="17" s="1"/>
  <c r="Q226" i="16" l="1"/>
  <c r="S226" i="16" s="1"/>
  <c r="J226" i="16"/>
  <c r="L226" i="16" s="1"/>
  <c r="U241" i="17"/>
  <c r="J241" i="17"/>
  <c r="L241" i="17" s="1"/>
  <c r="W241" i="17" s="1"/>
  <c r="Q241" i="17"/>
  <c r="S241" i="17" s="1"/>
  <c r="T226" i="16" l="1"/>
  <c r="Y226" i="16"/>
  <c r="W226" i="16"/>
  <c r="Y241" i="17"/>
  <c r="T241" i="17"/>
  <c r="V241" i="17" s="1"/>
  <c r="F242" i="17"/>
  <c r="I242" i="17" s="1"/>
  <c r="K242" i="17" s="1"/>
  <c r="M242" i="17"/>
  <c r="P242" i="17" s="1"/>
  <c r="R242" i="17" s="1"/>
  <c r="X241" i="17"/>
  <c r="X226" i="16"/>
  <c r="F227" i="16"/>
  <c r="M227" i="16"/>
  <c r="V226" i="16"/>
  <c r="O242" i="17" l="1"/>
  <c r="G242" i="17"/>
  <c r="N242" i="17"/>
  <c r="Q242" i="17" s="1"/>
  <c r="H242" i="17"/>
  <c r="J242" i="17" s="1"/>
  <c r="L242" i="17" s="1"/>
  <c r="U242" i="17"/>
  <c r="O227" i="16"/>
  <c r="N227" i="16"/>
  <c r="P227" i="16"/>
  <c r="R227" i="16" s="1"/>
  <c r="G227" i="16"/>
  <c r="I227" i="16"/>
  <c r="K227" i="16" s="1"/>
  <c r="H227" i="16"/>
  <c r="W242" i="17" l="1"/>
  <c r="T242" i="17"/>
  <c r="S242" i="17"/>
  <c r="V242" i="17" s="1"/>
  <c r="U227" i="16"/>
  <c r="J227" i="16"/>
  <c r="Q227" i="16"/>
  <c r="S227" i="16" s="1"/>
  <c r="Y242" i="17" l="1"/>
  <c r="X242" i="17"/>
  <c r="F243" i="17"/>
  <c r="G243" i="17" s="1"/>
  <c r="M243" i="17"/>
  <c r="N243" i="17" s="1"/>
  <c r="T227" i="16"/>
  <c r="L227" i="16"/>
  <c r="H243" i="17" l="1"/>
  <c r="I243" i="17"/>
  <c r="K243" i="17" s="1"/>
  <c r="O243" i="17"/>
  <c r="Q243" i="17" s="1"/>
  <c r="S243" i="17" s="1"/>
  <c r="P243" i="17"/>
  <c r="R243" i="17" s="1"/>
  <c r="Y227" i="16"/>
  <c r="W227" i="16"/>
  <c r="F228" i="16"/>
  <c r="M228" i="16"/>
  <c r="X227" i="16"/>
  <c r="V227" i="16"/>
  <c r="U243" i="17" l="1"/>
  <c r="J243" i="17"/>
  <c r="L243" i="17" s="1"/>
  <c r="N228" i="16"/>
  <c r="P228" i="16"/>
  <c r="R228" i="16" s="1"/>
  <c r="O228" i="16"/>
  <c r="I228" i="16"/>
  <c r="K228" i="16" s="1"/>
  <c r="H228" i="16"/>
  <c r="G228" i="16"/>
  <c r="W243" i="17" l="1"/>
  <c r="Y243" i="17"/>
  <c r="X243" i="17"/>
  <c r="M244" i="17"/>
  <c r="F244" i="17"/>
  <c r="H244" i="17" s="1"/>
  <c r="T243" i="17"/>
  <c r="V243" i="17" s="1"/>
  <c r="J228" i="16"/>
  <c r="L228" i="16" s="1"/>
  <c r="P244" i="17"/>
  <c r="R244" i="17" s="1"/>
  <c r="N244" i="17"/>
  <c r="O244" i="17"/>
  <c r="U228" i="16"/>
  <c r="Q228" i="16"/>
  <c r="T228" i="16" s="1"/>
  <c r="I244" i="17" l="1"/>
  <c r="K244" i="17" s="1"/>
  <c r="U244" i="17" s="1"/>
  <c r="G244" i="17"/>
  <c r="Q244" i="17"/>
  <c r="S244" i="17" s="1"/>
  <c r="S228" i="16"/>
  <c r="V228" i="16" s="1"/>
  <c r="J244" i="17" l="1"/>
  <c r="T244" i="17" s="1"/>
  <c r="W228" i="16"/>
  <c r="F229" i="16"/>
  <c r="I229" i="16" s="1"/>
  <c r="K229" i="16" s="1"/>
  <c r="Y228" i="16"/>
  <c r="L244" i="17"/>
  <c r="W244" i="17" s="1"/>
  <c r="M229" i="16"/>
  <c r="O229" i="16" s="1"/>
  <c r="X228" i="16"/>
  <c r="H229" i="16" l="1"/>
  <c r="G229" i="16"/>
  <c r="N229" i="16"/>
  <c r="P229" i="16"/>
  <c r="R229" i="16" s="1"/>
  <c r="U229" i="16" s="1"/>
  <c r="X244" i="17"/>
  <c r="F245" i="17"/>
  <c r="M245" i="17"/>
  <c r="Y244" i="17"/>
  <c r="V244" i="17"/>
  <c r="J229" i="16" l="1"/>
  <c r="L229" i="16" s="1"/>
  <c r="Q229" i="16"/>
  <c r="S229" i="16" s="1"/>
  <c r="W229" i="16" s="1"/>
  <c r="O245" i="17"/>
  <c r="P245" i="17"/>
  <c r="R245" i="17" s="1"/>
  <c r="N245" i="17"/>
  <c r="G245" i="17"/>
  <c r="H245" i="17"/>
  <c r="I245" i="17"/>
  <c r="K245" i="17" s="1"/>
  <c r="T229" i="16" l="1"/>
  <c r="V229" i="16" s="1"/>
  <c r="M230" i="16"/>
  <c r="N230" i="16" s="1"/>
  <c r="F230" i="16"/>
  <c r="H230" i="16" s="1"/>
  <c r="X229" i="16"/>
  <c r="Y229" i="16"/>
  <c r="Q245" i="17"/>
  <c r="S245" i="17" s="1"/>
  <c r="U245" i="17"/>
  <c r="J245" i="17"/>
  <c r="O230" i="16" l="1"/>
  <c r="P230" i="16"/>
  <c r="R230" i="16" s="1"/>
  <c r="I230" i="16"/>
  <c r="K230" i="16" s="1"/>
  <c r="G230" i="16"/>
  <c r="T245" i="17"/>
  <c r="L245" i="17"/>
  <c r="W245" i="17" s="1"/>
  <c r="Q230" i="16" l="1"/>
  <c r="S230" i="16" s="1"/>
  <c r="J230" i="16"/>
  <c r="T230" i="16" s="1"/>
  <c r="U230" i="16"/>
  <c r="X245" i="17"/>
  <c r="M246" i="17"/>
  <c r="F246" i="17"/>
  <c r="Y245" i="17"/>
  <c r="V245" i="17"/>
  <c r="L230" i="16" l="1"/>
  <c r="Y230" i="16"/>
  <c r="W230" i="16"/>
  <c r="H246" i="17"/>
  <c r="I246" i="17"/>
  <c r="K246" i="17" s="1"/>
  <c r="G246" i="17"/>
  <c r="N246" i="17"/>
  <c r="O246" i="17"/>
  <c r="P246" i="17"/>
  <c r="R246" i="17" s="1"/>
  <c r="X230" i="16"/>
  <c r="F231" i="16"/>
  <c r="M231" i="16"/>
  <c r="V230" i="16"/>
  <c r="J246" i="17" l="1"/>
  <c r="L246" i="17" s="1"/>
  <c r="W246" i="17" s="1"/>
  <c r="Q246" i="17"/>
  <c r="S246" i="17" s="1"/>
  <c r="U246" i="17"/>
  <c r="O231" i="16"/>
  <c r="N231" i="16"/>
  <c r="P231" i="16"/>
  <c r="R231" i="16" s="1"/>
  <c r="G231" i="16"/>
  <c r="I231" i="16"/>
  <c r="K231" i="16" s="1"/>
  <c r="H231" i="16"/>
  <c r="T246" i="17" l="1"/>
  <c r="Y246" i="17"/>
  <c r="F247" i="17"/>
  <c r="M247" i="17"/>
  <c r="X246" i="17"/>
  <c r="U231" i="16"/>
  <c r="J231" i="16"/>
  <c r="Q231" i="16"/>
  <c r="S231" i="16" s="1"/>
  <c r="O247" i="17" l="1"/>
  <c r="P247" i="17"/>
  <c r="R247" i="17" s="1"/>
  <c r="N247" i="17"/>
  <c r="I247" i="17"/>
  <c r="K247" i="17" s="1"/>
  <c r="G247" i="17"/>
  <c r="H247" i="17"/>
  <c r="V246" i="17"/>
  <c r="T231" i="16"/>
  <c r="L231" i="16"/>
  <c r="Q247" i="17" l="1"/>
  <c r="S247" i="17" s="1"/>
  <c r="Y231" i="16"/>
  <c r="W231" i="16"/>
  <c r="U247" i="17"/>
  <c r="J247" i="17"/>
  <c r="T247" i="17" s="1"/>
  <c r="F232" i="16"/>
  <c r="M232" i="16"/>
  <c r="X231" i="16"/>
  <c r="V231" i="16"/>
  <c r="L247" i="17" l="1"/>
  <c r="W247" i="17" s="1"/>
  <c r="N232" i="16"/>
  <c r="P232" i="16"/>
  <c r="R232" i="16" s="1"/>
  <c r="O232" i="16"/>
  <c r="I232" i="16"/>
  <c r="K232" i="16" s="1"/>
  <c r="H232" i="16"/>
  <c r="G232" i="16"/>
  <c r="V247" i="17" l="1"/>
  <c r="X247" i="17"/>
  <c r="F248" i="17"/>
  <c r="H248" i="17" s="1"/>
  <c r="M248" i="17"/>
  <c r="N248" i="17" s="1"/>
  <c r="Y247" i="17"/>
  <c r="U232" i="16"/>
  <c r="Q232" i="16"/>
  <c r="S232" i="16" s="1"/>
  <c r="J232" i="16"/>
  <c r="I248" i="17" l="1"/>
  <c r="K248" i="17" s="1"/>
  <c r="G248" i="17"/>
  <c r="P248" i="17"/>
  <c r="R248" i="17" s="1"/>
  <c r="U248" i="17" s="1"/>
  <c r="O248" i="17"/>
  <c r="T232" i="16"/>
  <c r="L232" i="16"/>
  <c r="Q248" i="17" l="1"/>
  <c r="J248" i="17"/>
  <c r="L248" i="17" s="1"/>
  <c r="Y232" i="16"/>
  <c r="W232" i="16"/>
  <c r="S248" i="17"/>
  <c r="M233" i="16"/>
  <c r="X232" i="16"/>
  <c r="F233" i="16"/>
  <c r="V232" i="16"/>
  <c r="Y248" i="17" l="1"/>
  <c r="W248" i="17"/>
  <c r="X248" i="17"/>
  <c r="T248" i="17"/>
  <c r="V248" i="17" s="1"/>
  <c r="M249" i="17"/>
  <c r="N249" i="17" s="1"/>
  <c r="F249" i="17"/>
  <c r="I249" i="17" s="1"/>
  <c r="K249" i="17" s="1"/>
  <c r="I233" i="16"/>
  <c r="K233" i="16" s="1"/>
  <c r="H233" i="16"/>
  <c r="G233" i="16"/>
  <c r="P233" i="16"/>
  <c r="R233" i="16" s="1"/>
  <c r="O233" i="16"/>
  <c r="N233" i="16"/>
  <c r="O249" i="17" l="1"/>
  <c r="P249" i="17"/>
  <c r="R249" i="17" s="1"/>
  <c r="U249" i="17" s="1"/>
  <c r="G249" i="17"/>
  <c r="H249" i="17"/>
  <c r="J233" i="16"/>
  <c r="L233" i="16" s="1"/>
  <c r="U233" i="16"/>
  <c r="Q233" i="16"/>
  <c r="Q249" i="17" l="1"/>
  <c r="S249" i="17" s="1"/>
  <c r="J249" i="17"/>
  <c r="T233" i="16"/>
  <c r="S233" i="16"/>
  <c r="Y233" i="16" s="1"/>
  <c r="T249" i="17" l="1"/>
  <c r="L249" i="17"/>
  <c r="W249" i="17" s="1"/>
  <c r="W233" i="16"/>
  <c r="M234" i="16"/>
  <c r="X233" i="16"/>
  <c r="V233" i="16"/>
  <c r="F234" i="16"/>
  <c r="Y249" i="17" l="1"/>
  <c r="V249" i="17"/>
  <c r="F250" i="17"/>
  <c r="I250" i="17" s="1"/>
  <c r="K250" i="17" s="1"/>
  <c r="M250" i="17"/>
  <c r="P250" i="17" s="1"/>
  <c r="R250" i="17" s="1"/>
  <c r="X249" i="17"/>
  <c r="H234" i="16"/>
  <c r="G234" i="16"/>
  <c r="I234" i="16"/>
  <c r="K234" i="16" s="1"/>
  <c r="P234" i="16"/>
  <c r="R234" i="16" s="1"/>
  <c r="O234" i="16"/>
  <c r="N234" i="16"/>
  <c r="H250" i="17" l="1"/>
  <c r="G250" i="17"/>
  <c r="O250" i="17"/>
  <c r="N250" i="17"/>
  <c r="U250" i="17"/>
  <c r="Q234" i="16"/>
  <c r="S234" i="16" s="1"/>
  <c r="U234" i="16"/>
  <c r="J234" i="16"/>
  <c r="J250" i="17" l="1"/>
  <c r="L250" i="17" s="1"/>
  <c r="Q250" i="17"/>
  <c r="T234" i="16"/>
  <c r="L234" i="16"/>
  <c r="T250" i="17" l="1"/>
  <c r="S250" i="17"/>
  <c r="M251" i="17"/>
  <c r="P251" i="17" s="1"/>
  <c r="Y234" i="16"/>
  <c r="W234" i="16"/>
  <c r="X250" i="17"/>
  <c r="X234" i="16"/>
  <c r="F235" i="16"/>
  <c r="M235" i="16"/>
  <c r="V234" i="16"/>
  <c r="O251" i="17" l="1"/>
  <c r="V250" i="17"/>
  <c r="W250" i="17"/>
  <c r="Y250" i="17"/>
  <c r="F251" i="17"/>
  <c r="N251" i="17"/>
  <c r="R251" i="17"/>
  <c r="O235" i="16"/>
  <c r="N235" i="16"/>
  <c r="P235" i="16"/>
  <c r="R235" i="16" s="1"/>
  <c r="G235" i="16"/>
  <c r="I235" i="16"/>
  <c r="K235" i="16" s="1"/>
  <c r="H235" i="16"/>
  <c r="Q251" i="17" l="1"/>
  <c r="S251" i="17" s="1"/>
  <c r="G251" i="17"/>
  <c r="I251" i="17"/>
  <c r="K251" i="17" s="1"/>
  <c r="U251" i="17" s="1"/>
  <c r="H251" i="17"/>
  <c r="U235" i="16"/>
  <c r="J235" i="16"/>
  <c r="Q235" i="16"/>
  <c r="S235" i="16" s="1"/>
  <c r="J251" i="17" l="1"/>
  <c r="T251" i="17" s="1"/>
  <c r="T235" i="16"/>
  <c r="L235" i="16"/>
  <c r="L251" i="17" l="1"/>
  <c r="Y235" i="16"/>
  <c r="W235" i="16"/>
  <c r="F236" i="16"/>
  <c r="M236" i="16"/>
  <c r="X235" i="16"/>
  <c r="V235" i="16"/>
  <c r="W251" i="17" l="1"/>
  <c r="Y251" i="17"/>
  <c r="X251" i="17"/>
  <c r="V251" i="17"/>
  <c r="M252" i="17"/>
  <c r="F252" i="17"/>
  <c r="N236" i="16"/>
  <c r="P236" i="16"/>
  <c r="R236" i="16" s="1"/>
  <c r="O236" i="16"/>
  <c r="I236" i="16"/>
  <c r="K236" i="16" s="1"/>
  <c r="H236" i="16"/>
  <c r="G236" i="16"/>
  <c r="P252" i="17" l="1"/>
  <c r="R252" i="17" s="1"/>
  <c r="N252" i="17"/>
  <c r="O252" i="17"/>
  <c r="I252" i="17"/>
  <c r="K252" i="17" s="1"/>
  <c r="H252" i="17"/>
  <c r="G252" i="17"/>
  <c r="Q236" i="16"/>
  <c r="S236" i="16" s="1"/>
  <c r="U236" i="16"/>
  <c r="J236" i="16"/>
  <c r="U252" i="17" l="1"/>
  <c r="Q252" i="17"/>
  <c r="S252" i="17" s="1"/>
  <c r="J252" i="17"/>
  <c r="T236" i="16"/>
  <c r="L236" i="16"/>
  <c r="T252" i="17" l="1"/>
  <c r="L252" i="17"/>
  <c r="Y236" i="16"/>
  <c r="W236" i="16"/>
  <c r="M237" i="16"/>
  <c r="X236" i="16"/>
  <c r="F237" i="16"/>
  <c r="V236" i="16"/>
  <c r="V252" i="17" l="1"/>
  <c r="W252" i="17"/>
  <c r="F253" i="17"/>
  <c r="Y252" i="17"/>
  <c r="M253" i="17"/>
  <c r="X252" i="17"/>
  <c r="I237" i="16"/>
  <c r="K237" i="16" s="1"/>
  <c r="H237" i="16"/>
  <c r="G237" i="16"/>
  <c r="P237" i="16"/>
  <c r="R237" i="16" s="1"/>
  <c r="O237" i="16"/>
  <c r="N237" i="16"/>
  <c r="N253" i="17" l="1"/>
  <c r="O253" i="17"/>
  <c r="P253" i="17"/>
  <c r="R253" i="17" s="1"/>
  <c r="I253" i="17"/>
  <c r="K253" i="17" s="1"/>
  <c r="H253" i="17"/>
  <c r="G253" i="17"/>
  <c r="Q237" i="16"/>
  <c r="S237" i="16" s="1"/>
  <c r="U237" i="16"/>
  <c r="J237" i="16"/>
  <c r="J253" i="17" l="1"/>
  <c r="L253" i="17" s="1"/>
  <c r="U253" i="17"/>
  <c r="Q253" i="17"/>
  <c r="S253" i="17" s="1"/>
  <c r="T237" i="16"/>
  <c r="L237" i="16"/>
  <c r="T253" i="17" l="1"/>
  <c r="W253" i="17"/>
  <c r="F254" i="17"/>
  <c r="Y253" i="17"/>
  <c r="M254" i="17"/>
  <c r="X253" i="17"/>
  <c r="V253" i="17"/>
  <c r="Y237" i="16"/>
  <c r="W237" i="16"/>
  <c r="X237" i="16"/>
  <c r="F238" i="16"/>
  <c r="M238" i="16"/>
  <c r="V237" i="16"/>
  <c r="O254" i="17" l="1"/>
  <c r="N254" i="17"/>
  <c r="P254" i="17"/>
  <c r="R254" i="17" s="1"/>
  <c r="H254" i="17"/>
  <c r="I254" i="17"/>
  <c r="K254" i="17" s="1"/>
  <c r="G254" i="17"/>
  <c r="P238" i="16"/>
  <c r="R238" i="16" s="1"/>
  <c r="O238" i="16"/>
  <c r="N238" i="16"/>
  <c r="H238" i="16"/>
  <c r="G238" i="16"/>
  <c r="I238" i="16"/>
  <c r="K238" i="16" s="1"/>
  <c r="J254" i="17" l="1"/>
  <c r="L254" i="17" s="1"/>
  <c r="Q254" i="17"/>
  <c r="S254" i="17" s="1"/>
  <c r="U254" i="17"/>
  <c r="U238" i="16"/>
  <c r="Q238" i="16"/>
  <c r="S238" i="16" s="1"/>
  <c r="J238" i="16"/>
  <c r="T254" i="17" l="1"/>
  <c r="W254" i="17"/>
  <c r="F255" i="17"/>
  <c r="Y254" i="17"/>
  <c r="X254" i="17"/>
  <c r="V254" i="17"/>
  <c r="M255" i="17"/>
  <c r="T238" i="16"/>
  <c r="L238" i="16"/>
  <c r="O255" i="17" l="1"/>
  <c r="P255" i="17"/>
  <c r="R255" i="17" s="1"/>
  <c r="N255" i="17"/>
  <c r="G255" i="17"/>
  <c r="I255" i="17"/>
  <c r="K255" i="17" s="1"/>
  <c r="H255" i="17"/>
  <c r="Y238" i="16"/>
  <c r="W238" i="16"/>
  <c r="X238" i="16"/>
  <c r="F239" i="16"/>
  <c r="M239" i="16"/>
  <c r="V238" i="16"/>
  <c r="U255" i="17" l="1"/>
  <c r="J255" i="17"/>
  <c r="L255" i="17" s="1"/>
  <c r="Q255" i="17"/>
  <c r="T255" i="17" s="1"/>
  <c r="O239" i="16"/>
  <c r="N239" i="16"/>
  <c r="P239" i="16"/>
  <c r="R239" i="16" s="1"/>
  <c r="G239" i="16"/>
  <c r="I239" i="16"/>
  <c r="K239" i="16" s="1"/>
  <c r="H239" i="16"/>
  <c r="S255" i="17" l="1"/>
  <c r="U239" i="16"/>
  <c r="J239" i="16"/>
  <c r="Q239" i="16"/>
  <c r="S239" i="16" s="1"/>
  <c r="W255" i="17" l="1"/>
  <c r="V255" i="17"/>
  <c r="Y255" i="17"/>
  <c r="X255" i="17"/>
  <c r="M256" i="17"/>
  <c r="F256" i="17"/>
  <c r="T239" i="16"/>
  <c r="L239" i="16"/>
  <c r="N256" i="17" l="1"/>
  <c r="O256" i="17"/>
  <c r="P256" i="17"/>
  <c r="R256" i="17" s="1"/>
  <c r="I256" i="17"/>
  <c r="K256" i="17" s="1"/>
  <c r="G256" i="17"/>
  <c r="H256" i="17"/>
  <c r="Y239" i="16"/>
  <c r="W239" i="16"/>
  <c r="F240" i="16"/>
  <c r="M240" i="16"/>
  <c r="X239" i="16"/>
  <c r="V239" i="16"/>
  <c r="J256" i="17" l="1"/>
  <c r="L256" i="17" s="1"/>
  <c r="U256" i="17"/>
  <c r="Q256" i="17"/>
  <c r="S256" i="17" s="1"/>
  <c r="N240" i="16"/>
  <c r="P240" i="16"/>
  <c r="R240" i="16" s="1"/>
  <c r="O240" i="16"/>
  <c r="I240" i="16"/>
  <c r="K240" i="16" s="1"/>
  <c r="H240" i="16"/>
  <c r="G240" i="16"/>
  <c r="T256" i="17" l="1"/>
  <c r="V256" i="17" s="1"/>
  <c r="W256" i="17"/>
  <c r="Y256" i="17"/>
  <c r="M257" i="17"/>
  <c r="F257" i="17"/>
  <c r="X256" i="17"/>
  <c r="J240" i="16"/>
  <c r="L240" i="16" s="1"/>
  <c r="Q240" i="16"/>
  <c r="U240" i="16"/>
  <c r="N257" i="17" l="1"/>
  <c r="P257" i="17"/>
  <c r="R257" i="17" s="1"/>
  <c r="O257" i="17"/>
  <c r="G257" i="17"/>
  <c r="H257" i="17"/>
  <c r="I257" i="17"/>
  <c r="K257" i="17" s="1"/>
  <c r="U257" i="17" s="1"/>
  <c r="T240" i="16"/>
  <c r="S240" i="16"/>
  <c r="M241" i="16" s="1"/>
  <c r="J257" i="17" l="1"/>
  <c r="L257" i="17" s="1"/>
  <c r="Q257" i="17"/>
  <c r="S257" i="17" s="1"/>
  <c r="W240" i="16"/>
  <c r="V240" i="16"/>
  <c r="F241" i="16"/>
  <c r="I241" i="16" s="1"/>
  <c r="K241" i="16" s="1"/>
  <c r="Y240" i="16"/>
  <c r="X240" i="16"/>
  <c r="P241" i="16"/>
  <c r="R241" i="16" s="1"/>
  <c r="O241" i="16"/>
  <c r="N241" i="16"/>
  <c r="W257" i="17" l="1"/>
  <c r="X257" i="17"/>
  <c r="F258" i="17"/>
  <c r="I258" i="17" s="1"/>
  <c r="K258" i="17" s="1"/>
  <c r="M258" i="17"/>
  <c r="N258" i="17" s="1"/>
  <c r="Y257" i="17"/>
  <c r="T257" i="17"/>
  <c r="V257" i="17" s="1"/>
  <c r="G241" i="16"/>
  <c r="H241" i="16"/>
  <c r="U241" i="16"/>
  <c r="Q241" i="16"/>
  <c r="S241" i="16" s="1"/>
  <c r="P258" i="17" l="1"/>
  <c r="R258" i="17" s="1"/>
  <c r="O258" i="17"/>
  <c r="G258" i="17"/>
  <c r="H258" i="17"/>
  <c r="U258" i="17"/>
  <c r="Q258" i="17"/>
  <c r="S258" i="17" s="1"/>
  <c r="J241" i="16"/>
  <c r="L241" i="16" s="1"/>
  <c r="J258" i="17" l="1"/>
  <c r="L258" i="17" s="1"/>
  <c r="W258" i="17" s="1"/>
  <c r="Y241" i="16"/>
  <c r="W241" i="16"/>
  <c r="T241" i="16"/>
  <c r="V241" i="16" s="1"/>
  <c r="X241" i="16"/>
  <c r="M242" i="16"/>
  <c r="O242" i="16" s="1"/>
  <c r="T258" i="17"/>
  <c r="V258" i="17" s="1"/>
  <c r="F242" i="16"/>
  <c r="H242" i="16" s="1"/>
  <c r="X258" i="17"/>
  <c r="M259" i="17"/>
  <c r="F259" i="17"/>
  <c r="Y258" i="17"/>
  <c r="I242" i="16" l="1"/>
  <c r="K242" i="16" s="1"/>
  <c r="G242" i="16"/>
  <c r="N242" i="16"/>
  <c r="P242" i="16"/>
  <c r="R242" i="16" s="1"/>
  <c r="O259" i="17"/>
  <c r="P259" i="17"/>
  <c r="R259" i="17" s="1"/>
  <c r="N259" i="17"/>
  <c r="H259" i="17"/>
  <c r="I259" i="17"/>
  <c r="K259" i="17" s="1"/>
  <c r="G259" i="17"/>
  <c r="Q242" i="16" l="1"/>
  <c r="S242" i="16" s="1"/>
  <c r="J242" i="16"/>
  <c r="U242" i="16"/>
  <c r="Q259" i="17"/>
  <c r="S259" i="17" s="1"/>
  <c r="U259" i="17"/>
  <c r="J259" i="17"/>
  <c r="L259" i="17" s="1"/>
  <c r="W259" i="17" s="1"/>
  <c r="T242" i="16" l="1"/>
  <c r="L242" i="16"/>
  <c r="Y242" i="16"/>
  <c r="W242" i="16"/>
  <c r="T259" i="17"/>
  <c r="V259" i="17" s="1"/>
  <c r="X259" i="17"/>
  <c r="M260" i="17"/>
  <c r="F260" i="17"/>
  <c r="Y259" i="17"/>
  <c r="X242" i="16"/>
  <c r="F243" i="16"/>
  <c r="M243" i="16"/>
  <c r="V242" i="16"/>
  <c r="H260" i="17" l="1"/>
  <c r="I260" i="17"/>
  <c r="K260" i="17" s="1"/>
  <c r="G260" i="17"/>
  <c r="N260" i="17"/>
  <c r="P260" i="17"/>
  <c r="R260" i="17" s="1"/>
  <c r="O260" i="17"/>
  <c r="O243" i="16"/>
  <c r="N243" i="16"/>
  <c r="P243" i="16"/>
  <c r="R243" i="16" s="1"/>
  <c r="G243" i="16"/>
  <c r="I243" i="16"/>
  <c r="K243" i="16" s="1"/>
  <c r="H243" i="16"/>
  <c r="Q260" i="17" l="1"/>
  <c r="S260" i="17" s="1"/>
  <c r="U260" i="17"/>
  <c r="J260" i="17"/>
  <c r="U243" i="16"/>
  <c r="J243" i="16"/>
  <c r="L243" i="16" s="1"/>
  <c r="W243" i="16" s="1"/>
  <c r="Q243" i="16"/>
  <c r="S243" i="16" s="1"/>
  <c r="T260" i="17" l="1"/>
  <c r="L260" i="17"/>
  <c r="W260" i="17" s="1"/>
  <c r="Y243" i="16"/>
  <c r="F244" i="16"/>
  <c r="M244" i="16"/>
  <c r="X243" i="16"/>
  <c r="T243" i="16"/>
  <c r="V243" i="16" s="1"/>
  <c r="X260" i="17" l="1"/>
  <c r="Y260" i="17"/>
  <c r="F261" i="17"/>
  <c r="M261" i="17"/>
  <c r="V260" i="17"/>
  <c r="P244" i="16"/>
  <c r="R244" i="16" s="1"/>
  <c r="O244" i="16"/>
  <c r="N244" i="16"/>
  <c r="I244" i="16"/>
  <c r="K244" i="16" s="1"/>
  <c r="H244" i="16"/>
  <c r="G244" i="16"/>
  <c r="I261" i="17" l="1"/>
  <c r="K261" i="17" s="1"/>
  <c r="G261" i="17"/>
  <c r="H261" i="17"/>
  <c r="O261" i="17"/>
  <c r="P261" i="17"/>
  <c r="R261" i="17" s="1"/>
  <c r="N261" i="17"/>
  <c r="U244" i="16"/>
  <c r="J244" i="16"/>
  <c r="L244" i="16" s="1"/>
  <c r="Q244" i="16"/>
  <c r="S244" i="16" s="1"/>
  <c r="W244" i="16" l="1"/>
  <c r="Y244" i="16"/>
  <c r="Q261" i="17"/>
  <c r="S261" i="17" s="1"/>
  <c r="J261" i="17"/>
  <c r="U261" i="17"/>
  <c r="T244" i="16"/>
  <c r="V244" i="16" s="1"/>
  <c r="X244" i="16"/>
  <c r="F245" i="16"/>
  <c r="M245" i="16"/>
  <c r="T261" i="17" l="1"/>
  <c r="L261" i="17"/>
  <c r="G245" i="16"/>
  <c r="I245" i="16"/>
  <c r="K245" i="16" s="1"/>
  <c r="H245" i="16"/>
  <c r="O245" i="16"/>
  <c r="N245" i="16"/>
  <c r="P245" i="16"/>
  <c r="R245" i="16" s="1"/>
  <c r="F262" i="17" l="1"/>
  <c r="H262" i="17" s="1"/>
  <c r="W261" i="17"/>
  <c r="V261" i="17"/>
  <c r="M262" i="17"/>
  <c r="O262" i="17" s="1"/>
  <c r="Y261" i="17"/>
  <c r="X261" i="17"/>
  <c r="J245" i="16"/>
  <c r="L245" i="16" s="1"/>
  <c r="U245" i="16"/>
  <c r="Q245" i="16"/>
  <c r="S245" i="16" s="1"/>
  <c r="I262" i="17" l="1"/>
  <c r="K262" i="17" s="1"/>
  <c r="G262" i="17"/>
  <c r="P262" i="17"/>
  <c r="R262" i="17" s="1"/>
  <c r="U262" i="17" s="1"/>
  <c r="N262" i="17"/>
  <c r="Y245" i="16"/>
  <c r="W245" i="16"/>
  <c r="J262" i="17"/>
  <c r="T245" i="16"/>
  <c r="V245" i="16" s="1"/>
  <c r="F246" i="16"/>
  <c r="M246" i="16"/>
  <c r="X245" i="16"/>
  <c r="Q262" i="17" l="1"/>
  <c r="T262" i="17" s="1"/>
  <c r="L262" i="17"/>
  <c r="I246" i="16"/>
  <c r="K246" i="16" s="1"/>
  <c r="H246" i="16"/>
  <c r="G246" i="16"/>
  <c r="N246" i="16"/>
  <c r="P246" i="16"/>
  <c r="R246" i="16" s="1"/>
  <c r="O246" i="16"/>
  <c r="W262" i="17" l="1"/>
  <c r="S262" i="17"/>
  <c r="M263" i="17"/>
  <c r="Y262" i="17"/>
  <c r="F263" i="17"/>
  <c r="X262" i="17"/>
  <c r="V262" i="17"/>
  <c r="Q246" i="16"/>
  <c r="S246" i="16" s="1"/>
  <c r="U246" i="16"/>
  <c r="J246" i="16"/>
  <c r="T246" i="16" l="1"/>
  <c r="G263" i="17"/>
  <c r="I263" i="17"/>
  <c r="K263" i="17" s="1"/>
  <c r="H263" i="17"/>
  <c r="N263" i="17"/>
  <c r="O263" i="17"/>
  <c r="P263" i="17"/>
  <c r="R263" i="17" s="1"/>
  <c r="L246" i="16"/>
  <c r="Y246" i="16" l="1"/>
  <c r="W246" i="16"/>
  <c r="Q263" i="17"/>
  <c r="S263" i="17" s="1"/>
  <c r="J263" i="17"/>
  <c r="U263" i="17"/>
  <c r="M247" i="16"/>
  <c r="X246" i="16"/>
  <c r="F247" i="16"/>
  <c r="V246" i="16"/>
  <c r="T263" i="17" l="1"/>
  <c r="L263" i="17"/>
  <c r="W263" i="17" s="1"/>
  <c r="I247" i="16"/>
  <c r="K247" i="16" s="1"/>
  <c r="H247" i="16"/>
  <c r="G247" i="16"/>
  <c r="P247" i="16"/>
  <c r="R247" i="16" s="1"/>
  <c r="O247" i="16"/>
  <c r="N247" i="16"/>
  <c r="Y263" i="17" l="1"/>
  <c r="X263" i="17"/>
  <c r="F264" i="17"/>
  <c r="M264" i="17"/>
  <c r="V263" i="17"/>
  <c r="U247" i="16"/>
  <c r="Q247" i="16"/>
  <c r="S247" i="16" s="1"/>
  <c r="J247" i="16"/>
  <c r="P264" i="17" l="1"/>
  <c r="R264" i="17" s="1"/>
  <c r="O264" i="17"/>
  <c r="N264" i="17"/>
  <c r="G264" i="17"/>
  <c r="H264" i="17"/>
  <c r="I264" i="17"/>
  <c r="K264" i="17" s="1"/>
  <c r="T247" i="16"/>
  <c r="L247" i="16"/>
  <c r="Q264" i="17" l="1"/>
  <c r="Y247" i="16"/>
  <c r="W247" i="16"/>
  <c r="U264" i="17"/>
  <c r="J264" i="17"/>
  <c r="S264" i="17"/>
  <c r="X247" i="16"/>
  <c r="F248" i="16"/>
  <c r="M248" i="16"/>
  <c r="V247" i="16"/>
  <c r="L264" i="17" l="1"/>
  <c r="W264" i="17" s="1"/>
  <c r="T264" i="17"/>
  <c r="H248" i="16"/>
  <c r="G248" i="16"/>
  <c r="I248" i="16"/>
  <c r="K248" i="16" s="1"/>
  <c r="P248" i="16"/>
  <c r="R248" i="16" s="1"/>
  <c r="O248" i="16"/>
  <c r="N248" i="16"/>
  <c r="Y264" i="17" l="1"/>
  <c r="F265" i="17"/>
  <c r="M265" i="17"/>
  <c r="X264" i="17"/>
  <c r="V264" i="17"/>
  <c r="Q248" i="16"/>
  <c r="S248" i="16" s="1"/>
  <c r="U248" i="16"/>
  <c r="J248" i="16"/>
  <c r="P265" i="17" l="1"/>
  <c r="R265" i="17" s="1"/>
  <c r="O265" i="17"/>
  <c r="N265" i="17"/>
  <c r="G265" i="17"/>
  <c r="I265" i="17"/>
  <c r="K265" i="17" s="1"/>
  <c r="H265" i="17"/>
  <c r="T248" i="16"/>
  <c r="L248" i="16"/>
  <c r="Y248" i="16" l="1"/>
  <c r="W248" i="16"/>
  <c r="U265" i="17"/>
  <c r="Q265" i="17"/>
  <c r="S265" i="17" s="1"/>
  <c r="J265" i="17"/>
  <c r="T265" i="17" s="1"/>
  <c r="X248" i="16"/>
  <c r="F249" i="16"/>
  <c r="M249" i="16"/>
  <c r="V248" i="16"/>
  <c r="L265" i="17" l="1"/>
  <c r="W265" i="17" s="1"/>
  <c r="O249" i="16"/>
  <c r="N249" i="16"/>
  <c r="P249" i="16"/>
  <c r="R249" i="16" s="1"/>
  <c r="G249" i="16"/>
  <c r="I249" i="16"/>
  <c r="K249" i="16" s="1"/>
  <c r="H249" i="16"/>
  <c r="V265" i="17" l="1"/>
  <c r="X265" i="17"/>
  <c r="F266" i="17"/>
  <c r="H266" i="17" s="1"/>
  <c r="Y265" i="17"/>
  <c r="M266" i="17"/>
  <c r="N266" i="17" s="1"/>
  <c r="U249" i="16"/>
  <c r="J249" i="16"/>
  <c r="Q249" i="16"/>
  <c r="S249" i="16" s="1"/>
  <c r="G266" i="17" l="1"/>
  <c r="I266" i="17"/>
  <c r="K266" i="17" s="1"/>
  <c r="O266" i="17"/>
  <c r="P266" i="17"/>
  <c r="R266" i="17" s="1"/>
  <c r="T249" i="16"/>
  <c r="L249" i="16"/>
  <c r="Q266" i="17" l="1"/>
  <c r="S266" i="17" s="1"/>
  <c r="U266" i="17"/>
  <c r="J266" i="17"/>
  <c r="L266" i="17" s="1"/>
  <c r="Y249" i="16"/>
  <c r="W249" i="16"/>
  <c r="F250" i="16"/>
  <c r="M250" i="16"/>
  <c r="X249" i="16"/>
  <c r="V249" i="16"/>
  <c r="W266" i="17" l="1"/>
  <c r="F267" i="17"/>
  <c r="H267" i="17" s="1"/>
  <c r="M267" i="17"/>
  <c r="P267" i="17" s="1"/>
  <c r="R267" i="17" s="1"/>
  <c r="T266" i="17"/>
  <c r="V266" i="17" s="1"/>
  <c r="X266" i="17"/>
  <c r="Y266" i="17"/>
  <c r="I267" i="17"/>
  <c r="K267" i="17" s="1"/>
  <c r="N250" i="16"/>
  <c r="P250" i="16"/>
  <c r="R250" i="16" s="1"/>
  <c r="O250" i="16"/>
  <c r="I250" i="16"/>
  <c r="K250" i="16" s="1"/>
  <c r="H250" i="16"/>
  <c r="G250" i="16"/>
  <c r="J250" i="16" l="1"/>
  <c r="L250" i="16" s="1"/>
  <c r="G267" i="17"/>
  <c r="O267" i="17"/>
  <c r="N267" i="17"/>
  <c r="U267" i="17"/>
  <c r="J267" i="17"/>
  <c r="Q250" i="16"/>
  <c r="U250" i="16"/>
  <c r="T250" i="16" l="1"/>
  <c r="Q267" i="17"/>
  <c r="S267" i="17" s="1"/>
  <c r="L267" i="17"/>
  <c r="W267" i="17" s="1"/>
  <c r="S250" i="16"/>
  <c r="V250" i="16" s="1"/>
  <c r="T267" i="17" l="1"/>
  <c r="W250" i="16"/>
  <c r="Y267" i="17"/>
  <c r="M268" i="17"/>
  <c r="F268" i="17"/>
  <c r="X267" i="17"/>
  <c r="V267" i="17"/>
  <c r="Y250" i="16"/>
  <c r="F251" i="16"/>
  <c r="G251" i="16" s="1"/>
  <c r="M251" i="16"/>
  <c r="P251" i="16" s="1"/>
  <c r="R251" i="16" s="1"/>
  <c r="X250" i="16"/>
  <c r="N251" i="16" l="1"/>
  <c r="Q251" i="16" s="1"/>
  <c r="S251" i="16" s="1"/>
  <c r="O251" i="16"/>
  <c r="H251" i="16"/>
  <c r="I251" i="16"/>
  <c r="K251" i="16" s="1"/>
  <c r="U251" i="16" s="1"/>
  <c r="H268" i="17"/>
  <c r="G268" i="17"/>
  <c r="I268" i="17"/>
  <c r="K268" i="17" s="1"/>
  <c r="N268" i="17"/>
  <c r="O268" i="17"/>
  <c r="P268" i="17"/>
  <c r="R268" i="17" s="1"/>
  <c r="J251" i="16" l="1"/>
  <c r="T251" i="16" s="1"/>
  <c r="J268" i="17"/>
  <c r="L268" i="17" s="1"/>
  <c r="Q268" i="17"/>
  <c r="U268" i="17"/>
  <c r="L251" i="16" l="1"/>
  <c r="T268" i="17"/>
  <c r="M252" i="16"/>
  <c r="P252" i="16" s="1"/>
  <c r="R252" i="16" s="1"/>
  <c r="W251" i="16"/>
  <c r="S268" i="17"/>
  <c r="W268" i="17" s="1"/>
  <c r="F252" i="16"/>
  <c r="G252" i="16" s="1"/>
  <c r="V251" i="16"/>
  <c r="Y251" i="16"/>
  <c r="X251" i="16"/>
  <c r="N252" i="16" l="1"/>
  <c r="O252" i="16"/>
  <c r="H252" i="16"/>
  <c r="Y268" i="17"/>
  <c r="I252" i="16"/>
  <c r="K252" i="16" s="1"/>
  <c r="U252" i="16" s="1"/>
  <c r="F269" i="17"/>
  <c r="H269" i="17" s="1"/>
  <c r="V268" i="17"/>
  <c r="M269" i="17"/>
  <c r="N269" i="17" s="1"/>
  <c r="X268" i="17"/>
  <c r="Q252" i="16"/>
  <c r="S252" i="16" s="1"/>
  <c r="J252" i="16" l="1"/>
  <c r="L252" i="16" s="1"/>
  <c r="Y252" i="16" s="1"/>
  <c r="I269" i="17"/>
  <c r="K269" i="17" s="1"/>
  <c r="G269" i="17"/>
  <c r="O269" i="17"/>
  <c r="P269" i="17"/>
  <c r="R269" i="17" s="1"/>
  <c r="F253" i="16" l="1"/>
  <c r="I253" i="16" s="1"/>
  <c r="K253" i="16" s="1"/>
  <c r="X252" i="16"/>
  <c r="T252" i="16"/>
  <c r="V252" i="16" s="1"/>
  <c r="M253" i="16"/>
  <c r="P253" i="16" s="1"/>
  <c r="R253" i="16" s="1"/>
  <c r="W252" i="16"/>
  <c r="U269" i="17"/>
  <c r="J269" i="17"/>
  <c r="L269" i="17" s="1"/>
  <c r="Q269" i="17"/>
  <c r="O253" i="16" l="1"/>
  <c r="N253" i="16"/>
  <c r="H253" i="16"/>
  <c r="J253" i="16" s="1"/>
  <c r="L253" i="16" s="1"/>
  <c r="G253" i="16"/>
  <c r="T269" i="17"/>
  <c r="S269" i="17"/>
  <c r="U253" i="16"/>
  <c r="Q253" i="16"/>
  <c r="S253" i="16" s="1"/>
  <c r="F270" i="17" l="1"/>
  <c r="G270" i="17" s="1"/>
  <c r="W269" i="17"/>
  <c r="M270" i="17"/>
  <c r="O270" i="17" s="1"/>
  <c r="X269" i="17"/>
  <c r="W253" i="16"/>
  <c r="V269" i="17"/>
  <c r="Y269" i="17"/>
  <c r="Y253" i="16"/>
  <c r="N270" i="17"/>
  <c r="I270" i="17"/>
  <c r="K270" i="17" s="1"/>
  <c r="T253" i="16"/>
  <c r="V253" i="16" s="1"/>
  <c r="F254" i="16"/>
  <c r="M254" i="16"/>
  <c r="X253" i="16"/>
  <c r="H270" i="17" l="1"/>
  <c r="J270" i="17" s="1"/>
  <c r="P270" i="17"/>
  <c r="R270" i="17" s="1"/>
  <c r="U270" i="17" s="1"/>
  <c r="I254" i="16"/>
  <c r="K254" i="16" s="1"/>
  <c r="H254" i="16"/>
  <c r="G254" i="16"/>
  <c r="N254" i="16"/>
  <c r="P254" i="16"/>
  <c r="R254" i="16" s="1"/>
  <c r="O254" i="16"/>
  <c r="Q270" i="17" l="1"/>
  <c r="S270" i="17" s="1"/>
  <c r="L270" i="17"/>
  <c r="W270" i="17" s="1"/>
  <c r="Q254" i="16"/>
  <c r="S254" i="16" s="1"/>
  <c r="U254" i="16"/>
  <c r="J254" i="16"/>
  <c r="T270" i="17" l="1"/>
  <c r="V270" i="17" s="1"/>
  <c r="F271" i="17"/>
  <c r="H271" i="17" s="1"/>
  <c r="Y270" i="17"/>
  <c r="X270" i="17"/>
  <c r="M271" i="17"/>
  <c r="O271" i="17" s="1"/>
  <c r="T254" i="16"/>
  <c r="L254" i="16"/>
  <c r="I271" i="17" l="1"/>
  <c r="K271" i="17" s="1"/>
  <c r="Y254" i="16"/>
  <c r="W254" i="16"/>
  <c r="G271" i="17"/>
  <c r="N271" i="17"/>
  <c r="P271" i="17"/>
  <c r="R271" i="17" s="1"/>
  <c r="U271" i="17" s="1"/>
  <c r="M255" i="16"/>
  <c r="X254" i="16"/>
  <c r="F255" i="16"/>
  <c r="V254" i="16"/>
  <c r="J271" i="17" l="1"/>
  <c r="L271" i="17" s="1"/>
  <c r="W271" i="17" s="1"/>
  <c r="Q271" i="17"/>
  <c r="S271" i="17" s="1"/>
  <c r="I255" i="16"/>
  <c r="K255" i="16" s="1"/>
  <c r="H255" i="16"/>
  <c r="G255" i="16"/>
  <c r="P255" i="16"/>
  <c r="R255" i="16" s="1"/>
  <c r="O255" i="16"/>
  <c r="N255" i="16"/>
  <c r="T271" i="17" l="1"/>
  <c r="V271" i="17" s="1"/>
  <c r="M272" i="17"/>
  <c r="Y271" i="17"/>
  <c r="X271" i="17"/>
  <c r="F272" i="17"/>
  <c r="U255" i="16"/>
  <c r="Q255" i="16"/>
  <c r="S255" i="16" s="1"/>
  <c r="J255" i="16"/>
  <c r="L255" i="16" s="1"/>
  <c r="W255" i="16" l="1"/>
  <c r="Y255" i="16"/>
  <c r="I272" i="17"/>
  <c r="K272" i="17" s="1"/>
  <c r="G272" i="17"/>
  <c r="H272" i="17"/>
  <c r="N272" i="17"/>
  <c r="O272" i="17"/>
  <c r="P272" i="17"/>
  <c r="R272" i="17" s="1"/>
  <c r="X255" i="16"/>
  <c r="F256" i="16"/>
  <c r="M256" i="16"/>
  <c r="T255" i="16"/>
  <c r="V255" i="16" s="1"/>
  <c r="J272" i="17" l="1"/>
  <c r="L272" i="17" s="1"/>
  <c r="W272" i="17" s="1"/>
  <c r="Q272" i="17"/>
  <c r="S272" i="17" s="1"/>
  <c r="U272" i="17"/>
  <c r="P256" i="16"/>
  <c r="R256" i="16" s="1"/>
  <c r="O256" i="16"/>
  <c r="N256" i="16"/>
  <c r="H256" i="16"/>
  <c r="G256" i="16"/>
  <c r="I256" i="16"/>
  <c r="K256" i="16" s="1"/>
  <c r="T272" i="17" l="1"/>
  <c r="F273" i="17"/>
  <c r="I273" i="17" s="1"/>
  <c r="K273" i="17" s="1"/>
  <c r="M273" i="17"/>
  <c r="P273" i="17" s="1"/>
  <c r="R273" i="17" s="1"/>
  <c r="X272" i="17"/>
  <c r="Y272" i="17"/>
  <c r="V272" i="17"/>
  <c r="U256" i="16"/>
  <c r="Q256" i="16"/>
  <c r="S256" i="16" s="1"/>
  <c r="J256" i="16"/>
  <c r="N273" i="17" l="1"/>
  <c r="G273" i="17"/>
  <c r="H273" i="17"/>
  <c r="U273" i="17"/>
  <c r="O273" i="17"/>
  <c r="Q273" i="17" s="1"/>
  <c r="T256" i="16"/>
  <c r="L256" i="16"/>
  <c r="Y256" i="16" l="1"/>
  <c r="W256" i="16"/>
  <c r="J273" i="17"/>
  <c r="L273" i="17" s="1"/>
  <c r="W273" i="17" s="1"/>
  <c r="S273" i="17"/>
  <c r="X256" i="16"/>
  <c r="F257" i="16"/>
  <c r="M257" i="16"/>
  <c r="V256" i="16"/>
  <c r="F274" i="17" l="1"/>
  <c r="G274" i="17" s="1"/>
  <c r="T273" i="17"/>
  <c r="M274" i="17"/>
  <c r="N274" i="17" s="1"/>
  <c r="Y273" i="17"/>
  <c r="V273" i="17"/>
  <c r="X273" i="17"/>
  <c r="O257" i="16"/>
  <c r="N257" i="16"/>
  <c r="P257" i="16"/>
  <c r="R257" i="16" s="1"/>
  <c r="G257" i="16"/>
  <c r="I257" i="16"/>
  <c r="K257" i="16" s="1"/>
  <c r="H257" i="16"/>
  <c r="P274" i="17" l="1"/>
  <c r="R274" i="17" s="1"/>
  <c r="I274" i="17"/>
  <c r="K274" i="17" s="1"/>
  <c r="H274" i="17"/>
  <c r="O274" i="17"/>
  <c r="U257" i="16"/>
  <c r="J257" i="16"/>
  <c r="Q257" i="16"/>
  <c r="S257" i="16" s="1"/>
  <c r="Q274" i="17" l="1"/>
  <c r="S274" i="17" s="1"/>
  <c r="U274" i="17"/>
  <c r="J274" i="17"/>
  <c r="T274" i="17" s="1"/>
  <c r="T257" i="16"/>
  <c r="L257" i="16"/>
  <c r="L274" i="17" l="1"/>
  <c r="F275" i="17" s="1"/>
  <c r="Y257" i="16"/>
  <c r="W257" i="16"/>
  <c r="V274" i="17"/>
  <c r="F258" i="16"/>
  <c r="M258" i="16"/>
  <c r="X257" i="16"/>
  <c r="V257" i="16"/>
  <c r="Y274" i="17" l="1"/>
  <c r="W274" i="17"/>
  <c r="I275" i="17"/>
  <c r="K275" i="17" s="1"/>
  <c r="G275" i="17"/>
  <c r="H275" i="17"/>
  <c r="J275" i="17" s="1"/>
  <c r="L275" i="17" s="1"/>
  <c r="X274" i="17"/>
  <c r="M275" i="17"/>
  <c r="N258" i="16"/>
  <c r="P258" i="16"/>
  <c r="R258" i="16" s="1"/>
  <c r="O258" i="16"/>
  <c r="I258" i="16"/>
  <c r="K258" i="16" s="1"/>
  <c r="H258" i="16"/>
  <c r="G258" i="16"/>
  <c r="O275" i="17" l="1"/>
  <c r="N275" i="17"/>
  <c r="P275" i="17"/>
  <c r="R275" i="17" s="1"/>
  <c r="U275" i="17" s="1"/>
  <c r="J258" i="16"/>
  <c r="L258" i="16" s="1"/>
  <c r="Q258" i="16"/>
  <c r="U258" i="16"/>
  <c r="Q275" i="17" l="1"/>
  <c r="S275" i="17" s="1"/>
  <c r="T258" i="16"/>
  <c r="S258" i="16"/>
  <c r="V258" i="16" s="1"/>
  <c r="T275" i="17" l="1"/>
  <c r="V275" i="17" s="1"/>
  <c r="Y275" i="17"/>
  <c r="W275" i="17"/>
  <c r="F276" i="17"/>
  <c r="M276" i="17"/>
  <c r="X275" i="17"/>
  <c r="W258" i="16"/>
  <c r="Y258" i="16"/>
  <c r="F259" i="16"/>
  <c r="I259" i="16" s="1"/>
  <c r="K259" i="16" s="1"/>
  <c r="M259" i="16"/>
  <c r="P259" i="16" s="1"/>
  <c r="R259" i="16" s="1"/>
  <c r="X258" i="16"/>
  <c r="P276" i="17" l="1"/>
  <c r="R276" i="17" s="1"/>
  <c r="O276" i="17"/>
  <c r="N276" i="17"/>
  <c r="G276" i="17"/>
  <c r="H276" i="17"/>
  <c r="I276" i="17"/>
  <c r="K276" i="17" s="1"/>
  <c r="N259" i="16"/>
  <c r="G259" i="16"/>
  <c r="O259" i="16"/>
  <c r="H259" i="16"/>
  <c r="U259" i="16"/>
  <c r="Q276" i="17" l="1"/>
  <c r="S276" i="17" s="1"/>
  <c r="J276" i="17"/>
  <c r="U276" i="17"/>
  <c r="Q259" i="16"/>
  <c r="S259" i="16" s="1"/>
  <c r="J259" i="16"/>
  <c r="L259" i="16" s="1"/>
  <c r="T276" i="17" l="1"/>
  <c r="L276" i="17"/>
  <c r="T259" i="16"/>
  <c r="Y259" i="16"/>
  <c r="W259" i="16"/>
  <c r="X259" i="16"/>
  <c r="F260" i="16"/>
  <c r="M260" i="16"/>
  <c r="V259" i="16"/>
  <c r="W276" i="17" l="1"/>
  <c r="F277" i="17"/>
  <c r="M277" i="17"/>
  <c r="Y276" i="17"/>
  <c r="X276" i="17"/>
  <c r="V276" i="17"/>
  <c r="P260" i="16"/>
  <c r="R260" i="16" s="1"/>
  <c r="O260" i="16"/>
  <c r="N260" i="16"/>
  <c r="H260" i="16"/>
  <c r="G260" i="16"/>
  <c r="I260" i="16"/>
  <c r="K260" i="16" s="1"/>
  <c r="P277" i="17" l="1"/>
  <c r="R277" i="17" s="1"/>
  <c r="O277" i="17"/>
  <c r="N277" i="17"/>
  <c r="I277" i="17"/>
  <c r="K277" i="17" s="1"/>
  <c r="G277" i="17"/>
  <c r="H277" i="17"/>
  <c r="U260" i="16"/>
  <c r="Q260" i="16"/>
  <c r="S260" i="16" s="1"/>
  <c r="J260" i="16"/>
  <c r="J277" i="17" l="1"/>
  <c r="L277" i="17" s="1"/>
  <c r="Q277" i="17"/>
  <c r="S277" i="17" s="1"/>
  <c r="W277" i="17" s="1"/>
  <c r="U277" i="17"/>
  <c r="T260" i="16"/>
  <c r="L260" i="16"/>
  <c r="Y277" i="17" l="1"/>
  <c r="T277" i="17"/>
  <c r="V277" i="17" s="1"/>
  <c r="M278" i="17"/>
  <c r="N278" i="17" s="1"/>
  <c r="F278" i="17"/>
  <c r="H278" i="17" s="1"/>
  <c r="X277" i="17"/>
  <c r="Y260" i="16"/>
  <c r="W260" i="16"/>
  <c r="X260" i="16"/>
  <c r="F261" i="16"/>
  <c r="M261" i="16"/>
  <c r="V260" i="16"/>
  <c r="O278" i="17" l="1"/>
  <c r="P278" i="17"/>
  <c r="R278" i="17" s="1"/>
  <c r="G278" i="17"/>
  <c r="I278" i="17"/>
  <c r="K278" i="17" s="1"/>
  <c r="O261" i="16"/>
  <c r="N261" i="16"/>
  <c r="P261" i="16"/>
  <c r="R261" i="16" s="1"/>
  <c r="G261" i="16"/>
  <c r="I261" i="16"/>
  <c r="K261" i="16" s="1"/>
  <c r="H261" i="16"/>
  <c r="J278" i="17" l="1"/>
  <c r="L278" i="17" s="1"/>
  <c r="W278" i="17" s="1"/>
  <c r="U278" i="17"/>
  <c r="Q278" i="17"/>
  <c r="S278" i="17" s="1"/>
  <c r="U261" i="16"/>
  <c r="J261" i="16"/>
  <c r="Q261" i="16"/>
  <c r="S261" i="16" s="1"/>
  <c r="Y278" i="17" l="1"/>
  <c r="T278" i="17"/>
  <c r="V278" i="17" s="1"/>
  <c r="M279" i="17"/>
  <c r="F279" i="17"/>
  <c r="X278" i="17"/>
  <c r="T261" i="16"/>
  <c r="L261" i="16"/>
  <c r="G279" i="17" l="1"/>
  <c r="I279" i="17"/>
  <c r="K279" i="17" s="1"/>
  <c r="H279" i="17"/>
  <c r="P279" i="17"/>
  <c r="R279" i="17" s="1"/>
  <c r="N279" i="17"/>
  <c r="O279" i="17"/>
  <c r="J279" i="17"/>
  <c r="L279" i="17" s="1"/>
  <c r="Y261" i="16"/>
  <c r="W261" i="16"/>
  <c r="F262" i="16"/>
  <c r="M262" i="16"/>
  <c r="X261" i="16"/>
  <c r="V261" i="16"/>
  <c r="U279" i="17" l="1"/>
  <c r="Q279" i="17"/>
  <c r="S279" i="17" s="1"/>
  <c r="X279" i="17" s="1"/>
  <c r="W279" i="17"/>
  <c r="N262" i="16"/>
  <c r="P262" i="16"/>
  <c r="R262" i="16" s="1"/>
  <c r="O262" i="16"/>
  <c r="I262" i="16"/>
  <c r="K262" i="16" s="1"/>
  <c r="H262" i="16"/>
  <c r="G262" i="16"/>
  <c r="F280" i="17" l="1"/>
  <c r="G280" i="17" s="1"/>
  <c r="Y279" i="17"/>
  <c r="M280" i="17"/>
  <c r="P280" i="17" s="1"/>
  <c r="R280" i="17" s="1"/>
  <c r="T279" i="17"/>
  <c r="V279" i="17" s="1"/>
  <c r="Q262" i="16"/>
  <c r="S262" i="16" s="1"/>
  <c r="U262" i="16"/>
  <c r="J262" i="16"/>
  <c r="I280" i="17" l="1"/>
  <c r="K280" i="17" s="1"/>
  <c r="U280" i="17" s="1"/>
  <c r="H280" i="17"/>
  <c r="N280" i="17"/>
  <c r="O280" i="17"/>
  <c r="Q280" i="17" s="1"/>
  <c r="S280" i="17" s="1"/>
  <c r="T262" i="16"/>
  <c r="J280" i="17"/>
  <c r="L280" i="17" s="1"/>
  <c r="L262" i="16"/>
  <c r="W280" i="17" l="1"/>
  <c r="Y262" i="16"/>
  <c r="W262" i="16"/>
  <c r="M281" i="17"/>
  <c r="F281" i="17"/>
  <c r="Y280" i="17"/>
  <c r="X280" i="17"/>
  <c r="T280" i="17"/>
  <c r="V280" i="17" s="1"/>
  <c r="M263" i="16"/>
  <c r="X262" i="16"/>
  <c r="F263" i="16"/>
  <c r="V262" i="16"/>
  <c r="G281" i="17" l="1"/>
  <c r="I281" i="17"/>
  <c r="K281" i="17" s="1"/>
  <c r="H281" i="17"/>
  <c r="P281" i="17"/>
  <c r="R281" i="17" s="1"/>
  <c r="O281" i="17"/>
  <c r="N281" i="17"/>
  <c r="I263" i="16"/>
  <c r="K263" i="16" s="1"/>
  <c r="H263" i="16"/>
  <c r="G263" i="16"/>
  <c r="P263" i="16"/>
  <c r="R263" i="16" s="1"/>
  <c r="O263" i="16"/>
  <c r="N263" i="16"/>
  <c r="J281" i="17" l="1"/>
  <c r="L281" i="17" s="1"/>
  <c r="Q281" i="17"/>
  <c r="U281" i="17"/>
  <c r="J263" i="16"/>
  <c r="L263" i="16" s="1"/>
  <c r="U263" i="16"/>
  <c r="Q263" i="16"/>
  <c r="W281" i="17" l="1"/>
  <c r="T281" i="17"/>
  <c r="S281" i="17"/>
  <c r="F282" i="17" s="1"/>
  <c r="T263" i="16"/>
  <c r="S263" i="16"/>
  <c r="Y263" i="16" s="1"/>
  <c r="W263" i="16" l="1"/>
  <c r="H282" i="17"/>
  <c r="G282" i="17"/>
  <c r="I282" i="17"/>
  <c r="K282" i="17" s="1"/>
  <c r="V281" i="17"/>
  <c r="M282" i="17"/>
  <c r="X281" i="17"/>
  <c r="Y281" i="17"/>
  <c r="M264" i="16"/>
  <c r="X263" i="16"/>
  <c r="V263" i="16"/>
  <c r="F264" i="16"/>
  <c r="J282" i="17" l="1"/>
  <c r="L282" i="17" s="1"/>
  <c r="O282" i="17"/>
  <c r="P282" i="17"/>
  <c r="R282" i="17" s="1"/>
  <c r="U282" i="17" s="1"/>
  <c r="N282" i="17"/>
  <c r="H264" i="16"/>
  <c r="G264" i="16"/>
  <c r="I264" i="16"/>
  <c r="K264" i="16" s="1"/>
  <c r="P264" i="16"/>
  <c r="R264" i="16" s="1"/>
  <c r="O264" i="16"/>
  <c r="N264" i="16"/>
  <c r="Q282" i="17" l="1"/>
  <c r="T282" i="17" s="1"/>
  <c r="Q264" i="16"/>
  <c r="S264" i="16" s="1"/>
  <c r="U264" i="16"/>
  <c r="J264" i="16"/>
  <c r="S282" i="17" l="1"/>
  <c r="W282" i="17" s="1"/>
  <c r="T264" i="16"/>
  <c r="L264" i="16"/>
  <c r="Y264" i="16" l="1"/>
  <c r="W264" i="16"/>
  <c r="V282" i="17"/>
  <c r="M283" i="17"/>
  <c r="F283" i="17"/>
  <c r="X282" i="17"/>
  <c r="Y282" i="17"/>
  <c r="X264" i="16"/>
  <c r="F265" i="16"/>
  <c r="M265" i="16"/>
  <c r="V264" i="16"/>
  <c r="I283" i="17" l="1"/>
  <c r="K283" i="17" s="1"/>
  <c r="H283" i="17"/>
  <c r="G283" i="17"/>
  <c r="N283" i="17"/>
  <c r="P283" i="17"/>
  <c r="R283" i="17" s="1"/>
  <c r="O283" i="17"/>
  <c r="O265" i="16"/>
  <c r="N265" i="16"/>
  <c r="P265" i="16"/>
  <c r="R265" i="16" s="1"/>
  <c r="G265" i="16"/>
  <c r="I265" i="16"/>
  <c r="K265" i="16" s="1"/>
  <c r="H265" i="16"/>
  <c r="Q283" i="17" l="1"/>
  <c r="S283" i="17" s="1"/>
  <c r="J283" i="17"/>
  <c r="U283" i="17"/>
  <c r="U265" i="16"/>
  <c r="J265" i="16"/>
  <c r="Q265" i="16"/>
  <c r="S265" i="16" s="1"/>
  <c r="T283" i="17" l="1"/>
  <c r="L283" i="17"/>
  <c r="W283" i="17" s="1"/>
  <c r="T265" i="16"/>
  <c r="L265" i="16"/>
  <c r="Y265" i="16" l="1"/>
  <c r="W265" i="16"/>
  <c r="F284" i="17"/>
  <c r="Y283" i="17"/>
  <c r="M284" i="17"/>
  <c r="X283" i="17"/>
  <c r="V283" i="17"/>
  <c r="F266" i="16"/>
  <c r="M266" i="16"/>
  <c r="X265" i="16"/>
  <c r="V265" i="16"/>
  <c r="O284" i="17" l="1"/>
  <c r="N284" i="17"/>
  <c r="P284" i="17"/>
  <c r="R284" i="17" s="1"/>
  <c r="G284" i="17"/>
  <c r="I284" i="17"/>
  <c r="K284" i="17" s="1"/>
  <c r="H284" i="17"/>
  <c r="N266" i="16"/>
  <c r="P266" i="16"/>
  <c r="R266" i="16" s="1"/>
  <c r="O266" i="16"/>
  <c r="I266" i="16"/>
  <c r="K266" i="16" s="1"/>
  <c r="H266" i="16"/>
  <c r="G266" i="16"/>
  <c r="J284" i="17" l="1"/>
  <c r="L284" i="17" s="1"/>
  <c r="J266" i="16"/>
  <c r="L266" i="16" s="1"/>
  <c r="U284" i="17"/>
  <c r="Q284" i="17"/>
  <c r="U266" i="16"/>
  <c r="Q266" i="16"/>
  <c r="S266" i="16" s="1"/>
  <c r="W266" i="16" l="1"/>
  <c r="T284" i="17"/>
  <c r="Y266" i="16"/>
  <c r="S284" i="17"/>
  <c r="W284" i="17" s="1"/>
  <c r="T266" i="16"/>
  <c r="V266" i="16" s="1"/>
  <c r="M267" i="16"/>
  <c r="X266" i="16"/>
  <c r="F267" i="16"/>
  <c r="V284" i="17" l="1"/>
  <c r="M285" i="17"/>
  <c r="O285" i="17" s="1"/>
  <c r="F285" i="17"/>
  <c r="H285" i="17" s="1"/>
  <c r="Y284" i="17"/>
  <c r="X284" i="17"/>
  <c r="I267" i="16"/>
  <c r="K267" i="16" s="1"/>
  <c r="H267" i="16"/>
  <c r="G267" i="16"/>
  <c r="P267" i="16"/>
  <c r="R267" i="16" s="1"/>
  <c r="O267" i="16"/>
  <c r="N267" i="16"/>
  <c r="P285" i="17" l="1"/>
  <c r="R285" i="17" s="1"/>
  <c r="G285" i="17"/>
  <c r="I285" i="17"/>
  <c r="K285" i="17" s="1"/>
  <c r="N285" i="17"/>
  <c r="J285" i="17"/>
  <c r="U267" i="16"/>
  <c r="Q267" i="16"/>
  <c r="S267" i="16" s="1"/>
  <c r="J267" i="16"/>
  <c r="L267" i="16" s="1"/>
  <c r="L285" i="17" l="1"/>
  <c r="U285" i="17"/>
  <c r="Q285" i="17"/>
  <c r="S285" i="17" s="1"/>
  <c r="W285" i="17" s="1"/>
  <c r="W267" i="16"/>
  <c r="Y267" i="16"/>
  <c r="X267" i="16"/>
  <c r="F268" i="16"/>
  <c r="M268" i="16"/>
  <c r="T267" i="16"/>
  <c r="V267" i="16" s="1"/>
  <c r="Y285" i="17" l="1"/>
  <c r="M286" i="17"/>
  <c r="O286" i="17" s="1"/>
  <c r="F286" i="17"/>
  <c r="I286" i="17" s="1"/>
  <c r="K286" i="17" s="1"/>
  <c r="X285" i="17"/>
  <c r="T285" i="17"/>
  <c r="V285" i="17" s="1"/>
  <c r="P268" i="16"/>
  <c r="R268" i="16" s="1"/>
  <c r="O268" i="16"/>
  <c r="N268" i="16"/>
  <c r="H268" i="16"/>
  <c r="G268" i="16"/>
  <c r="I268" i="16"/>
  <c r="K268" i="16" s="1"/>
  <c r="H286" i="17" l="1"/>
  <c r="G286" i="17"/>
  <c r="P286" i="17"/>
  <c r="R286" i="17" s="1"/>
  <c r="U286" i="17" s="1"/>
  <c r="N286" i="17"/>
  <c r="U268" i="16"/>
  <c r="J268" i="16"/>
  <c r="Q268" i="16"/>
  <c r="S268" i="16" s="1"/>
  <c r="J286" i="17" l="1"/>
  <c r="L286" i="17" s="1"/>
  <c r="W286" i="17" s="1"/>
  <c r="Q286" i="17"/>
  <c r="S286" i="17" s="1"/>
  <c r="T268" i="16"/>
  <c r="L268" i="16"/>
  <c r="T286" i="17" l="1"/>
  <c r="M287" i="17"/>
  <c r="P287" i="17" s="1"/>
  <c r="R287" i="17" s="1"/>
  <c r="Y268" i="16"/>
  <c r="W268" i="16"/>
  <c r="V286" i="17"/>
  <c r="Y286" i="17"/>
  <c r="X286" i="17"/>
  <c r="F287" i="17"/>
  <c r="G287" i="17" s="1"/>
  <c r="X268" i="16"/>
  <c r="F269" i="16"/>
  <c r="M269" i="16"/>
  <c r="V268" i="16"/>
  <c r="O287" i="17" l="1"/>
  <c r="N287" i="17"/>
  <c r="H287" i="17"/>
  <c r="I287" i="17"/>
  <c r="K287" i="17" s="1"/>
  <c r="U287" i="17" s="1"/>
  <c r="O269" i="16"/>
  <c r="N269" i="16"/>
  <c r="P269" i="16"/>
  <c r="R269" i="16" s="1"/>
  <c r="G269" i="16"/>
  <c r="I269" i="16"/>
  <c r="K269" i="16" s="1"/>
  <c r="H269" i="16"/>
  <c r="Q287" i="17" l="1"/>
  <c r="S287" i="17" s="1"/>
  <c r="J287" i="17"/>
  <c r="U269" i="16"/>
  <c r="J269" i="16"/>
  <c r="Q269" i="16"/>
  <c r="S269" i="16" s="1"/>
  <c r="T287" i="17" l="1"/>
  <c r="L287" i="17"/>
  <c r="W287" i="17" s="1"/>
  <c r="T269" i="16"/>
  <c r="L269" i="16"/>
  <c r="F288" i="17" l="1"/>
  <c r="H288" i="17" s="1"/>
  <c r="X287" i="17"/>
  <c r="Y287" i="17"/>
  <c r="Y269" i="16"/>
  <c r="W269" i="16"/>
  <c r="V287" i="17"/>
  <c r="M288" i="17"/>
  <c r="G288" i="17"/>
  <c r="F270" i="16"/>
  <c r="M270" i="16"/>
  <c r="X269" i="16"/>
  <c r="V269" i="16"/>
  <c r="I288" i="17" l="1"/>
  <c r="K288" i="17" s="1"/>
  <c r="N288" i="17"/>
  <c r="O288" i="17"/>
  <c r="P288" i="17"/>
  <c r="R288" i="17" s="1"/>
  <c r="N270" i="16"/>
  <c r="P270" i="16"/>
  <c r="R270" i="16" s="1"/>
  <c r="O270" i="16"/>
  <c r="I270" i="16"/>
  <c r="K270" i="16" s="1"/>
  <c r="H270" i="16"/>
  <c r="G270" i="16"/>
  <c r="U288" i="17" l="1"/>
  <c r="J288" i="17"/>
  <c r="L288" i="17" s="1"/>
  <c r="Q288" i="17"/>
  <c r="J270" i="16"/>
  <c r="L270" i="16" s="1"/>
  <c r="Q270" i="16"/>
  <c r="U270" i="16"/>
  <c r="W288" i="17" l="1"/>
  <c r="T288" i="17"/>
  <c r="S288" i="17"/>
  <c r="T270" i="16"/>
  <c r="S270" i="16"/>
  <c r="X270" i="16" s="1"/>
  <c r="F271" i="16" l="1"/>
  <c r="I271" i="16" s="1"/>
  <c r="K271" i="16" s="1"/>
  <c r="V288" i="17"/>
  <c r="Y270" i="16"/>
  <c r="W270" i="16"/>
  <c r="X288" i="17"/>
  <c r="M289" i="17"/>
  <c r="Y288" i="17"/>
  <c r="F289" i="17"/>
  <c r="M271" i="16"/>
  <c r="P271" i="16" s="1"/>
  <c r="R271" i="16" s="1"/>
  <c r="V270" i="16"/>
  <c r="G271" i="16" l="1"/>
  <c r="H271" i="16"/>
  <c r="N289" i="17"/>
  <c r="O289" i="17"/>
  <c r="P289" i="17"/>
  <c r="R289" i="17" s="1"/>
  <c r="G289" i="17"/>
  <c r="H289" i="17"/>
  <c r="I289" i="17"/>
  <c r="K289" i="17" s="1"/>
  <c r="O271" i="16"/>
  <c r="N271" i="16"/>
  <c r="U271" i="16"/>
  <c r="J271" i="16" l="1"/>
  <c r="L271" i="16" s="1"/>
  <c r="Y271" i="16" s="1"/>
  <c r="Q271" i="16"/>
  <c r="S271" i="16" s="1"/>
  <c r="J289" i="17"/>
  <c r="U289" i="17"/>
  <c r="Q289" i="17"/>
  <c r="S289" i="17" s="1"/>
  <c r="W271" i="16" l="1"/>
  <c r="M272" i="16"/>
  <c r="P272" i="16" s="1"/>
  <c r="R272" i="16" s="1"/>
  <c r="T271" i="16"/>
  <c r="V271" i="16" s="1"/>
  <c r="F272" i="16"/>
  <c r="I272" i="16" s="1"/>
  <c r="K272" i="16" s="1"/>
  <c r="X271" i="16"/>
  <c r="T289" i="17"/>
  <c r="L289" i="17"/>
  <c r="W289" i="17" s="1"/>
  <c r="H272" i="16" l="1"/>
  <c r="J272" i="16" s="1"/>
  <c r="N272" i="16"/>
  <c r="O272" i="16"/>
  <c r="Q272" i="16" s="1"/>
  <c r="S272" i="16" s="1"/>
  <c r="G272" i="16"/>
  <c r="M290" i="17"/>
  <c r="X289" i="17"/>
  <c r="F290" i="17"/>
  <c r="Y289" i="17"/>
  <c r="V289" i="17"/>
  <c r="U272" i="16"/>
  <c r="I290" i="17" l="1"/>
  <c r="K290" i="17" s="1"/>
  <c r="H290" i="17"/>
  <c r="G290" i="17"/>
  <c r="O290" i="17"/>
  <c r="N290" i="17"/>
  <c r="P290" i="17"/>
  <c r="R290" i="17" s="1"/>
  <c r="T272" i="16"/>
  <c r="L272" i="16"/>
  <c r="J290" i="17" l="1"/>
  <c r="L290" i="17" s="1"/>
  <c r="Q290" i="17"/>
  <c r="Y272" i="16"/>
  <c r="W272" i="16"/>
  <c r="U290" i="17"/>
  <c r="X272" i="16"/>
  <c r="F273" i="16"/>
  <c r="M273" i="16"/>
  <c r="V272" i="16"/>
  <c r="T290" i="17" l="1"/>
  <c r="S290" i="17"/>
  <c r="Y290" i="17" s="1"/>
  <c r="O273" i="16"/>
  <c r="N273" i="16"/>
  <c r="P273" i="16"/>
  <c r="R273" i="16" s="1"/>
  <c r="G273" i="16"/>
  <c r="I273" i="16"/>
  <c r="K273" i="16" s="1"/>
  <c r="H273" i="16"/>
  <c r="X290" i="17" l="1"/>
  <c r="W290" i="17"/>
  <c r="M291" i="17"/>
  <c r="O291" i="17" s="1"/>
  <c r="V290" i="17"/>
  <c r="F291" i="17"/>
  <c r="H291" i="17" s="1"/>
  <c r="N291" i="17"/>
  <c r="U273" i="16"/>
  <c r="J273" i="16"/>
  <c r="Q273" i="16"/>
  <c r="S273" i="16" s="1"/>
  <c r="P291" i="17" l="1"/>
  <c r="R291" i="17" s="1"/>
  <c r="I291" i="17"/>
  <c r="K291" i="17" s="1"/>
  <c r="G291" i="17"/>
  <c r="T273" i="16"/>
  <c r="L273" i="16"/>
  <c r="Q291" i="17" l="1"/>
  <c r="S291" i="17" s="1"/>
  <c r="U291" i="17"/>
  <c r="J291" i="17"/>
  <c r="L291" i="17" s="1"/>
  <c r="W291" i="17" s="1"/>
  <c r="Y273" i="16"/>
  <c r="W273" i="16"/>
  <c r="F274" i="16"/>
  <c r="M274" i="16"/>
  <c r="X273" i="16"/>
  <c r="V273" i="16"/>
  <c r="T291" i="17" l="1"/>
  <c r="V291" i="17" s="1"/>
  <c r="X291" i="17"/>
  <c r="M292" i="17"/>
  <c r="Y291" i="17"/>
  <c r="F292" i="17"/>
  <c r="N274" i="16"/>
  <c r="P274" i="16"/>
  <c r="R274" i="16" s="1"/>
  <c r="O274" i="16"/>
  <c r="I274" i="16"/>
  <c r="K274" i="16" s="1"/>
  <c r="H274" i="16"/>
  <c r="G274" i="16"/>
  <c r="N292" i="17" l="1"/>
  <c r="P292" i="17"/>
  <c r="R292" i="17" s="1"/>
  <c r="O292" i="17"/>
  <c r="H292" i="17"/>
  <c r="I292" i="17"/>
  <c r="K292" i="17" s="1"/>
  <c r="G292" i="17"/>
  <c r="J292" i="17" s="1"/>
  <c r="L292" i="17" s="1"/>
  <c r="Q274" i="16"/>
  <c r="S274" i="16" s="1"/>
  <c r="U274" i="16"/>
  <c r="J274" i="16"/>
  <c r="W292" i="17" l="1"/>
  <c r="U292" i="17"/>
  <c r="Q292" i="17"/>
  <c r="S292" i="17" s="1"/>
  <c r="Y292" i="17" s="1"/>
  <c r="T274" i="16"/>
  <c r="L274" i="16"/>
  <c r="Y274" i="16" l="1"/>
  <c r="W274" i="16"/>
  <c r="F293" i="17"/>
  <c r="X292" i="17"/>
  <c r="M293" i="17"/>
  <c r="T292" i="17"/>
  <c r="V292" i="17" s="1"/>
  <c r="M275" i="16"/>
  <c r="X274" i="16"/>
  <c r="F275" i="16"/>
  <c r="V274" i="16"/>
  <c r="O293" i="17" l="1"/>
  <c r="P293" i="17"/>
  <c r="R293" i="17" s="1"/>
  <c r="N293" i="17"/>
  <c r="I293" i="17"/>
  <c r="K293" i="17" s="1"/>
  <c r="G293" i="17"/>
  <c r="H293" i="17"/>
  <c r="I275" i="16"/>
  <c r="K275" i="16" s="1"/>
  <c r="H275" i="16"/>
  <c r="G275" i="16"/>
  <c r="P275" i="16"/>
  <c r="R275" i="16" s="1"/>
  <c r="O275" i="16"/>
  <c r="N275" i="16"/>
  <c r="Q293" i="17" l="1"/>
  <c r="S293" i="17" s="1"/>
  <c r="U293" i="17"/>
  <c r="J293" i="17"/>
  <c r="J275" i="16"/>
  <c r="L275" i="16" s="1"/>
  <c r="U275" i="16"/>
  <c r="Q275" i="16"/>
  <c r="S275" i="16" s="1"/>
  <c r="T293" i="17" l="1"/>
  <c r="W275" i="16"/>
  <c r="L293" i="17"/>
  <c r="W293" i="17" s="1"/>
  <c r="Y275" i="16"/>
  <c r="T275" i="16"/>
  <c r="V275" i="16" s="1"/>
  <c r="M276" i="16"/>
  <c r="F276" i="16"/>
  <c r="X275" i="16"/>
  <c r="V293" i="17" l="1"/>
  <c r="X293" i="17"/>
  <c r="M294" i="17"/>
  <c r="Y293" i="17"/>
  <c r="F294" i="17"/>
  <c r="H276" i="16"/>
  <c r="G276" i="16"/>
  <c r="I276" i="16"/>
  <c r="K276" i="16" s="1"/>
  <c r="P276" i="16"/>
  <c r="R276" i="16" s="1"/>
  <c r="O276" i="16"/>
  <c r="N276" i="16"/>
  <c r="P294" i="17" l="1"/>
  <c r="R294" i="17" s="1"/>
  <c r="N294" i="17"/>
  <c r="O294" i="17"/>
  <c r="I294" i="17"/>
  <c r="K294" i="17" s="1"/>
  <c r="H294" i="17"/>
  <c r="G294" i="17"/>
  <c r="Q276" i="16"/>
  <c r="S276" i="16" s="1"/>
  <c r="U276" i="16"/>
  <c r="J276" i="16"/>
  <c r="J294" i="17" l="1"/>
  <c r="L294" i="17" s="1"/>
  <c r="Q294" i="17"/>
  <c r="U294" i="17"/>
  <c r="T276" i="16"/>
  <c r="L276" i="16"/>
  <c r="T294" i="17" l="1"/>
  <c r="S294" i="17"/>
  <c r="Y276" i="16"/>
  <c r="W276" i="16"/>
  <c r="Y294" i="17"/>
  <c r="M295" i="17"/>
  <c r="X294" i="17"/>
  <c r="X276" i="16"/>
  <c r="F277" i="16"/>
  <c r="M277" i="16"/>
  <c r="V276" i="16"/>
  <c r="V294" i="17" l="1"/>
  <c r="W294" i="17"/>
  <c r="F295" i="17"/>
  <c r="H295" i="17" s="1"/>
  <c r="O295" i="17"/>
  <c r="P295" i="17"/>
  <c r="R295" i="17" s="1"/>
  <c r="N295" i="17"/>
  <c r="O277" i="16"/>
  <c r="N277" i="16"/>
  <c r="P277" i="16"/>
  <c r="R277" i="16" s="1"/>
  <c r="G277" i="16"/>
  <c r="I277" i="16"/>
  <c r="K277" i="16" s="1"/>
  <c r="H277" i="16"/>
  <c r="I295" i="17" l="1"/>
  <c r="K295" i="17" s="1"/>
  <c r="U295" i="17" s="1"/>
  <c r="G295" i="17"/>
  <c r="J295" i="17" s="1"/>
  <c r="Q295" i="17"/>
  <c r="S295" i="17" s="1"/>
  <c r="U277" i="16"/>
  <c r="J277" i="16"/>
  <c r="L277" i="16" s="1"/>
  <c r="Q277" i="16"/>
  <c r="S277" i="16" s="1"/>
  <c r="T295" i="17" l="1"/>
  <c r="W277" i="16"/>
  <c r="L295" i="17"/>
  <c r="W295" i="17" s="1"/>
  <c r="Y277" i="16"/>
  <c r="F278" i="16"/>
  <c r="M278" i="16"/>
  <c r="X277" i="16"/>
  <c r="T277" i="16"/>
  <c r="V277" i="16" s="1"/>
  <c r="F296" i="17" l="1"/>
  <c r="H296" i="17" s="1"/>
  <c r="V295" i="17"/>
  <c r="X295" i="17"/>
  <c r="M296" i="17"/>
  <c r="P296" i="17" s="1"/>
  <c r="R296" i="17" s="1"/>
  <c r="Y295" i="17"/>
  <c r="N278" i="16"/>
  <c r="P278" i="16"/>
  <c r="R278" i="16" s="1"/>
  <c r="O278" i="16"/>
  <c r="I278" i="16"/>
  <c r="K278" i="16" s="1"/>
  <c r="H278" i="16"/>
  <c r="G278" i="16"/>
  <c r="N296" i="17" l="1"/>
  <c r="O296" i="17"/>
  <c r="I296" i="17"/>
  <c r="K296" i="17" s="1"/>
  <c r="U296" i="17" s="1"/>
  <c r="G296" i="17"/>
  <c r="J278" i="16"/>
  <c r="L278" i="16" s="1"/>
  <c r="Q278" i="16"/>
  <c r="U278" i="16"/>
  <c r="Q296" i="17" l="1"/>
  <c r="S296" i="17" s="1"/>
  <c r="J296" i="17"/>
  <c r="L296" i="17" s="1"/>
  <c r="T278" i="16"/>
  <c r="S278" i="16"/>
  <c r="W278" i="16" s="1"/>
  <c r="T296" i="17" l="1"/>
  <c r="W296" i="17"/>
  <c r="F297" i="17"/>
  <c r="H297" i="17" s="1"/>
  <c r="M297" i="17"/>
  <c r="P297" i="17" s="1"/>
  <c r="R297" i="17" s="1"/>
  <c r="Y296" i="17"/>
  <c r="X296" i="17"/>
  <c r="V296" i="17"/>
  <c r="O297" i="17"/>
  <c r="I297" i="17"/>
  <c r="K297" i="17" s="1"/>
  <c r="V278" i="16"/>
  <c r="F279" i="16"/>
  <c r="H279" i="16" s="1"/>
  <c r="M279" i="16"/>
  <c r="N279" i="16" s="1"/>
  <c r="Y278" i="16"/>
  <c r="X278" i="16"/>
  <c r="N297" i="17" l="1"/>
  <c r="G297" i="17"/>
  <c r="J297" i="17" s="1"/>
  <c r="U297" i="17"/>
  <c r="Q297" i="17"/>
  <c r="S297" i="17" s="1"/>
  <c r="G279" i="16"/>
  <c r="O279" i="16"/>
  <c r="P279" i="16"/>
  <c r="R279" i="16" s="1"/>
  <c r="I279" i="16"/>
  <c r="K279" i="16" s="1"/>
  <c r="T297" i="17" l="1"/>
  <c r="L297" i="17"/>
  <c r="U279" i="16"/>
  <c r="Q279" i="16"/>
  <c r="S279" i="16" s="1"/>
  <c r="J279" i="16"/>
  <c r="L279" i="16" s="1"/>
  <c r="X297" i="17" l="1"/>
  <c r="W297" i="17"/>
  <c r="V297" i="17"/>
  <c r="F298" i="17"/>
  <c r="H298" i="17" s="1"/>
  <c r="Y297" i="17"/>
  <c r="M298" i="17"/>
  <c r="Y279" i="16"/>
  <c r="W279" i="16"/>
  <c r="M280" i="16"/>
  <c r="P280" i="16" s="1"/>
  <c r="R280" i="16" s="1"/>
  <c r="X279" i="16"/>
  <c r="T279" i="16"/>
  <c r="V279" i="16" s="1"/>
  <c r="F280" i="16"/>
  <c r="I280" i="16" s="1"/>
  <c r="K280" i="16" s="1"/>
  <c r="G298" i="17" l="1"/>
  <c r="I298" i="17"/>
  <c r="K298" i="17" s="1"/>
  <c r="N298" i="17"/>
  <c r="P298" i="17"/>
  <c r="R298" i="17" s="1"/>
  <c r="O298" i="17"/>
  <c r="U280" i="16"/>
  <c r="O280" i="16"/>
  <c r="N280" i="16"/>
  <c r="G280" i="16"/>
  <c r="H280" i="16"/>
  <c r="J298" i="17" l="1"/>
  <c r="L298" i="17" s="1"/>
  <c r="W298" i="17" s="1"/>
  <c r="U298" i="17"/>
  <c r="Q280" i="16"/>
  <c r="S280" i="16" s="1"/>
  <c r="Q298" i="17"/>
  <c r="S298" i="17" s="1"/>
  <c r="J280" i="16"/>
  <c r="T280" i="16" l="1"/>
  <c r="T298" i="17"/>
  <c r="V298" i="17" s="1"/>
  <c r="L280" i="16"/>
  <c r="Y280" i="16" s="1"/>
  <c r="M299" i="17"/>
  <c r="Y298" i="17"/>
  <c r="F299" i="17"/>
  <c r="X298" i="17"/>
  <c r="M281" i="16"/>
  <c r="F281" i="16" l="1"/>
  <c r="G281" i="16" s="1"/>
  <c r="V280" i="16"/>
  <c r="W280" i="16"/>
  <c r="X280" i="16"/>
  <c r="N299" i="17"/>
  <c r="P299" i="17"/>
  <c r="R299" i="17" s="1"/>
  <c r="O299" i="17"/>
  <c r="Q299" i="17" s="1"/>
  <c r="I299" i="17"/>
  <c r="K299" i="17" s="1"/>
  <c r="H299" i="17"/>
  <c r="G299" i="17"/>
  <c r="O281" i="16"/>
  <c r="N281" i="16"/>
  <c r="P281" i="16"/>
  <c r="R281" i="16" s="1"/>
  <c r="I281" i="16" l="1"/>
  <c r="K281" i="16" s="1"/>
  <c r="U281" i="16" s="1"/>
  <c r="H281" i="16"/>
  <c r="J299" i="17"/>
  <c r="L299" i="17" s="1"/>
  <c r="W299" i="17" s="1"/>
  <c r="U299" i="17"/>
  <c r="S299" i="17"/>
  <c r="J281" i="16"/>
  <c r="Q281" i="16"/>
  <c r="S281" i="16" s="1"/>
  <c r="T299" i="17" l="1"/>
  <c r="V299" i="17"/>
  <c r="M300" i="17"/>
  <c r="Y299" i="17"/>
  <c r="F300" i="17"/>
  <c r="X299" i="17"/>
  <c r="T281" i="16"/>
  <c r="L281" i="16"/>
  <c r="Y281" i="16" l="1"/>
  <c r="W281" i="16"/>
  <c r="H300" i="17"/>
  <c r="G300" i="17"/>
  <c r="I300" i="17"/>
  <c r="K300" i="17" s="1"/>
  <c r="O300" i="17"/>
  <c r="N300" i="17"/>
  <c r="P300" i="17"/>
  <c r="R300" i="17" s="1"/>
  <c r="F282" i="16"/>
  <c r="M282" i="16"/>
  <c r="X281" i="16"/>
  <c r="V281" i="16"/>
  <c r="J300" i="17" l="1"/>
  <c r="L300" i="17" s="1"/>
  <c r="W300" i="17" s="1"/>
  <c r="U300" i="17"/>
  <c r="Q300" i="17"/>
  <c r="S300" i="17" s="1"/>
  <c r="N282" i="16"/>
  <c r="P282" i="16"/>
  <c r="R282" i="16" s="1"/>
  <c r="O282" i="16"/>
  <c r="I282" i="16"/>
  <c r="K282" i="16" s="1"/>
  <c r="H282" i="16"/>
  <c r="G282" i="16"/>
  <c r="X300" i="17" l="1"/>
  <c r="Y300" i="17"/>
  <c r="F301" i="17"/>
  <c r="I301" i="17" s="1"/>
  <c r="K301" i="17" s="1"/>
  <c r="T300" i="17"/>
  <c r="V300" i="17" s="1"/>
  <c r="M301" i="17"/>
  <c r="J282" i="16"/>
  <c r="L282" i="16" s="1"/>
  <c r="Q282" i="16"/>
  <c r="S282" i="16" s="1"/>
  <c r="U282" i="16"/>
  <c r="W282" i="16" l="1"/>
  <c r="N301" i="17"/>
  <c r="P301" i="17"/>
  <c r="R301" i="17" s="1"/>
  <c r="U301" i="17" s="1"/>
  <c r="O301" i="17"/>
  <c r="H301" i="17"/>
  <c r="J301" i="17" s="1"/>
  <c r="L301" i="17" s="1"/>
  <c r="G301" i="17"/>
  <c r="Y282" i="16"/>
  <c r="T282" i="16"/>
  <c r="V282" i="16" s="1"/>
  <c r="M283" i="16"/>
  <c r="X282" i="16"/>
  <c r="F283" i="16"/>
  <c r="Q301" i="17" l="1"/>
  <c r="T301" i="17" s="1"/>
  <c r="P283" i="16"/>
  <c r="R283" i="16" s="1"/>
  <c r="O283" i="16"/>
  <c r="N283" i="16"/>
  <c r="I283" i="16"/>
  <c r="K283" i="16" s="1"/>
  <c r="H283" i="16"/>
  <c r="G283" i="16"/>
  <c r="S301" i="17" l="1"/>
  <c r="W301" i="17" s="1"/>
  <c r="J283" i="16"/>
  <c r="L283" i="16" s="1"/>
  <c r="Q283" i="16"/>
  <c r="S283" i="16" s="1"/>
  <c r="U283" i="16"/>
  <c r="M302" i="17" l="1"/>
  <c r="O302" i="17" s="1"/>
  <c r="F302" i="17"/>
  <c r="G302" i="17" s="1"/>
  <c r="X301" i="17"/>
  <c r="W283" i="16"/>
  <c r="Y301" i="17"/>
  <c r="V301" i="17"/>
  <c r="Y283" i="16"/>
  <c r="T283" i="16"/>
  <c r="V283" i="16" s="1"/>
  <c r="X283" i="16"/>
  <c r="F284" i="16"/>
  <c r="M284" i="16"/>
  <c r="H302" i="17" l="1"/>
  <c r="N302" i="17"/>
  <c r="P302" i="17"/>
  <c r="R302" i="17" s="1"/>
  <c r="I302" i="17"/>
  <c r="K302" i="17" s="1"/>
  <c r="P284" i="16"/>
  <c r="R284" i="16" s="1"/>
  <c r="O284" i="16"/>
  <c r="N284" i="16"/>
  <c r="H284" i="16"/>
  <c r="G284" i="16"/>
  <c r="I284" i="16"/>
  <c r="K284" i="16" s="1"/>
  <c r="J302" i="17" l="1"/>
  <c r="L302" i="17" s="1"/>
  <c r="W302" i="17" s="1"/>
  <c r="Q302" i="17"/>
  <c r="S302" i="17" s="1"/>
  <c r="U302" i="17"/>
  <c r="U284" i="16"/>
  <c r="J284" i="16"/>
  <c r="L284" i="16" s="1"/>
  <c r="W284" i="16" s="1"/>
  <c r="Q284" i="16"/>
  <c r="S284" i="16" s="1"/>
  <c r="T302" i="17" l="1"/>
  <c r="X302" i="17"/>
  <c r="Y302" i="17"/>
  <c r="F303" i="17"/>
  <c r="V302" i="17"/>
  <c r="M303" i="17"/>
  <c r="Y284" i="16"/>
  <c r="X284" i="16"/>
  <c r="F285" i="16"/>
  <c r="M285" i="16"/>
  <c r="T284" i="16"/>
  <c r="V284" i="16" s="1"/>
  <c r="I303" i="17" l="1"/>
  <c r="K303" i="17" s="1"/>
  <c r="G303" i="17"/>
  <c r="H303" i="17"/>
  <c r="N303" i="17"/>
  <c r="P303" i="17"/>
  <c r="R303" i="17" s="1"/>
  <c r="O303" i="17"/>
  <c r="O285" i="16"/>
  <c r="N285" i="16"/>
  <c r="P285" i="16"/>
  <c r="R285" i="16" s="1"/>
  <c r="G285" i="16"/>
  <c r="I285" i="16"/>
  <c r="K285" i="16" s="1"/>
  <c r="H285" i="16"/>
  <c r="Q303" i="17" l="1"/>
  <c r="S303" i="17" s="1"/>
  <c r="J303" i="17"/>
  <c r="L303" i="17" s="1"/>
  <c r="W303" i="17" s="1"/>
  <c r="U303" i="17"/>
  <c r="U285" i="16"/>
  <c r="J285" i="16"/>
  <c r="Q285" i="16"/>
  <c r="S285" i="16" s="1"/>
  <c r="T303" i="17" l="1"/>
  <c r="V303" i="17" s="1"/>
  <c r="M304" i="17"/>
  <c r="Y303" i="17"/>
  <c r="F304" i="17"/>
  <c r="X303" i="17"/>
  <c r="T285" i="16"/>
  <c r="L285" i="16"/>
  <c r="Y285" i="16" l="1"/>
  <c r="W285" i="16"/>
  <c r="H304" i="17"/>
  <c r="I304" i="17"/>
  <c r="K304" i="17" s="1"/>
  <c r="G304" i="17"/>
  <c r="J304" i="17" s="1"/>
  <c r="P304" i="17"/>
  <c r="R304" i="17" s="1"/>
  <c r="O304" i="17"/>
  <c r="N304" i="17"/>
  <c r="F286" i="16"/>
  <c r="M286" i="16"/>
  <c r="X285" i="16"/>
  <c r="V285" i="16"/>
  <c r="Q304" i="17" l="1"/>
  <c r="S304" i="17" s="1"/>
  <c r="U304" i="17"/>
  <c r="L304" i="17"/>
  <c r="W304" i="17" s="1"/>
  <c r="N286" i="16"/>
  <c r="P286" i="16"/>
  <c r="R286" i="16" s="1"/>
  <c r="O286" i="16"/>
  <c r="I286" i="16"/>
  <c r="K286" i="16" s="1"/>
  <c r="H286" i="16"/>
  <c r="G286" i="16"/>
  <c r="T304" i="17" l="1"/>
  <c r="V304" i="17" s="1"/>
  <c r="F305" i="17"/>
  <c r="X304" i="17"/>
  <c r="Y304" i="17"/>
  <c r="M305" i="17"/>
  <c r="J286" i="16"/>
  <c r="L286" i="16" s="1"/>
  <c r="Q286" i="16"/>
  <c r="U286" i="16"/>
  <c r="N305" i="17" l="1"/>
  <c r="O305" i="17"/>
  <c r="P305" i="17"/>
  <c r="R305" i="17" s="1"/>
  <c r="G305" i="17"/>
  <c r="H305" i="17"/>
  <c r="I305" i="17"/>
  <c r="K305" i="17" s="1"/>
  <c r="T286" i="16"/>
  <c r="S286" i="16"/>
  <c r="V286" i="16" l="1"/>
  <c r="U305" i="17"/>
  <c r="W286" i="16"/>
  <c r="J305" i="17"/>
  <c r="L305" i="17" s="1"/>
  <c r="Q305" i="17"/>
  <c r="S305" i="17" s="1"/>
  <c r="Y286" i="16"/>
  <c r="F287" i="16"/>
  <c r="H287" i="16" s="1"/>
  <c r="X286" i="16"/>
  <c r="M287" i="16"/>
  <c r="O287" i="16" s="1"/>
  <c r="W305" i="17" l="1"/>
  <c r="M306" i="17"/>
  <c r="X305" i="17"/>
  <c r="Y305" i="17"/>
  <c r="F306" i="17"/>
  <c r="T305" i="17"/>
  <c r="V305" i="17" s="1"/>
  <c r="G287" i="16"/>
  <c r="I287" i="16"/>
  <c r="K287" i="16" s="1"/>
  <c r="P287" i="16"/>
  <c r="R287" i="16" s="1"/>
  <c r="N287" i="16"/>
  <c r="G306" i="17" l="1"/>
  <c r="I306" i="17"/>
  <c r="K306" i="17" s="1"/>
  <c r="H306" i="17"/>
  <c r="N306" i="17"/>
  <c r="O306" i="17"/>
  <c r="P306" i="17"/>
  <c r="R306" i="17" s="1"/>
  <c r="Q287" i="16"/>
  <c r="S287" i="16" s="1"/>
  <c r="U287" i="16"/>
  <c r="J287" i="16"/>
  <c r="L287" i="16" s="1"/>
  <c r="W287" i="16" s="1"/>
  <c r="Q306" i="17" l="1"/>
  <c r="S306" i="17" s="1"/>
  <c r="U306" i="17"/>
  <c r="J306" i="17"/>
  <c r="Y287" i="16"/>
  <c r="M288" i="16"/>
  <c r="P288" i="16" s="1"/>
  <c r="R288" i="16" s="1"/>
  <c r="F288" i="16"/>
  <c r="I288" i="16" s="1"/>
  <c r="K288" i="16" s="1"/>
  <c r="T287" i="16"/>
  <c r="V287" i="16" s="1"/>
  <c r="X287" i="16"/>
  <c r="N288" i="16" l="1"/>
  <c r="O288" i="16"/>
  <c r="G288" i="16"/>
  <c r="H288" i="16"/>
  <c r="L306" i="17"/>
  <c r="W306" i="17" s="1"/>
  <c r="T306" i="17"/>
  <c r="U288" i="16"/>
  <c r="Q288" i="16" l="1"/>
  <c r="S288" i="16" s="1"/>
  <c r="J288" i="16"/>
  <c r="L288" i="16" s="1"/>
  <c r="M289" i="16" s="1"/>
  <c r="X306" i="17"/>
  <c r="M307" i="17"/>
  <c r="F307" i="17"/>
  <c r="Y306" i="17"/>
  <c r="V306" i="17"/>
  <c r="F289" i="16" l="1"/>
  <c r="H289" i="16" s="1"/>
  <c r="X288" i="16"/>
  <c r="Y288" i="16"/>
  <c r="T288" i="16"/>
  <c r="V288" i="16" s="1"/>
  <c r="W288" i="16"/>
  <c r="H307" i="17"/>
  <c r="I307" i="17"/>
  <c r="K307" i="17" s="1"/>
  <c r="G307" i="17"/>
  <c r="P307" i="17"/>
  <c r="R307" i="17" s="1"/>
  <c r="O307" i="17"/>
  <c r="N307" i="17"/>
  <c r="I289" i="16"/>
  <c r="K289" i="16" s="1"/>
  <c r="O289" i="16"/>
  <c r="N289" i="16"/>
  <c r="P289" i="16"/>
  <c r="R289" i="16" s="1"/>
  <c r="G289" i="16" l="1"/>
  <c r="Q307" i="17"/>
  <c r="S307" i="17" s="1"/>
  <c r="U307" i="17"/>
  <c r="J307" i="17"/>
  <c r="J289" i="16"/>
  <c r="L289" i="16" s="1"/>
  <c r="W289" i="16" s="1"/>
  <c r="U289" i="16"/>
  <c r="Q289" i="16"/>
  <c r="S289" i="16" s="1"/>
  <c r="T307" i="17" l="1"/>
  <c r="L307" i="17"/>
  <c r="W307" i="17" s="1"/>
  <c r="Y289" i="16"/>
  <c r="T289" i="16"/>
  <c r="V289" i="16" s="1"/>
  <c r="F290" i="16"/>
  <c r="M290" i="16"/>
  <c r="X289" i="16"/>
  <c r="X307" i="17" l="1"/>
  <c r="M308" i="17"/>
  <c r="Y307" i="17"/>
  <c r="V307" i="17"/>
  <c r="F308" i="17"/>
  <c r="I290" i="16"/>
  <c r="K290" i="16" s="1"/>
  <c r="H290" i="16"/>
  <c r="G290" i="16"/>
  <c r="N290" i="16"/>
  <c r="P290" i="16"/>
  <c r="R290" i="16" s="1"/>
  <c r="O290" i="16"/>
  <c r="P308" i="17" l="1"/>
  <c r="R308" i="17" s="1"/>
  <c r="N308" i="17"/>
  <c r="O308" i="17"/>
  <c r="G308" i="17"/>
  <c r="I308" i="17"/>
  <c r="K308" i="17" s="1"/>
  <c r="H308" i="17"/>
  <c r="Q290" i="16"/>
  <c r="S290" i="16" s="1"/>
  <c r="U290" i="16"/>
  <c r="J290" i="16"/>
  <c r="U308" i="17" l="1"/>
  <c r="J308" i="17"/>
  <c r="L308" i="17" s="1"/>
  <c r="W308" i="17" s="1"/>
  <c r="Q308" i="17"/>
  <c r="S308" i="17" s="1"/>
  <c r="T290" i="16"/>
  <c r="L290" i="16"/>
  <c r="Y290" i="16" l="1"/>
  <c r="W290" i="16"/>
  <c r="T308" i="17"/>
  <c r="V308" i="17" s="1"/>
  <c r="X308" i="17"/>
  <c r="F309" i="17"/>
  <c r="Y308" i="17"/>
  <c r="M309" i="17"/>
  <c r="M291" i="16"/>
  <c r="X290" i="16"/>
  <c r="F291" i="16"/>
  <c r="V290" i="16"/>
  <c r="H309" i="17" l="1"/>
  <c r="I309" i="17"/>
  <c r="K309" i="17" s="1"/>
  <c r="G309" i="17"/>
  <c r="N309" i="17"/>
  <c r="O309" i="17"/>
  <c r="P309" i="17"/>
  <c r="R309" i="17" s="1"/>
  <c r="I291" i="16"/>
  <c r="K291" i="16" s="1"/>
  <c r="H291" i="16"/>
  <c r="G291" i="16"/>
  <c r="P291" i="16"/>
  <c r="R291" i="16" s="1"/>
  <c r="O291" i="16"/>
  <c r="N291" i="16"/>
  <c r="J309" i="17" l="1"/>
  <c r="L309" i="17" s="1"/>
  <c r="W309" i="17" s="1"/>
  <c r="U309" i="17"/>
  <c r="Q309" i="17"/>
  <c r="S309" i="17" s="1"/>
  <c r="U291" i="16"/>
  <c r="Q291" i="16"/>
  <c r="S291" i="16" s="1"/>
  <c r="J291" i="16"/>
  <c r="L291" i="16" s="1"/>
  <c r="W291" i="16" l="1"/>
  <c r="F310" i="17"/>
  <c r="H310" i="17" s="1"/>
  <c r="M310" i="17"/>
  <c r="O310" i="17" s="1"/>
  <c r="Y309" i="17"/>
  <c r="X309" i="17"/>
  <c r="T309" i="17"/>
  <c r="V309" i="17" s="1"/>
  <c r="Y291" i="16"/>
  <c r="X291" i="16"/>
  <c r="F292" i="16"/>
  <c r="M292" i="16"/>
  <c r="T291" i="16"/>
  <c r="V291" i="16" s="1"/>
  <c r="P310" i="17" l="1"/>
  <c r="R310" i="17" s="1"/>
  <c r="G310" i="17"/>
  <c r="I310" i="17"/>
  <c r="K310" i="17" s="1"/>
  <c r="U310" i="17" s="1"/>
  <c r="N310" i="17"/>
  <c r="P292" i="16"/>
  <c r="R292" i="16" s="1"/>
  <c r="O292" i="16"/>
  <c r="N292" i="16"/>
  <c r="H292" i="16"/>
  <c r="G292" i="16"/>
  <c r="I292" i="16"/>
  <c r="K292" i="16" s="1"/>
  <c r="Q310" i="17" l="1"/>
  <c r="S310" i="17" s="1"/>
  <c r="J310" i="17"/>
  <c r="U292" i="16"/>
  <c r="J292" i="16"/>
  <c r="L292" i="16" s="1"/>
  <c r="Q292" i="16"/>
  <c r="S292" i="16" s="1"/>
  <c r="W292" i="16" l="1"/>
  <c r="T310" i="17"/>
  <c r="L310" i="17"/>
  <c r="Y292" i="16"/>
  <c r="T292" i="16"/>
  <c r="V292" i="16" s="1"/>
  <c r="X292" i="16"/>
  <c r="F293" i="16"/>
  <c r="M293" i="16"/>
  <c r="Y310" i="17" l="1"/>
  <c r="W310" i="17"/>
  <c r="F311" i="17"/>
  <c r="G311" i="17" s="1"/>
  <c r="X310" i="17"/>
  <c r="M311" i="17"/>
  <c r="O311" i="17" s="1"/>
  <c r="V310" i="17"/>
  <c r="G293" i="16"/>
  <c r="I293" i="16"/>
  <c r="K293" i="16" s="1"/>
  <c r="H293" i="16"/>
  <c r="O293" i="16"/>
  <c r="N293" i="16"/>
  <c r="P293" i="16"/>
  <c r="R293" i="16" s="1"/>
  <c r="I311" i="17" l="1"/>
  <c r="K311" i="17" s="1"/>
  <c r="H311" i="17"/>
  <c r="N311" i="17"/>
  <c r="P311" i="17"/>
  <c r="R311" i="17" s="1"/>
  <c r="J293" i="16"/>
  <c r="L293" i="16" s="1"/>
  <c r="U293" i="16"/>
  <c r="Q293" i="16"/>
  <c r="S293" i="16" s="1"/>
  <c r="U311" i="17" l="1"/>
  <c r="J311" i="17"/>
  <c r="L311" i="17" s="1"/>
  <c r="W293" i="16"/>
  <c r="Q311" i="17"/>
  <c r="S311" i="17" s="1"/>
  <c r="M312" i="17" s="1"/>
  <c r="Y293" i="16"/>
  <c r="T293" i="16"/>
  <c r="V293" i="16" s="1"/>
  <c r="F294" i="16"/>
  <c r="M294" i="16"/>
  <c r="X293" i="16"/>
  <c r="W311" i="17" l="1"/>
  <c r="F312" i="17"/>
  <c r="I312" i="17" s="1"/>
  <c r="K312" i="17" s="1"/>
  <c r="Y311" i="17"/>
  <c r="N312" i="17"/>
  <c r="P312" i="17"/>
  <c r="R312" i="17" s="1"/>
  <c r="O312" i="17"/>
  <c r="X311" i="17"/>
  <c r="T311" i="17"/>
  <c r="V311" i="17" s="1"/>
  <c r="I294" i="16"/>
  <c r="K294" i="16" s="1"/>
  <c r="H294" i="16"/>
  <c r="G294" i="16"/>
  <c r="N294" i="16"/>
  <c r="P294" i="16"/>
  <c r="R294" i="16" s="1"/>
  <c r="O294" i="16"/>
  <c r="H312" i="17" l="1"/>
  <c r="G312" i="17"/>
  <c r="U312" i="17"/>
  <c r="Q312" i="17"/>
  <c r="S312" i="17" s="1"/>
  <c r="Q294" i="16"/>
  <c r="S294" i="16" s="1"/>
  <c r="U294" i="16"/>
  <c r="J294" i="16"/>
  <c r="J312" i="17" l="1"/>
  <c r="L312" i="17" s="1"/>
  <c r="W312" i="17" s="1"/>
  <c r="T294" i="16"/>
  <c r="L294" i="16"/>
  <c r="F313" i="17" l="1"/>
  <c r="G313" i="17" s="1"/>
  <c r="M313" i="17"/>
  <c r="N313" i="17" s="1"/>
  <c r="X312" i="17"/>
  <c r="Y312" i="17"/>
  <c r="T312" i="17"/>
  <c r="V312" i="17" s="1"/>
  <c r="H313" i="17"/>
  <c r="Y294" i="16"/>
  <c r="W294" i="16"/>
  <c r="M295" i="16"/>
  <c r="X294" i="16"/>
  <c r="F295" i="16"/>
  <c r="V294" i="16"/>
  <c r="I313" i="17" l="1"/>
  <c r="K313" i="17" s="1"/>
  <c r="J313" i="17"/>
  <c r="P313" i="17"/>
  <c r="R313" i="17" s="1"/>
  <c r="U313" i="17" s="1"/>
  <c r="O313" i="17"/>
  <c r="Q313" i="17" s="1"/>
  <c r="T313" i="17" s="1"/>
  <c r="I295" i="16"/>
  <c r="K295" i="16" s="1"/>
  <c r="H295" i="16"/>
  <c r="G295" i="16"/>
  <c r="P295" i="16"/>
  <c r="R295" i="16" s="1"/>
  <c r="O295" i="16"/>
  <c r="N295" i="16"/>
  <c r="L313" i="17" l="1"/>
  <c r="W313" i="17" s="1"/>
  <c r="S313" i="17"/>
  <c r="Y313" i="17" s="1"/>
  <c r="V313" i="17"/>
  <c r="U295" i="16"/>
  <c r="Q295" i="16"/>
  <c r="S295" i="16" s="1"/>
  <c r="J295" i="16"/>
  <c r="L295" i="16" s="1"/>
  <c r="X313" i="17" l="1"/>
  <c r="F314" i="17"/>
  <c r="H314" i="17" s="1"/>
  <c r="M314" i="17"/>
  <c r="O314" i="17" s="1"/>
  <c r="W295" i="16"/>
  <c r="Y295" i="16"/>
  <c r="X295" i="16"/>
  <c r="F296" i="16"/>
  <c r="M296" i="16"/>
  <c r="T295" i="16"/>
  <c r="V295" i="16" s="1"/>
  <c r="P314" i="17" l="1"/>
  <c r="R314" i="17" s="1"/>
  <c r="G314" i="17"/>
  <c r="J314" i="17" s="1"/>
  <c r="L314" i="17" s="1"/>
  <c r="W314" i="17" s="1"/>
  <c r="N314" i="17"/>
  <c r="I314" i="17"/>
  <c r="K314" i="17" s="1"/>
  <c r="U314" i="17" s="1"/>
  <c r="Q314" i="17"/>
  <c r="S314" i="17" s="1"/>
  <c r="H296" i="16"/>
  <c r="G296" i="16"/>
  <c r="I296" i="16"/>
  <c r="K296" i="16" s="1"/>
  <c r="P296" i="16"/>
  <c r="R296" i="16" s="1"/>
  <c r="O296" i="16"/>
  <c r="N296" i="16"/>
  <c r="T314" i="17" l="1"/>
  <c r="V314" i="17" s="1"/>
  <c r="F315" i="17"/>
  <c r="G315" i="17" s="1"/>
  <c r="X314" i="17"/>
  <c r="Y314" i="17"/>
  <c r="M315" i="17"/>
  <c r="O315" i="17" s="1"/>
  <c r="Q296" i="16"/>
  <c r="S296" i="16" s="1"/>
  <c r="U296" i="16"/>
  <c r="J296" i="16"/>
  <c r="I315" i="17" l="1"/>
  <c r="K315" i="17" s="1"/>
  <c r="H315" i="17"/>
  <c r="P315" i="17"/>
  <c r="R315" i="17" s="1"/>
  <c r="N315" i="17"/>
  <c r="T296" i="16"/>
  <c r="L296" i="16"/>
  <c r="U315" i="17" l="1"/>
  <c r="J315" i="17"/>
  <c r="L315" i="17" s="1"/>
  <c r="W315" i="17" s="1"/>
  <c r="Q315" i="17"/>
  <c r="S315" i="17" s="1"/>
  <c r="Y296" i="16"/>
  <c r="W296" i="16"/>
  <c r="X296" i="16"/>
  <c r="F297" i="16"/>
  <c r="M297" i="16"/>
  <c r="V296" i="16"/>
  <c r="T315" i="17" l="1"/>
  <c r="M316" i="17"/>
  <c r="X315" i="17"/>
  <c r="F316" i="17"/>
  <c r="Y315" i="17"/>
  <c r="V315" i="17"/>
  <c r="O297" i="16"/>
  <c r="N297" i="16"/>
  <c r="P297" i="16"/>
  <c r="R297" i="16" s="1"/>
  <c r="G297" i="16"/>
  <c r="I297" i="16"/>
  <c r="K297" i="16" s="1"/>
  <c r="H297" i="16"/>
  <c r="G316" i="17" l="1"/>
  <c r="I316" i="17"/>
  <c r="K316" i="17" s="1"/>
  <c r="H316" i="17"/>
  <c r="N316" i="17"/>
  <c r="O316" i="17"/>
  <c r="P316" i="17"/>
  <c r="R316" i="17" s="1"/>
  <c r="U297" i="16"/>
  <c r="J297" i="16"/>
  <c r="Q297" i="16"/>
  <c r="S297" i="16" s="1"/>
  <c r="J316" i="17" l="1"/>
  <c r="L316" i="17" s="1"/>
  <c r="W316" i="17" s="1"/>
  <c r="Q316" i="17"/>
  <c r="S316" i="17" s="1"/>
  <c r="U316" i="17"/>
  <c r="T297" i="16"/>
  <c r="L297" i="16"/>
  <c r="Y297" i="16" l="1"/>
  <c r="W297" i="16"/>
  <c r="T316" i="17"/>
  <c r="V316" i="17" s="1"/>
  <c r="F317" i="17"/>
  <c r="Y316" i="17"/>
  <c r="M317" i="17"/>
  <c r="X316" i="17"/>
  <c r="F298" i="16"/>
  <c r="M298" i="16"/>
  <c r="X297" i="16"/>
  <c r="V297" i="16"/>
  <c r="H317" i="17" l="1"/>
  <c r="I317" i="17"/>
  <c r="K317" i="17" s="1"/>
  <c r="G317" i="17"/>
  <c r="O317" i="17"/>
  <c r="N317" i="17"/>
  <c r="P317" i="17"/>
  <c r="R317" i="17" s="1"/>
  <c r="N298" i="16"/>
  <c r="P298" i="16"/>
  <c r="R298" i="16" s="1"/>
  <c r="O298" i="16"/>
  <c r="I298" i="16"/>
  <c r="K298" i="16" s="1"/>
  <c r="H298" i="16"/>
  <c r="G298" i="16"/>
  <c r="J317" i="17" l="1"/>
  <c r="L317" i="17" s="1"/>
  <c r="W317" i="17" s="1"/>
  <c r="Q317" i="17"/>
  <c r="S317" i="17" s="1"/>
  <c r="U317" i="17"/>
  <c r="U298" i="16"/>
  <c r="Q298" i="16"/>
  <c r="S298" i="16" s="1"/>
  <c r="J298" i="16"/>
  <c r="T317" i="17" l="1"/>
  <c r="V317" i="17" s="1"/>
  <c r="F318" i="17"/>
  <c r="X317" i="17"/>
  <c r="M318" i="17"/>
  <c r="Y317" i="17"/>
  <c r="T298" i="16"/>
  <c r="L298" i="16"/>
  <c r="Y298" i="16" l="1"/>
  <c r="W298" i="16"/>
  <c r="P318" i="17"/>
  <c r="R318" i="17" s="1"/>
  <c r="O318" i="17"/>
  <c r="N318" i="17"/>
  <c r="G318" i="17"/>
  <c r="H318" i="17"/>
  <c r="I318" i="17"/>
  <c r="K318" i="17" s="1"/>
  <c r="M299" i="16"/>
  <c r="X298" i="16"/>
  <c r="F299" i="16"/>
  <c r="V298" i="16"/>
  <c r="Q318" i="17" l="1"/>
  <c r="S318" i="17" s="1"/>
  <c r="U318" i="17"/>
  <c r="J318" i="17"/>
  <c r="I299" i="16"/>
  <c r="K299" i="16" s="1"/>
  <c r="H299" i="16"/>
  <c r="G299" i="16"/>
  <c r="P299" i="16"/>
  <c r="R299" i="16" s="1"/>
  <c r="O299" i="16"/>
  <c r="N299" i="16"/>
  <c r="T318" i="17" l="1"/>
  <c r="L318" i="17"/>
  <c r="W318" i="17" s="1"/>
  <c r="J299" i="16"/>
  <c r="L299" i="16" s="1"/>
  <c r="U299" i="16"/>
  <c r="Q299" i="16"/>
  <c r="X318" i="17" l="1"/>
  <c r="F319" i="17"/>
  <c r="M319" i="17"/>
  <c r="Y318" i="17"/>
  <c r="V318" i="17"/>
  <c r="T299" i="16"/>
  <c r="S299" i="16"/>
  <c r="Y299" i="16" s="1"/>
  <c r="W299" i="16" l="1"/>
  <c r="P319" i="17"/>
  <c r="R319" i="17" s="1"/>
  <c r="O319" i="17"/>
  <c r="N319" i="17"/>
  <c r="I319" i="17"/>
  <c r="K319" i="17" s="1"/>
  <c r="H319" i="17"/>
  <c r="G319" i="17"/>
  <c r="M300" i="16"/>
  <c r="X299" i="16"/>
  <c r="V299" i="16"/>
  <c r="F300" i="16"/>
  <c r="U319" i="17" l="1"/>
  <c r="Q319" i="17"/>
  <c r="S319" i="17" s="1"/>
  <c r="J319" i="17"/>
  <c r="L319" i="17" s="1"/>
  <c r="W319" i="17" s="1"/>
  <c r="H300" i="16"/>
  <c r="G300" i="16"/>
  <c r="I300" i="16"/>
  <c r="K300" i="16" s="1"/>
  <c r="P300" i="16"/>
  <c r="R300" i="16" s="1"/>
  <c r="O300" i="16"/>
  <c r="N300" i="16"/>
  <c r="T319" i="17" l="1"/>
  <c r="V319" i="17" s="1"/>
  <c r="Q300" i="16"/>
  <c r="S300" i="16" s="1"/>
  <c r="X319" i="17"/>
  <c r="F320" i="17"/>
  <c r="M320" i="17"/>
  <c r="Y319" i="17"/>
  <c r="U300" i="16"/>
  <c r="J300" i="16"/>
  <c r="T300" i="16" s="1"/>
  <c r="I320" i="17" l="1"/>
  <c r="K320" i="17" s="1"/>
  <c r="H320" i="17"/>
  <c r="G320" i="17"/>
  <c r="O320" i="17"/>
  <c r="N320" i="17"/>
  <c r="P320" i="17"/>
  <c r="R320" i="17" s="1"/>
  <c r="L300" i="16"/>
  <c r="Y300" i="16" l="1"/>
  <c r="W300" i="16"/>
  <c r="J320" i="17"/>
  <c r="L320" i="17" s="1"/>
  <c r="Q320" i="17"/>
  <c r="S320" i="17" s="1"/>
  <c r="U320" i="17"/>
  <c r="X300" i="16"/>
  <c r="F301" i="16"/>
  <c r="M301" i="16"/>
  <c r="V300" i="16"/>
  <c r="W320" i="17" l="1"/>
  <c r="M321" i="17"/>
  <c r="X320" i="17"/>
  <c r="Y320" i="17"/>
  <c r="F321" i="17"/>
  <c r="T320" i="17"/>
  <c r="V320" i="17" s="1"/>
  <c r="O301" i="16"/>
  <c r="N301" i="16"/>
  <c r="P301" i="16"/>
  <c r="R301" i="16" s="1"/>
  <c r="G301" i="16"/>
  <c r="I301" i="16"/>
  <c r="K301" i="16" s="1"/>
  <c r="H301" i="16"/>
  <c r="H321" i="17" l="1"/>
  <c r="I321" i="17"/>
  <c r="K321" i="17" s="1"/>
  <c r="G321" i="17"/>
  <c r="N321" i="17"/>
  <c r="O321" i="17"/>
  <c r="P321" i="17"/>
  <c r="R321" i="17" s="1"/>
  <c r="U301" i="16"/>
  <c r="J301" i="16"/>
  <c r="Q301" i="16"/>
  <c r="S301" i="16" s="1"/>
  <c r="Q321" i="17" l="1"/>
  <c r="S321" i="17" s="1"/>
  <c r="U321" i="17"/>
  <c r="J321" i="17"/>
  <c r="T301" i="16"/>
  <c r="L301" i="16"/>
  <c r="Y301" i="16" l="1"/>
  <c r="W301" i="16"/>
  <c r="L321" i="17"/>
  <c r="W321" i="17" s="1"/>
  <c r="T321" i="17"/>
  <c r="F302" i="16"/>
  <c r="M302" i="16"/>
  <c r="X301" i="16"/>
  <c r="V301" i="16"/>
  <c r="X321" i="17" l="1"/>
  <c r="Y321" i="17"/>
  <c r="M322" i="17"/>
  <c r="F322" i="17"/>
  <c r="V321" i="17"/>
  <c r="N302" i="16"/>
  <c r="P302" i="16"/>
  <c r="R302" i="16" s="1"/>
  <c r="O302" i="16"/>
  <c r="I302" i="16"/>
  <c r="K302" i="16" s="1"/>
  <c r="H302" i="16"/>
  <c r="G302" i="16"/>
  <c r="J302" i="16" l="1"/>
  <c r="L302" i="16" s="1"/>
  <c r="N322" i="17"/>
  <c r="P322" i="17"/>
  <c r="R322" i="17" s="1"/>
  <c r="O322" i="17"/>
  <c r="H322" i="17"/>
  <c r="I322" i="17"/>
  <c r="K322" i="17" s="1"/>
  <c r="G322" i="17"/>
  <c r="J322" i="17" s="1"/>
  <c r="U302" i="16"/>
  <c r="Q302" i="16"/>
  <c r="T302" i="16" l="1"/>
  <c r="Q322" i="17"/>
  <c r="S322" i="17" s="1"/>
  <c r="U322" i="17"/>
  <c r="L322" i="17"/>
  <c r="W322" i="17" s="1"/>
  <c r="S302" i="16"/>
  <c r="V302" i="16" s="1"/>
  <c r="W302" i="16" l="1"/>
  <c r="T322" i="17"/>
  <c r="F303" i="16"/>
  <c r="I303" i="16" s="1"/>
  <c r="K303" i="16" s="1"/>
  <c r="M303" i="16"/>
  <c r="N303" i="16" s="1"/>
  <c r="Y302" i="16"/>
  <c r="M323" i="17"/>
  <c r="Y322" i="17"/>
  <c r="X322" i="17"/>
  <c r="F323" i="17"/>
  <c r="V322" i="17"/>
  <c r="X302" i="16"/>
  <c r="G303" i="16" l="1"/>
  <c r="H303" i="16"/>
  <c r="O303" i="16"/>
  <c r="P303" i="16"/>
  <c r="R303" i="16" s="1"/>
  <c r="U303" i="16" s="1"/>
  <c r="I323" i="17"/>
  <c r="K323" i="17" s="1"/>
  <c r="H323" i="17"/>
  <c r="G323" i="17"/>
  <c r="O323" i="17"/>
  <c r="P323" i="17"/>
  <c r="N323" i="17"/>
  <c r="Q303" i="16" l="1"/>
  <c r="S303" i="16" s="1"/>
  <c r="Y303" i="16" s="1"/>
  <c r="J303" i="16"/>
  <c r="L303" i="16" s="1"/>
  <c r="J323" i="17"/>
  <c r="L323" i="17" s="1"/>
  <c r="Q323" i="17"/>
  <c r="R323" i="17"/>
  <c r="T303" i="16" l="1"/>
  <c r="T323" i="17"/>
  <c r="W303" i="16"/>
  <c r="S323" i="17"/>
  <c r="M324" i="17" s="1"/>
  <c r="U323" i="17"/>
  <c r="M304" i="16"/>
  <c r="X303" i="16"/>
  <c r="V303" i="16"/>
  <c r="F304" i="16"/>
  <c r="W323" i="17" l="1"/>
  <c r="Y323" i="17"/>
  <c r="X323" i="17"/>
  <c r="F324" i="17"/>
  <c r="I324" i="17" s="1"/>
  <c r="K324" i="17" s="1"/>
  <c r="O324" i="17"/>
  <c r="P324" i="17"/>
  <c r="R324" i="17" s="1"/>
  <c r="N324" i="17"/>
  <c r="V323" i="17"/>
  <c r="H304" i="16"/>
  <c r="G304" i="16"/>
  <c r="I304" i="16"/>
  <c r="K304" i="16" s="1"/>
  <c r="P304" i="16"/>
  <c r="R304" i="16" s="1"/>
  <c r="O304" i="16"/>
  <c r="N304" i="16"/>
  <c r="Q324" i="17" l="1"/>
  <c r="S324" i="17" s="1"/>
  <c r="G324" i="17"/>
  <c r="H324" i="17"/>
  <c r="U324" i="17"/>
  <c r="Q304" i="16"/>
  <c r="S304" i="16" s="1"/>
  <c r="U304" i="16"/>
  <c r="J304" i="16"/>
  <c r="J324" i="17" l="1"/>
  <c r="T324" i="17" s="1"/>
  <c r="T304" i="16"/>
  <c r="L304" i="16"/>
  <c r="Y304" i="16" l="1"/>
  <c r="W304" i="16"/>
  <c r="L324" i="17"/>
  <c r="W324" i="17" s="1"/>
  <c r="X304" i="16"/>
  <c r="F305" i="16"/>
  <c r="M305" i="16"/>
  <c r="V304" i="16"/>
  <c r="X324" i="17" l="1"/>
  <c r="Y324" i="17"/>
  <c r="V324" i="17"/>
  <c r="F325" i="17"/>
  <c r="M325" i="17"/>
  <c r="O305" i="16"/>
  <c r="N305" i="16"/>
  <c r="P305" i="16"/>
  <c r="R305" i="16" s="1"/>
  <c r="G305" i="16"/>
  <c r="I305" i="16"/>
  <c r="K305" i="16" s="1"/>
  <c r="H305" i="16"/>
  <c r="N325" i="17" l="1"/>
  <c r="O325" i="17"/>
  <c r="P325" i="17"/>
  <c r="R325" i="17" s="1"/>
  <c r="I325" i="17"/>
  <c r="K325" i="17" s="1"/>
  <c r="G325" i="17"/>
  <c r="H325" i="17"/>
  <c r="U305" i="16"/>
  <c r="J305" i="16"/>
  <c r="Q305" i="16"/>
  <c r="S305" i="16" s="1"/>
  <c r="J325" i="17" l="1"/>
  <c r="L325" i="17" s="1"/>
  <c r="W325" i="17" s="1"/>
  <c r="U325" i="17"/>
  <c r="Q325" i="17"/>
  <c r="S325" i="17" s="1"/>
  <c r="T305" i="16"/>
  <c r="L305" i="16"/>
  <c r="Y325" i="17" l="1"/>
  <c r="Y305" i="16"/>
  <c r="W305" i="16"/>
  <c r="F326" i="17"/>
  <c r="H326" i="17" s="1"/>
  <c r="M326" i="17"/>
  <c r="T325" i="17"/>
  <c r="V325" i="17" s="1"/>
  <c r="X325" i="17"/>
  <c r="F306" i="16"/>
  <c r="M306" i="16"/>
  <c r="X305" i="16"/>
  <c r="V305" i="16"/>
  <c r="I326" i="17" l="1"/>
  <c r="K326" i="17" s="1"/>
  <c r="G326" i="17"/>
  <c r="O326" i="17"/>
  <c r="P326" i="17"/>
  <c r="R326" i="17" s="1"/>
  <c r="N326" i="17"/>
  <c r="N306" i="16"/>
  <c r="P306" i="16"/>
  <c r="R306" i="16" s="1"/>
  <c r="O306" i="16"/>
  <c r="I306" i="16"/>
  <c r="K306" i="16" s="1"/>
  <c r="H306" i="16"/>
  <c r="G306" i="16"/>
  <c r="U326" i="17" l="1"/>
  <c r="J326" i="17"/>
  <c r="L326" i="17" s="1"/>
  <c r="W326" i="17" s="1"/>
  <c r="Q326" i="17"/>
  <c r="S326" i="17" s="1"/>
  <c r="X326" i="17" s="1"/>
  <c r="Q306" i="16"/>
  <c r="S306" i="16" s="1"/>
  <c r="U306" i="16"/>
  <c r="J306" i="16"/>
  <c r="Y326" i="17" l="1"/>
  <c r="T326" i="17"/>
  <c r="V326" i="17" s="1"/>
  <c r="F327" i="17"/>
  <c r="M327" i="17"/>
  <c r="T306" i="16"/>
  <c r="L306" i="16"/>
  <c r="Y306" i="16" l="1"/>
  <c r="W306" i="16"/>
  <c r="N327" i="17"/>
  <c r="P327" i="17"/>
  <c r="R327" i="17" s="1"/>
  <c r="O327" i="17"/>
  <c r="I327" i="17"/>
  <c r="K327" i="17" s="1"/>
  <c r="U327" i="17" s="1"/>
  <c r="H327" i="17"/>
  <c r="G327" i="17"/>
  <c r="M307" i="16"/>
  <c r="X306" i="16"/>
  <c r="F307" i="16"/>
  <c r="V306" i="16"/>
  <c r="J327" i="17" l="1"/>
  <c r="L327" i="17" s="1"/>
  <c r="W327" i="17" s="1"/>
  <c r="Q327" i="17"/>
  <c r="S327" i="17" s="1"/>
  <c r="I307" i="16"/>
  <c r="K307" i="16" s="1"/>
  <c r="H307" i="16"/>
  <c r="G307" i="16"/>
  <c r="P307" i="16"/>
  <c r="R307" i="16" s="1"/>
  <c r="O307" i="16"/>
  <c r="N307" i="16"/>
  <c r="T327" i="17" l="1"/>
  <c r="V327" i="17" s="1"/>
  <c r="Y327" i="17"/>
  <c r="F328" i="17"/>
  <c r="M328" i="17"/>
  <c r="X327" i="17"/>
  <c r="U307" i="16"/>
  <c r="Q307" i="16"/>
  <c r="S307" i="16" s="1"/>
  <c r="J307" i="16"/>
  <c r="L307" i="16" s="1"/>
  <c r="Y307" i="16" l="1"/>
  <c r="W307" i="16"/>
  <c r="N328" i="17"/>
  <c r="P328" i="17"/>
  <c r="R328" i="17" s="1"/>
  <c r="O328" i="17"/>
  <c r="H328" i="17"/>
  <c r="G328" i="17"/>
  <c r="I328" i="17"/>
  <c r="K328" i="17" s="1"/>
  <c r="U328" i="17" s="1"/>
  <c r="X307" i="16"/>
  <c r="F308" i="16"/>
  <c r="M308" i="16"/>
  <c r="T307" i="16"/>
  <c r="V307" i="16" s="1"/>
  <c r="J328" i="17" l="1"/>
  <c r="Q328" i="17"/>
  <c r="S328" i="17" s="1"/>
  <c r="P308" i="16"/>
  <c r="R308" i="16" s="1"/>
  <c r="O308" i="16"/>
  <c r="N308" i="16"/>
  <c r="H308" i="16"/>
  <c r="G308" i="16"/>
  <c r="I308" i="16"/>
  <c r="K308" i="16" s="1"/>
  <c r="L328" i="17" l="1"/>
  <c r="W328" i="17" s="1"/>
  <c r="T328" i="17"/>
  <c r="U308" i="16"/>
  <c r="J308" i="16"/>
  <c r="Q308" i="16"/>
  <c r="S308" i="16" s="1"/>
  <c r="X328" i="17" l="1"/>
  <c r="Y328" i="17"/>
  <c r="M329" i="17"/>
  <c r="V328" i="17"/>
  <c r="F329" i="17"/>
  <c r="T308" i="16"/>
  <c r="L308" i="16"/>
  <c r="Y308" i="16" l="1"/>
  <c r="W308" i="16"/>
  <c r="O329" i="17"/>
  <c r="P329" i="17"/>
  <c r="R329" i="17" s="1"/>
  <c r="N329" i="17"/>
  <c r="Q329" i="17" s="1"/>
  <c r="I329" i="17"/>
  <c r="K329" i="17" s="1"/>
  <c r="G329" i="17"/>
  <c r="H329" i="17"/>
  <c r="X308" i="16"/>
  <c r="F309" i="16"/>
  <c r="M309" i="16"/>
  <c r="V308" i="16"/>
  <c r="J329" i="17" l="1"/>
  <c r="L329" i="17" s="1"/>
  <c r="W329" i="17" s="1"/>
  <c r="U329" i="17"/>
  <c r="S329" i="17"/>
  <c r="O309" i="16"/>
  <c r="N309" i="16"/>
  <c r="P309" i="16"/>
  <c r="R309" i="16" s="1"/>
  <c r="G309" i="16"/>
  <c r="I309" i="16"/>
  <c r="K309" i="16" s="1"/>
  <c r="H309" i="16"/>
  <c r="Y329" i="17" l="1"/>
  <c r="T329" i="17"/>
  <c r="F330" i="17"/>
  <c r="G330" i="17" s="1"/>
  <c r="V329" i="17"/>
  <c r="M330" i="17"/>
  <c r="X329" i="17"/>
  <c r="U309" i="16"/>
  <c r="J309" i="16"/>
  <c r="Q309" i="16"/>
  <c r="S309" i="16" s="1"/>
  <c r="H330" i="17" l="1"/>
  <c r="I330" i="17"/>
  <c r="K330" i="17" s="1"/>
  <c r="O330" i="17"/>
  <c r="N330" i="17"/>
  <c r="P330" i="17"/>
  <c r="R330" i="17" s="1"/>
  <c r="T309" i="16"/>
  <c r="L309" i="16"/>
  <c r="U330" i="17" l="1"/>
  <c r="J330" i="17"/>
  <c r="L330" i="17" s="1"/>
  <c r="Y309" i="16"/>
  <c r="W309" i="16"/>
  <c r="Q330" i="17"/>
  <c r="F310" i="16"/>
  <c r="M310" i="16"/>
  <c r="X309" i="16"/>
  <c r="V309" i="16"/>
  <c r="W330" i="17" l="1"/>
  <c r="T330" i="17"/>
  <c r="S330" i="17"/>
  <c r="N310" i="16"/>
  <c r="P310" i="16"/>
  <c r="R310" i="16" s="1"/>
  <c r="O310" i="16"/>
  <c r="I310" i="16"/>
  <c r="K310" i="16" s="1"/>
  <c r="H310" i="16"/>
  <c r="G310" i="16"/>
  <c r="M331" i="17" l="1"/>
  <c r="Y330" i="17"/>
  <c r="F331" i="17"/>
  <c r="X330" i="17"/>
  <c r="V330" i="17"/>
  <c r="J310" i="16"/>
  <c r="L310" i="16" s="1"/>
  <c r="Q310" i="16"/>
  <c r="S310" i="16" s="1"/>
  <c r="U310" i="16"/>
  <c r="W310" i="16" l="1"/>
  <c r="G331" i="17"/>
  <c r="H331" i="17"/>
  <c r="I331" i="17"/>
  <c r="K331" i="17" s="1"/>
  <c r="N331" i="17"/>
  <c r="P331" i="17"/>
  <c r="R331" i="17" s="1"/>
  <c r="O331" i="17"/>
  <c r="Y310" i="16"/>
  <c r="T310" i="16"/>
  <c r="V310" i="16" s="1"/>
  <c r="M311" i="16"/>
  <c r="X310" i="16"/>
  <c r="F311" i="16"/>
  <c r="Q331" i="17" l="1"/>
  <c r="S331" i="17" s="1"/>
  <c r="J331" i="17"/>
  <c r="U331" i="17"/>
  <c r="I311" i="16"/>
  <c r="K311" i="16" s="1"/>
  <c r="H311" i="16"/>
  <c r="G311" i="16"/>
  <c r="P311" i="16"/>
  <c r="R311" i="16" s="1"/>
  <c r="O311" i="16"/>
  <c r="N311" i="16"/>
  <c r="T331" i="17" l="1"/>
  <c r="L331" i="17"/>
  <c r="W331" i="17" s="1"/>
  <c r="M332" i="17"/>
  <c r="Q311" i="16"/>
  <c r="S311" i="16" s="1"/>
  <c r="U311" i="16"/>
  <c r="J311" i="16"/>
  <c r="X331" i="17" l="1"/>
  <c r="V331" i="17"/>
  <c r="F332" i="17"/>
  <c r="H332" i="17" s="1"/>
  <c r="Y331" i="17"/>
  <c r="P332" i="17"/>
  <c r="R332" i="17" s="1"/>
  <c r="O332" i="17"/>
  <c r="N332" i="17"/>
  <c r="T311" i="16"/>
  <c r="L311" i="16"/>
  <c r="G332" i="17" l="1"/>
  <c r="I332" i="17"/>
  <c r="K332" i="17" s="1"/>
  <c r="U332" i="17" s="1"/>
  <c r="Y311" i="16"/>
  <c r="W311" i="16"/>
  <c r="Q332" i="17"/>
  <c r="S332" i="17" s="1"/>
  <c r="X311" i="16"/>
  <c r="F312" i="16"/>
  <c r="M312" i="16"/>
  <c r="V311" i="16"/>
  <c r="J332" i="17" l="1"/>
  <c r="L332" i="17" s="1"/>
  <c r="W332" i="17" s="1"/>
  <c r="P312" i="16"/>
  <c r="R312" i="16" s="1"/>
  <c r="O312" i="16"/>
  <c r="N312" i="16"/>
  <c r="H312" i="16"/>
  <c r="G312" i="16"/>
  <c r="I312" i="16"/>
  <c r="K312" i="16" s="1"/>
  <c r="T332" i="17" l="1"/>
  <c r="V332" i="17" s="1"/>
  <c r="M333" i="17"/>
  <c r="P333" i="17" s="1"/>
  <c r="R333" i="17" s="1"/>
  <c r="F333" i="17"/>
  <c r="G333" i="17" s="1"/>
  <c r="Y332" i="17"/>
  <c r="X332" i="17"/>
  <c r="U312" i="16"/>
  <c r="J312" i="16"/>
  <c r="L312" i="16" s="1"/>
  <c r="Q312" i="16"/>
  <c r="S312" i="16" s="1"/>
  <c r="O333" i="17" l="1"/>
  <c r="N333" i="17"/>
  <c r="Q333" i="17" s="1"/>
  <c r="S333" i="17" s="1"/>
  <c r="H333" i="17"/>
  <c r="I333" i="17"/>
  <c r="K333" i="17" s="1"/>
  <c r="U333" i="17" s="1"/>
  <c r="W312" i="16"/>
  <c r="Y312" i="16"/>
  <c r="X312" i="16"/>
  <c r="F313" i="16"/>
  <c r="M313" i="16"/>
  <c r="T312" i="16"/>
  <c r="V312" i="16" s="1"/>
  <c r="J333" i="17" l="1"/>
  <c r="L333" i="17" s="1"/>
  <c r="W333" i="17" s="1"/>
  <c r="O313" i="16"/>
  <c r="N313" i="16"/>
  <c r="P313" i="16"/>
  <c r="R313" i="16" s="1"/>
  <c r="G313" i="16"/>
  <c r="I313" i="16"/>
  <c r="K313" i="16" s="1"/>
  <c r="H313" i="16"/>
  <c r="T333" i="17" l="1"/>
  <c r="Y333" i="17"/>
  <c r="M334" i="17"/>
  <c r="F334" i="17"/>
  <c r="X333" i="17"/>
  <c r="V333" i="17"/>
  <c r="U313" i="16"/>
  <c r="J313" i="16"/>
  <c r="Q313" i="16"/>
  <c r="S313" i="16" s="1"/>
  <c r="H334" i="17" l="1"/>
  <c r="I334" i="17"/>
  <c r="K334" i="17" s="1"/>
  <c r="G334" i="17"/>
  <c r="O334" i="17"/>
  <c r="P334" i="17"/>
  <c r="R334" i="17" s="1"/>
  <c r="N334" i="17"/>
  <c r="T313" i="16"/>
  <c r="L313" i="16"/>
  <c r="J334" i="17" l="1"/>
  <c r="Y313" i="16"/>
  <c r="W313" i="16"/>
  <c r="U334" i="17"/>
  <c r="Q334" i="17"/>
  <c r="L334" i="17"/>
  <c r="F314" i="16"/>
  <c r="M314" i="16"/>
  <c r="X313" i="16"/>
  <c r="V313" i="16"/>
  <c r="W334" i="17" l="1"/>
  <c r="T334" i="17"/>
  <c r="S334" i="17"/>
  <c r="M335" i="17" s="1"/>
  <c r="N314" i="16"/>
  <c r="P314" i="16"/>
  <c r="R314" i="16" s="1"/>
  <c r="O314" i="16"/>
  <c r="I314" i="16"/>
  <c r="K314" i="16" s="1"/>
  <c r="H314" i="16"/>
  <c r="G314" i="16"/>
  <c r="Y334" i="17" l="1"/>
  <c r="O335" i="17"/>
  <c r="P335" i="17"/>
  <c r="R335" i="17" s="1"/>
  <c r="N335" i="17"/>
  <c r="X334" i="17"/>
  <c r="F335" i="17"/>
  <c r="V334" i="17"/>
  <c r="U314" i="16"/>
  <c r="J314" i="16"/>
  <c r="Q314" i="16"/>
  <c r="S314" i="16" s="1"/>
  <c r="Q335" i="17" l="1"/>
  <c r="S335" i="17" s="1"/>
  <c r="I335" i="17"/>
  <c r="K335" i="17" s="1"/>
  <c r="U335" i="17" s="1"/>
  <c r="H335" i="17"/>
  <c r="G335" i="17"/>
  <c r="T314" i="16"/>
  <c r="L314" i="16"/>
  <c r="F315" i="16" l="1"/>
  <c r="I315" i="16" s="1"/>
  <c r="K315" i="16" s="1"/>
  <c r="W314" i="16"/>
  <c r="J335" i="17"/>
  <c r="M315" i="16"/>
  <c r="N315" i="16" s="1"/>
  <c r="Y314" i="16"/>
  <c r="X314" i="16"/>
  <c r="V314" i="16"/>
  <c r="P315" i="16" l="1"/>
  <c r="R315" i="16" s="1"/>
  <c r="U315" i="16" s="1"/>
  <c r="G315" i="16"/>
  <c r="H315" i="16"/>
  <c r="O315" i="16"/>
  <c r="L335" i="17"/>
  <c r="W335" i="17" s="1"/>
  <c r="T335" i="17"/>
  <c r="Q315" i="16" l="1"/>
  <c r="S315" i="16" s="1"/>
  <c r="J315" i="16"/>
  <c r="L315" i="16" s="1"/>
  <c r="Y335" i="17"/>
  <c r="X335" i="17"/>
  <c r="F336" i="17"/>
  <c r="M336" i="17"/>
  <c r="V335" i="17"/>
  <c r="T315" i="16" l="1"/>
  <c r="Y315" i="16"/>
  <c r="W315" i="16"/>
  <c r="I336" i="17"/>
  <c r="K336" i="17" s="1"/>
  <c r="H336" i="17"/>
  <c r="G336" i="17"/>
  <c r="O336" i="17"/>
  <c r="N336" i="17"/>
  <c r="P336" i="17"/>
  <c r="R336" i="17" s="1"/>
  <c r="X315" i="16"/>
  <c r="F316" i="16"/>
  <c r="M316" i="16"/>
  <c r="V315" i="16"/>
  <c r="Q336" i="17" l="1"/>
  <c r="S336" i="17" s="1"/>
  <c r="J336" i="17"/>
  <c r="L336" i="17" s="1"/>
  <c r="W336" i="17" s="1"/>
  <c r="U336" i="17"/>
  <c r="P316" i="16"/>
  <c r="R316" i="16" s="1"/>
  <c r="O316" i="16"/>
  <c r="N316" i="16"/>
  <c r="H316" i="16"/>
  <c r="G316" i="16"/>
  <c r="I316" i="16"/>
  <c r="K316" i="16" s="1"/>
  <c r="T336" i="17" l="1"/>
  <c r="V336" i="17" s="1"/>
  <c r="Y336" i="17"/>
  <c r="M337" i="17"/>
  <c r="X336" i="17"/>
  <c r="F337" i="17"/>
  <c r="J316" i="16"/>
  <c r="L316" i="16" s="1"/>
  <c r="W316" i="16" s="1"/>
  <c r="U316" i="16"/>
  <c r="Q316" i="16"/>
  <c r="S316" i="16" s="1"/>
  <c r="H337" i="17" l="1"/>
  <c r="G337" i="17"/>
  <c r="I337" i="17"/>
  <c r="K337" i="17" s="1"/>
  <c r="P337" i="17"/>
  <c r="R337" i="17" s="1"/>
  <c r="N337" i="17"/>
  <c r="O337" i="17"/>
  <c r="Y316" i="16"/>
  <c r="T316" i="16"/>
  <c r="V316" i="16" s="1"/>
  <c r="X316" i="16"/>
  <c r="F317" i="16"/>
  <c r="M317" i="16"/>
  <c r="J337" i="17" l="1"/>
  <c r="L337" i="17" s="1"/>
  <c r="W337" i="17" s="1"/>
  <c r="Q337" i="17"/>
  <c r="S337" i="17" s="1"/>
  <c r="U337" i="17"/>
  <c r="G317" i="16"/>
  <c r="I317" i="16"/>
  <c r="K317" i="16" s="1"/>
  <c r="H317" i="16"/>
  <c r="O317" i="16"/>
  <c r="N317" i="16"/>
  <c r="P317" i="16"/>
  <c r="R317" i="16" s="1"/>
  <c r="T337" i="17" l="1"/>
  <c r="M338" i="17"/>
  <c r="V337" i="17"/>
  <c r="F338" i="17"/>
  <c r="X337" i="17"/>
  <c r="Y337" i="17"/>
  <c r="J317" i="16"/>
  <c r="L317" i="16" s="1"/>
  <c r="U317" i="16"/>
  <c r="Q317" i="16"/>
  <c r="S317" i="16" s="1"/>
  <c r="Y317" i="16" l="1"/>
  <c r="W317" i="16"/>
  <c r="H338" i="17"/>
  <c r="G338" i="17"/>
  <c r="I338" i="17"/>
  <c r="K338" i="17" s="1"/>
  <c r="P338" i="17"/>
  <c r="R338" i="17" s="1"/>
  <c r="N338" i="17"/>
  <c r="O338" i="17"/>
  <c r="T317" i="16"/>
  <c r="F318" i="16"/>
  <c r="M318" i="16"/>
  <c r="X317" i="16"/>
  <c r="V317" i="16"/>
  <c r="U338" i="17" l="1"/>
  <c r="J338" i="17"/>
  <c r="L338" i="17" s="1"/>
  <c r="W338" i="17" s="1"/>
  <c r="Q338" i="17"/>
  <c r="S338" i="17" s="1"/>
  <c r="N318" i="16"/>
  <c r="P318" i="16"/>
  <c r="R318" i="16" s="1"/>
  <c r="O318" i="16"/>
  <c r="I318" i="16"/>
  <c r="K318" i="16" s="1"/>
  <c r="H318" i="16"/>
  <c r="G318" i="16"/>
  <c r="M339" i="17" l="1"/>
  <c r="P339" i="17" s="1"/>
  <c r="R339" i="17" s="1"/>
  <c r="Y338" i="17"/>
  <c r="F339" i="17"/>
  <c r="I339" i="17" s="1"/>
  <c r="K339" i="17" s="1"/>
  <c r="X338" i="17"/>
  <c r="T338" i="17"/>
  <c r="V338" i="17" s="1"/>
  <c r="J318" i="16"/>
  <c r="L318" i="16" s="1"/>
  <c r="U318" i="16"/>
  <c r="Q318" i="16"/>
  <c r="S318" i="16" s="1"/>
  <c r="G339" i="17" l="1"/>
  <c r="O339" i="17"/>
  <c r="N339" i="17"/>
  <c r="H339" i="17"/>
  <c r="W318" i="16"/>
  <c r="Y318" i="16"/>
  <c r="U339" i="17"/>
  <c r="T318" i="16"/>
  <c r="V318" i="16" s="1"/>
  <c r="M319" i="16"/>
  <c r="X318" i="16"/>
  <c r="F319" i="16"/>
  <c r="J339" i="17" l="1"/>
  <c r="L339" i="17" s="1"/>
  <c r="Q339" i="17"/>
  <c r="P319" i="16"/>
  <c r="R319" i="16" s="1"/>
  <c r="O319" i="16"/>
  <c r="N319" i="16"/>
  <c r="I319" i="16"/>
  <c r="K319" i="16" s="1"/>
  <c r="H319" i="16"/>
  <c r="G319" i="16"/>
  <c r="W339" i="17" l="1"/>
  <c r="T339" i="17"/>
  <c r="S339" i="17"/>
  <c r="F340" i="17" s="1"/>
  <c r="I340" i="17" s="1"/>
  <c r="K340" i="17" s="1"/>
  <c r="Y339" i="17"/>
  <c r="H340" i="17"/>
  <c r="U319" i="16"/>
  <c r="Q319" i="16"/>
  <c r="S319" i="16" s="1"/>
  <c r="J319" i="16"/>
  <c r="G340" i="17" l="1"/>
  <c r="J340" i="17" s="1"/>
  <c r="V339" i="17"/>
  <c r="M340" i="17"/>
  <c r="N340" i="17" s="1"/>
  <c r="X339" i="17"/>
  <c r="T319" i="16"/>
  <c r="L319" i="16"/>
  <c r="P340" i="17" l="1"/>
  <c r="R340" i="17" s="1"/>
  <c r="U340" i="17" s="1"/>
  <c r="O340" i="17"/>
  <c r="Q340" i="17" s="1"/>
  <c r="S340" i="17" s="1"/>
  <c r="Y319" i="16"/>
  <c r="W319" i="16"/>
  <c r="L340" i="17"/>
  <c r="X319" i="16"/>
  <c r="F320" i="16"/>
  <c r="M320" i="16"/>
  <c r="V319" i="16"/>
  <c r="W340" i="17" l="1"/>
  <c r="T340" i="17"/>
  <c r="M341" i="17"/>
  <c r="F341" i="17"/>
  <c r="X340" i="17"/>
  <c r="Y340" i="17"/>
  <c r="V340" i="17"/>
  <c r="P320" i="16"/>
  <c r="R320" i="16" s="1"/>
  <c r="O320" i="16"/>
  <c r="N320" i="16"/>
  <c r="H320" i="16"/>
  <c r="G320" i="16"/>
  <c r="I320" i="16"/>
  <c r="K320" i="16" s="1"/>
  <c r="H341" i="17" l="1"/>
  <c r="I341" i="17"/>
  <c r="K341" i="17" s="1"/>
  <c r="G341" i="17"/>
  <c r="N341" i="17"/>
  <c r="P341" i="17"/>
  <c r="R341" i="17" s="1"/>
  <c r="O341" i="17"/>
  <c r="U320" i="16"/>
  <c r="J320" i="16"/>
  <c r="L320" i="16" s="1"/>
  <c r="Q320" i="16"/>
  <c r="S320" i="16" s="1"/>
  <c r="W320" i="16" l="1"/>
  <c r="Q341" i="17"/>
  <c r="S341" i="17" s="1"/>
  <c r="U341" i="17"/>
  <c r="J341" i="17"/>
  <c r="Y320" i="16"/>
  <c r="T320" i="16"/>
  <c r="V320" i="16" s="1"/>
  <c r="X320" i="16"/>
  <c r="F321" i="16"/>
  <c r="M321" i="16"/>
  <c r="T341" i="17" l="1"/>
  <c r="L341" i="17"/>
  <c r="W341" i="17" s="1"/>
  <c r="G321" i="16"/>
  <c r="I321" i="16"/>
  <c r="K321" i="16" s="1"/>
  <c r="H321" i="16"/>
  <c r="O321" i="16"/>
  <c r="N321" i="16"/>
  <c r="P321" i="16"/>
  <c r="R321" i="16" s="1"/>
  <c r="M342" i="17" l="1"/>
  <c r="Y341" i="17"/>
  <c r="F342" i="17"/>
  <c r="X341" i="17"/>
  <c r="V341" i="17"/>
  <c r="J321" i="16"/>
  <c r="L321" i="16" s="1"/>
  <c r="W321" i="16" s="1"/>
  <c r="U321" i="16"/>
  <c r="Q321" i="16"/>
  <c r="S321" i="16" s="1"/>
  <c r="Y321" i="16" l="1"/>
  <c r="H342" i="17"/>
  <c r="G342" i="17"/>
  <c r="I342" i="17"/>
  <c r="K342" i="17" s="1"/>
  <c r="P342" i="17"/>
  <c r="R342" i="17" s="1"/>
  <c r="N342" i="17"/>
  <c r="O342" i="17"/>
  <c r="T321" i="16"/>
  <c r="V321" i="16" s="1"/>
  <c r="F322" i="16"/>
  <c r="M322" i="16"/>
  <c r="X321" i="16"/>
  <c r="J342" i="17" l="1"/>
  <c r="Q342" i="17"/>
  <c r="S342" i="17" s="1"/>
  <c r="U342" i="17"/>
  <c r="I322" i="16"/>
  <c r="K322" i="16" s="1"/>
  <c r="H322" i="16"/>
  <c r="G322" i="16"/>
  <c r="N322" i="16"/>
  <c r="P322" i="16"/>
  <c r="R322" i="16" s="1"/>
  <c r="O322" i="16"/>
  <c r="T342" i="17" l="1"/>
  <c r="L342" i="17"/>
  <c r="Q322" i="16"/>
  <c r="S322" i="16" s="1"/>
  <c r="U322" i="16"/>
  <c r="J322" i="16"/>
  <c r="M343" i="17" l="1"/>
  <c r="W342" i="17"/>
  <c r="V342" i="17"/>
  <c r="Y342" i="17"/>
  <c r="F343" i="17"/>
  <c r="H343" i="17" s="1"/>
  <c r="T322" i="16"/>
  <c r="X342" i="17"/>
  <c r="N343" i="17"/>
  <c r="O343" i="17"/>
  <c r="P343" i="17"/>
  <c r="R343" i="17" s="1"/>
  <c r="L322" i="16"/>
  <c r="Y322" i="16" l="1"/>
  <c r="W322" i="16"/>
  <c r="G343" i="17"/>
  <c r="I343" i="17"/>
  <c r="K343" i="17" s="1"/>
  <c r="U343" i="17" s="1"/>
  <c r="Q343" i="17"/>
  <c r="S343" i="17" s="1"/>
  <c r="M323" i="16"/>
  <c r="X322" i="16"/>
  <c r="F323" i="16"/>
  <c r="V322" i="16"/>
  <c r="J343" i="17" l="1"/>
  <c r="L343" i="17" s="1"/>
  <c r="W343" i="17" s="1"/>
  <c r="I323" i="16"/>
  <c r="K323" i="16" s="1"/>
  <c r="H323" i="16"/>
  <c r="G323" i="16"/>
  <c r="P323" i="16"/>
  <c r="R323" i="16" s="1"/>
  <c r="O323" i="16"/>
  <c r="N323" i="16"/>
  <c r="T343" i="17" l="1"/>
  <c r="M344" i="17"/>
  <c r="V343" i="17"/>
  <c r="X343" i="17"/>
  <c r="F344" i="17"/>
  <c r="Y343" i="17"/>
  <c r="U323" i="16"/>
  <c r="Q323" i="16"/>
  <c r="S323" i="16" s="1"/>
  <c r="J323" i="16"/>
  <c r="H344" i="17" l="1"/>
  <c r="G344" i="17"/>
  <c r="I344" i="17"/>
  <c r="K344" i="17" s="1"/>
  <c r="N344" i="17"/>
  <c r="O344" i="17"/>
  <c r="P344" i="17"/>
  <c r="R344" i="17" s="1"/>
  <c r="T323" i="16"/>
  <c r="L323" i="16"/>
  <c r="Y323" i="16" l="1"/>
  <c r="W323" i="16"/>
  <c r="U344" i="17"/>
  <c r="J344" i="17"/>
  <c r="Q344" i="17"/>
  <c r="S344" i="17" s="1"/>
  <c r="X323" i="16"/>
  <c r="F324" i="16"/>
  <c r="M324" i="16"/>
  <c r="V323" i="16"/>
  <c r="T344" i="17" l="1"/>
  <c r="L344" i="17"/>
  <c r="W344" i="17" s="1"/>
  <c r="H324" i="16"/>
  <c r="G324" i="16"/>
  <c r="I324" i="16"/>
  <c r="K324" i="16" s="1"/>
  <c r="P324" i="16"/>
  <c r="R324" i="16" s="1"/>
  <c r="O324" i="16"/>
  <c r="N324" i="16"/>
  <c r="Y344" i="17" l="1"/>
  <c r="V344" i="17"/>
  <c r="M345" i="17"/>
  <c r="F345" i="17"/>
  <c r="X344" i="17"/>
  <c r="Q324" i="16"/>
  <c r="S324" i="16" s="1"/>
  <c r="U324" i="16"/>
  <c r="J324" i="16"/>
  <c r="I345" i="17" l="1"/>
  <c r="K345" i="17" s="1"/>
  <c r="G345" i="17"/>
  <c r="H345" i="17"/>
  <c r="N345" i="17"/>
  <c r="O345" i="17"/>
  <c r="P345" i="17"/>
  <c r="R345" i="17" s="1"/>
  <c r="T324" i="16"/>
  <c r="L324" i="16"/>
  <c r="Y324" i="16" l="1"/>
  <c r="W324" i="16"/>
  <c r="J345" i="17"/>
  <c r="L345" i="17" s="1"/>
  <c r="Q345" i="17"/>
  <c r="S345" i="17" s="1"/>
  <c r="U345" i="17"/>
  <c r="X324" i="16"/>
  <c r="F325" i="16"/>
  <c r="M325" i="16"/>
  <c r="V324" i="16"/>
  <c r="W345" i="17" l="1"/>
  <c r="T345" i="17"/>
  <c r="V345" i="17" s="1"/>
  <c r="X345" i="17"/>
  <c r="M346" i="17"/>
  <c r="F346" i="17"/>
  <c r="Y345" i="17"/>
  <c r="O325" i="16"/>
  <c r="N325" i="16"/>
  <c r="P325" i="16"/>
  <c r="R325" i="16" s="1"/>
  <c r="G325" i="16"/>
  <c r="I325" i="16"/>
  <c r="K325" i="16" s="1"/>
  <c r="H325" i="16"/>
  <c r="G346" i="17" l="1"/>
  <c r="I346" i="17"/>
  <c r="K346" i="17" s="1"/>
  <c r="H346" i="17"/>
  <c r="P346" i="17"/>
  <c r="R346" i="17" s="1"/>
  <c r="N346" i="17"/>
  <c r="O346" i="17"/>
  <c r="U325" i="16"/>
  <c r="J325" i="16"/>
  <c r="Q325" i="16"/>
  <c r="S325" i="16" s="1"/>
  <c r="U346" i="17" l="1"/>
  <c r="Q346" i="17"/>
  <c r="S346" i="17" s="1"/>
  <c r="J346" i="17"/>
  <c r="T325" i="16"/>
  <c r="L325" i="16"/>
  <c r="Y325" i="16" l="1"/>
  <c r="W325" i="16"/>
  <c r="T346" i="17"/>
  <c r="L346" i="17"/>
  <c r="W346" i="17" s="1"/>
  <c r="F326" i="16"/>
  <c r="M326" i="16"/>
  <c r="X325" i="16"/>
  <c r="V325" i="16"/>
  <c r="F347" i="17" l="1"/>
  <c r="X346" i="17"/>
  <c r="M347" i="17"/>
  <c r="Y346" i="17"/>
  <c r="V346" i="17"/>
  <c r="N326" i="16"/>
  <c r="P326" i="16"/>
  <c r="R326" i="16" s="1"/>
  <c r="O326" i="16"/>
  <c r="I326" i="16"/>
  <c r="K326" i="16" s="1"/>
  <c r="H326" i="16"/>
  <c r="G326" i="16"/>
  <c r="J326" i="16" l="1"/>
  <c r="L326" i="16" s="1"/>
  <c r="N347" i="17"/>
  <c r="O347" i="17"/>
  <c r="P347" i="17"/>
  <c r="R347" i="17" s="1"/>
  <c r="G347" i="17"/>
  <c r="I347" i="17"/>
  <c r="K347" i="17" s="1"/>
  <c r="H347" i="17"/>
  <c r="U326" i="16"/>
  <c r="Q326" i="16"/>
  <c r="S326" i="16" s="1"/>
  <c r="U347" i="17" l="1"/>
  <c r="W326" i="16"/>
  <c r="J347" i="17"/>
  <c r="L347" i="17" s="1"/>
  <c r="Q347" i="17"/>
  <c r="S347" i="17" s="1"/>
  <c r="Y326" i="16"/>
  <c r="T326" i="16"/>
  <c r="V326" i="16" s="1"/>
  <c r="M327" i="16"/>
  <c r="X326" i="16"/>
  <c r="F327" i="16"/>
  <c r="W347" i="17" l="1"/>
  <c r="T347" i="17"/>
  <c r="V347" i="17" s="1"/>
  <c r="Y347" i="17"/>
  <c r="F348" i="17"/>
  <c r="M348" i="17"/>
  <c r="X347" i="17"/>
  <c r="P327" i="16"/>
  <c r="R327" i="16" s="1"/>
  <c r="O327" i="16"/>
  <c r="N327" i="16"/>
  <c r="I327" i="16"/>
  <c r="K327" i="16" s="1"/>
  <c r="H327" i="16"/>
  <c r="G327" i="16"/>
  <c r="N348" i="17" l="1"/>
  <c r="O348" i="17"/>
  <c r="P348" i="17"/>
  <c r="R348" i="17" s="1"/>
  <c r="I348" i="17"/>
  <c r="K348" i="17" s="1"/>
  <c r="G348" i="17"/>
  <c r="H348" i="17"/>
  <c r="J327" i="16"/>
  <c r="Q327" i="16"/>
  <c r="S327" i="16" s="1"/>
  <c r="U327" i="16"/>
  <c r="U348" i="17" l="1"/>
  <c r="T327" i="16"/>
  <c r="J348" i="17"/>
  <c r="L348" i="17" s="1"/>
  <c r="Q348" i="17"/>
  <c r="L327" i="16"/>
  <c r="W327" i="16" s="1"/>
  <c r="F328" i="16" l="1"/>
  <c r="H328" i="16" s="1"/>
  <c r="V327" i="16"/>
  <c r="X327" i="16"/>
  <c r="M328" i="16"/>
  <c r="O328" i="16" s="1"/>
  <c r="Y327" i="16"/>
  <c r="T348" i="17"/>
  <c r="S348" i="17"/>
  <c r="Y348" i="17"/>
  <c r="P328" i="16" l="1"/>
  <c r="R328" i="16" s="1"/>
  <c r="V348" i="17"/>
  <c r="W348" i="17"/>
  <c r="I328" i="16"/>
  <c r="K328" i="16" s="1"/>
  <c r="G328" i="16"/>
  <c r="N328" i="16"/>
  <c r="Q328" i="16" s="1"/>
  <c r="S328" i="16" s="1"/>
  <c r="F349" i="17"/>
  <c r="H349" i="17" s="1"/>
  <c r="M349" i="17"/>
  <c r="O349" i="17" s="1"/>
  <c r="X348" i="17"/>
  <c r="U328" i="16" l="1"/>
  <c r="J328" i="16"/>
  <c r="L328" i="16" s="1"/>
  <c r="G349" i="17"/>
  <c r="I349" i="17"/>
  <c r="K349" i="17" s="1"/>
  <c r="P349" i="17"/>
  <c r="R349" i="17" s="1"/>
  <c r="N349" i="17"/>
  <c r="T328" i="16" l="1"/>
  <c r="Q349" i="17"/>
  <c r="S349" i="17" s="1"/>
  <c r="Y328" i="16"/>
  <c r="W328" i="16"/>
  <c r="U349" i="17"/>
  <c r="J349" i="17"/>
  <c r="X328" i="16"/>
  <c r="F329" i="16"/>
  <c r="M329" i="16"/>
  <c r="V328" i="16"/>
  <c r="T349" i="17" l="1"/>
  <c r="L349" i="17"/>
  <c r="W349" i="17" s="1"/>
  <c r="O329" i="16"/>
  <c r="N329" i="16"/>
  <c r="P329" i="16"/>
  <c r="R329" i="16" s="1"/>
  <c r="G329" i="16"/>
  <c r="I329" i="16"/>
  <c r="K329" i="16" s="1"/>
  <c r="H329" i="16"/>
  <c r="V349" i="17" l="1"/>
  <c r="F350" i="17"/>
  <c r="H350" i="17" s="1"/>
  <c r="Y349" i="17"/>
  <c r="X349" i="17"/>
  <c r="M350" i="17"/>
  <c r="P350" i="17" s="1"/>
  <c r="R350" i="17" s="1"/>
  <c r="G350" i="17"/>
  <c r="U329" i="16"/>
  <c r="J329" i="16"/>
  <c r="Q329" i="16"/>
  <c r="S329" i="16" s="1"/>
  <c r="I350" i="17" l="1"/>
  <c r="K350" i="17" s="1"/>
  <c r="U350" i="17" s="1"/>
  <c r="O350" i="17"/>
  <c r="N350" i="17"/>
  <c r="J350" i="17"/>
  <c r="T329" i="16"/>
  <c r="L329" i="16"/>
  <c r="Q350" i="17" l="1"/>
  <c r="S350" i="17" s="1"/>
  <c r="Y329" i="16"/>
  <c r="W329" i="16"/>
  <c r="L350" i="17"/>
  <c r="W350" i="17" s="1"/>
  <c r="F330" i="16"/>
  <c r="M330" i="16"/>
  <c r="X329" i="16"/>
  <c r="V329" i="16"/>
  <c r="T350" i="17" l="1"/>
  <c r="Y350" i="17"/>
  <c r="X350" i="17"/>
  <c r="F351" i="17"/>
  <c r="M351" i="17"/>
  <c r="V350" i="17"/>
  <c r="N330" i="16"/>
  <c r="P330" i="16"/>
  <c r="R330" i="16" s="1"/>
  <c r="O330" i="16"/>
  <c r="I330" i="16"/>
  <c r="K330" i="16" s="1"/>
  <c r="H330" i="16"/>
  <c r="G330" i="16"/>
  <c r="J330" i="16" l="1"/>
  <c r="L330" i="16" s="1"/>
  <c r="H351" i="17"/>
  <c r="I351" i="17"/>
  <c r="K351" i="17" s="1"/>
  <c r="G351" i="17"/>
  <c r="O351" i="17"/>
  <c r="N351" i="17"/>
  <c r="P351" i="17"/>
  <c r="R351" i="17" s="1"/>
  <c r="U330" i="16"/>
  <c r="Q330" i="16"/>
  <c r="T330" i="16" s="1"/>
  <c r="J351" i="17" l="1"/>
  <c r="Q351" i="17"/>
  <c r="S351" i="17" s="1"/>
  <c r="U351" i="17"/>
  <c r="S330" i="16"/>
  <c r="V330" i="16" s="1"/>
  <c r="F331" i="16" l="1"/>
  <c r="I331" i="16" s="1"/>
  <c r="K331" i="16" s="1"/>
  <c r="W330" i="16"/>
  <c r="T351" i="17"/>
  <c r="L351" i="17"/>
  <c r="Y330" i="16"/>
  <c r="X330" i="16"/>
  <c r="M331" i="16"/>
  <c r="P331" i="16" s="1"/>
  <c r="R331" i="16" s="1"/>
  <c r="G331" i="16"/>
  <c r="H331" i="16" l="1"/>
  <c r="M352" i="17"/>
  <c r="P352" i="17" s="1"/>
  <c r="R352" i="17" s="1"/>
  <c r="W351" i="17"/>
  <c r="X351" i="17"/>
  <c r="Y351" i="17"/>
  <c r="V351" i="17"/>
  <c r="F352" i="17"/>
  <c r="H352" i="17" s="1"/>
  <c r="N331" i="16"/>
  <c r="O331" i="16"/>
  <c r="O352" i="17"/>
  <c r="N352" i="17"/>
  <c r="U331" i="16"/>
  <c r="J331" i="16"/>
  <c r="L331" i="16" s="1"/>
  <c r="G352" i="17" l="1"/>
  <c r="Q331" i="16"/>
  <c r="S331" i="16" s="1"/>
  <c r="Y331" i="16" s="1"/>
  <c r="I352" i="17"/>
  <c r="K352" i="17" s="1"/>
  <c r="U352" i="17" s="1"/>
  <c r="Q352" i="17"/>
  <c r="W331" i="16" l="1"/>
  <c r="M332" i="16"/>
  <c r="P332" i="16" s="1"/>
  <c r="R332" i="16" s="1"/>
  <c r="F332" i="16"/>
  <c r="I332" i="16" s="1"/>
  <c r="K332" i="16" s="1"/>
  <c r="T331" i="16"/>
  <c r="V331" i="16" s="1"/>
  <c r="X331" i="16"/>
  <c r="J352" i="17"/>
  <c r="L352" i="17" s="1"/>
  <c r="W352" i="17" s="1"/>
  <c r="S352" i="17"/>
  <c r="N332" i="16" l="1"/>
  <c r="O332" i="16"/>
  <c r="G332" i="16"/>
  <c r="H332" i="16"/>
  <c r="F353" i="17"/>
  <c r="G353" i="17" s="1"/>
  <c r="T352" i="17"/>
  <c r="V352" i="17" s="1"/>
  <c r="Y352" i="17"/>
  <c r="X352" i="17"/>
  <c r="M353" i="17"/>
  <c r="P353" i="17" s="1"/>
  <c r="R353" i="17" s="1"/>
  <c r="U332" i="16"/>
  <c r="Q332" i="16" l="1"/>
  <c r="S332" i="16" s="1"/>
  <c r="J332" i="16"/>
  <c r="L332" i="16" s="1"/>
  <c r="H353" i="17"/>
  <c r="I353" i="17"/>
  <c r="K353" i="17" s="1"/>
  <c r="U353" i="17" s="1"/>
  <c r="O353" i="17"/>
  <c r="N353" i="17"/>
  <c r="T332" i="16" l="1"/>
  <c r="J353" i="17"/>
  <c r="L353" i="17" s="1"/>
  <c r="W353" i="17" s="1"/>
  <c r="Y332" i="16"/>
  <c r="W332" i="16"/>
  <c r="Q353" i="17"/>
  <c r="S353" i="17" s="1"/>
  <c r="X332" i="16"/>
  <c r="F333" i="16"/>
  <c r="M333" i="16"/>
  <c r="V332" i="16"/>
  <c r="X353" i="17" l="1"/>
  <c r="M354" i="17"/>
  <c r="O354" i="17" s="1"/>
  <c r="T353" i="17"/>
  <c r="V353" i="17" s="1"/>
  <c r="F354" i="17"/>
  <c r="I354" i="17" s="1"/>
  <c r="K354" i="17" s="1"/>
  <c r="Y353" i="17"/>
  <c r="O333" i="16"/>
  <c r="N333" i="16"/>
  <c r="P333" i="16"/>
  <c r="R333" i="16" s="1"/>
  <c r="G333" i="16"/>
  <c r="I333" i="16"/>
  <c r="K333" i="16" s="1"/>
  <c r="H333" i="16"/>
  <c r="P354" i="17" l="1"/>
  <c r="R354" i="17" s="1"/>
  <c r="U354" i="17" s="1"/>
  <c r="N354" i="17"/>
  <c r="Q354" i="17" s="1"/>
  <c r="G354" i="17"/>
  <c r="H354" i="17"/>
  <c r="U333" i="16"/>
  <c r="J333" i="16"/>
  <c r="L333" i="16" s="1"/>
  <c r="Q333" i="16"/>
  <c r="S333" i="16" s="1"/>
  <c r="W333" i="16" l="1"/>
  <c r="J354" i="17"/>
  <c r="L354" i="17" s="1"/>
  <c r="W354" i="17" s="1"/>
  <c r="S354" i="17"/>
  <c r="Y333" i="16"/>
  <c r="F334" i="16"/>
  <c r="M334" i="16"/>
  <c r="X333" i="16"/>
  <c r="T333" i="16"/>
  <c r="V333" i="16" s="1"/>
  <c r="T354" i="17" l="1"/>
  <c r="X354" i="17"/>
  <c r="Y354" i="17"/>
  <c r="F355" i="17"/>
  <c r="V354" i="17"/>
  <c r="M355" i="17"/>
  <c r="N334" i="16"/>
  <c r="P334" i="16"/>
  <c r="R334" i="16" s="1"/>
  <c r="O334" i="16"/>
  <c r="I334" i="16"/>
  <c r="K334" i="16" s="1"/>
  <c r="H334" i="16"/>
  <c r="G334" i="16"/>
  <c r="G355" i="17" l="1"/>
  <c r="H355" i="17"/>
  <c r="I355" i="17"/>
  <c r="K355" i="17" s="1"/>
  <c r="O355" i="17"/>
  <c r="N355" i="17"/>
  <c r="P355" i="17"/>
  <c r="R355" i="17" s="1"/>
  <c r="J334" i="16"/>
  <c r="L334" i="16" s="1"/>
  <c r="U334" i="16"/>
  <c r="Q334" i="16"/>
  <c r="U355" i="17" l="1"/>
  <c r="Q355" i="17"/>
  <c r="J355" i="17"/>
  <c r="L355" i="17" s="1"/>
  <c r="T334" i="16"/>
  <c r="S334" i="16"/>
  <c r="X334" i="16" s="1"/>
  <c r="W334" i="16" l="1"/>
  <c r="T355" i="17"/>
  <c r="S355" i="17"/>
  <c r="X355" i="17" s="1"/>
  <c r="V334" i="16"/>
  <c r="M335" i="16"/>
  <c r="O335" i="16" s="1"/>
  <c r="Y334" i="16"/>
  <c r="F335" i="16"/>
  <c r="H335" i="16" s="1"/>
  <c r="W355" i="17" l="1"/>
  <c r="N335" i="16"/>
  <c r="F356" i="17"/>
  <c r="P335" i="16"/>
  <c r="R335" i="16" s="1"/>
  <c r="V355" i="17"/>
  <c r="M356" i="17"/>
  <c r="Y355" i="17"/>
  <c r="I335" i="16"/>
  <c r="K335" i="16" s="1"/>
  <c r="G335" i="16"/>
  <c r="U335" i="16" l="1"/>
  <c r="Q335" i="16"/>
  <c r="S335" i="16" s="1"/>
  <c r="G356" i="17"/>
  <c r="H356" i="17"/>
  <c r="I356" i="17"/>
  <c r="K356" i="17" s="1"/>
  <c r="N356" i="17"/>
  <c r="P356" i="17"/>
  <c r="R356" i="17" s="1"/>
  <c r="O356" i="17"/>
  <c r="J335" i="16"/>
  <c r="L335" i="16" s="1"/>
  <c r="Y335" i="16" l="1"/>
  <c r="W335" i="16"/>
  <c r="U356" i="17"/>
  <c r="Q356" i="17"/>
  <c r="S356" i="17" s="1"/>
  <c r="J356" i="17"/>
  <c r="L356" i="17" s="1"/>
  <c r="W356" i="17" s="1"/>
  <c r="F336" i="16"/>
  <c r="H336" i="16" s="1"/>
  <c r="X335" i="16"/>
  <c r="M336" i="16"/>
  <c r="O336" i="16" s="1"/>
  <c r="T335" i="16"/>
  <c r="V335" i="16" s="1"/>
  <c r="Y356" i="17" l="1"/>
  <c r="I336" i="16"/>
  <c r="K336" i="16" s="1"/>
  <c r="G336" i="16"/>
  <c r="F357" i="17"/>
  <c r="I357" i="17" s="1"/>
  <c r="K357" i="17" s="1"/>
  <c r="X356" i="17"/>
  <c r="M357" i="17"/>
  <c r="O357" i="17" s="1"/>
  <c r="T356" i="17"/>
  <c r="V356" i="17" s="1"/>
  <c r="N336" i="16"/>
  <c r="P336" i="16"/>
  <c r="R336" i="16" s="1"/>
  <c r="J336" i="16" l="1"/>
  <c r="L336" i="16" s="1"/>
  <c r="W336" i="16" s="1"/>
  <c r="U336" i="16"/>
  <c r="G357" i="17"/>
  <c r="H357" i="17"/>
  <c r="N357" i="17"/>
  <c r="P357" i="17"/>
  <c r="R357" i="17" s="1"/>
  <c r="U357" i="17" s="1"/>
  <c r="Q336" i="16"/>
  <c r="S336" i="16" s="1"/>
  <c r="Q357" i="17" l="1"/>
  <c r="J357" i="17"/>
  <c r="L357" i="17" s="1"/>
  <c r="W357" i="17" s="1"/>
  <c r="Y336" i="16"/>
  <c r="T336" i="16"/>
  <c r="V336" i="16" s="1"/>
  <c r="S357" i="17"/>
  <c r="X336" i="16"/>
  <c r="F337" i="16"/>
  <c r="M337" i="16"/>
  <c r="T357" i="17" l="1"/>
  <c r="M358" i="17"/>
  <c r="F358" i="17"/>
  <c r="Y357" i="17"/>
  <c r="V357" i="17"/>
  <c r="X357" i="17"/>
  <c r="O337" i="16"/>
  <c r="N337" i="16"/>
  <c r="P337" i="16"/>
  <c r="R337" i="16" s="1"/>
  <c r="G337" i="16"/>
  <c r="I337" i="16"/>
  <c r="K337" i="16" s="1"/>
  <c r="H337" i="16"/>
  <c r="H358" i="17" l="1"/>
  <c r="I358" i="17"/>
  <c r="K358" i="17" s="1"/>
  <c r="G358" i="17"/>
  <c r="O358" i="17"/>
  <c r="P358" i="17"/>
  <c r="R358" i="17" s="1"/>
  <c r="N358" i="17"/>
  <c r="U337" i="16"/>
  <c r="J337" i="16"/>
  <c r="Q337" i="16"/>
  <c r="S337" i="16" s="1"/>
  <c r="Q358" i="17" l="1"/>
  <c r="S358" i="17" s="1"/>
  <c r="U358" i="17"/>
  <c r="J358" i="17"/>
  <c r="T337" i="16"/>
  <c r="L337" i="16"/>
  <c r="Y337" i="16" l="1"/>
  <c r="W337" i="16"/>
  <c r="T358" i="17"/>
  <c r="L358" i="17"/>
  <c r="W358" i="17" s="1"/>
  <c r="F338" i="16"/>
  <c r="M338" i="16"/>
  <c r="X337" i="16"/>
  <c r="V337" i="16"/>
  <c r="M359" i="17" l="1"/>
  <c r="O359" i="17" s="1"/>
  <c r="F359" i="17"/>
  <c r="X358" i="17"/>
  <c r="Y358" i="17"/>
  <c r="V358" i="17"/>
  <c r="N338" i="16"/>
  <c r="P338" i="16"/>
  <c r="R338" i="16" s="1"/>
  <c r="O338" i="16"/>
  <c r="I338" i="16"/>
  <c r="K338" i="16" s="1"/>
  <c r="H338" i="16"/>
  <c r="G338" i="16"/>
  <c r="N359" i="17" l="1"/>
  <c r="P359" i="17"/>
  <c r="R359" i="17" s="1"/>
  <c r="I359" i="17"/>
  <c r="K359" i="17" s="1"/>
  <c r="H359" i="17"/>
  <c r="G359" i="17"/>
  <c r="U338" i="16"/>
  <c r="Q338" i="16"/>
  <c r="S338" i="16" s="1"/>
  <c r="J338" i="16"/>
  <c r="U359" i="17" l="1"/>
  <c r="Q359" i="17"/>
  <c r="S359" i="17" s="1"/>
  <c r="J359" i="17"/>
  <c r="T338" i="16"/>
  <c r="L338" i="16"/>
  <c r="T359" i="17" l="1"/>
  <c r="Y338" i="16"/>
  <c r="W338" i="16"/>
  <c r="L359" i="17"/>
  <c r="W359" i="17" s="1"/>
  <c r="M339" i="16"/>
  <c r="X338" i="16"/>
  <c r="F339" i="16"/>
  <c r="V338" i="16"/>
  <c r="Y359" i="17" l="1"/>
  <c r="M360" i="17"/>
  <c r="O360" i="17" s="1"/>
  <c r="V359" i="17"/>
  <c r="F360" i="17"/>
  <c r="I360" i="17" s="1"/>
  <c r="K360" i="17" s="1"/>
  <c r="X359" i="17"/>
  <c r="I339" i="16"/>
  <c r="K339" i="16" s="1"/>
  <c r="H339" i="16"/>
  <c r="G339" i="16"/>
  <c r="P339" i="16"/>
  <c r="R339" i="16" s="1"/>
  <c r="O339" i="16"/>
  <c r="N339" i="16"/>
  <c r="N360" i="17" l="1"/>
  <c r="P360" i="17"/>
  <c r="R360" i="17" s="1"/>
  <c r="U360" i="17" s="1"/>
  <c r="H360" i="17"/>
  <c r="G360" i="17"/>
  <c r="U339" i="16"/>
  <c r="Q339" i="16"/>
  <c r="S339" i="16" s="1"/>
  <c r="J339" i="16"/>
  <c r="L339" i="16" s="1"/>
  <c r="J360" i="17" l="1"/>
  <c r="Q360" i="17"/>
  <c r="S360" i="17" s="1"/>
  <c r="Y339" i="16"/>
  <c r="W339" i="16"/>
  <c r="L360" i="17"/>
  <c r="W360" i="17" s="1"/>
  <c r="X339" i="16"/>
  <c r="F340" i="16"/>
  <c r="M340" i="16"/>
  <c r="T339" i="16"/>
  <c r="V339" i="16" s="1"/>
  <c r="T360" i="17" l="1"/>
  <c r="V360" i="17" s="1"/>
  <c r="M361" i="17"/>
  <c r="N361" i="17" s="1"/>
  <c r="F361" i="17"/>
  <c r="Y360" i="17"/>
  <c r="X360" i="17"/>
  <c r="P340" i="16"/>
  <c r="R340" i="16" s="1"/>
  <c r="O340" i="16"/>
  <c r="N340" i="16"/>
  <c r="H340" i="16"/>
  <c r="G340" i="16"/>
  <c r="I340" i="16"/>
  <c r="K340" i="16" s="1"/>
  <c r="O361" i="17" l="1"/>
  <c r="P361" i="17"/>
  <c r="R361" i="17" s="1"/>
  <c r="G361" i="17"/>
  <c r="I361" i="17"/>
  <c r="K361" i="17" s="1"/>
  <c r="H361" i="17"/>
  <c r="U340" i="16"/>
  <c r="J340" i="16"/>
  <c r="Q340" i="16"/>
  <c r="S340" i="16" s="1"/>
  <c r="U361" i="17" l="1"/>
  <c r="Q361" i="17"/>
  <c r="S361" i="17" s="1"/>
  <c r="J361" i="17"/>
  <c r="T340" i="16"/>
  <c r="L340" i="16"/>
  <c r="T361" i="17" l="1"/>
  <c r="Y340" i="16"/>
  <c r="W340" i="16"/>
  <c r="L361" i="17"/>
  <c r="X340" i="16"/>
  <c r="F341" i="16"/>
  <c r="M341" i="16"/>
  <c r="V340" i="16"/>
  <c r="M362" i="17" l="1"/>
  <c r="N362" i="17" s="1"/>
  <c r="W361" i="17"/>
  <c r="V361" i="17"/>
  <c r="X361" i="17"/>
  <c r="Y361" i="17"/>
  <c r="F362" i="17"/>
  <c r="I362" i="17" s="1"/>
  <c r="K362" i="17" s="1"/>
  <c r="O341" i="16"/>
  <c r="N341" i="16"/>
  <c r="P341" i="16"/>
  <c r="R341" i="16" s="1"/>
  <c r="G341" i="16"/>
  <c r="I341" i="16"/>
  <c r="K341" i="16" s="1"/>
  <c r="H341" i="16"/>
  <c r="P362" i="17" l="1"/>
  <c r="R362" i="17" s="1"/>
  <c r="U362" i="17" s="1"/>
  <c r="O362" i="17"/>
  <c r="H362" i="17"/>
  <c r="G362" i="17"/>
  <c r="U341" i="16"/>
  <c r="J341" i="16"/>
  <c r="Q341" i="16"/>
  <c r="S341" i="16" s="1"/>
  <c r="J362" i="17" l="1"/>
  <c r="L362" i="17" s="1"/>
  <c r="W362" i="17" s="1"/>
  <c r="Q362" i="17"/>
  <c r="S362" i="17" s="1"/>
  <c r="T341" i="16"/>
  <c r="L341" i="16"/>
  <c r="T362" i="17" l="1"/>
  <c r="Y341" i="16"/>
  <c r="W341" i="16"/>
  <c r="M363" i="17"/>
  <c r="V362" i="17"/>
  <c r="F363" i="17"/>
  <c r="Y362" i="17"/>
  <c r="X362" i="17"/>
  <c r="M342" i="16"/>
  <c r="F342" i="16"/>
  <c r="X341" i="16"/>
  <c r="V341" i="16"/>
  <c r="I363" i="17" l="1"/>
  <c r="K363" i="17" s="1"/>
  <c r="H363" i="17"/>
  <c r="G363" i="17"/>
  <c r="N363" i="17"/>
  <c r="O363" i="17"/>
  <c r="P363" i="17"/>
  <c r="R363" i="17" s="1"/>
  <c r="I342" i="16"/>
  <c r="K342" i="16" s="1"/>
  <c r="H342" i="16"/>
  <c r="G342" i="16"/>
  <c r="P342" i="16"/>
  <c r="R342" i="16" s="1"/>
  <c r="O342" i="16"/>
  <c r="N342" i="16"/>
  <c r="U363" i="17" l="1"/>
  <c r="Q363" i="17"/>
  <c r="S363" i="17" s="1"/>
  <c r="J363" i="17"/>
  <c r="L363" i="17" s="1"/>
  <c r="J342" i="16"/>
  <c r="L342" i="16" s="1"/>
  <c r="Q342" i="16"/>
  <c r="U342" i="16"/>
  <c r="W363" i="17" l="1"/>
  <c r="T363" i="17"/>
  <c r="V363" i="17" s="1"/>
  <c r="M364" i="17"/>
  <c r="P364" i="17" s="1"/>
  <c r="R364" i="17" s="1"/>
  <c r="X363" i="17"/>
  <c r="F364" i="17"/>
  <c r="I364" i="17" s="1"/>
  <c r="K364" i="17" s="1"/>
  <c r="Y363" i="17"/>
  <c r="N364" i="17"/>
  <c r="T342" i="16"/>
  <c r="S342" i="16"/>
  <c r="V342" i="16" s="1"/>
  <c r="U364" i="17" l="1"/>
  <c r="O364" i="17"/>
  <c r="Q364" i="17" s="1"/>
  <c r="S364" i="17" s="1"/>
  <c r="H364" i="17"/>
  <c r="G364" i="17"/>
  <c r="M343" i="16"/>
  <c r="N343" i="16" s="1"/>
  <c r="W342" i="16"/>
  <c r="F343" i="16"/>
  <c r="H343" i="16" s="1"/>
  <c r="Y342" i="16"/>
  <c r="X342" i="16"/>
  <c r="P343" i="16"/>
  <c r="R343" i="16" s="1"/>
  <c r="O343" i="16"/>
  <c r="J364" i="17" l="1"/>
  <c r="T364" i="17" s="1"/>
  <c r="G343" i="16"/>
  <c r="I343" i="16"/>
  <c r="K343" i="16" s="1"/>
  <c r="U343" i="16" s="1"/>
  <c r="Q343" i="16"/>
  <c r="S343" i="16" s="1"/>
  <c r="L364" i="17" l="1"/>
  <c r="W364" i="17" s="1"/>
  <c r="Y364" i="17"/>
  <c r="V364" i="17"/>
  <c r="X364" i="17"/>
  <c r="F365" i="17"/>
  <c r="I365" i="17" s="1"/>
  <c r="K365" i="17" s="1"/>
  <c r="J343" i="16"/>
  <c r="T343" i="16" s="1"/>
  <c r="M365" i="17" l="1"/>
  <c r="G365" i="17"/>
  <c r="H365" i="17"/>
  <c r="L343" i="16"/>
  <c r="Y343" i="16" s="1"/>
  <c r="J365" i="17" l="1"/>
  <c r="L365" i="17" s="1"/>
  <c r="V343" i="16"/>
  <c r="O365" i="17"/>
  <c r="P365" i="17"/>
  <c r="R365" i="17" s="1"/>
  <c r="U365" i="17" s="1"/>
  <c r="N365" i="17"/>
  <c r="Q365" i="17" s="1"/>
  <c r="T365" i="17" s="1"/>
  <c r="M344" i="16"/>
  <c r="N344" i="16" s="1"/>
  <c r="X343" i="16"/>
  <c r="F344" i="16"/>
  <c r="H344" i="16" s="1"/>
  <c r="W343" i="16"/>
  <c r="P344" i="16" l="1"/>
  <c r="R344" i="16" s="1"/>
  <c r="O344" i="16"/>
  <c r="I344" i="16"/>
  <c r="K344" i="16" s="1"/>
  <c r="G344" i="16"/>
  <c r="S365" i="17"/>
  <c r="V365" i="17" s="1"/>
  <c r="U344" i="16" l="1"/>
  <c r="J344" i="16"/>
  <c r="L344" i="16" s="1"/>
  <c r="W365" i="17"/>
  <c r="Q344" i="16"/>
  <c r="S344" i="16" s="1"/>
  <c r="X365" i="17"/>
  <c r="F366" i="17"/>
  <c r="M366" i="17"/>
  <c r="Y365" i="17"/>
  <c r="T344" i="16" l="1"/>
  <c r="N366" i="17"/>
  <c r="O366" i="17"/>
  <c r="P366" i="17"/>
  <c r="R366" i="17" s="1"/>
  <c r="I366" i="17"/>
  <c r="K366" i="17" s="1"/>
  <c r="G366" i="17"/>
  <c r="H366" i="17"/>
  <c r="Y344" i="16"/>
  <c r="W344" i="16"/>
  <c r="X344" i="16"/>
  <c r="F345" i="16"/>
  <c r="M345" i="16"/>
  <c r="V344" i="16"/>
  <c r="Q366" i="17" l="1"/>
  <c r="S366" i="17" s="1"/>
  <c r="J366" i="17"/>
  <c r="L366" i="17" s="1"/>
  <c r="W366" i="17" s="1"/>
  <c r="U366" i="17"/>
  <c r="O345" i="16"/>
  <c r="N345" i="16"/>
  <c r="P345" i="16"/>
  <c r="R345" i="16" s="1"/>
  <c r="G345" i="16"/>
  <c r="H345" i="16"/>
  <c r="I345" i="16"/>
  <c r="K345" i="16" s="1"/>
  <c r="T366" i="17" l="1"/>
  <c r="V366" i="17" s="1"/>
  <c r="Y366" i="17"/>
  <c r="F367" i="17"/>
  <c r="X366" i="17"/>
  <c r="M367" i="17"/>
  <c r="U345" i="16"/>
  <c r="Q345" i="16"/>
  <c r="S345" i="16" s="1"/>
  <c r="J345" i="16"/>
  <c r="L345" i="16" s="1"/>
  <c r="N367" i="17" l="1"/>
  <c r="P367" i="17"/>
  <c r="R367" i="17" s="1"/>
  <c r="O367" i="17"/>
  <c r="G367" i="17"/>
  <c r="H367" i="17"/>
  <c r="I367" i="17"/>
  <c r="K367" i="17" s="1"/>
  <c r="U367" i="17" s="1"/>
  <c r="Y345" i="16"/>
  <c r="W345" i="16"/>
  <c r="F346" i="16"/>
  <c r="M346" i="16"/>
  <c r="X345" i="16"/>
  <c r="T345" i="16"/>
  <c r="V345" i="16" s="1"/>
  <c r="J367" i="17" l="1"/>
  <c r="Q367" i="17"/>
  <c r="S367" i="17" s="1"/>
  <c r="N346" i="16"/>
  <c r="P346" i="16"/>
  <c r="R346" i="16" s="1"/>
  <c r="O346" i="16"/>
  <c r="I346" i="16"/>
  <c r="K346" i="16" s="1"/>
  <c r="H346" i="16"/>
  <c r="G346" i="16"/>
  <c r="T367" i="17" l="1"/>
  <c r="L367" i="17"/>
  <c r="W367" i="17" s="1"/>
  <c r="J346" i="16"/>
  <c r="L346" i="16" s="1"/>
  <c r="U346" i="16"/>
  <c r="Q346" i="16"/>
  <c r="M368" i="17" l="1"/>
  <c r="X367" i="17"/>
  <c r="Y367" i="17"/>
  <c r="V367" i="17"/>
  <c r="F368" i="17"/>
  <c r="T346" i="16"/>
  <c r="S346" i="16"/>
  <c r="W346" i="16" s="1"/>
  <c r="G368" i="17" l="1"/>
  <c r="I368" i="17"/>
  <c r="K368" i="17" s="1"/>
  <c r="H368" i="17"/>
  <c r="P368" i="17"/>
  <c r="R368" i="17" s="1"/>
  <c r="N368" i="17"/>
  <c r="O368" i="17"/>
  <c r="V346" i="16"/>
  <c r="F347" i="16"/>
  <c r="G347" i="16" s="1"/>
  <c r="Y346" i="16"/>
  <c r="M347" i="16"/>
  <c r="N347" i="16" s="1"/>
  <c r="X346" i="16"/>
  <c r="U368" i="17" l="1"/>
  <c r="Q368" i="17"/>
  <c r="S368" i="17" s="1"/>
  <c r="J368" i="17"/>
  <c r="H347" i="16"/>
  <c r="I347" i="16"/>
  <c r="K347" i="16" s="1"/>
  <c r="O347" i="16"/>
  <c r="P347" i="16"/>
  <c r="R347" i="16" s="1"/>
  <c r="U347" i="16" l="1"/>
  <c r="T368" i="17"/>
  <c r="J347" i="16"/>
  <c r="L347" i="16" s="1"/>
  <c r="L368" i="17"/>
  <c r="M369" i="17" s="1"/>
  <c r="N369" i="17" s="1"/>
  <c r="Q347" i="16"/>
  <c r="S347" i="16" s="1"/>
  <c r="W347" i="16" l="1"/>
  <c r="V368" i="17"/>
  <c r="W368" i="17"/>
  <c r="Y368" i="17"/>
  <c r="X368" i="17"/>
  <c r="F369" i="17"/>
  <c r="O369" i="17"/>
  <c r="P369" i="17"/>
  <c r="R369" i="17" s="1"/>
  <c r="M348" i="16"/>
  <c r="P348" i="16" s="1"/>
  <c r="R348" i="16" s="1"/>
  <c r="X347" i="16"/>
  <c r="T347" i="16"/>
  <c r="V347" i="16" s="1"/>
  <c r="Y347" i="16"/>
  <c r="F348" i="16"/>
  <c r="I348" i="16" s="1"/>
  <c r="K348" i="16" s="1"/>
  <c r="U348" i="16" s="1"/>
  <c r="Q369" i="17" l="1"/>
  <c r="S369" i="17" s="1"/>
  <c r="G369" i="17"/>
  <c r="H369" i="17"/>
  <c r="I369" i="17"/>
  <c r="K369" i="17" s="1"/>
  <c r="U369" i="17" s="1"/>
  <c r="O348" i="16"/>
  <c r="N348" i="16"/>
  <c r="H348" i="16"/>
  <c r="G348" i="16"/>
  <c r="J369" i="17" l="1"/>
  <c r="Q348" i="16"/>
  <c r="S348" i="16" s="1"/>
  <c r="J348" i="16"/>
  <c r="T348" i="16" l="1"/>
  <c r="L348" i="16"/>
  <c r="V348" i="16" s="1"/>
  <c r="T369" i="17"/>
  <c r="L369" i="17"/>
  <c r="W369" i="17" s="1"/>
  <c r="W348" i="16" l="1"/>
  <c r="M349" i="16"/>
  <c r="O349" i="16" s="1"/>
  <c r="X348" i="16"/>
  <c r="F349" i="16"/>
  <c r="H349" i="16" s="1"/>
  <c r="Y348" i="16"/>
  <c r="F370" i="17"/>
  <c r="M370" i="17"/>
  <c r="X369" i="17"/>
  <c r="V369" i="17"/>
  <c r="Y369" i="17"/>
  <c r="N349" i="16" l="1"/>
  <c r="G349" i="16"/>
  <c r="J349" i="16" s="1"/>
  <c r="L349" i="16" s="1"/>
  <c r="I349" i="16"/>
  <c r="K349" i="16" s="1"/>
  <c r="P349" i="16"/>
  <c r="R349" i="16" s="1"/>
  <c r="U349" i="16" s="1"/>
  <c r="O370" i="17"/>
  <c r="N370" i="17"/>
  <c r="P370" i="17"/>
  <c r="R370" i="17" s="1"/>
  <c r="I370" i="17"/>
  <c r="K370" i="17" s="1"/>
  <c r="H370" i="17"/>
  <c r="G370" i="17"/>
  <c r="Q349" i="16" l="1"/>
  <c r="S349" i="16" s="1"/>
  <c r="W349" i="16" s="1"/>
  <c r="Q370" i="17"/>
  <c r="S370" i="17" s="1"/>
  <c r="U370" i="17"/>
  <c r="J370" i="17"/>
  <c r="Y349" i="16" l="1"/>
  <c r="T349" i="16"/>
  <c r="V349" i="16" s="1"/>
  <c r="F350" i="16"/>
  <c r="I350" i="16" s="1"/>
  <c r="K350" i="16" s="1"/>
  <c r="T370" i="17"/>
  <c r="X349" i="16"/>
  <c r="M350" i="16"/>
  <c r="N350" i="16" s="1"/>
  <c r="L370" i="17"/>
  <c r="W370" i="17" s="1"/>
  <c r="G350" i="16" l="1"/>
  <c r="J350" i="16" s="1"/>
  <c r="L350" i="16" s="1"/>
  <c r="H350" i="16"/>
  <c r="O350" i="16"/>
  <c r="Q350" i="16" s="1"/>
  <c r="P350" i="16"/>
  <c r="R350" i="16" s="1"/>
  <c r="U350" i="16" s="1"/>
  <c r="M371" i="17"/>
  <c r="O371" i="17" s="1"/>
  <c r="Y370" i="17"/>
  <c r="V370" i="17"/>
  <c r="F371" i="17"/>
  <c r="I371" i="17" s="1"/>
  <c r="K371" i="17" s="1"/>
  <c r="X370" i="17"/>
  <c r="N371" i="17"/>
  <c r="P371" i="17"/>
  <c r="R371" i="17" s="1"/>
  <c r="T350" i="16" l="1"/>
  <c r="U371" i="17"/>
  <c r="Q371" i="17"/>
  <c r="S371" i="17" s="1"/>
  <c r="H371" i="17"/>
  <c r="G371" i="17"/>
  <c r="J371" i="17" s="1"/>
  <c r="S350" i="16"/>
  <c r="V350" i="16" s="1"/>
  <c r="L371" i="17" l="1"/>
  <c r="T371" i="17"/>
  <c r="F372" i="17"/>
  <c r="G372" i="17" s="1"/>
  <c r="W350" i="16"/>
  <c r="F351" i="16"/>
  <c r="H351" i="16" s="1"/>
  <c r="Y350" i="16"/>
  <c r="M351" i="16"/>
  <c r="O351" i="16" s="1"/>
  <c r="X350" i="16"/>
  <c r="V371" i="17" l="1"/>
  <c r="H372" i="17"/>
  <c r="M372" i="17"/>
  <c r="O372" i="17" s="1"/>
  <c r="X371" i="17"/>
  <c r="I372" i="17"/>
  <c r="K372" i="17" s="1"/>
  <c r="Y371" i="17"/>
  <c r="W371" i="17"/>
  <c r="G351" i="16"/>
  <c r="I351" i="16"/>
  <c r="K351" i="16" s="1"/>
  <c r="N351" i="16"/>
  <c r="P351" i="16"/>
  <c r="R351" i="16" s="1"/>
  <c r="U351" i="16" l="1"/>
  <c r="J372" i="17"/>
  <c r="L372" i="17" s="1"/>
  <c r="P372" i="17"/>
  <c r="R372" i="17" s="1"/>
  <c r="U372" i="17" s="1"/>
  <c r="N372" i="17"/>
  <c r="Q372" i="17" s="1"/>
  <c r="T372" i="17" s="1"/>
  <c r="J351" i="16"/>
  <c r="L351" i="16" s="1"/>
  <c r="Q351" i="16"/>
  <c r="S351" i="16" s="1"/>
  <c r="S372" i="17" l="1"/>
  <c r="V372" i="17" s="1"/>
  <c r="X372" i="17"/>
  <c r="T351" i="16"/>
  <c r="V351" i="16" s="1"/>
  <c r="Y351" i="16"/>
  <c r="W351" i="16"/>
  <c r="X351" i="16"/>
  <c r="M352" i="16"/>
  <c r="F352" i="16"/>
  <c r="M373" i="17" l="1"/>
  <c r="W372" i="17"/>
  <c r="F373" i="17"/>
  <c r="Y372" i="17"/>
  <c r="H352" i="16"/>
  <c r="G352" i="16"/>
  <c r="I352" i="16"/>
  <c r="K352" i="16" s="1"/>
  <c r="P352" i="16"/>
  <c r="R352" i="16" s="1"/>
  <c r="O352" i="16"/>
  <c r="N352" i="16"/>
  <c r="H373" i="17" l="1"/>
  <c r="G373" i="17"/>
  <c r="J373" i="17" s="1"/>
  <c r="I373" i="17"/>
  <c r="K373" i="17" s="1"/>
  <c r="N373" i="17"/>
  <c r="P373" i="17"/>
  <c r="R373" i="17" s="1"/>
  <c r="O373" i="17"/>
  <c r="U352" i="16"/>
  <c r="Q352" i="16"/>
  <c r="S352" i="16" s="1"/>
  <c r="J352" i="16"/>
  <c r="L373" i="17" l="1"/>
  <c r="U373" i="17"/>
  <c r="Q373" i="17"/>
  <c r="S373" i="17" s="1"/>
  <c r="T352" i="16"/>
  <c r="L352" i="16"/>
  <c r="F374" i="17" l="1"/>
  <c r="G374" i="17" s="1"/>
  <c r="M374" i="17"/>
  <c r="O374" i="17" s="1"/>
  <c r="X373" i="17"/>
  <c r="Y373" i="17"/>
  <c r="T373" i="17"/>
  <c r="V373" i="17" s="1"/>
  <c r="W373" i="17"/>
  <c r="Y352" i="16"/>
  <c r="W352" i="16"/>
  <c r="X352" i="16"/>
  <c r="F353" i="16"/>
  <c r="M353" i="16"/>
  <c r="V352" i="16"/>
  <c r="H374" i="17" l="1"/>
  <c r="I374" i="17"/>
  <c r="K374" i="17" s="1"/>
  <c r="N374" i="17"/>
  <c r="P374" i="17"/>
  <c r="R374" i="17" s="1"/>
  <c r="U374" i="17" s="1"/>
  <c r="Q374" i="17"/>
  <c r="S374" i="17" s="1"/>
  <c r="J374" i="17"/>
  <c r="L374" i="17" s="1"/>
  <c r="F375" i="17" s="1"/>
  <c r="O353" i="16"/>
  <c r="N353" i="16"/>
  <c r="P353" i="16"/>
  <c r="R353" i="16" s="1"/>
  <c r="G353" i="16"/>
  <c r="H353" i="16"/>
  <c r="I353" i="16"/>
  <c r="K353" i="16" s="1"/>
  <c r="Y374" i="17" l="1"/>
  <c r="M375" i="17"/>
  <c r="P375" i="17" s="1"/>
  <c r="R375" i="17" s="1"/>
  <c r="W374" i="17"/>
  <c r="X374" i="17"/>
  <c r="T374" i="17"/>
  <c r="V374" i="17" s="1"/>
  <c r="O375" i="17"/>
  <c r="N375" i="17"/>
  <c r="G375" i="17"/>
  <c r="I375" i="17"/>
  <c r="K375" i="17" s="1"/>
  <c r="H375" i="17"/>
  <c r="U353" i="16"/>
  <c r="Q353" i="16"/>
  <c r="S353" i="16" s="1"/>
  <c r="J353" i="16"/>
  <c r="U375" i="17" l="1"/>
  <c r="Q375" i="17"/>
  <c r="S375" i="17" s="1"/>
  <c r="J375" i="17"/>
  <c r="T353" i="16"/>
  <c r="L353" i="16"/>
  <c r="T375" i="17" l="1"/>
  <c r="L375" i="17"/>
  <c r="W375" i="17" s="1"/>
  <c r="Y353" i="16"/>
  <c r="W353" i="16"/>
  <c r="F354" i="16"/>
  <c r="M354" i="16"/>
  <c r="X353" i="16"/>
  <c r="V353" i="16"/>
  <c r="V375" i="17" l="1"/>
  <c r="F376" i="17"/>
  <c r="I376" i="17" s="1"/>
  <c r="K376" i="17" s="1"/>
  <c r="X375" i="17"/>
  <c r="Y375" i="17"/>
  <c r="M376" i="17"/>
  <c r="O376" i="17" s="1"/>
  <c r="G376" i="17"/>
  <c r="N354" i="16"/>
  <c r="P354" i="16"/>
  <c r="R354" i="16" s="1"/>
  <c r="O354" i="16"/>
  <c r="I354" i="16"/>
  <c r="K354" i="16" s="1"/>
  <c r="H354" i="16"/>
  <c r="G354" i="16"/>
  <c r="H376" i="17" l="1"/>
  <c r="J376" i="17" s="1"/>
  <c r="L376" i="17" s="1"/>
  <c r="J354" i="16"/>
  <c r="L354" i="16" s="1"/>
  <c r="P376" i="17"/>
  <c r="R376" i="17" s="1"/>
  <c r="U376" i="17" s="1"/>
  <c r="N376" i="17"/>
  <c r="Q354" i="16"/>
  <c r="U354" i="16"/>
  <c r="T354" i="16" l="1"/>
  <c r="Q376" i="17"/>
  <c r="T376" i="17" s="1"/>
  <c r="S354" i="16"/>
  <c r="V354" i="16" s="1"/>
  <c r="S376" i="17" l="1"/>
  <c r="W376" i="17" s="1"/>
  <c r="W354" i="16"/>
  <c r="M377" i="17"/>
  <c r="M355" i="16"/>
  <c r="P355" i="16" s="1"/>
  <c r="R355" i="16" s="1"/>
  <c r="F355" i="16"/>
  <c r="G355" i="16" s="1"/>
  <c r="Y354" i="16"/>
  <c r="X354" i="16"/>
  <c r="Y376" i="17" l="1"/>
  <c r="X376" i="17"/>
  <c r="F377" i="17"/>
  <c r="G377" i="17" s="1"/>
  <c r="V376" i="17"/>
  <c r="O377" i="17"/>
  <c r="N377" i="17"/>
  <c r="P377" i="17"/>
  <c r="R377" i="17" s="1"/>
  <c r="N355" i="16"/>
  <c r="O355" i="16"/>
  <c r="I355" i="16"/>
  <c r="K355" i="16" s="1"/>
  <c r="U355" i="16" s="1"/>
  <c r="H355" i="16"/>
  <c r="H377" i="17" l="1"/>
  <c r="I377" i="17"/>
  <c r="K377" i="17" s="1"/>
  <c r="U377" i="17" s="1"/>
  <c r="Q377" i="17"/>
  <c r="Q355" i="16"/>
  <c r="S355" i="16" s="1"/>
  <c r="J355" i="16"/>
  <c r="L355" i="16" s="1"/>
  <c r="J377" i="17" l="1"/>
  <c r="L377" i="17" s="1"/>
  <c r="Y355" i="16"/>
  <c r="W355" i="16"/>
  <c r="M356" i="16"/>
  <c r="N356" i="16" s="1"/>
  <c r="T355" i="16"/>
  <c r="V355" i="16" s="1"/>
  <c r="F356" i="16"/>
  <c r="I356" i="16" s="1"/>
  <c r="K356" i="16" s="1"/>
  <c r="X355" i="16"/>
  <c r="S377" i="17"/>
  <c r="W377" i="17" s="1"/>
  <c r="T377" i="17" l="1"/>
  <c r="P356" i="16"/>
  <c r="R356" i="16" s="1"/>
  <c r="U356" i="16" s="1"/>
  <c r="O356" i="16"/>
  <c r="G356" i="16"/>
  <c r="H356" i="16"/>
  <c r="X377" i="17"/>
  <c r="M378" i="17"/>
  <c r="Y377" i="17"/>
  <c r="F378" i="17"/>
  <c r="V377" i="17"/>
  <c r="J356" i="16" l="1"/>
  <c r="L356" i="16" s="1"/>
  <c r="Q356" i="16"/>
  <c r="S356" i="16" s="1"/>
  <c r="O378" i="17"/>
  <c r="P378" i="17"/>
  <c r="R378" i="17" s="1"/>
  <c r="N378" i="17"/>
  <c r="H378" i="17"/>
  <c r="I378" i="17"/>
  <c r="K378" i="17" s="1"/>
  <c r="G378" i="17"/>
  <c r="F357" i="16" l="1"/>
  <c r="G357" i="16" s="1"/>
  <c r="T356" i="16"/>
  <c r="V356" i="16" s="1"/>
  <c r="M357" i="16"/>
  <c r="O357" i="16" s="1"/>
  <c r="Y356" i="16"/>
  <c r="X356" i="16"/>
  <c r="W356" i="16"/>
  <c r="Q378" i="17"/>
  <c r="S378" i="17" s="1"/>
  <c r="J378" i="17"/>
  <c r="U378" i="17"/>
  <c r="N357" i="16"/>
  <c r="I357" i="16"/>
  <c r="K357" i="16" s="1"/>
  <c r="H357" i="16"/>
  <c r="P357" i="16" l="1"/>
  <c r="R357" i="16" s="1"/>
  <c r="U357" i="16" s="1"/>
  <c r="T378" i="17"/>
  <c r="L378" i="17"/>
  <c r="J357" i="16"/>
  <c r="L357" i="16" s="1"/>
  <c r="Q357" i="16" l="1"/>
  <c r="S357" i="16" s="1"/>
  <c r="W357" i="16" s="1"/>
  <c r="X378" i="17"/>
  <c r="W378" i="17"/>
  <c r="V378" i="17"/>
  <c r="F379" i="17"/>
  <c r="H379" i="17" s="1"/>
  <c r="M379" i="17"/>
  <c r="N379" i="17" s="1"/>
  <c r="Y378" i="17"/>
  <c r="M358" i="16"/>
  <c r="N358" i="16" s="1"/>
  <c r="Y357" i="16" l="1"/>
  <c r="X357" i="16"/>
  <c r="F358" i="16"/>
  <c r="G358" i="16" s="1"/>
  <c r="T357" i="16"/>
  <c r="V357" i="16" s="1"/>
  <c r="O379" i="17"/>
  <c r="I379" i="17"/>
  <c r="K379" i="17" s="1"/>
  <c r="G379" i="17"/>
  <c r="P379" i="17"/>
  <c r="R379" i="17" s="1"/>
  <c r="P358" i="16"/>
  <c r="R358" i="16" s="1"/>
  <c r="O358" i="16"/>
  <c r="I358" i="16" l="1"/>
  <c r="K358" i="16" s="1"/>
  <c r="U358" i="16" s="1"/>
  <c r="H358" i="16"/>
  <c r="U379" i="17"/>
  <c r="J379" i="17"/>
  <c r="L379" i="17" s="1"/>
  <c r="W379" i="17" s="1"/>
  <c r="Q358" i="16"/>
  <c r="S358" i="16" s="1"/>
  <c r="Q379" i="17"/>
  <c r="S379" i="17" s="1"/>
  <c r="J358" i="16" l="1"/>
  <c r="L358" i="16" s="1"/>
  <c r="F380" i="17"/>
  <c r="I380" i="17" s="1"/>
  <c r="K380" i="17" s="1"/>
  <c r="X379" i="17"/>
  <c r="Y379" i="17"/>
  <c r="M380" i="17"/>
  <c r="N380" i="17" s="1"/>
  <c r="T379" i="17"/>
  <c r="V379" i="17" s="1"/>
  <c r="T358" i="16"/>
  <c r="W358" i="16" l="1"/>
  <c r="M359" i="16"/>
  <c r="P359" i="16" s="1"/>
  <c r="R359" i="16" s="1"/>
  <c r="F359" i="16"/>
  <c r="Y358" i="16"/>
  <c r="X358" i="16"/>
  <c r="V358" i="16"/>
  <c r="P380" i="17"/>
  <c r="R380" i="17" s="1"/>
  <c r="U380" i="17" s="1"/>
  <c r="O380" i="17"/>
  <c r="G380" i="17"/>
  <c r="H380" i="17"/>
  <c r="G359" i="16"/>
  <c r="N359" i="16"/>
  <c r="O359" i="16"/>
  <c r="H359" i="16" l="1"/>
  <c r="I359" i="16"/>
  <c r="K359" i="16" s="1"/>
  <c r="U359" i="16" s="1"/>
  <c r="Q380" i="17"/>
  <c r="S380" i="17" s="1"/>
  <c r="J380" i="17"/>
  <c r="L380" i="17" s="1"/>
  <c r="Q359" i="16"/>
  <c r="S359" i="16" s="1"/>
  <c r="J359" i="16" l="1"/>
  <c r="L359" i="16" s="1"/>
  <c r="W359" i="16" s="1"/>
  <c r="W380" i="17"/>
  <c r="T380" i="17"/>
  <c r="F381" i="17"/>
  <c r="G381" i="17" s="1"/>
  <c r="V380" i="17"/>
  <c r="X380" i="17"/>
  <c r="Y380" i="17"/>
  <c r="M381" i="17"/>
  <c r="F360" i="16" l="1"/>
  <c r="G360" i="16" s="1"/>
  <c r="M360" i="16"/>
  <c r="P360" i="16" s="1"/>
  <c r="R360" i="16" s="1"/>
  <c r="T359" i="16"/>
  <c r="V359" i="16" s="1"/>
  <c r="Y359" i="16"/>
  <c r="X359" i="16"/>
  <c r="N360" i="16"/>
  <c r="O360" i="16"/>
  <c r="H381" i="17"/>
  <c r="I360" i="16"/>
  <c r="K360" i="16" s="1"/>
  <c r="U360" i="16" s="1"/>
  <c r="I381" i="17"/>
  <c r="K381" i="17" s="1"/>
  <c r="H360" i="16"/>
  <c r="J360" i="16" s="1"/>
  <c r="L360" i="16" s="1"/>
  <c r="N381" i="17"/>
  <c r="P381" i="17"/>
  <c r="R381" i="17" s="1"/>
  <c r="U381" i="17" s="1"/>
  <c r="O381" i="17"/>
  <c r="J381" i="17"/>
  <c r="L381" i="17" s="1"/>
  <c r="Q360" i="16"/>
  <c r="Q381" i="17" l="1"/>
  <c r="S381" i="17" s="1"/>
  <c r="W381" i="17" s="1"/>
  <c r="T360" i="16"/>
  <c r="S360" i="16"/>
  <c r="X360" i="16" s="1"/>
  <c r="T381" i="17" l="1"/>
  <c r="Y381" i="17"/>
  <c r="F382" i="17"/>
  <c r="G382" i="17" s="1"/>
  <c r="M382" i="17"/>
  <c r="O382" i="17" s="1"/>
  <c r="X381" i="17"/>
  <c r="V381" i="17"/>
  <c r="M361" i="16"/>
  <c r="P361" i="16" s="1"/>
  <c r="R361" i="16" s="1"/>
  <c r="W360" i="16"/>
  <c r="Y360" i="16"/>
  <c r="V360" i="16"/>
  <c r="F361" i="16"/>
  <c r="I361" i="16" s="1"/>
  <c r="K361" i="16" s="1"/>
  <c r="H382" i="17" l="1"/>
  <c r="I382" i="17"/>
  <c r="N361" i="16"/>
  <c r="O361" i="16"/>
  <c r="P382" i="17"/>
  <c r="R382" i="17" s="1"/>
  <c r="N382" i="17"/>
  <c r="G361" i="16"/>
  <c r="H361" i="16"/>
  <c r="U361" i="16"/>
  <c r="Q361" i="16" l="1"/>
  <c r="S361" i="16" s="1"/>
  <c r="K382" i="17"/>
  <c r="U382" i="17" s="1"/>
  <c r="J382" i="17"/>
  <c r="Q382" i="17"/>
  <c r="S382" i="17" s="1"/>
  <c r="J361" i="16"/>
  <c r="L361" i="16" s="1"/>
  <c r="L382" i="17" l="1"/>
  <c r="W382" i="17" s="1"/>
  <c r="T361" i="16"/>
  <c r="Y382" i="17"/>
  <c r="T382" i="17"/>
  <c r="Y361" i="16"/>
  <c r="W361" i="16"/>
  <c r="F362" i="16"/>
  <c r="M362" i="16"/>
  <c r="X361" i="16"/>
  <c r="V361" i="16"/>
  <c r="V382" i="17" l="1"/>
  <c r="M383" i="17"/>
  <c r="O383" i="17" s="1"/>
  <c r="F383" i="17"/>
  <c r="G383" i="17" s="1"/>
  <c r="X382" i="17"/>
  <c r="N362" i="16"/>
  <c r="P362" i="16"/>
  <c r="R362" i="16" s="1"/>
  <c r="O362" i="16"/>
  <c r="I362" i="16"/>
  <c r="K362" i="16" s="1"/>
  <c r="H362" i="16"/>
  <c r="G362" i="16"/>
  <c r="H383" i="17" l="1"/>
  <c r="I383" i="17"/>
  <c r="K383" i="17" s="1"/>
  <c r="N383" i="17"/>
  <c r="P383" i="17"/>
  <c r="R383" i="17" s="1"/>
  <c r="J383" i="17"/>
  <c r="J362" i="16"/>
  <c r="L362" i="16" s="1"/>
  <c r="U362" i="16"/>
  <c r="Q362" i="16"/>
  <c r="U383" i="17" l="1"/>
  <c r="Q383" i="17"/>
  <c r="S383" i="17" s="1"/>
  <c r="L383" i="17"/>
  <c r="W383" i="17" s="1"/>
  <c r="T362" i="16"/>
  <c r="S362" i="16"/>
  <c r="V362" i="16" s="1"/>
  <c r="T383" i="17" l="1"/>
  <c r="V383" i="17" s="1"/>
  <c r="M384" i="17"/>
  <c r="N384" i="17" s="1"/>
  <c r="X383" i="17"/>
  <c r="F384" i="17"/>
  <c r="G384" i="17" s="1"/>
  <c r="Y383" i="17"/>
  <c r="F363" i="16"/>
  <c r="I363" i="16" s="1"/>
  <c r="K363" i="16" s="1"/>
  <c r="W362" i="16"/>
  <c r="M363" i="16"/>
  <c r="N363" i="16" s="1"/>
  <c r="Y362" i="16"/>
  <c r="X362" i="16"/>
  <c r="P384" i="17" l="1"/>
  <c r="R384" i="17" s="1"/>
  <c r="O384" i="17"/>
  <c r="H384" i="17"/>
  <c r="G363" i="16"/>
  <c r="I384" i="17"/>
  <c r="K384" i="17" s="1"/>
  <c r="U384" i="17" s="1"/>
  <c r="H363" i="16"/>
  <c r="O363" i="16"/>
  <c r="P363" i="16"/>
  <c r="R363" i="16" s="1"/>
  <c r="U363" i="16" s="1"/>
  <c r="Q384" i="17"/>
  <c r="S384" i="17" s="1"/>
  <c r="J363" i="16" l="1"/>
  <c r="L363" i="16" s="1"/>
  <c r="J384" i="17"/>
  <c r="L384" i="17" s="1"/>
  <c r="Q363" i="16"/>
  <c r="S363" i="16" s="1"/>
  <c r="T384" i="17" l="1"/>
  <c r="W384" i="17"/>
  <c r="M385" i="17"/>
  <c r="F385" i="17"/>
  <c r="X384" i="17"/>
  <c r="Y384" i="17"/>
  <c r="V384" i="17"/>
  <c r="W363" i="16"/>
  <c r="F364" i="16"/>
  <c r="G364" i="16" s="1"/>
  <c r="T363" i="16"/>
  <c r="V363" i="16" s="1"/>
  <c r="X363" i="16"/>
  <c r="Y363" i="16"/>
  <c r="M364" i="16"/>
  <c r="O364" i="16" s="1"/>
  <c r="P385" i="17"/>
  <c r="R385" i="17" s="1"/>
  <c r="N385" i="17"/>
  <c r="O385" i="17"/>
  <c r="H364" i="16"/>
  <c r="P364" i="16" l="1"/>
  <c r="R364" i="16" s="1"/>
  <c r="I364" i="16"/>
  <c r="K364" i="16" s="1"/>
  <c r="G385" i="17"/>
  <c r="I385" i="17"/>
  <c r="K385" i="17" s="1"/>
  <c r="U385" i="17" s="1"/>
  <c r="H385" i="17"/>
  <c r="N364" i="16"/>
  <c r="Q364" i="16" s="1"/>
  <c r="S364" i="16" s="1"/>
  <c r="Q385" i="17"/>
  <c r="J364" i="16"/>
  <c r="U364" i="16" l="1"/>
  <c r="J385" i="17"/>
  <c r="L385" i="17" s="1"/>
  <c r="S385" i="17"/>
  <c r="T364" i="16"/>
  <c r="L364" i="16"/>
  <c r="T385" i="17" l="1"/>
  <c r="V385" i="17" s="1"/>
  <c r="W385" i="17"/>
  <c r="M386" i="17"/>
  <c r="P386" i="17" s="1"/>
  <c r="R386" i="17" s="1"/>
  <c r="X385" i="17"/>
  <c r="Y385" i="17"/>
  <c r="F386" i="17"/>
  <c r="Y364" i="16"/>
  <c r="W364" i="16"/>
  <c r="O386" i="17"/>
  <c r="X364" i="16"/>
  <c r="F365" i="16"/>
  <c r="M365" i="16"/>
  <c r="V364" i="16"/>
  <c r="N386" i="17" l="1"/>
  <c r="G386" i="17"/>
  <c r="H386" i="17"/>
  <c r="I386" i="17"/>
  <c r="K386" i="17" s="1"/>
  <c r="U386" i="17" s="1"/>
  <c r="Q386" i="17"/>
  <c r="O365" i="16"/>
  <c r="N365" i="16"/>
  <c r="P365" i="16"/>
  <c r="R365" i="16" s="1"/>
  <c r="G365" i="16"/>
  <c r="H365" i="16"/>
  <c r="I365" i="16"/>
  <c r="K365" i="16" s="1"/>
  <c r="J386" i="17" l="1"/>
  <c r="L386" i="17" s="1"/>
  <c r="S386" i="17"/>
  <c r="U365" i="16"/>
  <c r="Q365" i="16"/>
  <c r="S365" i="16" s="1"/>
  <c r="J365" i="16"/>
  <c r="F387" i="17" l="1"/>
  <c r="G387" i="17" s="1"/>
  <c r="W386" i="17"/>
  <c r="T386" i="17"/>
  <c r="X386" i="17"/>
  <c r="M387" i="17"/>
  <c r="O387" i="17" s="1"/>
  <c r="V386" i="17"/>
  <c r="Y386" i="17"/>
  <c r="T365" i="16"/>
  <c r="L365" i="16"/>
  <c r="I387" i="17" l="1"/>
  <c r="K387" i="17" s="1"/>
  <c r="H387" i="17"/>
  <c r="N387" i="17"/>
  <c r="P387" i="17"/>
  <c r="R387" i="17" s="1"/>
  <c r="Y365" i="16"/>
  <c r="W365" i="16"/>
  <c r="F366" i="16"/>
  <c r="M366" i="16"/>
  <c r="X365" i="16"/>
  <c r="V365" i="16"/>
  <c r="U387" i="17" l="1"/>
  <c r="J387" i="17"/>
  <c r="L387" i="17" s="1"/>
  <c r="Q387" i="17"/>
  <c r="S387" i="17" s="1"/>
  <c r="N366" i="16"/>
  <c r="P366" i="16"/>
  <c r="R366" i="16" s="1"/>
  <c r="O366" i="16"/>
  <c r="I366" i="16"/>
  <c r="K366" i="16" s="1"/>
  <c r="H366" i="16"/>
  <c r="G366" i="16"/>
  <c r="W387" i="17" l="1"/>
  <c r="T387" i="17"/>
  <c r="V387" i="17" s="1"/>
  <c r="X387" i="17"/>
  <c r="F388" i="17"/>
  <c r="Y387" i="17"/>
  <c r="M388" i="17"/>
  <c r="J366" i="16"/>
  <c r="L366" i="16" s="1"/>
  <c r="Q366" i="16"/>
  <c r="U366" i="16"/>
  <c r="N388" i="17" l="1"/>
  <c r="P388" i="17"/>
  <c r="R388" i="17" s="1"/>
  <c r="O388" i="17"/>
  <c r="I388" i="17"/>
  <c r="K388" i="17" s="1"/>
  <c r="G388" i="17"/>
  <c r="H388" i="17"/>
  <c r="T366" i="16"/>
  <c r="S366" i="16"/>
  <c r="V366" i="16" s="1"/>
  <c r="W366" i="16" l="1"/>
  <c r="U388" i="17"/>
  <c r="M367" i="16"/>
  <c r="P367" i="16" s="1"/>
  <c r="R367" i="16" s="1"/>
  <c r="J388" i="17"/>
  <c r="L388" i="17" s="1"/>
  <c r="Q388" i="17"/>
  <c r="F367" i="16"/>
  <c r="G367" i="16" s="1"/>
  <c r="X366" i="16"/>
  <c r="Y366" i="16"/>
  <c r="N367" i="16"/>
  <c r="W388" i="17" l="1"/>
  <c r="O367" i="16"/>
  <c r="Q367" i="16" s="1"/>
  <c r="S367" i="16" s="1"/>
  <c r="T388" i="17"/>
  <c r="S388" i="17"/>
  <c r="Y388" i="17" s="1"/>
  <c r="H367" i="16"/>
  <c r="I367" i="16"/>
  <c r="K367" i="16" s="1"/>
  <c r="U367" i="16" s="1"/>
  <c r="F389" i="17" l="1"/>
  <c r="G389" i="17" s="1"/>
  <c r="V388" i="17"/>
  <c r="M389" i="17"/>
  <c r="N389" i="17" s="1"/>
  <c r="X388" i="17"/>
  <c r="J367" i="16"/>
  <c r="L367" i="16" s="1"/>
  <c r="H389" i="17" l="1"/>
  <c r="I389" i="17"/>
  <c r="K389" i="17" s="1"/>
  <c r="Y367" i="16"/>
  <c r="W367" i="16"/>
  <c r="P389" i="17"/>
  <c r="R389" i="17" s="1"/>
  <c r="O389" i="17"/>
  <c r="T367" i="16"/>
  <c r="V367" i="16" s="1"/>
  <c r="M368" i="16"/>
  <c r="X367" i="16"/>
  <c r="F368" i="16"/>
  <c r="G368" i="16" s="1"/>
  <c r="U389" i="17" l="1"/>
  <c r="J389" i="17"/>
  <c r="L389" i="17" s="1"/>
  <c r="Q389" i="17"/>
  <c r="S389" i="17" s="1"/>
  <c r="I368" i="16"/>
  <c r="K368" i="16" s="1"/>
  <c r="H368" i="16"/>
  <c r="N368" i="16"/>
  <c r="P368" i="16"/>
  <c r="R368" i="16" s="1"/>
  <c r="O368" i="16"/>
  <c r="W389" i="17" l="1"/>
  <c r="T389" i="17"/>
  <c r="J368" i="16"/>
  <c r="L368" i="16" s="1"/>
  <c r="U368" i="16"/>
  <c r="Y389" i="17"/>
  <c r="M390" i="17"/>
  <c r="X389" i="17"/>
  <c r="F390" i="17"/>
  <c r="V389" i="17"/>
  <c r="Q368" i="16"/>
  <c r="S368" i="16" s="1"/>
  <c r="Y368" i="16" l="1"/>
  <c r="W368" i="16"/>
  <c r="M369" i="16"/>
  <c r="N369" i="16" s="1"/>
  <c r="F369" i="16"/>
  <c r="H369" i="16" s="1"/>
  <c r="T368" i="16"/>
  <c r="V368" i="16" s="1"/>
  <c r="X368" i="16"/>
  <c r="G390" i="17"/>
  <c r="H390" i="17"/>
  <c r="I390" i="17"/>
  <c r="K390" i="17" s="1"/>
  <c r="P390" i="17"/>
  <c r="R390" i="17" s="1"/>
  <c r="O390" i="17"/>
  <c r="N390" i="17"/>
  <c r="G369" i="16"/>
  <c r="O369" i="16" l="1"/>
  <c r="P369" i="16"/>
  <c r="R369" i="16" s="1"/>
  <c r="I369" i="16"/>
  <c r="K369" i="16" s="1"/>
  <c r="U369" i="16" s="1"/>
  <c r="U390" i="17"/>
  <c r="Q390" i="17"/>
  <c r="S390" i="17" s="1"/>
  <c r="J390" i="17"/>
  <c r="Q369" i="16"/>
  <c r="S369" i="16" s="1"/>
  <c r="J369" i="16" l="1"/>
  <c r="T369" i="16" s="1"/>
  <c r="T390" i="17"/>
  <c r="L390" i="17"/>
  <c r="W390" i="17" s="1"/>
  <c r="L369" i="16" l="1"/>
  <c r="Y369" i="16" s="1"/>
  <c r="M391" i="17"/>
  <c r="X390" i="17"/>
  <c r="F391" i="17"/>
  <c r="Y390" i="17"/>
  <c r="V390" i="17"/>
  <c r="M370" i="16"/>
  <c r="V369" i="16"/>
  <c r="F370" i="16" l="1"/>
  <c r="H370" i="16" s="1"/>
  <c r="X369" i="16"/>
  <c r="W369" i="16"/>
  <c r="G391" i="17"/>
  <c r="I391" i="17"/>
  <c r="K391" i="17" s="1"/>
  <c r="H391" i="17"/>
  <c r="N391" i="17"/>
  <c r="O391" i="17"/>
  <c r="P391" i="17"/>
  <c r="R391" i="17" s="1"/>
  <c r="N370" i="16"/>
  <c r="P370" i="16"/>
  <c r="R370" i="16" s="1"/>
  <c r="O370" i="16"/>
  <c r="I370" i="16"/>
  <c r="K370" i="16" s="1"/>
  <c r="G370" i="16"/>
  <c r="J391" i="17" l="1"/>
  <c r="L391" i="17" s="1"/>
  <c r="W391" i="17" s="1"/>
  <c r="Q391" i="17"/>
  <c r="S391" i="17" s="1"/>
  <c r="U391" i="17"/>
  <c r="J370" i="16"/>
  <c r="L370" i="16" s="1"/>
  <c r="W370" i="16" s="1"/>
  <c r="Q370" i="16"/>
  <c r="S370" i="16" s="1"/>
  <c r="U370" i="16"/>
  <c r="T391" i="17" l="1"/>
  <c r="M392" i="17"/>
  <c r="O392" i="17" s="1"/>
  <c r="Y391" i="17"/>
  <c r="V391" i="17"/>
  <c r="X391" i="17"/>
  <c r="F392" i="17"/>
  <c r="I392" i="17" s="1"/>
  <c r="K392" i="17" s="1"/>
  <c r="Y370" i="16"/>
  <c r="T370" i="16"/>
  <c r="V370" i="16" s="1"/>
  <c r="M371" i="16"/>
  <c r="X370" i="16"/>
  <c r="F371" i="16"/>
  <c r="N392" i="17" l="1"/>
  <c r="H392" i="17"/>
  <c r="P392" i="17"/>
  <c r="R392" i="17" s="1"/>
  <c r="U392" i="17" s="1"/>
  <c r="G392" i="17"/>
  <c r="I371" i="16"/>
  <c r="K371" i="16" s="1"/>
  <c r="H371" i="16"/>
  <c r="G371" i="16"/>
  <c r="P371" i="16"/>
  <c r="R371" i="16" s="1"/>
  <c r="O371" i="16"/>
  <c r="N371" i="16"/>
  <c r="J392" i="17" l="1"/>
  <c r="L392" i="17" s="1"/>
  <c r="W392" i="17" s="1"/>
  <c r="Q392" i="17"/>
  <c r="S392" i="17" s="1"/>
  <c r="Q371" i="16"/>
  <c r="S371" i="16" s="1"/>
  <c r="J371" i="16"/>
  <c r="L371" i="16" s="1"/>
  <c r="U371" i="16"/>
  <c r="Y371" i="16" l="1"/>
  <c r="W371" i="16"/>
  <c r="T392" i="17"/>
  <c r="V392" i="17" s="1"/>
  <c r="Y392" i="17"/>
  <c r="M393" i="17"/>
  <c r="X392" i="17"/>
  <c r="F393" i="17"/>
  <c r="T371" i="16"/>
  <c r="V371" i="16" s="1"/>
  <c r="M372" i="16"/>
  <c r="X371" i="16"/>
  <c r="F372" i="16"/>
  <c r="P393" i="17" l="1"/>
  <c r="R393" i="17" s="1"/>
  <c r="N393" i="17"/>
  <c r="O393" i="17"/>
  <c r="H393" i="17"/>
  <c r="I393" i="17"/>
  <c r="K393" i="17" s="1"/>
  <c r="G393" i="17"/>
  <c r="H372" i="16"/>
  <c r="G372" i="16"/>
  <c r="I372" i="16"/>
  <c r="K372" i="16" s="1"/>
  <c r="P372" i="16"/>
  <c r="R372" i="16" s="1"/>
  <c r="O372" i="16"/>
  <c r="N372" i="16"/>
  <c r="Q393" i="17" l="1"/>
  <c r="S393" i="17" s="1"/>
  <c r="U393" i="17"/>
  <c r="J393" i="17"/>
  <c r="Q372" i="16"/>
  <c r="S372" i="16" s="1"/>
  <c r="U372" i="16"/>
  <c r="J372" i="16"/>
  <c r="T393" i="17" l="1"/>
  <c r="L393" i="17"/>
  <c r="W393" i="17" s="1"/>
  <c r="T372" i="16"/>
  <c r="L372" i="16"/>
  <c r="Y372" i="16" l="1"/>
  <c r="W372" i="16"/>
  <c r="F394" i="17"/>
  <c r="M394" i="17"/>
  <c r="Y393" i="17"/>
  <c r="X393" i="17"/>
  <c r="V393" i="17"/>
  <c r="X372" i="16"/>
  <c r="F373" i="16"/>
  <c r="M373" i="16"/>
  <c r="V372" i="16"/>
  <c r="N394" i="17" l="1"/>
  <c r="O394" i="17"/>
  <c r="P394" i="17"/>
  <c r="R394" i="17" s="1"/>
  <c r="I394" i="17"/>
  <c r="K394" i="17" s="1"/>
  <c r="H394" i="17"/>
  <c r="G394" i="17"/>
  <c r="O373" i="16"/>
  <c r="N373" i="16"/>
  <c r="P373" i="16"/>
  <c r="R373" i="16" s="1"/>
  <c r="G373" i="16"/>
  <c r="H373" i="16"/>
  <c r="I373" i="16"/>
  <c r="K373" i="16" s="1"/>
  <c r="U394" i="17" l="1"/>
  <c r="Q394" i="17"/>
  <c r="S394" i="17" s="1"/>
  <c r="J394" i="17"/>
  <c r="L394" i="17" s="1"/>
  <c r="W394" i="17" s="1"/>
  <c r="U373" i="16"/>
  <c r="Q373" i="16"/>
  <c r="S373" i="16" s="1"/>
  <c r="J373" i="16"/>
  <c r="T394" i="17" l="1"/>
  <c r="V394" i="17" s="1"/>
  <c r="Y394" i="17"/>
  <c r="X394" i="17"/>
  <c r="M395" i="17"/>
  <c r="F395" i="17"/>
  <c r="T373" i="16"/>
  <c r="L373" i="16"/>
  <c r="Y373" i="16" l="1"/>
  <c r="W373" i="16"/>
  <c r="I395" i="17"/>
  <c r="K395" i="17" s="1"/>
  <c r="H395" i="17"/>
  <c r="G395" i="17"/>
  <c r="O395" i="17"/>
  <c r="N395" i="17"/>
  <c r="P395" i="17"/>
  <c r="R395" i="17" s="1"/>
  <c r="F374" i="16"/>
  <c r="M374" i="16"/>
  <c r="X373" i="16"/>
  <c r="V373" i="16"/>
  <c r="J395" i="17" l="1"/>
  <c r="Q395" i="17"/>
  <c r="S395" i="17" s="1"/>
  <c r="U395" i="17"/>
  <c r="I374" i="16"/>
  <c r="K374" i="16" s="1"/>
  <c r="H374" i="16"/>
  <c r="G374" i="16"/>
  <c r="N374" i="16"/>
  <c r="P374" i="16"/>
  <c r="R374" i="16" s="1"/>
  <c r="O374" i="16"/>
  <c r="T395" i="17" l="1"/>
  <c r="L395" i="17"/>
  <c r="W395" i="17" s="1"/>
  <c r="Q374" i="16"/>
  <c r="S374" i="16" s="1"/>
  <c r="U374" i="16"/>
  <c r="J374" i="16"/>
  <c r="V395" i="17" l="1"/>
  <c r="Y395" i="17"/>
  <c r="X395" i="17"/>
  <c r="M396" i="17"/>
  <c r="P396" i="17" s="1"/>
  <c r="R396" i="17" s="1"/>
  <c r="F396" i="17"/>
  <c r="H396" i="17" s="1"/>
  <c r="T374" i="16"/>
  <c r="L374" i="16"/>
  <c r="N396" i="17" l="1"/>
  <c r="Y374" i="16"/>
  <c r="W374" i="16"/>
  <c r="O396" i="17"/>
  <c r="I396" i="17"/>
  <c r="K396" i="17" s="1"/>
  <c r="U396" i="17" s="1"/>
  <c r="G396" i="17"/>
  <c r="J396" i="17" s="1"/>
  <c r="L396" i="17" s="1"/>
  <c r="M375" i="16"/>
  <c r="X374" i="16"/>
  <c r="F375" i="16"/>
  <c r="V374" i="16"/>
  <c r="Q396" i="17" l="1"/>
  <c r="S396" i="17" s="1"/>
  <c r="X396" i="17" s="1"/>
  <c r="I375" i="16"/>
  <c r="K375" i="16" s="1"/>
  <c r="H375" i="16"/>
  <c r="G375" i="16"/>
  <c r="P375" i="16"/>
  <c r="R375" i="16" s="1"/>
  <c r="O375" i="16"/>
  <c r="N375" i="16"/>
  <c r="Y396" i="17" l="1"/>
  <c r="F397" i="17"/>
  <c r="H397" i="17" s="1"/>
  <c r="M397" i="17"/>
  <c r="P397" i="17" s="1"/>
  <c r="R397" i="17" s="1"/>
  <c r="W396" i="17"/>
  <c r="T396" i="17"/>
  <c r="V396" i="17" s="1"/>
  <c r="G397" i="17"/>
  <c r="J375" i="16"/>
  <c r="L375" i="16" s="1"/>
  <c r="Q375" i="16"/>
  <c r="S375" i="16" s="1"/>
  <c r="U375" i="16"/>
  <c r="I397" i="17" l="1"/>
  <c r="K397" i="17" s="1"/>
  <c r="U397" i="17" s="1"/>
  <c r="N397" i="17"/>
  <c r="Q397" i="17" s="1"/>
  <c r="S397" i="17" s="1"/>
  <c r="O397" i="17"/>
  <c r="W375" i="16"/>
  <c r="J397" i="17"/>
  <c r="Y375" i="16"/>
  <c r="T375" i="16"/>
  <c r="V375" i="16" s="1"/>
  <c r="X375" i="16"/>
  <c r="M376" i="16"/>
  <c r="F376" i="16"/>
  <c r="L397" i="17" l="1"/>
  <c r="W397" i="17" s="1"/>
  <c r="T397" i="17"/>
  <c r="H376" i="16"/>
  <c r="G376" i="16"/>
  <c r="I376" i="16"/>
  <c r="K376" i="16" s="1"/>
  <c r="P376" i="16"/>
  <c r="R376" i="16" s="1"/>
  <c r="O376" i="16"/>
  <c r="N376" i="16"/>
  <c r="Q376" i="16" l="1"/>
  <c r="S376" i="16" s="1"/>
  <c r="F398" i="17"/>
  <c r="Y397" i="17"/>
  <c r="X397" i="17"/>
  <c r="M398" i="17"/>
  <c r="V397" i="17"/>
  <c r="U376" i="16"/>
  <c r="J376" i="16"/>
  <c r="T376" i="16" l="1"/>
  <c r="N398" i="17"/>
  <c r="P398" i="17"/>
  <c r="R398" i="17" s="1"/>
  <c r="O398" i="17"/>
  <c r="I398" i="17"/>
  <c r="K398" i="17" s="1"/>
  <c r="H398" i="17"/>
  <c r="G398" i="17"/>
  <c r="L376" i="16"/>
  <c r="W376" i="16" s="1"/>
  <c r="U398" i="17" l="1"/>
  <c r="J398" i="17"/>
  <c r="L398" i="17" s="1"/>
  <c r="Q398" i="17"/>
  <c r="S398" i="17" s="1"/>
  <c r="V376" i="16"/>
  <c r="M377" i="16"/>
  <c r="N377" i="16" s="1"/>
  <c r="X376" i="16"/>
  <c r="Y376" i="16"/>
  <c r="F377" i="16"/>
  <c r="H377" i="16" s="1"/>
  <c r="W398" i="17" l="1"/>
  <c r="T398" i="17"/>
  <c r="V398" i="17" s="1"/>
  <c r="O377" i="16"/>
  <c r="P377" i="16"/>
  <c r="R377" i="16" s="1"/>
  <c r="X398" i="17"/>
  <c r="Y398" i="17"/>
  <c r="M399" i="17"/>
  <c r="F399" i="17"/>
  <c r="I377" i="16"/>
  <c r="K377" i="16" s="1"/>
  <c r="G377" i="16"/>
  <c r="U377" i="16" l="1"/>
  <c r="Q377" i="16"/>
  <c r="S377" i="16" s="1"/>
  <c r="G399" i="17"/>
  <c r="I399" i="17"/>
  <c r="K399" i="17" s="1"/>
  <c r="H399" i="17"/>
  <c r="P399" i="17"/>
  <c r="R399" i="17" s="1"/>
  <c r="N399" i="17"/>
  <c r="O399" i="17"/>
  <c r="J377" i="16"/>
  <c r="T377" i="16" l="1"/>
  <c r="Q399" i="17"/>
  <c r="S399" i="17" s="1"/>
  <c r="J399" i="17"/>
  <c r="L399" i="17" s="1"/>
  <c r="W399" i="17" s="1"/>
  <c r="U399" i="17"/>
  <c r="L377" i="16"/>
  <c r="W377" i="16" s="1"/>
  <c r="V377" i="16" l="1"/>
  <c r="T399" i="17"/>
  <c r="V399" i="17" s="1"/>
  <c r="X399" i="17"/>
  <c r="M400" i="17"/>
  <c r="P400" i="17" s="1"/>
  <c r="R400" i="17" s="1"/>
  <c r="Y399" i="17"/>
  <c r="F400" i="17"/>
  <c r="I400" i="17" s="1"/>
  <c r="K400" i="17" s="1"/>
  <c r="F378" i="16"/>
  <c r="G378" i="16" s="1"/>
  <c r="Y377" i="16"/>
  <c r="X377" i="16"/>
  <c r="M378" i="16"/>
  <c r="O378" i="16" s="1"/>
  <c r="O400" i="17" l="1"/>
  <c r="N400" i="17"/>
  <c r="H400" i="17"/>
  <c r="G400" i="17"/>
  <c r="H378" i="16"/>
  <c r="U400" i="17"/>
  <c r="I378" i="16"/>
  <c r="K378" i="16" s="1"/>
  <c r="P378" i="16"/>
  <c r="R378" i="16" s="1"/>
  <c r="N378" i="16"/>
  <c r="Q400" i="17" l="1"/>
  <c r="S400" i="17" s="1"/>
  <c r="J400" i="17"/>
  <c r="L400" i="17" s="1"/>
  <c r="W400" i="17" s="1"/>
  <c r="J378" i="16"/>
  <c r="L378" i="16" s="1"/>
  <c r="U378" i="16"/>
  <c r="Q378" i="16"/>
  <c r="Y400" i="17" l="1"/>
  <c r="M401" i="17"/>
  <c r="P401" i="17" s="1"/>
  <c r="R401" i="17" s="1"/>
  <c r="T378" i="16"/>
  <c r="X400" i="17"/>
  <c r="F401" i="17"/>
  <c r="I401" i="17" s="1"/>
  <c r="K401" i="17" s="1"/>
  <c r="T400" i="17"/>
  <c r="V400" i="17" s="1"/>
  <c r="S378" i="16"/>
  <c r="V378" i="16" s="1"/>
  <c r="M379" i="16"/>
  <c r="P379" i="16" s="1"/>
  <c r="R379" i="16" s="1"/>
  <c r="F379" i="16" l="1"/>
  <c r="H379" i="16" s="1"/>
  <c r="Y378" i="16"/>
  <c r="O401" i="17"/>
  <c r="N401" i="17"/>
  <c r="X378" i="16"/>
  <c r="W378" i="16"/>
  <c r="G401" i="17"/>
  <c r="H401" i="17"/>
  <c r="G379" i="16"/>
  <c r="U401" i="17"/>
  <c r="N379" i="16"/>
  <c r="O379" i="16"/>
  <c r="I379" i="16" l="1"/>
  <c r="K379" i="16" s="1"/>
  <c r="U379" i="16" s="1"/>
  <c r="Q401" i="17"/>
  <c r="S401" i="17" s="1"/>
  <c r="J401" i="17"/>
  <c r="L401" i="17" s="1"/>
  <c r="W401" i="17" s="1"/>
  <c r="J379" i="16"/>
  <c r="L379" i="16" s="1"/>
  <c r="Q379" i="16"/>
  <c r="S379" i="16" s="1"/>
  <c r="M402" i="17" l="1"/>
  <c r="N402" i="17" s="1"/>
  <c r="Y401" i="17"/>
  <c r="F402" i="17"/>
  <c r="H402" i="17" s="1"/>
  <c r="X401" i="17"/>
  <c r="T401" i="17"/>
  <c r="V401" i="17" s="1"/>
  <c r="W379" i="16"/>
  <c r="Y379" i="16"/>
  <c r="M380" i="16"/>
  <c r="P380" i="16" s="1"/>
  <c r="R380" i="16" s="1"/>
  <c r="F380" i="16"/>
  <c r="H380" i="16" s="1"/>
  <c r="X379" i="16"/>
  <c r="T379" i="16"/>
  <c r="V379" i="16" s="1"/>
  <c r="O402" i="17" l="1"/>
  <c r="P402" i="17"/>
  <c r="R402" i="17" s="1"/>
  <c r="G402" i="17"/>
  <c r="I402" i="17"/>
  <c r="K402" i="17" s="1"/>
  <c r="N380" i="16"/>
  <c r="O380" i="16"/>
  <c r="I380" i="16"/>
  <c r="K380" i="16" s="1"/>
  <c r="U380" i="16" s="1"/>
  <c r="G380" i="16"/>
  <c r="Q402" i="17" l="1"/>
  <c r="S402" i="17" s="1"/>
  <c r="U402" i="17"/>
  <c r="J380" i="16"/>
  <c r="L380" i="16" s="1"/>
  <c r="J402" i="17"/>
  <c r="Q380" i="16"/>
  <c r="S380" i="16" s="1"/>
  <c r="W380" i="16" s="1"/>
  <c r="T380" i="16" l="1"/>
  <c r="V380" i="16" s="1"/>
  <c r="T402" i="17"/>
  <c r="L402" i="17"/>
  <c r="F381" i="16"/>
  <c r="I381" i="16" s="1"/>
  <c r="K381" i="16" s="1"/>
  <c r="M381" i="16"/>
  <c r="N381" i="16" s="1"/>
  <c r="Y380" i="16"/>
  <c r="X380" i="16"/>
  <c r="O381" i="16" l="1"/>
  <c r="H381" i="16"/>
  <c r="W402" i="17"/>
  <c r="M403" i="17"/>
  <c r="V402" i="17"/>
  <c r="Y402" i="17"/>
  <c r="X402" i="17"/>
  <c r="F403" i="17"/>
  <c r="G381" i="16"/>
  <c r="J381" i="16" s="1"/>
  <c r="L381" i="16" s="1"/>
  <c r="P381" i="16"/>
  <c r="R381" i="16" s="1"/>
  <c r="U381" i="16" s="1"/>
  <c r="H403" i="17" l="1"/>
  <c r="I403" i="17"/>
  <c r="K403" i="17" s="1"/>
  <c r="G403" i="17"/>
  <c r="O403" i="17"/>
  <c r="N403" i="17"/>
  <c r="P403" i="17"/>
  <c r="R403" i="17" s="1"/>
  <c r="Q381" i="16"/>
  <c r="S381" i="16" s="1"/>
  <c r="F382" i="16" s="1"/>
  <c r="W381" i="16" l="1"/>
  <c r="M382" i="16"/>
  <c r="N382" i="16" s="1"/>
  <c r="T381" i="16"/>
  <c r="V381" i="16" s="1"/>
  <c r="X381" i="16"/>
  <c r="Y381" i="16"/>
  <c r="U403" i="17"/>
  <c r="Q403" i="17"/>
  <c r="S403" i="17" s="1"/>
  <c r="J403" i="17"/>
  <c r="I382" i="16"/>
  <c r="K382" i="16" s="1"/>
  <c r="H382" i="16"/>
  <c r="G382" i="16"/>
  <c r="O382" i="16"/>
  <c r="P382" i="16" l="1"/>
  <c r="R382" i="16" s="1"/>
  <c r="U382" i="16" s="1"/>
  <c r="T403" i="17"/>
  <c r="L403" i="17"/>
  <c r="J382" i="16"/>
  <c r="Q382" i="16" l="1"/>
  <c r="S382" i="16" s="1"/>
  <c r="X403" i="17"/>
  <c r="F404" i="17"/>
  <c r="M404" i="17"/>
  <c r="W403" i="17"/>
  <c r="Y403" i="17"/>
  <c r="V403" i="17"/>
  <c r="L382" i="16"/>
  <c r="T382" i="16" l="1"/>
  <c r="P404" i="17"/>
  <c r="R404" i="17" s="1"/>
  <c r="N404" i="17"/>
  <c r="O404" i="17"/>
  <c r="H404" i="17"/>
  <c r="G404" i="17"/>
  <c r="I404" i="17"/>
  <c r="K404" i="17" s="1"/>
  <c r="Y382" i="16"/>
  <c r="W382" i="16"/>
  <c r="M383" i="16"/>
  <c r="X382" i="16"/>
  <c r="F383" i="16"/>
  <c r="V382" i="16"/>
  <c r="Q404" i="17" l="1"/>
  <c r="S404" i="17" s="1"/>
  <c r="J404" i="17"/>
  <c r="L404" i="17" s="1"/>
  <c r="U404" i="17"/>
  <c r="I383" i="16"/>
  <c r="K383" i="16" s="1"/>
  <c r="H383" i="16"/>
  <c r="G383" i="16"/>
  <c r="P383" i="16"/>
  <c r="R383" i="16" s="1"/>
  <c r="O383" i="16"/>
  <c r="N383" i="16"/>
  <c r="Y404" i="17" l="1"/>
  <c r="X404" i="17"/>
  <c r="W404" i="17"/>
  <c r="M405" i="17"/>
  <c r="N405" i="17" s="1"/>
  <c r="F405" i="17"/>
  <c r="H405" i="17" s="1"/>
  <c r="T404" i="17"/>
  <c r="V404" i="17"/>
  <c r="U383" i="16"/>
  <c r="Q383" i="16"/>
  <c r="S383" i="16" s="1"/>
  <c r="J383" i="16"/>
  <c r="L383" i="16" s="1"/>
  <c r="I405" i="17" l="1"/>
  <c r="K405" i="17" s="1"/>
  <c r="P405" i="17"/>
  <c r="R405" i="17" s="1"/>
  <c r="O405" i="17"/>
  <c r="G405" i="17"/>
  <c r="Y383" i="16"/>
  <c r="W383" i="16"/>
  <c r="X383" i="16"/>
  <c r="F384" i="16"/>
  <c r="M384" i="16"/>
  <c r="T383" i="16"/>
  <c r="V383" i="16" s="1"/>
  <c r="J405" i="17" l="1"/>
  <c r="L405" i="17" s="1"/>
  <c r="W405" i="17" s="1"/>
  <c r="U405" i="17"/>
  <c r="Q405" i="17"/>
  <c r="S405" i="17" s="1"/>
  <c r="H384" i="16"/>
  <c r="G384" i="16"/>
  <c r="I384" i="16"/>
  <c r="K384" i="16" s="1"/>
  <c r="P384" i="16"/>
  <c r="R384" i="16" s="1"/>
  <c r="O384" i="16"/>
  <c r="N384" i="16"/>
  <c r="M406" i="17" l="1"/>
  <c r="O406" i="17" s="1"/>
  <c r="Y405" i="17"/>
  <c r="X405" i="17"/>
  <c r="F406" i="17"/>
  <c r="T405" i="17"/>
  <c r="V405" i="17" s="1"/>
  <c r="Q384" i="16"/>
  <c r="S384" i="16" s="1"/>
  <c r="U384" i="16"/>
  <c r="J384" i="16"/>
  <c r="N406" i="17" l="1"/>
  <c r="P406" i="17"/>
  <c r="R406" i="17" s="1"/>
  <c r="I406" i="17"/>
  <c r="K406" i="17" s="1"/>
  <c r="U406" i="17" s="1"/>
  <c r="H406" i="17"/>
  <c r="G406" i="17"/>
  <c r="T384" i="16"/>
  <c r="L384" i="16"/>
  <c r="Q406" i="17" l="1"/>
  <c r="S406" i="17" s="1"/>
  <c r="J406" i="17"/>
  <c r="Y384" i="16"/>
  <c r="W384" i="16"/>
  <c r="X384" i="16"/>
  <c r="F385" i="16"/>
  <c r="M385" i="16"/>
  <c r="V384" i="16"/>
  <c r="L406" i="17" l="1"/>
  <c r="T406" i="17"/>
  <c r="O385" i="16"/>
  <c r="N385" i="16"/>
  <c r="P385" i="16"/>
  <c r="R385" i="16" s="1"/>
  <c r="G385" i="16"/>
  <c r="I385" i="16"/>
  <c r="K385" i="16" s="1"/>
  <c r="H385" i="16"/>
  <c r="W406" i="17" l="1"/>
  <c r="F407" i="17"/>
  <c r="X406" i="17"/>
  <c r="M407" i="17"/>
  <c r="Y406" i="17"/>
  <c r="V406" i="17"/>
  <c r="U385" i="16"/>
  <c r="J385" i="16"/>
  <c r="Q385" i="16"/>
  <c r="S385" i="16" s="1"/>
  <c r="P407" i="17" l="1"/>
  <c r="R407" i="17" s="1"/>
  <c r="N407" i="17"/>
  <c r="O407" i="17"/>
  <c r="H407" i="17"/>
  <c r="I407" i="17"/>
  <c r="K407" i="17" s="1"/>
  <c r="U407" i="17" s="1"/>
  <c r="G407" i="17"/>
  <c r="T385" i="16"/>
  <c r="L385" i="16"/>
  <c r="J407" i="17" l="1"/>
  <c r="L407" i="17" s="1"/>
  <c r="Q407" i="17"/>
  <c r="S407" i="17" s="1"/>
  <c r="Y385" i="16"/>
  <c r="W385" i="16"/>
  <c r="F386" i="16"/>
  <c r="M386" i="16"/>
  <c r="X385" i="16"/>
  <c r="V385" i="16"/>
  <c r="T407" i="17" l="1"/>
  <c r="W407" i="17"/>
  <c r="X407" i="17"/>
  <c r="V407" i="17"/>
  <c r="Y407" i="17"/>
  <c r="M408" i="17"/>
  <c r="F408" i="17"/>
  <c r="N386" i="16"/>
  <c r="P386" i="16"/>
  <c r="R386" i="16" s="1"/>
  <c r="O386" i="16"/>
  <c r="I386" i="16"/>
  <c r="K386" i="16" s="1"/>
  <c r="H386" i="16"/>
  <c r="G386" i="16"/>
  <c r="P408" i="17" l="1"/>
  <c r="R408" i="17" s="1"/>
  <c r="O408" i="17"/>
  <c r="N408" i="17"/>
  <c r="Q408" i="17" s="1"/>
  <c r="S408" i="17" s="1"/>
  <c r="H408" i="17"/>
  <c r="G408" i="17"/>
  <c r="I408" i="17"/>
  <c r="K408" i="17" s="1"/>
  <c r="J386" i="16"/>
  <c r="L386" i="16" s="1"/>
  <c r="U386" i="16"/>
  <c r="Q386" i="16"/>
  <c r="U408" i="17" l="1"/>
  <c r="J408" i="17"/>
  <c r="T386" i="16"/>
  <c r="S386" i="16"/>
  <c r="X386" i="16" s="1"/>
  <c r="T408" i="17" l="1"/>
  <c r="L408" i="17"/>
  <c r="Y386" i="16"/>
  <c r="V386" i="16"/>
  <c r="F387" i="16"/>
  <c r="G387" i="16" s="1"/>
  <c r="M387" i="16"/>
  <c r="P387" i="16" s="1"/>
  <c r="R387" i="16" s="1"/>
  <c r="W386" i="16"/>
  <c r="N387" i="16" l="1"/>
  <c r="W408" i="17"/>
  <c r="X408" i="17"/>
  <c r="Y408" i="17"/>
  <c r="M409" i="17"/>
  <c r="V408" i="17"/>
  <c r="F409" i="17"/>
  <c r="H387" i="16"/>
  <c r="I387" i="16"/>
  <c r="K387" i="16" s="1"/>
  <c r="U387" i="16" s="1"/>
  <c r="O387" i="16"/>
  <c r="Q387" i="16" s="1"/>
  <c r="S387" i="16" s="1"/>
  <c r="P409" i="17" l="1"/>
  <c r="R409" i="17" s="1"/>
  <c r="O409" i="17"/>
  <c r="N409" i="17"/>
  <c r="I409" i="17"/>
  <c r="K409" i="17" s="1"/>
  <c r="G409" i="17"/>
  <c r="H409" i="17"/>
  <c r="J387" i="16"/>
  <c r="T387" i="16" s="1"/>
  <c r="Q409" i="17" l="1"/>
  <c r="S409" i="17" s="1"/>
  <c r="J409" i="17"/>
  <c r="L409" i="17" s="1"/>
  <c r="W409" i="17" s="1"/>
  <c r="U409" i="17"/>
  <c r="L387" i="16"/>
  <c r="W387" i="16" s="1"/>
  <c r="F410" i="17"/>
  <c r="I410" i="17" s="1"/>
  <c r="Y387" i="16" l="1"/>
  <c r="M388" i="16"/>
  <c r="P388" i="16" s="1"/>
  <c r="R388" i="16" s="1"/>
  <c r="X387" i="16"/>
  <c r="Y409" i="17"/>
  <c r="M410" i="17"/>
  <c r="N410" i="17" s="1"/>
  <c r="X409" i="17"/>
  <c r="F388" i="16"/>
  <c r="H388" i="16" s="1"/>
  <c r="T409" i="17"/>
  <c r="V409" i="17" s="1"/>
  <c r="O410" i="17"/>
  <c r="V387" i="16"/>
  <c r="P410" i="17"/>
  <c r="R410" i="17" s="1"/>
  <c r="G410" i="17"/>
  <c r="H410" i="17"/>
  <c r="K410" i="17"/>
  <c r="N388" i="16" l="1"/>
  <c r="Q388" i="16" s="1"/>
  <c r="S388" i="16" s="1"/>
  <c r="O388" i="16"/>
  <c r="I388" i="16"/>
  <c r="K388" i="16" s="1"/>
  <c r="U388" i="16" s="1"/>
  <c r="G388" i="16"/>
  <c r="U410" i="17"/>
  <c r="Q410" i="17"/>
  <c r="S410" i="17" s="1"/>
  <c r="J410" i="17"/>
  <c r="J388" i="16" l="1"/>
  <c r="L388" i="16" s="1"/>
  <c r="W388" i="16" s="1"/>
  <c r="T410" i="17"/>
  <c r="F389" i="16"/>
  <c r="H389" i="16" s="1"/>
  <c r="L410" i="17"/>
  <c r="X410" i="17" s="1"/>
  <c r="T388" i="16"/>
  <c r="V388" i="16" s="1"/>
  <c r="F411" i="17"/>
  <c r="M389" i="16" l="1"/>
  <c r="N389" i="16" s="1"/>
  <c r="Y388" i="16"/>
  <c r="X388" i="16"/>
  <c r="I389" i="16"/>
  <c r="K389" i="16" s="1"/>
  <c r="V410" i="17"/>
  <c r="W410" i="17"/>
  <c r="G389" i="16"/>
  <c r="P389" i="16"/>
  <c r="R389" i="16" s="1"/>
  <c r="O389" i="16"/>
  <c r="Y410" i="17"/>
  <c r="M411" i="17"/>
  <c r="P411" i="17" s="1"/>
  <c r="R411" i="17" s="1"/>
  <c r="H411" i="17"/>
  <c r="I411" i="17"/>
  <c r="K411" i="17" s="1"/>
  <c r="G411" i="17"/>
  <c r="U389" i="16" l="1"/>
  <c r="J389" i="16"/>
  <c r="L389" i="16" s="1"/>
  <c r="W389" i="16" s="1"/>
  <c r="Q389" i="16"/>
  <c r="S389" i="16" s="1"/>
  <c r="J411" i="17"/>
  <c r="L411" i="17" s="1"/>
  <c r="W411" i="17" s="1"/>
  <c r="O411" i="17"/>
  <c r="N411" i="17"/>
  <c r="Q411" i="17" s="1"/>
  <c r="S411" i="17" s="1"/>
  <c r="U411" i="17"/>
  <c r="T389" i="16" l="1"/>
  <c r="V389" i="16" s="1"/>
  <c r="M390" i="16"/>
  <c r="P390" i="16" s="1"/>
  <c r="R390" i="16" s="1"/>
  <c r="F390" i="16"/>
  <c r="I390" i="16" s="1"/>
  <c r="K390" i="16" s="1"/>
  <c r="X389" i="16"/>
  <c r="Y389" i="16"/>
  <c r="T411" i="17"/>
  <c r="V411" i="17" s="1"/>
  <c r="Y411" i="17"/>
  <c r="X411" i="17"/>
  <c r="F412" i="17"/>
  <c r="M412" i="17"/>
  <c r="N390" i="16" l="1"/>
  <c r="G390" i="16"/>
  <c r="H390" i="16"/>
  <c r="O390" i="16"/>
  <c r="P412" i="17"/>
  <c r="R412" i="17" s="1"/>
  <c r="N412" i="17"/>
  <c r="O412" i="17"/>
  <c r="G412" i="17"/>
  <c r="H412" i="17"/>
  <c r="I412" i="17"/>
  <c r="K412" i="17" s="1"/>
  <c r="J390" i="16"/>
  <c r="L390" i="16" s="1"/>
  <c r="U390" i="16"/>
  <c r="Q390" i="16"/>
  <c r="Q412" i="17" l="1"/>
  <c r="S412" i="17" s="1"/>
  <c r="U412" i="17"/>
  <c r="J412" i="17"/>
  <c r="T390" i="16"/>
  <c r="S390" i="16"/>
  <c r="X390" i="16" s="1"/>
  <c r="W390" i="16" l="1"/>
  <c r="L412" i="17"/>
  <c r="W412" i="17" s="1"/>
  <c r="T412" i="17"/>
  <c r="V390" i="16"/>
  <c r="F391" i="16"/>
  <c r="H391" i="16" s="1"/>
  <c r="Y390" i="16"/>
  <c r="M391" i="16"/>
  <c r="N391" i="16" s="1"/>
  <c r="I391" i="16" l="1"/>
  <c r="K391" i="16" s="1"/>
  <c r="G391" i="16"/>
  <c r="M413" i="17"/>
  <c r="X412" i="17"/>
  <c r="V412" i="17"/>
  <c r="Y412" i="17"/>
  <c r="F413" i="17"/>
  <c r="P391" i="16"/>
  <c r="R391" i="16" s="1"/>
  <c r="O391" i="16"/>
  <c r="J391" i="16"/>
  <c r="U391" i="16" l="1"/>
  <c r="Q391" i="16"/>
  <c r="S391" i="16" s="1"/>
  <c r="I413" i="17"/>
  <c r="K413" i="17" s="1"/>
  <c r="G413" i="17"/>
  <c r="H413" i="17"/>
  <c r="N413" i="17"/>
  <c r="O413" i="17"/>
  <c r="Q413" i="17" s="1"/>
  <c r="S413" i="17" s="1"/>
  <c r="P413" i="17"/>
  <c r="R413" i="17" s="1"/>
  <c r="L391" i="16"/>
  <c r="T391" i="16" l="1"/>
  <c r="J413" i="17"/>
  <c r="L413" i="17" s="1"/>
  <c r="W413" i="17" s="1"/>
  <c r="Y391" i="16"/>
  <c r="W391" i="16"/>
  <c r="U413" i="17"/>
  <c r="X391" i="16"/>
  <c r="F392" i="16"/>
  <c r="M392" i="16"/>
  <c r="V391" i="16"/>
  <c r="T413" i="17" l="1"/>
  <c r="V413" i="17" s="1"/>
  <c r="M414" i="17"/>
  <c r="N414" i="17" s="1"/>
  <c r="F414" i="17"/>
  <c r="X413" i="17"/>
  <c r="Y413" i="17"/>
  <c r="P392" i="16"/>
  <c r="R392" i="16" s="1"/>
  <c r="O392" i="16"/>
  <c r="N392" i="16"/>
  <c r="H392" i="16"/>
  <c r="G392" i="16"/>
  <c r="I392" i="16"/>
  <c r="K392" i="16" s="1"/>
  <c r="P414" i="17" l="1"/>
  <c r="R414" i="17" s="1"/>
  <c r="O414" i="17"/>
  <c r="I414" i="17"/>
  <c r="K414" i="17" s="1"/>
  <c r="U414" i="17" s="1"/>
  <c r="G414" i="17"/>
  <c r="H414" i="17"/>
  <c r="U392" i="16"/>
  <c r="J392" i="16"/>
  <c r="Q392" i="16"/>
  <c r="S392" i="16" s="1"/>
  <c r="Q414" i="17" l="1"/>
  <c r="S414" i="17" s="1"/>
  <c r="J414" i="17"/>
  <c r="T392" i="16"/>
  <c r="L392" i="16"/>
  <c r="T414" i="17" l="1"/>
  <c r="L414" i="17"/>
  <c r="Y392" i="16"/>
  <c r="W392" i="16"/>
  <c r="X392" i="16"/>
  <c r="F393" i="16"/>
  <c r="M393" i="16"/>
  <c r="V392" i="16"/>
  <c r="F415" i="17" l="1"/>
  <c r="H415" i="17" s="1"/>
  <c r="W414" i="17"/>
  <c r="M415" i="17"/>
  <c r="P415" i="17" s="1"/>
  <c r="R415" i="17" s="1"/>
  <c r="X414" i="17"/>
  <c r="V414" i="17"/>
  <c r="Y414" i="17"/>
  <c r="G415" i="17"/>
  <c r="O393" i="16"/>
  <c r="N393" i="16"/>
  <c r="P393" i="16"/>
  <c r="R393" i="16" s="1"/>
  <c r="G393" i="16"/>
  <c r="I393" i="16"/>
  <c r="K393" i="16" s="1"/>
  <c r="H393" i="16"/>
  <c r="I415" i="17" l="1"/>
  <c r="K415" i="17" s="1"/>
  <c r="U415" i="17" s="1"/>
  <c r="N415" i="17"/>
  <c r="O415" i="17"/>
  <c r="U393" i="16"/>
  <c r="J393" i="16"/>
  <c r="L393" i="16" s="1"/>
  <c r="W393" i="16" s="1"/>
  <c r="Q393" i="16"/>
  <c r="S393" i="16" s="1"/>
  <c r="J415" i="17" l="1"/>
  <c r="L415" i="17" s="1"/>
  <c r="W415" i="17" s="1"/>
  <c r="Q415" i="17"/>
  <c r="S415" i="17" s="1"/>
  <c r="Y393" i="16"/>
  <c r="F394" i="16"/>
  <c r="M394" i="16"/>
  <c r="X393" i="16"/>
  <c r="T393" i="16"/>
  <c r="V393" i="16" s="1"/>
  <c r="Y415" i="17" l="1"/>
  <c r="T415" i="17"/>
  <c r="V415" i="17" s="1"/>
  <c r="X415" i="17"/>
  <c r="F416" i="17"/>
  <c r="M416" i="17"/>
  <c r="N394" i="16"/>
  <c r="P394" i="16"/>
  <c r="R394" i="16" s="1"/>
  <c r="O394" i="16"/>
  <c r="I394" i="16"/>
  <c r="K394" i="16" s="1"/>
  <c r="H394" i="16"/>
  <c r="G394" i="16"/>
  <c r="U394" i="16" l="1"/>
  <c r="N416" i="17"/>
  <c r="O416" i="17"/>
  <c r="P416" i="17"/>
  <c r="R416" i="17" s="1"/>
  <c r="I416" i="17"/>
  <c r="K416" i="17" s="1"/>
  <c r="G416" i="17"/>
  <c r="H416" i="17"/>
  <c r="J394" i="16"/>
  <c r="L394" i="16" s="1"/>
  <c r="Q394" i="16"/>
  <c r="U416" i="17" l="1"/>
  <c r="J416" i="17"/>
  <c r="Q416" i="17"/>
  <c r="S416" i="17" s="1"/>
  <c r="T394" i="16"/>
  <c r="S394" i="16"/>
  <c r="V394" i="16" l="1"/>
  <c r="T416" i="17"/>
  <c r="L416" i="17"/>
  <c r="W416" i="17" s="1"/>
  <c r="W394" i="16"/>
  <c r="F395" i="16"/>
  <c r="H395" i="16" s="1"/>
  <c r="Y394" i="16"/>
  <c r="X394" i="16"/>
  <c r="M395" i="16"/>
  <c r="N395" i="16" s="1"/>
  <c r="Y416" i="17" l="1"/>
  <c r="M417" i="17"/>
  <c r="F417" i="17"/>
  <c r="V416" i="17"/>
  <c r="X416" i="17"/>
  <c r="I395" i="16"/>
  <c r="K395" i="16" s="1"/>
  <c r="G395" i="16"/>
  <c r="J395" i="16" s="1"/>
  <c r="O395" i="16"/>
  <c r="P395" i="16"/>
  <c r="R395" i="16" s="1"/>
  <c r="H417" i="17" l="1"/>
  <c r="G417" i="17"/>
  <c r="I417" i="17"/>
  <c r="K417" i="17" s="1"/>
  <c r="N417" i="17"/>
  <c r="P417" i="17"/>
  <c r="R417" i="17" s="1"/>
  <c r="O417" i="17"/>
  <c r="L395" i="16"/>
  <c r="U395" i="16"/>
  <c r="Q395" i="16"/>
  <c r="S395" i="16" s="1"/>
  <c r="J417" i="17" l="1"/>
  <c r="L417" i="17" s="1"/>
  <c r="U417" i="17"/>
  <c r="Q417" i="17"/>
  <c r="S417" i="17" s="1"/>
  <c r="W395" i="16"/>
  <c r="T395" i="16"/>
  <c r="V395" i="16" s="1"/>
  <c r="Y395" i="16"/>
  <c r="F396" i="16"/>
  <c r="I396" i="16" s="1"/>
  <c r="K396" i="16" s="1"/>
  <c r="M396" i="16"/>
  <c r="N396" i="16" s="1"/>
  <c r="X395" i="16"/>
  <c r="W417" i="17" l="1"/>
  <c r="X417" i="17"/>
  <c r="G396" i="16"/>
  <c r="F418" i="17"/>
  <c r="M418" i="17"/>
  <c r="Y417" i="17"/>
  <c r="T417" i="17"/>
  <c r="V417" i="17" s="1"/>
  <c r="H396" i="16"/>
  <c r="O396" i="16"/>
  <c r="P396" i="16"/>
  <c r="R396" i="16" s="1"/>
  <c r="U396" i="16" s="1"/>
  <c r="J396" i="16" l="1"/>
  <c r="N418" i="17"/>
  <c r="P418" i="17"/>
  <c r="R418" i="17" s="1"/>
  <c r="O418" i="17"/>
  <c r="G418" i="17"/>
  <c r="I418" i="17"/>
  <c r="K418" i="17" s="1"/>
  <c r="H418" i="17"/>
  <c r="Q396" i="16"/>
  <c r="S396" i="16" s="1"/>
  <c r="L396" i="16"/>
  <c r="J418" i="17" l="1"/>
  <c r="L418" i="17" s="1"/>
  <c r="U418" i="17"/>
  <c r="Q418" i="17"/>
  <c r="Y396" i="16"/>
  <c r="W396" i="16"/>
  <c r="T396" i="16"/>
  <c r="V396" i="16" s="1"/>
  <c r="X396" i="16"/>
  <c r="F397" i="16"/>
  <c r="M397" i="16"/>
  <c r="W418" i="17" l="1"/>
  <c r="T418" i="17"/>
  <c r="S418" i="17"/>
  <c r="X418" i="17" s="1"/>
  <c r="O397" i="16"/>
  <c r="N397" i="16"/>
  <c r="P397" i="16"/>
  <c r="R397" i="16" s="1"/>
  <c r="G397" i="16"/>
  <c r="I397" i="16"/>
  <c r="K397" i="16" s="1"/>
  <c r="H397" i="16"/>
  <c r="M419" i="17" l="1"/>
  <c r="O419" i="17" s="1"/>
  <c r="V418" i="17"/>
  <c r="F419" i="17"/>
  <c r="Y418" i="17"/>
  <c r="P419" i="17"/>
  <c r="R419" i="17" s="1"/>
  <c r="U397" i="16"/>
  <c r="J397" i="16"/>
  <c r="Q397" i="16"/>
  <c r="S397" i="16" s="1"/>
  <c r="N419" i="17" l="1"/>
  <c r="Q419" i="17" s="1"/>
  <c r="G419" i="17"/>
  <c r="H419" i="17"/>
  <c r="I419" i="17"/>
  <c r="K419" i="17" s="1"/>
  <c r="U419" i="17" s="1"/>
  <c r="T397" i="16"/>
  <c r="L397" i="16"/>
  <c r="S419" i="17" l="1"/>
  <c r="J419" i="17"/>
  <c r="T419" i="17" s="1"/>
  <c r="Y397" i="16"/>
  <c r="W397" i="16"/>
  <c r="F398" i="16"/>
  <c r="M398" i="16"/>
  <c r="X397" i="16"/>
  <c r="V397" i="16"/>
  <c r="L419" i="17" l="1"/>
  <c r="W419" i="17" s="1"/>
  <c r="N398" i="16"/>
  <c r="P398" i="16"/>
  <c r="R398" i="16" s="1"/>
  <c r="O398" i="16"/>
  <c r="I398" i="16"/>
  <c r="K398" i="16" s="1"/>
  <c r="H398" i="16"/>
  <c r="G398" i="16"/>
  <c r="F420" i="17" l="1"/>
  <c r="M420" i="17"/>
  <c r="Y419" i="17"/>
  <c r="X419" i="17"/>
  <c r="V419" i="17"/>
  <c r="J398" i="16"/>
  <c r="L398" i="16" s="1"/>
  <c r="U398" i="16"/>
  <c r="Q398" i="16"/>
  <c r="P420" i="17" l="1"/>
  <c r="R420" i="17" s="1"/>
  <c r="O420" i="17"/>
  <c r="N420" i="17"/>
  <c r="H420" i="17"/>
  <c r="G420" i="17"/>
  <c r="I420" i="17"/>
  <c r="K420" i="17" s="1"/>
  <c r="T398" i="16"/>
  <c r="S398" i="16"/>
  <c r="Q420" i="17" l="1"/>
  <c r="S420" i="17" s="1"/>
  <c r="U420" i="17"/>
  <c r="J420" i="17"/>
  <c r="V398" i="16"/>
  <c r="W398" i="16"/>
  <c r="F399" i="16"/>
  <c r="H399" i="16" s="1"/>
  <c r="M399" i="16"/>
  <c r="P399" i="16" s="1"/>
  <c r="R399" i="16" s="1"/>
  <c r="Y398" i="16"/>
  <c r="X398" i="16"/>
  <c r="L420" i="17" l="1"/>
  <c r="W420" i="17" s="1"/>
  <c r="T420" i="17"/>
  <c r="I399" i="16"/>
  <c r="K399" i="16" s="1"/>
  <c r="U399" i="16" s="1"/>
  <c r="G399" i="16"/>
  <c r="N399" i="16"/>
  <c r="O399" i="16"/>
  <c r="X420" i="17" l="1"/>
  <c r="V420" i="17"/>
  <c r="Y420" i="17"/>
  <c r="M421" i="17"/>
  <c r="F421" i="17"/>
  <c r="J399" i="16"/>
  <c r="L399" i="16" s="1"/>
  <c r="Q399" i="16"/>
  <c r="T399" i="16" l="1"/>
  <c r="P421" i="17"/>
  <c r="R421" i="17" s="1"/>
  <c r="O421" i="17"/>
  <c r="N421" i="17"/>
  <c r="H421" i="17"/>
  <c r="G421" i="17"/>
  <c r="I421" i="17"/>
  <c r="K421" i="17" s="1"/>
  <c r="S399" i="16"/>
  <c r="W399" i="16" s="1"/>
  <c r="U421" i="17" l="1"/>
  <c r="Q421" i="17"/>
  <c r="S421" i="17" s="1"/>
  <c r="M400" i="16"/>
  <c r="N400" i="16" s="1"/>
  <c r="J421" i="17"/>
  <c r="F400" i="16"/>
  <c r="G400" i="16" s="1"/>
  <c r="X399" i="16"/>
  <c r="Y399" i="16"/>
  <c r="L421" i="17"/>
  <c r="W421" i="17" s="1"/>
  <c r="V399" i="16"/>
  <c r="T421" i="17" l="1"/>
  <c r="V421" i="17" s="1"/>
  <c r="I400" i="16"/>
  <c r="K400" i="16" s="1"/>
  <c r="O400" i="16"/>
  <c r="H400" i="16"/>
  <c r="P400" i="16"/>
  <c r="R400" i="16" s="1"/>
  <c r="Y421" i="17"/>
  <c r="F422" i="17"/>
  <c r="M422" i="17"/>
  <c r="X421" i="17"/>
  <c r="Q400" i="16"/>
  <c r="S400" i="16" s="1"/>
  <c r="J400" i="16" l="1"/>
  <c r="L400" i="16" s="1"/>
  <c r="F401" i="16" s="1"/>
  <c r="U400" i="16"/>
  <c r="O422" i="17"/>
  <c r="N422" i="17"/>
  <c r="P422" i="17"/>
  <c r="R422" i="17" s="1"/>
  <c r="I422" i="17"/>
  <c r="K422" i="17" s="1"/>
  <c r="H422" i="17"/>
  <c r="G422" i="17"/>
  <c r="T400" i="16" l="1"/>
  <c r="Q422" i="17"/>
  <c r="S422" i="17" s="1"/>
  <c r="U422" i="17"/>
  <c r="J422" i="17"/>
  <c r="L422" i="17" s="1"/>
  <c r="W422" i="17" s="1"/>
  <c r="Y400" i="16"/>
  <c r="W400" i="16"/>
  <c r="V400" i="16"/>
  <c r="M401" i="16"/>
  <c r="O401" i="16" s="1"/>
  <c r="X400" i="16"/>
  <c r="G401" i="16"/>
  <c r="I401" i="16"/>
  <c r="K401" i="16" s="1"/>
  <c r="H401" i="16"/>
  <c r="F423" i="17" l="1"/>
  <c r="Y422" i="17"/>
  <c r="X422" i="17"/>
  <c r="M423" i="17"/>
  <c r="T422" i="17"/>
  <c r="V422" i="17" s="1"/>
  <c r="P401" i="16"/>
  <c r="R401" i="16" s="1"/>
  <c r="U401" i="16" s="1"/>
  <c r="N401" i="16"/>
  <c r="J401" i="16"/>
  <c r="Q401" i="16" l="1"/>
  <c r="S401" i="16" s="1"/>
  <c r="N423" i="17"/>
  <c r="P423" i="17"/>
  <c r="R423" i="17" s="1"/>
  <c r="O423" i="17"/>
  <c r="I423" i="17"/>
  <c r="K423" i="17" s="1"/>
  <c r="G423" i="17"/>
  <c r="H423" i="17"/>
  <c r="L401" i="16"/>
  <c r="U423" i="17" l="1"/>
  <c r="T401" i="16"/>
  <c r="J423" i="17"/>
  <c r="Q423" i="17"/>
  <c r="S423" i="17" s="1"/>
  <c r="Y401" i="16"/>
  <c r="W401" i="16"/>
  <c r="F402" i="16"/>
  <c r="M402" i="16"/>
  <c r="X401" i="16"/>
  <c r="V401" i="16"/>
  <c r="T423" i="17" l="1"/>
  <c r="L423" i="17"/>
  <c r="W423" i="17" s="1"/>
  <c r="N402" i="16"/>
  <c r="P402" i="16"/>
  <c r="R402" i="16" s="1"/>
  <c r="O402" i="16"/>
  <c r="I402" i="16"/>
  <c r="K402" i="16" s="1"/>
  <c r="H402" i="16"/>
  <c r="G402" i="16"/>
  <c r="Y423" i="17" l="1"/>
  <c r="M424" i="17"/>
  <c r="X423" i="17"/>
  <c r="V423" i="17"/>
  <c r="F424" i="17"/>
  <c r="U402" i="16"/>
  <c r="J402" i="16"/>
  <c r="Q402" i="16"/>
  <c r="S402" i="16" s="1"/>
  <c r="I424" i="17" l="1"/>
  <c r="K424" i="17" s="1"/>
  <c r="H424" i="17"/>
  <c r="G424" i="17"/>
  <c r="O424" i="17"/>
  <c r="N424" i="17"/>
  <c r="P424" i="17"/>
  <c r="R424" i="17" s="1"/>
  <c r="T402" i="16"/>
  <c r="L402" i="16"/>
  <c r="Q424" i="17" l="1"/>
  <c r="S424" i="17" s="1"/>
  <c r="U424" i="17"/>
  <c r="J424" i="17"/>
  <c r="T424" i="17" s="1"/>
  <c r="Y402" i="16"/>
  <c r="W402" i="16"/>
  <c r="M403" i="16"/>
  <c r="X402" i="16"/>
  <c r="F403" i="16"/>
  <c r="V402" i="16"/>
  <c r="L424" i="17" l="1"/>
  <c r="W424" i="17" s="1"/>
  <c r="I403" i="16"/>
  <c r="K403" i="16" s="1"/>
  <c r="H403" i="16"/>
  <c r="G403" i="16"/>
  <c r="P403" i="16"/>
  <c r="R403" i="16" s="1"/>
  <c r="O403" i="16"/>
  <c r="N403" i="16"/>
  <c r="M425" i="17" l="1"/>
  <c r="X424" i="17"/>
  <c r="F425" i="17"/>
  <c r="Y424" i="17"/>
  <c r="V424" i="17"/>
  <c r="U403" i="16"/>
  <c r="Q403" i="16"/>
  <c r="S403" i="16" s="1"/>
  <c r="J403" i="16"/>
  <c r="I425" i="17" l="1"/>
  <c r="K425" i="17" s="1"/>
  <c r="H425" i="17"/>
  <c r="G425" i="17"/>
  <c r="N425" i="17"/>
  <c r="O425" i="17"/>
  <c r="P425" i="17"/>
  <c r="R425" i="17" s="1"/>
  <c r="T403" i="16"/>
  <c r="L403" i="16"/>
  <c r="J425" i="17" l="1"/>
  <c r="L425" i="17" s="1"/>
  <c r="Q425" i="17"/>
  <c r="U425" i="17"/>
  <c r="Y403" i="16"/>
  <c r="W403" i="16"/>
  <c r="X403" i="16"/>
  <c r="F404" i="16"/>
  <c r="M404" i="16"/>
  <c r="V403" i="16"/>
  <c r="T425" i="17" l="1"/>
  <c r="W425" i="17"/>
  <c r="S425" i="17"/>
  <c r="M426" i="17" s="1"/>
  <c r="Y425" i="17"/>
  <c r="P404" i="16"/>
  <c r="R404" i="16" s="1"/>
  <c r="O404" i="16"/>
  <c r="N404" i="16"/>
  <c r="H404" i="16"/>
  <c r="G404" i="16"/>
  <c r="I404" i="16"/>
  <c r="K404" i="16" s="1"/>
  <c r="V425" i="17" l="1"/>
  <c r="F426" i="17"/>
  <c r="I426" i="17" s="1"/>
  <c r="K426" i="17" s="1"/>
  <c r="X425" i="17"/>
  <c r="N426" i="17"/>
  <c r="O426" i="17"/>
  <c r="P426" i="17"/>
  <c r="R426" i="17" s="1"/>
  <c r="Q404" i="16"/>
  <c r="S404" i="16" s="1"/>
  <c r="U404" i="16"/>
  <c r="J404" i="16"/>
  <c r="H426" i="17" l="1"/>
  <c r="G426" i="17"/>
  <c r="Q426" i="17"/>
  <c r="U426" i="17"/>
  <c r="T404" i="16"/>
  <c r="L404" i="16"/>
  <c r="W404" i="16" s="1"/>
  <c r="J426" i="17" l="1"/>
  <c r="L426" i="17" s="1"/>
  <c r="W426" i="17" s="1"/>
  <c r="S426" i="17"/>
  <c r="V404" i="16"/>
  <c r="Y404" i="16"/>
  <c r="M405" i="16"/>
  <c r="O405" i="16" s="1"/>
  <c r="F405" i="16"/>
  <c r="G405" i="16" s="1"/>
  <c r="X404" i="16"/>
  <c r="T426" i="17" l="1"/>
  <c r="Y426" i="17"/>
  <c r="M427" i="17"/>
  <c r="X426" i="17"/>
  <c r="V426" i="17"/>
  <c r="F427" i="17"/>
  <c r="P405" i="16"/>
  <c r="R405" i="16" s="1"/>
  <c r="N405" i="16"/>
  <c r="H405" i="16"/>
  <c r="I405" i="16"/>
  <c r="K405" i="16" s="1"/>
  <c r="Q405" i="16" l="1"/>
  <c r="S405" i="16" s="1"/>
  <c r="H427" i="17"/>
  <c r="I427" i="17"/>
  <c r="K427" i="17" s="1"/>
  <c r="G427" i="17"/>
  <c r="N427" i="17"/>
  <c r="O427" i="17"/>
  <c r="P427" i="17"/>
  <c r="R427" i="17" s="1"/>
  <c r="U405" i="16"/>
  <c r="J405" i="16"/>
  <c r="T405" i="16" s="1"/>
  <c r="Q427" i="17" l="1"/>
  <c r="S427" i="17" s="1"/>
  <c r="J427" i="17"/>
  <c r="U427" i="17"/>
  <c r="L405" i="16"/>
  <c r="F406" i="16" s="1"/>
  <c r="H406" i="16" s="1"/>
  <c r="T427" i="17" l="1"/>
  <c r="L427" i="17"/>
  <c r="Y405" i="16"/>
  <c r="G406" i="16"/>
  <c r="I406" i="16"/>
  <c r="K406" i="16" s="1"/>
  <c r="V405" i="16"/>
  <c r="W405" i="16"/>
  <c r="M406" i="16"/>
  <c r="N406" i="16" s="1"/>
  <c r="X405" i="16"/>
  <c r="X427" i="17" l="1"/>
  <c r="W427" i="17"/>
  <c r="J406" i="16"/>
  <c r="L406" i="16" s="1"/>
  <c r="V427" i="17"/>
  <c r="Y427" i="17"/>
  <c r="F428" i="17"/>
  <c r="I428" i="17" s="1"/>
  <c r="K428" i="17" s="1"/>
  <c r="M428" i="17"/>
  <c r="P428" i="17" s="1"/>
  <c r="R428" i="17" s="1"/>
  <c r="P406" i="16"/>
  <c r="R406" i="16" s="1"/>
  <c r="U406" i="16" s="1"/>
  <c r="O406" i="16"/>
  <c r="N428" i="17" l="1"/>
  <c r="O428" i="17"/>
  <c r="H428" i="17"/>
  <c r="Q406" i="16"/>
  <c r="S406" i="16" s="1"/>
  <c r="Y406" i="16" s="1"/>
  <c r="G428" i="17"/>
  <c r="U428" i="17"/>
  <c r="W406" i="16" l="1"/>
  <c r="Q428" i="17"/>
  <c r="S428" i="17" s="1"/>
  <c r="F407" i="16"/>
  <c r="H407" i="16" s="1"/>
  <c r="M407" i="16"/>
  <c r="N407" i="16" s="1"/>
  <c r="J428" i="17"/>
  <c r="T428" i="17" s="1"/>
  <c r="T406" i="16"/>
  <c r="V406" i="16" s="1"/>
  <c r="X406" i="16"/>
  <c r="G407" i="16"/>
  <c r="P407" i="16" l="1"/>
  <c r="R407" i="16" s="1"/>
  <c r="O407" i="16"/>
  <c r="I407" i="16"/>
  <c r="K407" i="16" s="1"/>
  <c r="U407" i="16" s="1"/>
  <c r="L428" i="17"/>
  <c r="Y428" i="17" s="1"/>
  <c r="Q407" i="16" l="1"/>
  <c r="S407" i="16" s="1"/>
  <c r="J407" i="16"/>
  <c r="L407" i="16" s="1"/>
  <c r="F429" i="17"/>
  <c r="G429" i="17" s="1"/>
  <c r="M429" i="17"/>
  <c r="P429" i="17" s="1"/>
  <c r="R429" i="17" s="1"/>
  <c r="V428" i="17"/>
  <c r="W428" i="17"/>
  <c r="X428" i="17"/>
  <c r="T407" i="16" l="1"/>
  <c r="N429" i="17"/>
  <c r="O429" i="17"/>
  <c r="Q429" i="17" s="1"/>
  <c r="S429" i="17" s="1"/>
  <c r="H429" i="17"/>
  <c r="I429" i="17"/>
  <c r="K429" i="17" s="1"/>
  <c r="U429" i="17" s="1"/>
  <c r="Y407" i="16"/>
  <c r="W407" i="16"/>
  <c r="X407" i="16"/>
  <c r="F408" i="16"/>
  <c r="M408" i="16"/>
  <c r="V407" i="16"/>
  <c r="J429" i="17" l="1"/>
  <c r="T429" i="17" s="1"/>
  <c r="P408" i="16"/>
  <c r="R408" i="16" s="1"/>
  <c r="O408" i="16"/>
  <c r="N408" i="16"/>
  <c r="H408" i="16"/>
  <c r="G408" i="16"/>
  <c r="I408" i="16"/>
  <c r="K408" i="16" s="1"/>
  <c r="L429" i="17" l="1"/>
  <c r="W429" i="17" s="1"/>
  <c r="Y429" i="17"/>
  <c r="F430" i="17"/>
  <c r="M430" i="17"/>
  <c r="V429" i="17"/>
  <c r="U408" i="16"/>
  <c r="Q408" i="16"/>
  <c r="S408" i="16" s="1"/>
  <c r="J408" i="16"/>
  <c r="X429" i="17" l="1"/>
  <c r="G430" i="17"/>
  <c r="I430" i="17"/>
  <c r="K430" i="17" s="1"/>
  <c r="H430" i="17"/>
  <c r="O430" i="17"/>
  <c r="P430" i="17"/>
  <c r="R430" i="17" s="1"/>
  <c r="N430" i="17"/>
  <c r="T408" i="16"/>
  <c r="L408" i="16"/>
  <c r="Q430" i="17" l="1"/>
  <c r="S430" i="17" s="1"/>
  <c r="J430" i="17"/>
  <c r="U430" i="17"/>
  <c r="Y408" i="16"/>
  <c r="W408" i="16"/>
  <c r="X408" i="16"/>
  <c r="F409" i="16"/>
  <c r="M409" i="16"/>
  <c r="V408" i="16"/>
  <c r="T430" i="17" l="1"/>
  <c r="L430" i="17"/>
  <c r="W430" i="17" s="1"/>
  <c r="G409" i="16"/>
  <c r="I409" i="16"/>
  <c r="K409" i="16" s="1"/>
  <c r="H409" i="16"/>
  <c r="O409" i="16"/>
  <c r="N409" i="16"/>
  <c r="P409" i="16"/>
  <c r="R409" i="16" s="1"/>
  <c r="V430" i="17" l="1"/>
  <c r="M431" i="17"/>
  <c r="X430" i="17"/>
  <c r="F431" i="17"/>
  <c r="Y430" i="17"/>
  <c r="U409" i="16"/>
  <c r="Q409" i="16"/>
  <c r="S409" i="16" s="1"/>
  <c r="J409" i="16"/>
  <c r="G431" i="17" l="1"/>
  <c r="H431" i="17"/>
  <c r="I431" i="17"/>
  <c r="K431" i="17" s="1"/>
  <c r="N431" i="17"/>
  <c r="P431" i="17"/>
  <c r="R431" i="17" s="1"/>
  <c r="O431" i="17"/>
  <c r="T409" i="16"/>
  <c r="L409" i="16"/>
  <c r="J431" i="17" l="1"/>
  <c r="L431" i="17" s="1"/>
  <c r="U431" i="17"/>
  <c r="Q431" i="17"/>
  <c r="S431" i="17" s="1"/>
  <c r="Y409" i="16"/>
  <c r="W409" i="16"/>
  <c r="F410" i="16"/>
  <c r="M410" i="16"/>
  <c r="X409" i="16"/>
  <c r="V409" i="16"/>
  <c r="W431" i="17" l="1"/>
  <c r="M432" i="17"/>
  <c r="F432" i="17"/>
  <c r="X431" i="17"/>
  <c r="Y431" i="17"/>
  <c r="T431" i="17"/>
  <c r="V431" i="17" s="1"/>
  <c r="N410" i="16"/>
  <c r="P410" i="16"/>
  <c r="R410" i="16" s="1"/>
  <c r="O410" i="16"/>
  <c r="I410" i="16"/>
  <c r="K410" i="16" s="1"/>
  <c r="H410" i="16"/>
  <c r="G410" i="16"/>
  <c r="I432" i="17" l="1"/>
  <c r="K432" i="17" s="1"/>
  <c r="H432" i="17"/>
  <c r="G432" i="17"/>
  <c r="P432" i="17"/>
  <c r="R432" i="17" s="1"/>
  <c r="O432" i="17"/>
  <c r="N432" i="17"/>
  <c r="U410" i="16"/>
  <c r="J410" i="16"/>
  <c r="Q410" i="16"/>
  <c r="S410" i="16" s="1"/>
  <c r="J432" i="17" l="1"/>
  <c r="L432" i="17" s="1"/>
  <c r="W432" i="17" s="1"/>
  <c r="Q432" i="17"/>
  <c r="S432" i="17" s="1"/>
  <c r="U432" i="17"/>
  <c r="T410" i="16"/>
  <c r="L410" i="16"/>
  <c r="T432" i="17" l="1"/>
  <c r="V432" i="17" s="1"/>
  <c r="F433" i="17"/>
  <c r="Y432" i="17"/>
  <c r="X432" i="17"/>
  <c r="M433" i="17"/>
  <c r="Y410" i="16"/>
  <c r="W410" i="16"/>
  <c r="M411" i="16"/>
  <c r="X410" i="16"/>
  <c r="F411" i="16"/>
  <c r="V410" i="16"/>
  <c r="O433" i="17" l="1"/>
  <c r="P433" i="17"/>
  <c r="R433" i="17" s="1"/>
  <c r="N433" i="17"/>
  <c r="I433" i="17"/>
  <c r="K433" i="17" s="1"/>
  <c r="H433" i="17"/>
  <c r="G433" i="17"/>
  <c r="I411" i="16"/>
  <c r="K411" i="16" s="1"/>
  <c r="H411" i="16"/>
  <c r="G411" i="16"/>
  <c r="P411" i="16"/>
  <c r="R411" i="16" s="1"/>
  <c r="O411" i="16"/>
  <c r="N411" i="16"/>
  <c r="U433" i="17" l="1"/>
  <c r="Q433" i="17"/>
  <c r="S433" i="17" s="1"/>
  <c r="J433" i="17"/>
  <c r="U411" i="16"/>
  <c r="Q411" i="16"/>
  <c r="S411" i="16" s="1"/>
  <c r="J411" i="16"/>
  <c r="L411" i="16" s="1"/>
  <c r="T433" i="17" l="1"/>
  <c r="L433" i="17"/>
  <c r="Y411" i="16"/>
  <c r="W411" i="16"/>
  <c r="X411" i="16"/>
  <c r="F412" i="16"/>
  <c r="M412" i="16"/>
  <c r="T411" i="16"/>
  <c r="V411" i="16" s="1"/>
  <c r="V433" i="17" l="1"/>
  <c r="W433" i="17"/>
  <c r="Y433" i="17"/>
  <c r="M434" i="17"/>
  <c r="P434" i="17" s="1"/>
  <c r="R434" i="17" s="1"/>
  <c r="F434" i="17"/>
  <c r="I434" i="17" s="1"/>
  <c r="K434" i="17" s="1"/>
  <c r="X433" i="17"/>
  <c r="P412" i="16"/>
  <c r="R412" i="16" s="1"/>
  <c r="O412" i="16"/>
  <c r="N412" i="16"/>
  <c r="H412" i="16"/>
  <c r="G412" i="16"/>
  <c r="I412" i="16"/>
  <c r="K412" i="16" s="1"/>
  <c r="N434" i="17" l="1"/>
  <c r="O434" i="17"/>
  <c r="H434" i="17"/>
  <c r="G434" i="17"/>
  <c r="U434" i="17"/>
  <c r="U412" i="16"/>
  <c r="Q412" i="16"/>
  <c r="S412" i="16" s="1"/>
  <c r="J412" i="16"/>
  <c r="Q434" i="17" l="1"/>
  <c r="S434" i="17" s="1"/>
  <c r="J434" i="17"/>
  <c r="T434" i="17" s="1"/>
  <c r="T412" i="16"/>
  <c r="L412" i="16"/>
  <c r="L434" i="17" l="1"/>
  <c r="F435" i="17" s="1"/>
  <c r="Y434" i="17"/>
  <c r="Y412" i="16"/>
  <c r="W412" i="16"/>
  <c r="X412" i="16"/>
  <c r="F413" i="16"/>
  <c r="M413" i="16"/>
  <c r="V412" i="16"/>
  <c r="M435" i="17" l="1"/>
  <c r="O435" i="17" s="1"/>
  <c r="V434" i="17"/>
  <c r="W434" i="17"/>
  <c r="X434" i="17"/>
  <c r="H435" i="17"/>
  <c r="G435" i="17"/>
  <c r="I435" i="17"/>
  <c r="K435" i="17" s="1"/>
  <c r="O413" i="16"/>
  <c r="N413" i="16"/>
  <c r="P413" i="16"/>
  <c r="R413" i="16" s="1"/>
  <c r="G413" i="16"/>
  <c r="I413" i="16"/>
  <c r="K413" i="16" s="1"/>
  <c r="H413" i="16"/>
  <c r="N435" i="17" l="1"/>
  <c r="P435" i="17"/>
  <c r="R435" i="17" s="1"/>
  <c r="U435" i="17" s="1"/>
  <c r="J435" i="17"/>
  <c r="L435" i="17" s="1"/>
  <c r="U413" i="16"/>
  <c r="J413" i="16"/>
  <c r="Q413" i="16"/>
  <c r="S413" i="16" s="1"/>
  <c r="Q435" i="17" l="1"/>
  <c r="S435" i="17" s="1"/>
  <c r="W435" i="17" s="1"/>
  <c r="T413" i="16"/>
  <c r="L413" i="16"/>
  <c r="F436" i="17" l="1"/>
  <c r="G436" i="17" s="1"/>
  <c r="Y435" i="17"/>
  <c r="X435" i="17"/>
  <c r="M436" i="17"/>
  <c r="N436" i="17" s="1"/>
  <c r="T435" i="17"/>
  <c r="V435" i="17" s="1"/>
  <c r="I436" i="17"/>
  <c r="K436" i="17" s="1"/>
  <c r="Y413" i="16"/>
  <c r="W413" i="16"/>
  <c r="F414" i="16"/>
  <c r="M414" i="16"/>
  <c r="X413" i="16"/>
  <c r="V413" i="16"/>
  <c r="H436" i="17" l="1"/>
  <c r="J436" i="17" s="1"/>
  <c r="L436" i="17" s="1"/>
  <c r="O436" i="17"/>
  <c r="P436" i="17"/>
  <c r="R436" i="17" s="1"/>
  <c r="U436" i="17" s="1"/>
  <c r="N414" i="16"/>
  <c r="P414" i="16"/>
  <c r="R414" i="16" s="1"/>
  <c r="O414" i="16"/>
  <c r="I414" i="16"/>
  <c r="K414" i="16" s="1"/>
  <c r="H414" i="16"/>
  <c r="G414" i="16"/>
  <c r="Q436" i="17" l="1"/>
  <c r="S436" i="17" s="1"/>
  <c r="M437" i="17" s="1"/>
  <c r="W436" i="17"/>
  <c r="U414" i="16"/>
  <c r="J414" i="16"/>
  <c r="L414" i="16" s="1"/>
  <c r="Q414" i="16"/>
  <c r="S414" i="16" s="1"/>
  <c r="Y436" i="17" l="1"/>
  <c r="X436" i="17"/>
  <c r="F437" i="17"/>
  <c r="H437" i="17" s="1"/>
  <c r="T436" i="17"/>
  <c r="V436" i="17" s="1"/>
  <c r="N437" i="17"/>
  <c r="O437" i="17"/>
  <c r="P437" i="17"/>
  <c r="R437" i="17" s="1"/>
  <c r="W414" i="16"/>
  <c r="Y414" i="16"/>
  <c r="T414" i="16"/>
  <c r="V414" i="16" s="1"/>
  <c r="M415" i="16"/>
  <c r="X414" i="16"/>
  <c r="F415" i="16"/>
  <c r="I437" i="17" l="1"/>
  <c r="K437" i="17" s="1"/>
  <c r="U437" i="17" s="1"/>
  <c r="G437" i="17"/>
  <c r="Q437" i="17"/>
  <c r="S437" i="17" s="1"/>
  <c r="P415" i="16"/>
  <c r="R415" i="16" s="1"/>
  <c r="O415" i="16"/>
  <c r="N415" i="16"/>
  <c r="I415" i="16"/>
  <c r="K415" i="16" s="1"/>
  <c r="H415" i="16"/>
  <c r="G415" i="16"/>
  <c r="J437" i="17" l="1"/>
  <c r="L437" i="17" s="1"/>
  <c r="W437" i="17" s="1"/>
  <c r="Q415" i="16"/>
  <c r="S415" i="16" s="1"/>
  <c r="J415" i="16"/>
  <c r="U415" i="16"/>
  <c r="Y437" i="17" l="1"/>
  <c r="X437" i="17"/>
  <c r="T437" i="17"/>
  <c r="V437" i="17" s="1"/>
  <c r="F438" i="17"/>
  <c r="G438" i="17" s="1"/>
  <c r="M438" i="17"/>
  <c r="O438" i="17" s="1"/>
  <c r="T415" i="16"/>
  <c r="L415" i="16"/>
  <c r="I438" i="17" l="1"/>
  <c r="K438" i="17" s="1"/>
  <c r="H438" i="17"/>
  <c r="J438" i="17" s="1"/>
  <c r="N438" i="17"/>
  <c r="P438" i="17"/>
  <c r="R438" i="17" s="1"/>
  <c r="U438" i="17" s="1"/>
  <c r="X415" i="16"/>
  <c r="W415" i="16"/>
  <c r="M416" i="16"/>
  <c r="O416" i="16" s="1"/>
  <c r="F416" i="16"/>
  <c r="G416" i="16" s="1"/>
  <c r="V415" i="16"/>
  <c r="Y415" i="16"/>
  <c r="Q438" i="17" l="1"/>
  <c r="S438" i="17" s="1"/>
  <c r="L438" i="17"/>
  <c r="W438" i="17" s="1"/>
  <c r="P416" i="16"/>
  <c r="R416" i="16" s="1"/>
  <c r="N416" i="16"/>
  <c r="I416" i="16"/>
  <c r="K416" i="16" s="1"/>
  <c r="H416" i="16"/>
  <c r="J416" i="16" s="1"/>
  <c r="T438" i="17" l="1"/>
  <c r="X438" i="17"/>
  <c r="F439" i="17"/>
  <c r="Y438" i="17"/>
  <c r="M439" i="17"/>
  <c r="V438" i="17"/>
  <c r="U416" i="16"/>
  <c r="Q416" i="16"/>
  <c r="S416" i="16" s="1"/>
  <c r="L416" i="16"/>
  <c r="W416" i="16" l="1"/>
  <c r="T416" i="16"/>
  <c r="N439" i="17"/>
  <c r="O439" i="17"/>
  <c r="P439" i="17"/>
  <c r="R439" i="17" s="1"/>
  <c r="H439" i="17"/>
  <c r="I439" i="17"/>
  <c r="K439" i="17" s="1"/>
  <c r="G439" i="17"/>
  <c r="M417" i="16"/>
  <c r="P417" i="16" s="1"/>
  <c r="R417" i="16" s="1"/>
  <c r="F417" i="16"/>
  <c r="I417" i="16" s="1"/>
  <c r="K417" i="16" s="1"/>
  <c r="V416" i="16"/>
  <c r="X416" i="16"/>
  <c r="Y416" i="16"/>
  <c r="H417" i="16" l="1"/>
  <c r="J439" i="17"/>
  <c r="L439" i="17" s="1"/>
  <c r="W439" i="17" s="1"/>
  <c r="Q439" i="17"/>
  <c r="S439" i="17" s="1"/>
  <c r="O417" i="16"/>
  <c r="N417" i="16"/>
  <c r="U439" i="17"/>
  <c r="G417" i="16"/>
  <c r="J417" i="16" s="1"/>
  <c r="U417" i="16"/>
  <c r="Q417" i="16" l="1"/>
  <c r="S417" i="16" s="1"/>
  <c r="T439" i="17"/>
  <c r="V439" i="17" s="1"/>
  <c r="M440" i="17"/>
  <c r="F440" i="17"/>
  <c r="X439" i="17"/>
  <c r="Y439" i="17"/>
  <c r="L417" i="16"/>
  <c r="T417" i="16" l="1"/>
  <c r="H440" i="17"/>
  <c r="I440" i="17"/>
  <c r="K440" i="17" s="1"/>
  <c r="G440" i="17"/>
  <c r="P440" i="17"/>
  <c r="R440" i="17" s="1"/>
  <c r="N440" i="17"/>
  <c r="O440" i="17"/>
  <c r="Y417" i="16"/>
  <c r="W417" i="16"/>
  <c r="F418" i="16"/>
  <c r="M418" i="16"/>
  <c r="X417" i="16"/>
  <c r="V417" i="16"/>
  <c r="J440" i="17" l="1"/>
  <c r="L440" i="17" s="1"/>
  <c r="W440" i="17" s="1"/>
  <c r="Q440" i="17"/>
  <c r="S440" i="17" s="1"/>
  <c r="U440" i="17"/>
  <c r="N418" i="16"/>
  <c r="P418" i="16"/>
  <c r="R418" i="16" s="1"/>
  <c r="O418" i="16"/>
  <c r="I418" i="16"/>
  <c r="K418" i="16" s="1"/>
  <c r="H418" i="16"/>
  <c r="G418" i="16"/>
  <c r="T440" i="17" l="1"/>
  <c r="V440" i="17" s="1"/>
  <c r="X440" i="17"/>
  <c r="M441" i="17"/>
  <c r="Y440" i="17"/>
  <c r="F441" i="17"/>
  <c r="J418" i="16"/>
  <c r="L418" i="16" s="1"/>
  <c r="U418" i="16"/>
  <c r="Q418" i="16"/>
  <c r="I441" i="17" l="1"/>
  <c r="K441" i="17" s="1"/>
  <c r="H441" i="17"/>
  <c r="G441" i="17"/>
  <c r="O441" i="17"/>
  <c r="N441" i="17"/>
  <c r="P441" i="17"/>
  <c r="T418" i="16"/>
  <c r="S418" i="16"/>
  <c r="V418" i="16" s="1"/>
  <c r="Q441" i="17" l="1"/>
  <c r="J441" i="17"/>
  <c r="R441" i="17"/>
  <c r="W418" i="16"/>
  <c r="F419" i="16"/>
  <c r="G419" i="16" s="1"/>
  <c r="Y418" i="16"/>
  <c r="X418" i="16"/>
  <c r="M419" i="16"/>
  <c r="S441" i="17" l="1"/>
  <c r="T441" i="17"/>
  <c r="L441" i="17"/>
  <c r="U441" i="17"/>
  <c r="H419" i="16"/>
  <c r="I419" i="16"/>
  <c r="K419" i="16" s="1"/>
  <c r="P419" i="16"/>
  <c r="R419" i="16" s="1"/>
  <c r="O419" i="16"/>
  <c r="N419" i="16"/>
  <c r="V441" i="17" l="1"/>
  <c r="Y441" i="17"/>
  <c r="F442" i="17"/>
  <c r="H442" i="17" s="1"/>
  <c r="W441" i="17"/>
  <c r="X441" i="17"/>
  <c r="M442" i="17"/>
  <c r="P442" i="17" s="1"/>
  <c r="R442" i="17" s="1"/>
  <c r="J419" i="16"/>
  <c r="L419" i="16" s="1"/>
  <c r="I442" i="17"/>
  <c r="K442" i="17" s="1"/>
  <c r="U419" i="16"/>
  <c r="Q419" i="16"/>
  <c r="S419" i="16" s="1"/>
  <c r="G442" i="17" l="1"/>
  <c r="O442" i="17"/>
  <c r="N442" i="17"/>
  <c r="U442" i="17"/>
  <c r="J442" i="17"/>
  <c r="L442" i="17" s="1"/>
  <c r="W419" i="16"/>
  <c r="Y419" i="16"/>
  <c r="X419" i="16"/>
  <c r="F420" i="16"/>
  <c r="M420" i="16"/>
  <c r="T419" i="16"/>
  <c r="V419" i="16" s="1"/>
  <c r="Q442" i="17" l="1"/>
  <c r="S442" i="17" s="1"/>
  <c r="X442" i="17" s="1"/>
  <c r="P420" i="16"/>
  <c r="R420" i="16" s="1"/>
  <c r="O420" i="16"/>
  <c r="N420" i="16"/>
  <c r="H420" i="16"/>
  <c r="G420" i="16"/>
  <c r="I420" i="16"/>
  <c r="K420" i="16" s="1"/>
  <c r="Y442" i="17" l="1"/>
  <c r="W442" i="17"/>
  <c r="M443" i="17"/>
  <c r="O443" i="17" s="1"/>
  <c r="F443" i="17"/>
  <c r="G443" i="17" s="1"/>
  <c r="T442" i="17"/>
  <c r="V442" i="17" s="1"/>
  <c r="U420" i="16"/>
  <c r="J420" i="16"/>
  <c r="L420" i="16" s="1"/>
  <c r="Q420" i="16"/>
  <c r="S420" i="16" s="1"/>
  <c r="I443" i="17" l="1"/>
  <c r="K443" i="17" s="1"/>
  <c r="P443" i="17"/>
  <c r="R443" i="17" s="1"/>
  <c r="H443" i="17"/>
  <c r="J443" i="17" s="1"/>
  <c r="N443" i="17"/>
  <c r="Q443" i="17" s="1"/>
  <c r="S443" i="17" s="1"/>
  <c r="W420" i="16"/>
  <c r="Y420" i="16"/>
  <c r="X420" i="16"/>
  <c r="F421" i="16"/>
  <c r="M421" i="16"/>
  <c r="T420" i="16"/>
  <c r="V420" i="16" s="1"/>
  <c r="U443" i="17" l="1"/>
  <c r="L443" i="17"/>
  <c r="W443" i="17" s="1"/>
  <c r="T443" i="17"/>
  <c r="O421" i="16"/>
  <c r="N421" i="16"/>
  <c r="P421" i="16"/>
  <c r="R421" i="16" s="1"/>
  <c r="G421" i="16"/>
  <c r="I421" i="16"/>
  <c r="K421" i="16" s="1"/>
  <c r="H421" i="16"/>
  <c r="Y443" i="17" l="1"/>
  <c r="F444" i="17"/>
  <c r="M444" i="17"/>
  <c r="V443" i="17"/>
  <c r="X443" i="17"/>
  <c r="U421" i="16"/>
  <c r="J421" i="16"/>
  <c r="Q421" i="16"/>
  <c r="S421" i="16" s="1"/>
  <c r="O444" i="17" l="1"/>
  <c r="P444" i="17"/>
  <c r="R444" i="17" s="1"/>
  <c r="N444" i="17"/>
  <c r="H444" i="17"/>
  <c r="I444" i="17"/>
  <c r="K444" i="17" s="1"/>
  <c r="G444" i="17"/>
  <c r="T421" i="16"/>
  <c r="L421" i="16"/>
  <c r="Q444" i="17" l="1"/>
  <c r="S444" i="17" s="1"/>
  <c r="U444" i="17"/>
  <c r="J444" i="17"/>
  <c r="T444" i="17" s="1"/>
  <c r="Y421" i="16"/>
  <c r="W421" i="16"/>
  <c r="F422" i="16"/>
  <c r="M422" i="16"/>
  <c r="X421" i="16"/>
  <c r="V421" i="16"/>
  <c r="L444" i="17" l="1"/>
  <c r="Y444" i="17" s="1"/>
  <c r="N422" i="16"/>
  <c r="P422" i="16"/>
  <c r="R422" i="16" s="1"/>
  <c r="O422" i="16"/>
  <c r="I422" i="16"/>
  <c r="K422" i="16" s="1"/>
  <c r="H422" i="16"/>
  <c r="G422" i="16"/>
  <c r="M445" i="17" l="1"/>
  <c r="O445" i="17" s="1"/>
  <c r="V444" i="17"/>
  <c r="X444" i="17"/>
  <c r="W444" i="17"/>
  <c r="F445" i="17"/>
  <c r="I445" i="17" s="1"/>
  <c r="K445" i="17" s="1"/>
  <c r="U422" i="16"/>
  <c r="J422" i="16"/>
  <c r="L422" i="16" s="1"/>
  <c r="Q422" i="16"/>
  <c r="P445" i="17" l="1"/>
  <c r="R445" i="17" s="1"/>
  <c r="U445" i="17" s="1"/>
  <c r="N445" i="17"/>
  <c r="G445" i="17"/>
  <c r="H445" i="17"/>
  <c r="W422" i="16"/>
  <c r="T422" i="16"/>
  <c r="S422" i="16"/>
  <c r="Q445" i="17" l="1"/>
  <c r="S445" i="17" s="1"/>
  <c r="J445" i="17"/>
  <c r="T445" i="17" s="1"/>
  <c r="V422" i="16"/>
  <c r="F423" i="16"/>
  <c r="I423" i="16" s="1"/>
  <c r="K423" i="16" s="1"/>
  <c r="Y422" i="16"/>
  <c r="M423" i="16"/>
  <c r="P423" i="16" s="1"/>
  <c r="R423" i="16" s="1"/>
  <c r="X422" i="16"/>
  <c r="L445" i="17" l="1"/>
  <c r="W445" i="17" s="1"/>
  <c r="G423" i="16"/>
  <c r="H423" i="16"/>
  <c r="O423" i="16"/>
  <c r="N423" i="16"/>
  <c r="U423" i="16"/>
  <c r="V445" i="17" l="1"/>
  <c r="F446" i="17"/>
  <c r="G446" i="17" s="1"/>
  <c r="M446" i="17"/>
  <c r="P446" i="17" s="1"/>
  <c r="R446" i="17" s="1"/>
  <c r="Y445" i="17"/>
  <c r="X445" i="17"/>
  <c r="J423" i="16"/>
  <c r="L423" i="16" s="1"/>
  <c r="H446" i="17"/>
  <c r="Q423" i="16"/>
  <c r="O446" i="17" l="1"/>
  <c r="N446" i="17"/>
  <c r="I446" i="17"/>
  <c r="K446" i="17" s="1"/>
  <c r="U446" i="17" s="1"/>
  <c r="T423" i="16"/>
  <c r="S423" i="16"/>
  <c r="X423" i="16" s="1"/>
  <c r="V423" i="16" l="1"/>
  <c r="Q446" i="17"/>
  <c r="S446" i="17" s="1"/>
  <c r="J446" i="17"/>
  <c r="L446" i="17" s="1"/>
  <c r="W446" i="17" s="1"/>
  <c r="M424" i="16"/>
  <c r="P424" i="16" s="1"/>
  <c r="R424" i="16" s="1"/>
  <c r="F424" i="16"/>
  <c r="Y423" i="16"/>
  <c r="W423" i="16"/>
  <c r="T446" i="17"/>
  <c r="V446" i="17" s="1"/>
  <c r="F447" i="17"/>
  <c r="M447" i="17"/>
  <c r="Y446" i="17"/>
  <c r="X446" i="17"/>
  <c r="N424" i="16" l="1"/>
  <c r="Q424" i="16" s="1"/>
  <c r="S424" i="16" s="1"/>
  <c r="O424" i="16"/>
  <c r="I424" i="16"/>
  <c r="K424" i="16" s="1"/>
  <c r="U424" i="16" s="1"/>
  <c r="H424" i="16"/>
  <c r="G424" i="16"/>
  <c r="O447" i="17"/>
  <c r="N447" i="17"/>
  <c r="P447" i="17"/>
  <c r="R447" i="17" s="1"/>
  <c r="G447" i="17"/>
  <c r="H447" i="17"/>
  <c r="I447" i="17"/>
  <c r="K447" i="17" s="1"/>
  <c r="U447" i="17" l="1"/>
  <c r="J424" i="16"/>
  <c r="Q447" i="17"/>
  <c r="S447" i="17" s="1"/>
  <c r="J447" i="17"/>
  <c r="T447" i="17" l="1"/>
  <c r="L424" i="16"/>
  <c r="T424" i="16"/>
  <c r="V424" i="16" s="1"/>
  <c r="L447" i="17"/>
  <c r="W447" i="17" s="1"/>
  <c r="V447" i="17" l="1"/>
  <c r="F448" i="17"/>
  <c r="I448" i="17" s="1"/>
  <c r="K448" i="17" s="1"/>
  <c r="M448" i="17"/>
  <c r="Y447" i="17"/>
  <c r="W424" i="16"/>
  <c r="Y424" i="16"/>
  <c r="M425" i="16"/>
  <c r="X424" i="16"/>
  <c r="F425" i="16"/>
  <c r="X447" i="17"/>
  <c r="G448" i="17"/>
  <c r="P448" i="17"/>
  <c r="R448" i="17" s="1"/>
  <c r="O448" i="17"/>
  <c r="N448" i="17"/>
  <c r="H448" i="17" l="1"/>
  <c r="J448" i="17" s="1"/>
  <c r="I425" i="16"/>
  <c r="K425" i="16" s="1"/>
  <c r="H425" i="16"/>
  <c r="G425" i="16"/>
  <c r="P425" i="16"/>
  <c r="R425" i="16" s="1"/>
  <c r="O425" i="16"/>
  <c r="N425" i="16"/>
  <c r="U448" i="17"/>
  <c r="Q448" i="17"/>
  <c r="S448" i="17" s="1"/>
  <c r="Q425" i="16" l="1"/>
  <c r="S425" i="16" s="1"/>
  <c r="J425" i="16"/>
  <c r="L425" i="16" s="1"/>
  <c r="U425" i="16"/>
  <c r="T448" i="17"/>
  <c r="L448" i="17"/>
  <c r="W448" i="17" s="1"/>
  <c r="T425" i="16" l="1"/>
  <c r="V425" i="16" s="1"/>
  <c r="W425" i="16"/>
  <c r="Y425" i="16"/>
  <c r="F426" i="16"/>
  <c r="M426" i="16"/>
  <c r="X425" i="16"/>
  <c r="F449" i="17"/>
  <c r="M449" i="17"/>
  <c r="X448" i="17"/>
  <c r="Y448" i="17"/>
  <c r="V448" i="17"/>
  <c r="O426" i="16" l="1"/>
  <c r="P426" i="16"/>
  <c r="R426" i="16" s="1"/>
  <c r="N426" i="16"/>
  <c r="H426" i="16"/>
  <c r="G426" i="16"/>
  <c r="I426" i="16"/>
  <c r="K426" i="16" s="1"/>
  <c r="N449" i="17"/>
  <c r="O449" i="17"/>
  <c r="P449" i="17"/>
  <c r="R449" i="17" s="1"/>
  <c r="H449" i="17"/>
  <c r="G449" i="17"/>
  <c r="I449" i="17"/>
  <c r="K449" i="17" s="1"/>
  <c r="Q426" i="16" l="1"/>
  <c r="S426" i="16" s="1"/>
  <c r="J426" i="16"/>
  <c r="U449" i="17"/>
  <c r="U426" i="16"/>
  <c r="J449" i="17"/>
  <c r="L449" i="17" s="1"/>
  <c r="W449" i="17" s="1"/>
  <c r="Q449" i="17"/>
  <c r="S449" i="17" s="1"/>
  <c r="T426" i="16" l="1"/>
  <c r="L426" i="16"/>
  <c r="M450" i="17"/>
  <c r="F450" i="17"/>
  <c r="X449" i="17"/>
  <c r="Y449" i="17"/>
  <c r="T449" i="17"/>
  <c r="V449" i="17" s="1"/>
  <c r="V426" i="16" l="1"/>
  <c r="X426" i="16"/>
  <c r="F427" i="16"/>
  <c r="G427" i="16" s="1"/>
  <c r="M427" i="16"/>
  <c r="N427" i="16" s="1"/>
  <c r="W426" i="16"/>
  <c r="Y426" i="16"/>
  <c r="H450" i="17"/>
  <c r="G450" i="17"/>
  <c r="I450" i="17"/>
  <c r="K450" i="17" s="1"/>
  <c r="O450" i="17"/>
  <c r="P450" i="17"/>
  <c r="R450" i="17" s="1"/>
  <c r="N450" i="17"/>
  <c r="I427" i="16" l="1"/>
  <c r="K427" i="16" s="1"/>
  <c r="O427" i="16"/>
  <c r="P427" i="16"/>
  <c r="R427" i="16" s="1"/>
  <c r="U427" i="16" s="1"/>
  <c r="H427" i="16"/>
  <c r="J427" i="16" s="1"/>
  <c r="L427" i="16" s="1"/>
  <c r="J450" i="17"/>
  <c r="L450" i="17" s="1"/>
  <c r="W450" i="17" s="1"/>
  <c r="Q450" i="17"/>
  <c r="S450" i="17" s="1"/>
  <c r="U450" i="17"/>
  <c r="Q427" i="16" l="1"/>
  <c r="S427" i="16" s="1"/>
  <c r="F428" i="16" s="1"/>
  <c r="W427" i="16"/>
  <c r="Y427" i="16"/>
  <c r="X427" i="16"/>
  <c r="T450" i="17"/>
  <c r="V450" i="17" s="1"/>
  <c r="F451" i="17"/>
  <c r="M451" i="17"/>
  <c r="Y450" i="17"/>
  <c r="X450" i="17"/>
  <c r="M428" i="16" l="1"/>
  <c r="N428" i="16" s="1"/>
  <c r="T427" i="16"/>
  <c r="V427" i="16" s="1"/>
  <c r="P428" i="16"/>
  <c r="R428" i="16" s="1"/>
  <c r="H428" i="16"/>
  <c r="I428" i="16"/>
  <c r="K428" i="16" s="1"/>
  <c r="G428" i="16"/>
  <c r="N451" i="17"/>
  <c r="O451" i="17"/>
  <c r="P451" i="17"/>
  <c r="R451" i="17" s="1"/>
  <c r="I451" i="17"/>
  <c r="K451" i="17" s="1"/>
  <c r="G451" i="17"/>
  <c r="H451" i="17"/>
  <c r="O428" i="16" l="1"/>
  <c r="J428" i="16"/>
  <c r="L428" i="16" s="1"/>
  <c r="Q428" i="16"/>
  <c r="S428" i="16" s="1"/>
  <c r="U451" i="17"/>
  <c r="U428" i="16"/>
  <c r="J451" i="17"/>
  <c r="L451" i="17" s="1"/>
  <c r="W451" i="17" s="1"/>
  <c r="Q451" i="17"/>
  <c r="S451" i="17" s="1"/>
  <c r="T428" i="16" l="1"/>
  <c r="V428" i="16" s="1"/>
  <c r="T451" i="17"/>
  <c r="V451" i="17" s="1"/>
  <c r="Y428" i="16"/>
  <c r="M429" i="16"/>
  <c r="X428" i="16"/>
  <c r="W428" i="16"/>
  <c r="F429" i="16"/>
  <c r="M452" i="17"/>
  <c r="Y451" i="17"/>
  <c r="F452" i="17"/>
  <c r="X451" i="17"/>
  <c r="O429" i="16" l="1"/>
  <c r="N429" i="16"/>
  <c r="P429" i="16"/>
  <c r="R429" i="16" s="1"/>
  <c r="H429" i="16"/>
  <c r="G429" i="16"/>
  <c r="I429" i="16"/>
  <c r="K429" i="16" s="1"/>
  <c r="H452" i="17"/>
  <c r="I452" i="17"/>
  <c r="K452" i="17" s="1"/>
  <c r="G452" i="17"/>
  <c r="P452" i="17"/>
  <c r="R452" i="17" s="1"/>
  <c r="N452" i="17"/>
  <c r="O452" i="17"/>
  <c r="U429" i="16" l="1"/>
  <c r="Q429" i="16"/>
  <c r="S429" i="16" s="1"/>
  <c r="J452" i="17"/>
  <c r="L452" i="17" s="1"/>
  <c r="W452" i="17" s="1"/>
  <c r="J429" i="16"/>
  <c r="L429" i="16" s="1"/>
  <c r="Q452" i="17"/>
  <c r="S452" i="17" s="1"/>
  <c r="U452" i="17"/>
  <c r="T429" i="16" l="1"/>
  <c r="V429" i="16" s="1"/>
  <c r="T452" i="17"/>
  <c r="V452" i="17" s="1"/>
  <c r="W429" i="16"/>
  <c r="Y429" i="16"/>
  <c r="X429" i="16"/>
  <c r="M430" i="16"/>
  <c r="F430" i="16"/>
  <c r="Y452" i="17"/>
  <c r="M453" i="17"/>
  <c r="F453" i="17"/>
  <c r="X452" i="17"/>
  <c r="G430" i="16" l="1"/>
  <c r="I430" i="16"/>
  <c r="K430" i="16" s="1"/>
  <c r="H430" i="16"/>
  <c r="J430" i="16" s="1"/>
  <c r="N430" i="16"/>
  <c r="P430" i="16"/>
  <c r="R430" i="16" s="1"/>
  <c r="O430" i="16"/>
  <c r="H453" i="17"/>
  <c r="G453" i="17"/>
  <c r="I453" i="17"/>
  <c r="K453" i="17" s="1"/>
  <c r="O453" i="17"/>
  <c r="P453" i="17"/>
  <c r="R453" i="17" s="1"/>
  <c r="N453" i="17"/>
  <c r="Q453" i="17" l="1"/>
  <c r="S453" i="17" s="1"/>
  <c r="Q430" i="16"/>
  <c r="T430" i="16" s="1"/>
  <c r="J453" i="17"/>
  <c r="L453" i="17" s="1"/>
  <c r="W453" i="17" s="1"/>
  <c r="L430" i="16"/>
  <c r="U430" i="16"/>
  <c r="U453" i="17"/>
  <c r="S430" i="16" l="1"/>
  <c r="V430" i="16" s="1"/>
  <c r="T453" i="17"/>
  <c r="Y453" i="17"/>
  <c r="X453" i="17"/>
  <c r="F454" i="17"/>
  <c r="M454" i="17"/>
  <c r="V453" i="17"/>
  <c r="Y430" i="16" l="1"/>
  <c r="W430" i="16"/>
  <c r="X430" i="16"/>
  <c r="F431" i="16"/>
  <c r="G431" i="16" s="1"/>
  <c r="M431" i="16"/>
  <c r="O431" i="16" s="1"/>
  <c r="H454" i="17"/>
  <c r="I454" i="17"/>
  <c r="K454" i="17" s="1"/>
  <c r="G454" i="17"/>
  <c r="N454" i="17"/>
  <c r="O454" i="17"/>
  <c r="P454" i="17"/>
  <c r="R454" i="17" s="1"/>
  <c r="P431" i="16" l="1"/>
  <c r="R431" i="16" s="1"/>
  <c r="I431" i="16"/>
  <c r="K431" i="16" s="1"/>
  <c r="N431" i="16"/>
  <c r="H431" i="16"/>
  <c r="J454" i="17"/>
  <c r="L454" i="17" s="1"/>
  <c r="W454" i="17" s="1"/>
  <c r="Q454" i="17"/>
  <c r="S454" i="17" s="1"/>
  <c r="U454" i="17"/>
  <c r="Q431" i="16" l="1"/>
  <c r="J431" i="16"/>
  <c r="L431" i="16" s="1"/>
  <c r="U431" i="16"/>
  <c r="T454" i="17"/>
  <c r="V454" i="17" s="1"/>
  <c r="S431" i="16"/>
  <c r="F455" i="17"/>
  <c r="M455" i="17"/>
  <c r="X454" i="17"/>
  <c r="Y454" i="17"/>
  <c r="T431" i="16" l="1"/>
  <c r="V431" i="16" s="1"/>
  <c r="M432" i="16"/>
  <c r="Y431" i="16"/>
  <c r="X431" i="16"/>
  <c r="F432" i="16"/>
  <c r="W431" i="16"/>
  <c r="O455" i="17"/>
  <c r="P455" i="17"/>
  <c r="R455" i="17" s="1"/>
  <c r="N455" i="17"/>
  <c r="H455" i="17"/>
  <c r="G455" i="17"/>
  <c r="I455" i="17"/>
  <c r="K455" i="17" s="1"/>
  <c r="U455" i="17" s="1"/>
  <c r="Q455" i="17" l="1"/>
  <c r="S455" i="17" s="1"/>
  <c r="I432" i="16"/>
  <c r="K432" i="16" s="1"/>
  <c r="H432" i="16"/>
  <c r="G432" i="16"/>
  <c r="P432" i="16"/>
  <c r="R432" i="16" s="1"/>
  <c r="N432" i="16"/>
  <c r="O432" i="16"/>
  <c r="J455" i="17"/>
  <c r="U432" i="16" l="1"/>
  <c r="T455" i="17"/>
  <c r="J432" i="16"/>
  <c r="L432" i="16" s="1"/>
  <c r="Q432" i="16"/>
  <c r="S432" i="16" s="1"/>
  <c r="L455" i="17"/>
  <c r="W455" i="17" s="1"/>
  <c r="M456" i="17" l="1"/>
  <c r="P456" i="17" s="1"/>
  <c r="R456" i="17" s="1"/>
  <c r="X455" i="17"/>
  <c r="V455" i="17"/>
  <c r="T432" i="16"/>
  <c r="W432" i="16"/>
  <c r="X432" i="16"/>
  <c r="Y432" i="16"/>
  <c r="F433" i="16"/>
  <c r="M433" i="16"/>
  <c r="Y455" i="17"/>
  <c r="F456" i="17"/>
  <c r="I456" i="17" s="1"/>
  <c r="K456" i="17" s="1"/>
  <c r="V432" i="16"/>
  <c r="N456" i="17"/>
  <c r="O456" i="17"/>
  <c r="G456" i="17" l="1"/>
  <c r="H456" i="17"/>
  <c r="I433" i="16"/>
  <c r="K433" i="16" s="1"/>
  <c r="H433" i="16"/>
  <c r="G433" i="16"/>
  <c r="O433" i="16"/>
  <c r="N433" i="16"/>
  <c r="P433" i="16"/>
  <c r="R433" i="16" s="1"/>
  <c r="U456" i="17"/>
  <c r="Q456" i="17"/>
  <c r="Q433" i="16" l="1"/>
  <c r="S433" i="16" s="1"/>
  <c r="J456" i="17"/>
  <c r="L456" i="17" s="1"/>
  <c r="J433" i="16"/>
  <c r="U433" i="16"/>
  <c r="S456" i="17"/>
  <c r="T433" i="16" l="1"/>
  <c r="T456" i="17"/>
  <c r="V456" i="17" s="1"/>
  <c r="W456" i="17"/>
  <c r="M457" i="17"/>
  <c r="L433" i="16"/>
  <c r="V433" i="16" s="1"/>
  <c r="X456" i="17"/>
  <c r="Y456" i="17"/>
  <c r="F457" i="17"/>
  <c r="I457" i="17" s="1"/>
  <c r="K457" i="17" s="1"/>
  <c r="W433" i="16"/>
  <c r="O457" i="17"/>
  <c r="N457" i="17"/>
  <c r="P457" i="17"/>
  <c r="R457" i="17" s="1"/>
  <c r="G457" i="17"/>
  <c r="Y433" i="16" l="1"/>
  <c r="M434" i="16"/>
  <c r="P434" i="16" s="1"/>
  <c r="R434" i="16" s="1"/>
  <c r="F434" i="16"/>
  <c r="G434" i="16" s="1"/>
  <c r="H457" i="17"/>
  <c r="J457" i="17" s="1"/>
  <c r="L457" i="17" s="1"/>
  <c r="W457" i="17" s="1"/>
  <c r="X433" i="16"/>
  <c r="Q457" i="17"/>
  <c r="S457" i="17" s="1"/>
  <c r="U457" i="17"/>
  <c r="N434" i="16" l="1"/>
  <c r="Q434" i="16" s="1"/>
  <c r="S434" i="16" s="1"/>
  <c r="O434" i="16"/>
  <c r="H434" i="16"/>
  <c r="I434" i="16"/>
  <c r="K434" i="16" s="1"/>
  <c r="U434" i="16" s="1"/>
  <c r="M458" i="17"/>
  <c r="F458" i="17"/>
  <c r="Y457" i="17"/>
  <c r="X457" i="17"/>
  <c r="T457" i="17"/>
  <c r="V457" i="17" s="1"/>
  <c r="J434" i="16" l="1"/>
  <c r="L434" i="16" s="1"/>
  <c r="X434" i="16" s="1"/>
  <c r="H458" i="17"/>
  <c r="I458" i="17"/>
  <c r="K458" i="17" s="1"/>
  <c r="G458" i="17"/>
  <c r="P458" i="17"/>
  <c r="R458" i="17" s="1"/>
  <c r="N458" i="17"/>
  <c r="O458" i="17"/>
  <c r="T434" i="16" l="1"/>
  <c r="V434" i="16" s="1"/>
  <c r="W434" i="16"/>
  <c r="Y434" i="16"/>
  <c r="M435" i="16"/>
  <c r="N435" i="16" s="1"/>
  <c r="J458" i="17"/>
  <c r="L458" i="17" s="1"/>
  <c r="F435" i="16"/>
  <c r="U458" i="17"/>
  <c r="Q458" i="17"/>
  <c r="S458" i="17" s="1"/>
  <c r="P435" i="16" l="1"/>
  <c r="R435" i="16" s="1"/>
  <c r="O435" i="16"/>
  <c r="Q435" i="16" s="1"/>
  <c r="W458" i="17"/>
  <c r="I435" i="16"/>
  <c r="K435" i="16" s="1"/>
  <c r="H435" i="16"/>
  <c r="G435" i="16"/>
  <c r="T458" i="17"/>
  <c r="V458" i="17" s="1"/>
  <c r="F459" i="17"/>
  <c r="X458" i="17"/>
  <c r="M459" i="17"/>
  <c r="Y458" i="17"/>
  <c r="U435" i="16" l="1"/>
  <c r="S435" i="16"/>
  <c r="J435" i="16"/>
  <c r="T435" i="16" s="1"/>
  <c r="P459" i="17"/>
  <c r="R459" i="17" s="1"/>
  <c r="N459" i="17"/>
  <c r="O459" i="17"/>
  <c r="H459" i="17"/>
  <c r="G459" i="17"/>
  <c r="I459" i="17"/>
  <c r="K459" i="17" s="1"/>
  <c r="U459" i="17" s="1"/>
  <c r="L435" i="16" l="1"/>
  <c r="W435" i="16" s="1"/>
  <c r="J459" i="17"/>
  <c r="L459" i="17" s="1"/>
  <c r="Q459" i="17"/>
  <c r="S459" i="17" s="1"/>
  <c r="Y435" i="16" l="1"/>
  <c r="V435" i="16"/>
  <c r="X435" i="16"/>
  <c r="M436" i="16"/>
  <c r="F436" i="16"/>
  <c r="W459" i="17"/>
  <c r="T459" i="17"/>
  <c r="V459" i="17" s="1"/>
  <c r="Y459" i="17"/>
  <c r="X459" i="17"/>
  <c r="F460" i="17"/>
  <c r="M460" i="17"/>
  <c r="O436" i="16" l="1"/>
  <c r="N436" i="16"/>
  <c r="P436" i="16"/>
  <c r="R436" i="16" s="1"/>
  <c r="I436" i="16"/>
  <c r="K436" i="16" s="1"/>
  <c r="H436" i="16"/>
  <c r="G436" i="16"/>
  <c r="O460" i="17"/>
  <c r="N460" i="17"/>
  <c r="P460" i="17"/>
  <c r="R460" i="17" s="1"/>
  <c r="H460" i="17"/>
  <c r="G460" i="17"/>
  <c r="I460" i="17"/>
  <c r="K460" i="17" s="1"/>
  <c r="U436" i="16" l="1"/>
  <c r="J436" i="16"/>
  <c r="Q436" i="16"/>
  <c r="S436" i="16" s="1"/>
  <c r="Q460" i="17"/>
  <c r="S460" i="17" s="1"/>
  <c r="J460" i="17"/>
  <c r="L460" i="17" s="1"/>
  <c r="W460" i="17" s="1"/>
  <c r="U460" i="17"/>
  <c r="L436" i="16" l="1"/>
  <c r="T436" i="16"/>
  <c r="T460" i="17"/>
  <c r="V460" i="17" s="1"/>
  <c r="Y460" i="17"/>
  <c r="F461" i="17"/>
  <c r="X460" i="17"/>
  <c r="M461" i="17"/>
  <c r="V436" i="16" l="1"/>
  <c r="Y436" i="16"/>
  <c r="M437" i="16"/>
  <c r="W436" i="16"/>
  <c r="X436" i="16"/>
  <c r="F437" i="16"/>
  <c r="O461" i="17"/>
  <c r="N461" i="17"/>
  <c r="P461" i="17"/>
  <c r="R461" i="17" s="1"/>
  <c r="H461" i="17"/>
  <c r="G461" i="17"/>
  <c r="I461" i="17"/>
  <c r="K461" i="17" s="1"/>
  <c r="J461" i="17" l="1"/>
  <c r="O437" i="16"/>
  <c r="N437" i="16"/>
  <c r="Q437" i="16" s="1"/>
  <c r="S437" i="16" s="1"/>
  <c r="P437" i="16"/>
  <c r="R437" i="16" s="1"/>
  <c r="G437" i="16"/>
  <c r="H437" i="16"/>
  <c r="I437" i="16"/>
  <c r="K437" i="16" s="1"/>
  <c r="Q461" i="17"/>
  <c r="S461" i="17" s="1"/>
  <c r="L461" i="17"/>
  <c r="U461" i="17"/>
  <c r="U437" i="16" l="1"/>
  <c r="J437" i="16"/>
  <c r="L437" i="16" s="1"/>
  <c r="W461" i="17"/>
  <c r="T461" i="17"/>
  <c r="V461" i="17" s="1"/>
  <c r="M462" i="17"/>
  <c r="Y461" i="17"/>
  <c r="X461" i="17"/>
  <c r="F462" i="17"/>
  <c r="T437" i="16" l="1"/>
  <c r="V437" i="16"/>
  <c r="M438" i="16"/>
  <c r="Y437" i="16"/>
  <c r="X437" i="16"/>
  <c r="W437" i="16"/>
  <c r="F438" i="16"/>
  <c r="I462" i="17"/>
  <c r="K462" i="17" s="1"/>
  <c r="G462" i="17"/>
  <c r="H462" i="17"/>
  <c r="N462" i="17"/>
  <c r="O462" i="17"/>
  <c r="P462" i="17"/>
  <c r="R462" i="17" s="1"/>
  <c r="J462" i="17" l="1"/>
  <c r="L462" i="17" s="1"/>
  <c r="H438" i="16"/>
  <c r="G438" i="16"/>
  <c r="J438" i="16" s="1"/>
  <c r="I438" i="16"/>
  <c r="K438" i="16" s="1"/>
  <c r="O438" i="16"/>
  <c r="P438" i="16"/>
  <c r="R438" i="16" s="1"/>
  <c r="N438" i="16"/>
  <c r="Q462" i="17"/>
  <c r="S462" i="17" s="1"/>
  <c r="U462" i="17"/>
  <c r="Q438" i="16" l="1"/>
  <c r="S438" i="16" s="1"/>
  <c r="U438" i="16"/>
  <c r="L438" i="16"/>
  <c r="T462" i="17"/>
  <c r="V462" i="17" s="1"/>
  <c r="W462" i="17"/>
  <c r="F463" i="17"/>
  <c r="M463" i="17"/>
  <c r="X462" i="17"/>
  <c r="Y462" i="17"/>
  <c r="T438" i="16" l="1"/>
  <c r="Y438" i="16"/>
  <c r="W438" i="16"/>
  <c r="V438" i="16"/>
  <c r="M439" i="16"/>
  <c r="X438" i="16"/>
  <c r="F439" i="16"/>
  <c r="P463" i="17"/>
  <c r="R463" i="17" s="1"/>
  <c r="N463" i="17"/>
  <c r="O463" i="17"/>
  <c r="I463" i="17"/>
  <c r="K463" i="17" s="1"/>
  <c r="G463" i="17"/>
  <c r="H463" i="17"/>
  <c r="G439" i="16" l="1"/>
  <c r="I439" i="16"/>
  <c r="K439" i="16" s="1"/>
  <c r="H439" i="16"/>
  <c r="P439" i="16"/>
  <c r="R439" i="16" s="1"/>
  <c r="O439" i="16"/>
  <c r="N439" i="16"/>
  <c r="J439" i="16"/>
  <c r="U463" i="17"/>
  <c r="Q463" i="17"/>
  <c r="S463" i="17" s="1"/>
  <c r="J463" i="17"/>
  <c r="L439" i="16" l="1"/>
  <c r="W439" i="16" s="1"/>
  <c r="T463" i="17"/>
  <c r="Q439" i="16"/>
  <c r="S439" i="16" s="1"/>
  <c r="Y439" i="16" s="1"/>
  <c r="U439" i="16"/>
  <c r="L463" i="17"/>
  <c r="W463" i="17" s="1"/>
  <c r="M440" i="16" l="1"/>
  <c r="P440" i="16" s="1"/>
  <c r="R440" i="16" s="1"/>
  <c r="F440" i="16"/>
  <c r="G440" i="16" s="1"/>
  <c r="X439" i="16"/>
  <c r="T439" i="16"/>
  <c r="V439" i="16" s="1"/>
  <c r="F464" i="17"/>
  <c r="H464" i="17" s="1"/>
  <c r="M464" i="17"/>
  <c r="N464" i="17" s="1"/>
  <c r="X463" i="17"/>
  <c r="Y463" i="17"/>
  <c r="V463" i="17"/>
  <c r="P464" i="17"/>
  <c r="R464" i="17" s="1"/>
  <c r="N440" i="16" l="1"/>
  <c r="O440" i="16"/>
  <c r="I440" i="16"/>
  <c r="K440" i="16" s="1"/>
  <c r="U440" i="16" s="1"/>
  <c r="H440" i="16"/>
  <c r="G464" i="17"/>
  <c r="I464" i="17"/>
  <c r="K464" i="17" s="1"/>
  <c r="U464" i="17" s="1"/>
  <c r="O464" i="17"/>
  <c r="Q464" i="17" s="1"/>
  <c r="S464" i="17" s="1"/>
  <c r="J464" i="17"/>
  <c r="Q440" i="16"/>
  <c r="S440" i="16" s="1"/>
  <c r="J440" i="16" l="1"/>
  <c r="T440" i="16" s="1"/>
  <c r="T464" i="17"/>
  <c r="L464" i="17"/>
  <c r="W464" i="17" s="1"/>
  <c r="L440" i="16" l="1"/>
  <c r="F441" i="16" s="1"/>
  <c r="X464" i="17"/>
  <c r="Y464" i="17"/>
  <c r="F465" i="17"/>
  <c r="M465" i="17"/>
  <c r="V464" i="17"/>
  <c r="Y440" i="16"/>
  <c r="X440" i="16"/>
  <c r="M441" i="16"/>
  <c r="V440" i="16"/>
  <c r="W440" i="16" l="1"/>
  <c r="H465" i="17"/>
  <c r="G465" i="17"/>
  <c r="I465" i="17"/>
  <c r="K465" i="17" s="1"/>
  <c r="O465" i="17"/>
  <c r="N465" i="17"/>
  <c r="P465" i="17"/>
  <c r="R465" i="17" s="1"/>
  <c r="O441" i="16"/>
  <c r="N441" i="16"/>
  <c r="P441" i="16"/>
  <c r="R441" i="16" s="1"/>
  <c r="G441" i="16"/>
  <c r="I441" i="16"/>
  <c r="K441" i="16" s="1"/>
  <c r="H441" i="16"/>
  <c r="J465" i="17" l="1"/>
  <c r="L465" i="17" s="1"/>
  <c r="Q465" i="17"/>
  <c r="U465" i="17"/>
  <c r="U441" i="16"/>
  <c r="J441" i="16"/>
  <c r="Q441" i="16"/>
  <c r="S441" i="16" s="1"/>
  <c r="W465" i="17" l="1"/>
  <c r="T465" i="17"/>
  <c r="S465" i="17"/>
  <c r="X465" i="17" s="1"/>
  <c r="M466" i="17"/>
  <c r="Y465" i="17"/>
  <c r="T441" i="16"/>
  <c r="L441" i="16"/>
  <c r="F466" i="17" l="1"/>
  <c r="H466" i="17" s="1"/>
  <c r="V465" i="17"/>
  <c r="N466" i="17"/>
  <c r="P466" i="17"/>
  <c r="R466" i="17" s="1"/>
  <c r="O466" i="17"/>
  <c r="Y441" i="16"/>
  <c r="W441" i="16"/>
  <c r="F442" i="16"/>
  <c r="M442" i="16"/>
  <c r="X441" i="16"/>
  <c r="V441" i="16"/>
  <c r="I466" i="17" l="1"/>
  <c r="K466" i="17" s="1"/>
  <c r="U466" i="17" s="1"/>
  <c r="G466" i="17"/>
  <c r="Q466" i="17"/>
  <c r="N442" i="16"/>
  <c r="P442" i="16"/>
  <c r="R442" i="16" s="1"/>
  <c r="O442" i="16"/>
  <c r="I442" i="16"/>
  <c r="K442" i="16" s="1"/>
  <c r="H442" i="16"/>
  <c r="G442" i="16"/>
  <c r="J466" i="17" l="1"/>
  <c r="L466" i="17" s="1"/>
  <c r="S466" i="17"/>
  <c r="U442" i="16"/>
  <c r="J442" i="16"/>
  <c r="Q442" i="16"/>
  <c r="S442" i="16" s="1"/>
  <c r="F467" i="17" l="1"/>
  <c r="M467" i="17"/>
  <c r="P467" i="17" s="1"/>
  <c r="R467" i="17" s="1"/>
  <c r="Y466" i="17"/>
  <c r="T466" i="17"/>
  <c r="V466" i="17" s="1"/>
  <c r="X466" i="17"/>
  <c r="W466" i="17"/>
  <c r="O467" i="17"/>
  <c r="G467" i="17"/>
  <c r="H467" i="17"/>
  <c r="I467" i="17"/>
  <c r="K467" i="17" s="1"/>
  <c r="T442" i="16"/>
  <c r="L442" i="16"/>
  <c r="N467" i="17" l="1"/>
  <c r="U467" i="17"/>
  <c r="J467" i="17"/>
  <c r="L467" i="17" s="1"/>
  <c r="W467" i="17" s="1"/>
  <c r="Q467" i="17"/>
  <c r="S467" i="17" s="1"/>
  <c r="Y442" i="16"/>
  <c r="W442" i="16"/>
  <c r="M443" i="16"/>
  <c r="X442" i="16"/>
  <c r="F443" i="16"/>
  <c r="V442" i="16"/>
  <c r="X467" i="17" l="1"/>
  <c r="T467" i="17"/>
  <c r="V467" i="17" s="1"/>
  <c r="M468" i="17"/>
  <c r="F468" i="17"/>
  <c r="Y467" i="17"/>
  <c r="I443" i="16"/>
  <c r="K443" i="16" s="1"/>
  <c r="H443" i="16"/>
  <c r="G443" i="16"/>
  <c r="P443" i="16"/>
  <c r="R443" i="16" s="1"/>
  <c r="O443" i="16"/>
  <c r="N443" i="16"/>
  <c r="G468" i="17" l="1"/>
  <c r="H468" i="17"/>
  <c r="I468" i="17"/>
  <c r="K468" i="17" s="1"/>
  <c r="O468" i="17"/>
  <c r="N468" i="17"/>
  <c r="P468" i="17"/>
  <c r="U443" i="16"/>
  <c r="Q443" i="16"/>
  <c r="S443" i="16" s="1"/>
  <c r="J443" i="16"/>
  <c r="Q468" i="17" l="1"/>
  <c r="J468" i="17"/>
  <c r="L468" i="17" s="1"/>
  <c r="R468" i="17"/>
  <c r="U468" i="17" s="1"/>
  <c r="T443" i="16"/>
  <c r="L443" i="16"/>
  <c r="W468" i="17" l="1"/>
  <c r="T468" i="17"/>
  <c r="S468" i="17"/>
  <c r="M469" i="17" s="1"/>
  <c r="Y468" i="17"/>
  <c r="V468" i="17"/>
  <c r="Y443" i="16"/>
  <c r="W443" i="16"/>
  <c r="M444" i="16"/>
  <c r="F444" i="16"/>
  <c r="X443" i="16"/>
  <c r="V443" i="16"/>
  <c r="F469" i="17" l="1"/>
  <c r="G469" i="17" s="1"/>
  <c r="X468" i="17"/>
  <c r="N469" i="17"/>
  <c r="O469" i="17"/>
  <c r="P469" i="17"/>
  <c r="R469" i="17" s="1"/>
  <c r="H444" i="16"/>
  <c r="I444" i="16"/>
  <c r="K444" i="16" s="1"/>
  <c r="G444" i="16"/>
  <c r="P444" i="16"/>
  <c r="R444" i="16" s="1"/>
  <c r="O444" i="16"/>
  <c r="N444" i="16"/>
  <c r="Q469" i="17" l="1"/>
  <c r="S469" i="17" s="1"/>
  <c r="I469" i="17"/>
  <c r="K469" i="17" s="1"/>
  <c r="U469" i="17" s="1"/>
  <c r="H469" i="17"/>
  <c r="J469" i="17" s="1"/>
  <c r="T469" i="17" s="1"/>
  <c r="J444" i="16"/>
  <c r="L444" i="16" s="1"/>
  <c r="U444" i="16"/>
  <c r="Q444" i="16"/>
  <c r="S444" i="16" s="1"/>
  <c r="L469" i="17" l="1"/>
  <c r="Y444" i="16"/>
  <c r="W444" i="16"/>
  <c r="T444" i="16"/>
  <c r="V444" i="16" s="1"/>
  <c r="X444" i="16"/>
  <c r="F445" i="16"/>
  <c r="M445" i="16"/>
  <c r="V469" i="17" l="1"/>
  <c r="W469" i="17"/>
  <c r="F470" i="17"/>
  <c r="M470" i="17"/>
  <c r="X469" i="17"/>
  <c r="Y469" i="17"/>
  <c r="P445" i="16"/>
  <c r="R445" i="16" s="1"/>
  <c r="O445" i="16"/>
  <c r="N445" i="16"/>
  <c r="H445" i="16"/>
  <c r="G445" i="16"/>
  <c r="I445" i="16"/>
  <c r="K445" i="16" s="1"/>
  <c r="P470" i="17" l="1"/>
  <c r="R470" i="17" s="1"/>
  <c r="O470" i="17"/>
  <c r="N470" i="17"/>
  <c r="Q470" i="17" s="1"/>
  <c r="S470" i="17" s="1"/>
  <c r="I470" i="17"/>
  <c r="K470" i="17" s="1"/>
  <c r="G470" i="17"/>
  <c r="H470" i="17"/>
  <c r="U445" i="16"/>
  <c r="J445" i="16"/>
  <c r="Q445" i="16"/>
  <c r="S445" i="16" s="1"/>
  <c r="J470" i="17" l="1"/>
  <c r="L470" i="17" s="1"/>
  <c r="W470" i="17" s="1"/>
  <c r="U470" i="17"/>
  <c r="T445" i="16"/>
  <c r="L445" i="16"/>
  <c r="T470" i="17" l="1"/>
  <c r="V470" i="17" s="1"/>
  <c r="F471" i="17"/>
  <c r="X470" i="17"/>
  <c r="Y470" i="17"/>
  <c r="M471" i="17"/>
  <c r="Y445" i="16"/>
  <c r="W445" i="16"/>
  <c r="X445" i="16"/>
  <c r="F446" i="16"/>
  <c r="M446" i="16"/>
  <c r="V445" i="16"/>
  <c r="H471" i="17" l="1"/>
  <c r="G471" i="17"/>
  <c r="I471" i="17"/>
  <c r="K471" i="17" s="1"/>
  <c r="O471" i="17"/>
  <c r="P471" i="17"/>
  <c r="R471" i="17" s="1"/>
  <c r="N471" i="17"/>
  <c r="O446" i="16"/>
  <c r="N446" i="16"/>
  <c r="P446" i="16"/>
  <c r="R446" i="16" s="1"/>
  <c r="G446" i="16"/>
  <c r="I446" i="16"/>
  <c r="K446" i="16" s="1"/>
  <c r="H446" i="16"/>
  <c r="Q471" i="17" l="1"/>
  <c r="S471" i="17" s="1"/>
  <c r="U471" i="17"/>
  <c r="J471" i="17"/>
  <c r="T471" i="17" s="1"/>
  <c r="U446" i="16"/>
  <c r="J446" i="16"/>
  <c r="Q446" i="16"/>
  <c r="S446" i="16" s="1"/>
  <c r="L471" i="17" l="1"/>
  <c r="T446" i="16"/>
  <c r="L446" i="16"/>
  <c r="V471" i="17" l="1"/>
  <c r="W471" i="17"/>
  <c r="F472" i="17"/>
  <c r="G472" i="17" s="1"/>
  <c r="X471" i="17"/>
  <c r="M472" i="17"/>
  <c r="O472" i="17" s="1"/>
  <c r="Y471" i="17"/>
  <c r="H472" i="17"/>
  <c r="Y446" i="16"/>
  <c r="W446" i="16"/>
  <c r="F447" i="16"/>
  <c r="M447" i="16"/>
  <c r="X446" i="16"/>
  <c r="V446" i="16"/>
  <c r="I472" i="17" l="1"/>
  <c r="K472" i="17" s="1"/>
  <c r="P472" i="17"/>
  <c r="R472" i="17" s="1"/>
  <c r="N472" i="17"/>
  <c r="N447" i="16"/>
  <c r="P447" i="16"/>
  <c r="R447" i="16" s="1"/>
  <c r="O447" i="16"/>
  <c r="I447" i="16"/>
  <c r="K447" i="16" s="1"/>
  <c r="H447" i="16"/>
  <c r="G447" i="16"/>
  <c r="Q472" i="17" l="1"/>
  <c r="S472" i="17" s="1"/>
  <c r="U472" i="17"/>
  <c r="J472" i="17"/>
  <c r="L472" i="17" s="1"/>
  <c r="U447" i="16"/>
  <c r="Q447" i="16"/>
  <c r="S447" i="16" s="1"/>
  <c r="J447" i="16"/>
  <c r="W472" i="17" l="1"/>
  <c r="T472" i="17"/>
  <c r="V472" i="17" s="1"/>
  <c r="X472" i="17"/>
  <c r="Y472" i="17"/>
  <c r="M473" i="17"/>
  <c r="F473" i="17"/>
  <c r="T447" i="16"/>
  <c r="L447" i="16"/>
  <c r="I473" i="17" l="1"/>
  <c r="K473" i="17" s="1"/>
  <c r="G473" i="17"/>
  <c r="H473" i="17"/>
  <c r="P473" i="17"/>
  <c r="R473" i="17" s="1"/>
  <c r="O473" i="17"/>
  <c r="N473" i="17"/>
  <c r="Y447" i="16"/>
  <c r="W447" i="16"/>
  <c r="M448" i="16"/>
  <c r="X447" i="16"/>
  <c r="F448" i="16"/>
  <c r="V447" i="16"/>
  <c r="Q473" i="17" l="1"/>
  <c r="S473" i="17" s="1"/>
  <c r="J473" i="17"/>
  <c r="U473" i="17"/>
  <c r="I448" i="16"/>
  <c r="K448" i="16" s="1"/>
  <c r="H448" i="16"/>
  <c r="G448" i="16"/>
  <c r="P448" i="16"/>
  <c r="R448" i="16" s="1"/>
  <c r="O448" i="16"/>
  <c r="N448" i="16"/>
  <c r="T473" i="17" l="1"/>
  <c r="L473" i="17"/>
  <c r="Y473" i="17" s="1"/>
  <c r="F474" i="17"/>
  <c r="M474" i="17"/>
  <c r="U448" i="16"/>
  <c r="Q448" i="16"/>
  <c r="S448" i="16" s="1"/>
  <c r="J448" i="16"/>
  <c r="X473" i="17" l="1"/>
  <c r="W473" i="17"/>
  <c r="V473" i="17"/>
  <c r="N474" i="17"/>
  <c r="P474" i="17"/>
  <c r="R474" i="17" s="1"/>
  <c r="O474" i="17"/>
  <c r="Q474" i="17" s="1"/>
  <c r="S474" i="17" s="1"/>
  <c r="G474" i="17"/>
  <c r="H474" i="17"/>
  <c r="I474" i="17"/>
  <c r="K474" i="17" s="1"/>
  <c r="T448" i="16"/>
  <c r="L448" i="16"/>
  <c r="U474" i="17" l="1"/>
  <c r="J474" i="17"/>
  <c r="T474" i="17" s="1"/>
  <c r="Y448" i="16"/>
  <c r="W448" i="16"/>
  <c r="X448" i="16"/>
  <c r="F449" i="16"/>
  <c r="M449" i="16"/>
  <c r="V448" i="16"/>
  <c r="L474" i="17" l="1"/>
  <c r="W474" i="17" s="1"/>
  <c r="H449" i="16"/>
  <c r="G449" i="16"/>
  <c r="I449" i="16"/>
  <c r="K449" i="16" s="1"/>
  <c r="P449" i="16"/>
  <c r="R449" i="16" s="1"/>
  <c r="O449" i="16"/>
  <c r="N449" i="16"/>
  <c r="M475" i="17" l="1"/>
  <c r="X474" i="17"/>
  <c r="Y474" i="17"/>
  <c r="F475" i="17"/>
  <c r="V474" i="17"/>
  <c r="Q449" i="16"/>
  <c r="S449" i="16" s="1"/>
  <c r="U449" i="16"/>
  <c r="J449" i="16"/>
  <c r="I475" i="17" l="1"/>
  <c r="K475" i="17" s="1"/>
  <c r="H475" i="17"/>
  <c r="G475" i="17"/>
  <c r="J475" i="17" s="1"/>
  <c r="N475" i="17"/>
  <c r="P475" i="17"/>
  <c r="R475" i="17" s="1"/>
  <c r="O475" i="17"/>
  <c r="T449" i="16"/>
  <c r="L449" i="16"/>
  <c r="Q475" i="17" l="1"/>
  <c r="S475" i="17" s="1"/>
  <c r="L475" i="17"/>
  <c r="W475" i="17" s="1"/>
  <c r="U475" i="17"/>
  <c r="Y449" i="16"/>
  <c r="W449" i="16"/>
  <c r="X449" i="16"/>
  <c r="F450" i="16"/>
  <c r="M450" i="16"/>
  <c r="V449" i="16"/>
  <c r="T475" i="17" l="1"/>
  <c r="V475" i="17" s="1"/>
  <c r="F476" i="17"/>
  <c r="M476" i="17"/>
  <c r="X475" i="17"/>
  <c r="Y475" i="17"/>
  <c r="O450" i="16"/>
  <c r="N450" i="16"/>
  <c r="P450" i="16"/>
  <c r="R450" i="16" s="1"/>
  <c r="G450" i="16"/>
  <c r="I450" i="16"/>
  <c r="K450" i="16" s="1"/>
  <c r="H450" i="16"/>
  <c r="P476" i="17" l="1"/>
  <c r="R476" i="17" s="1"/>
  <c r="O476" i="17"/>
  <c r="N476" i="17"/>
  <c r="G476" i="17"/>
  <c r="I476" i="17"/>
  <c r="K476" i="17" s="1"/>
  <c r="H476" i="17"/>
  <c r="U450" i="16"/>
  <c r="J450" i="16"/>
  <c r="L450" i="16" s="1"/>
  <c r="Q450" i="16"/>
  <c r="S450" i="16" s="1"/>
  <c r="U476" i="17" l="1"/>
  <c r="J476" i="17"/>
  <c r="L476" i="17" s="1"/>
  <c r="W476" i="17" s="1"/>
  <c r="W450" i="16"/>
  <c r="Q476" i="17"/>
  <c r="S476" i="17" s="1"/>
  <c r="Y450" i="16"/>
  <c r="F451" i="16"/>
  <c r="M451" i="16"/>
  <c r="X450" i="16"/>
  <c r="T450" i="16"/>
  <c r="V450" i="16" s="1"/>
  <c r="T476" i="17" l="1"/>
  <c r="V476" i="17" s="1"/>
  <c r="M477" i="17"/>
  <c r="Y476" i="17"/>
  <c r="F477" i="17"/>
  <c r="X476" i="17"/>
  <c r="N451" i="16"/>
  <c r="P451" i="16"/>
  <c r="R451" i="16" s="1"/>
  <c r="O451" i="16"/>
  <c r="I451" i="16"/>
  <c r="K451" i="16" s="1"/>
  <c r="H451" i="16"/>
  <c r="G451" i="16"/>
  <c r="N477" i="17" l="1"/>
  <c r="O477" i="17"/>
  <c r="P477" i="17"/>
  <c r="R477" i="17" s="1"/>
  <c r="H477" i="17"/>
  <c r="I477" i="17"/>
  <c r="K477" i="17" s="1"/>
  <c r="G477" i="17"/>
  <c r="U451" i="16"/>
  <c r="Q451" i="16"/>
  <c r="S451" i="16" s="1"/>
  <c r="J451" i="16"/>
  <c r="J477" i="17" l="1"/>
  <c r="L477" i="17" s="1"/>
  <c r="W477" i="17" s="1"/>
  <c r="Q477" i="17"/>
  <c r="S477" i="17" s="1"/>
  <c r="U477" i="17"/>
  <c r="T451" i="16"/>
  <c r="L451" i="16"/>
  <c r="X477" i="17" l="1"/>
  <c r="F478" i="17"/>
  <c r="G478" i="17" s="1"/>
  <c r="T477" i="17"/>
  <c r="V477" i="17" s="1"/>
  <c r="Y477" i="17"/>
  <c r="M478" i="17"/>
  <c r="Y451" i="16"/>
  <c r="W451" i="16"/>
  <c r="I478" i="17"/>
  <c r="K478" i="17" s="1"/>
  <c r="M452" i="16"/>
  <c r="X451" i="16"/>
  <c r="F452" i="16"/>
  <c r="V451" i="16"/>
  <c r="H478" i="17" l="1"/>
  <c r="J478" i="17" s="1"/>
  <c r="L478" i="17" s="1"/>
  <c r="O478" i="17"/>
  <c r="P478" i="17"/>
  <c r="R478" i="17" s="1"/>
  <c r="U478" i="17" s="1"/>
  <c r="N478" i="17"/>
  <c r="I452" i="16"/>
  <c r="K452" i="16" s="1"/>
  <c r="H452" i="16"/>
  <c r="G452" i="16"/>
  <c r="P452" i="16"/>
  <c r="R452" i="16" s="1"/>
  <c r="O452" i="16"/>
  <c r="N452" i="16"/>
  <c r="W478" i="17" l="1"/>
  <c r="Q478" i="17"/>
  <c r="S478" i="17" s="1"/>
  <c r="U452" i="16"/>
  <c r="Q452" i="16"/>
  <c r="S452" i="16" s="1"/>
  <c r="J452" i="16"/>
  <c r="Y478" i="17" l="1"/>
  <c r="X478" i="17"/>
  <c r="M479" i="17"/>
  <c r="P479" i="17" s="1"/>
  <c r="R479" i="17" s="1"/>
  <c r="F479" i="17"/>
  <c r="T478" i="17"/>
  <c r="V478" i="17" s="1"/>
  <c r="T452" i="16"/>
  <c r="L452" i="16"/>
  <c r="I479" i="17" l="1"/>
  <c r="K479" i="17" s="1"/>
  <c r="U479" i="17" s="1"/>
  <c r="H479" i="17"/>
  <c r="G479" i="17"/>
  <c r="N479" i="17"/>
  <c r="O479" i="17"/>
  <c r="Y452" i="16"/>
  <c r="W452" i="16"/>
  <c r="X452" i="16"/>
  <c r="F453" i="16"/>
  <c r="M453" i="16"/>
  <c r="V452" i="16"/>
  <c r="Q479" i="17" l="1"/>
  <c r="S479" i="17" s="1"/>
  <c r="J479" i="17"/>
  <c r="L479" i="17" s="1"/>
  <c r="H453" i="16"/>
  <c r="G453" i="16"/>
  <c r="I453" i="16"/>
  <c r="K453" i="16" s="1"/>
  <c r="P453" i="16"/>
  <c r="R453" i="16" s="1"/>
  <c r="O453" i="16"/>
  <c r="N453" i="16"/>
  <c r="Y479" i="17" l="1"/>
  <c r="W479" i="17"/>
  <c r="F480" i="17"/>
  <c r="G480" i="17" s="1"/>
  <c r="M480" i="17"/>
  <c r="N480" i="17" s="1"/>
  <c r="X479" i="17"/>
  <c r="T479" i="17"/>
  <c r="V479" i="17" s="1"/>
  <c r="P480" i="17"/>
  <c r="R480" i="17" s="1"/>
  <c r="U453" i="16"/>
  <c r="Q453" i="16"/>
  <c r="S453" i="16" s="1"/>
  <c r="J453" i="16"/>
  <c r="H480" i="17" l="1"/>
  <c r="I480" i="17"/>
  <c r="K480" i="17" s="1"/>
  <c r="U480" i="17" s="1"/>
  <c r="O480" i="17"/>
  <c r="Q480" i="17" s="1"/>
  <c r="S480" i="17" s="1"/>
  <c r="T453" i="16"/>
  <c r="L453" i="16"/>
  <c r="J480" i="17" l="1"/>
  <c r="L480" i="17" s="1"/>
  <c r="W480" i="17" s="1"/>
  <c r="Y453" i="16"/>
  <c r="W453" i="16"/>
  <c r="X453" i="16"/>
  <c r="F454" i="16"/>
  <c r="M454" i="16"/>
  <c r="V453" i="16"/>
  <c r="M481" i="17" l="1"/>
  <c r="N481" i="17" s="1"/>
  <c r="X480" i="17"/>
  <c r="Y480" i="17"/>
  <c r="F481" i="17"/>
  <c r="I481" i="17" s="1"/>
  <c r="K481" i="17" s="1"/>
  <c r="T480" i="17"/>
  <c r="V480" i="17" s="1"/>
  <c r="O454" i="16"/>
  <c r="N454" i="16"/>
  <c r="P454" i="16"/>
  <c r="R454" i="16" s="1"/>
  <c r="G454" i="16"/>
  <c r="I454" i="16"/>
  <c r="K454" i="16" s="1"/>
  <c r="H454" i="16"/>
  <c r="O481" i="17" l="1"/>
  <c r="P481" i="17"/>
  <c r="R481" i="17" s="1"/>
  <c r="U481" i="17" s="1"/>
  <c r="H481" i="17"/>
  <c r="G481" i="17"/>
  <c r="U454" i="16"/>
  <c r="J454" i="16"/>
  <c r="Q454" i="16"/>
  <c r="S454" i="16" s="1"/>
  <c r="Q481" i="17" l="1"/>
  <c r="S481" i="17" s="1"/>
  <c r="J481" i="17"/>
  <c r="L481" i="17" s="1"/>
  <c r="T454" i="16"/>
  <c r="L454" i="16"/>
  <c r="W481" i="17" l="1"/>
  <c r="M482" i="17"/>
  <c r="O482" i="17" s="1"/>
  <c r="T481" i="17"/>
  <c r="Y481" i="17"/>
  <c r="F482" i="17"/>
  <c r="G482" i="17" s="1"/>
  <c r="Y454" i="16"/>
  <c r="W454" i="16"/>
  <c r="V481" i="17"/>
  <c r="X481" i="17"/>
  <c r="N482" i="17"/>
  <c r="F455" i="16"/>
  <c r="M455" i="16"/>
  <c r="X454" i="16"/>
  <c r="V454" i="16"/>
  <c r="P482" i="17" l="1"/>
  <c r="R482" i="17" s="1"/>
  <c r="H482" i="17"/>
  <c r="I482" i="17"/>
  <c r="K482" i="17" s="1"/>
  <c r="N455" i="16"/>
  <c r="P455" i="16"/>
  <c r="R455" i="16" s="1"/>
  <c r="O455" i="16"/>
  <c r="I455" i="16"/>
  <c r="K455" i="16" s="1"/>
  <c r="H455" i="16"/>
  <c r="G455" i="16"/>
  <c r="Q482" i="17" l="1"/>
  <c r="S482" i="17" s="1"/>
  <c r="U482" i="17"/>
  <c r="J482" i="17"/>
  <c r="L482" i="17" s="1"/>
  <c r="U455" i="16"/>
  <c r="Q455" i="16"/>
  <c r="S455" i="16" s="1"/>
  <c r="J455" i="16"/>
  <c r="W482" i="17" l="1"/>
  <c r="T482" i="17"/>
  <c r="V482" i="17"/>
  <c r="M483" i="17"/>
  <c r="N483" i="17" s="1"/>
  <c r="T455" i="16"/>
  <c r="F483" i="17"/>
  <c r="G483" i="17" s="1"/>
  <c r="X482" i="17"/>
  <c r="Y482" i="17"/>
  <c r="L455" i="16"/>
  <c r="P483" i="17" l="1"/>
  <c r="R483" i="17" s="1"/>
  <c r="O483" i="17"/>
  <c r="Y455" i="16"/>
  <c r="W455" i="16"/>
  <c r="I483" i="17"/>
  <c r="K483" i="17" s="1"/>
  <c r="U483" i="17" s="1"/>
  <c r="H483" i="17"/>
  <c r="Q483" i="17"/>
  <c r="M456" i="16"/>
  <c r="X455" i="16"/>
  <c r="F456" i="16"/>
  <c r="V455" i="16"/>
  <c r="J483" i="17" l="1"/>
  <c r="L483" i="17" s="1"/>
  <c r="W483" i="17" s="1"/>
  <c r="S483" i="17"/>
  <c r="I456" i="16"/>
  <c r="K456" i="16" s="1"/>
  <c r="H456" i="16"/>
  <c r="G456" i="16"/>
  <c r="P456" i="16"/>
  <c r="R456" i="16" s="1"/>
  <c r="O456" i="16"/>
  <c r="N456" i="16"/>
  <c r="Y483" i="17" l="1"/>
  <c r="T483" i="17"/>
  <c r="F484" i="17"/>
  <c r="I484" i="17" s="1"/>
  <c r="K484" i="17" s="1"/>
  <c r="X483" i="17"/>
  <c r="M484" i="17"/>
  <c r="P484" i="17" s="1"/>
  <c r="R484" i="17" s="1"/>
  <c r="V483" i="17"/>
  <c r="U456" i="16"/>
  <c r="Q456" i="16"/>
  <c r="S456" i="16" s="1"/>
  <c r="J456" i="16"/>
  <c r="H484" i="17" l="1"/>
  <c r="G484" i="17"/>
  <c r="J484" i="17" s="1"/>
  <c r="N484" i="17"/>
  <c r="O484" i="17"/>
  <c r="U484" i="17"/>
  <c r="T456" i="16"/>
  <c r="L456" i="16"/>
  <c r="Y456" i="16" l="1"/>
  <c r="W456" i="16"/>
  <c r="Q484" i="17"/>
  <c r="S484" i="17" s="1"/>
  <c r="L484" i="17"/>
  <c r="W484" i="17" s="1"/>
  <c r="X456" i="16"/>
  <c r="F457" i="16"/>
  <c r="M457" i="16"/>
  <c r="V456" i="16"/>
  <c r="T484" i="17" l="1"/>
  <c r="V484" i="17" s="1"/>
  <c r="F485" i="17"/>
  <c r="M485" i="17"/>
  <c r="Y484" i="17"/>
  <c r="X484" i="17"/>
  <c r="H457" i="16"/>
  <c r="G457" i="16"/>
  <c r="I457" i="16"/>
  <c r="K457" i="16" s="1"/>
  <c r="P457" i="16"/>
  <c r="R457" i="16" s="1"/>
  <c r="O457" i="16"/>
  <c r="N457" i="16"/>
  <c r="N485" i="17" l="1"/>
  <c r="O485" i="17"/>
  <c r="P485" i="17"/>
  <c r="R485" i="17" s="1"/>
  <c r="G485" i="17"/>
  <c r="H485" i="17"/>
  <c r="I485" i="17"/>
  <c r="K485" i="17" s="1"/>
  <c r="U457" i="16"/>
  <c r="Q457" i="16"/>
  <c r="S457" i="16" s="1"/>
  <c r="J457" i="16"/>
  <c r="Q485" i="17" l="1"/>
  <c r="S485" i="17" s="1"/>
  <c r="U485" i="17"/>
  <c r="J485" i="17"/>
  <c r="T457" i="16"/>
  <c r="L457" i="16"/>
  <c r="Y457" i="16" l="1"/>
  <c r="W457" i="16"/>
  <c r="T485" i="17"/>
  <c r="L485" i="17"/>
  <c r="W485" i="17" s="1"/>
  <c r="X457" i="16"/>
  <c r="F458" i="16"/>
  <c r="M458" i="16"/>
  <c r="V457" i="16"/>
  <c r="X485" i="17" l="1"/>
  <c r="M486" i="17"/>
  <c r="N486" i="17" s="1"/>
  <c r="V485" i="17"/>
  <c r="Y485" i="17"/>
  <c r="F486" i="17"/>
  <c r="I486" i="17" s="1"/>
  <c r="K486" i="17" s="1"/>
  <c r="O458" i="16"/>
  <c r="N458" i="16"/>
  <c r="P458" i="16"/>
  <c r="R458" i="16" s="1"/>
  <c r="G458" i="16"/>
  <c r="I458" i="16"/>
  <c r="K458" i="16" s="1"/>
  <c r="H458" i="16"/>
  <c r="P486" i="17" l="1"/>
  <c r="R486" i="17" s="1"/>
  <c r="U486" i="17" s="1"/>
  <c r="O486" i="17"/>
  <c r="Q486" i="17" s="1"/>
  <c r="G486" i="17"/>
  <c r="H486" i="17"/>
  <c r="U458" i="16"/>
  <c r="J458" i="16"/>
  <c r="Q458" i="16"/>
  <c r="S458" i="16" s="1"/>
  <c r="S486" i="17" l="1"/>
  <c r="J486" i="17"/>
  <c r="T486" i="17" s="1"/>
  <c r="T458" i="16"/>
  <c r="L458" i="16"/>
  <c r="Y458" i="16" l="1"/>
  <c r="W458" i="16"/>
  <c r="L486" i="17"/>
  <c r="F459" i="16"/>
  <c r="M459" i="16"/>
  <c r="X458" i="16"/>
  <c r="V458" i="16"/>
  <c r="F487" i="17" l="1"/>
  <c r="G487" i="17" s="1"/>
  <c r="W486" i="17"/>
  <c r="V486" i="17"/>
  <c r="X486" i="17"/>
  <c r="Y486" i="17"/>
  <c r="M487" i="17"/>
  <c r="N487" i="17" s="1"/>
  <c r="N459" i="16"/>
  <c r="P459" i="16"/>
  <c r="R459" i="16" s="1"/>
  <c r="O459" i="16"/>
  <c r="I459" i="16"/>
  <c r="K459" i="16" s="1"/>
  <c r="H459" i="16"/>
  <c r="G459" i="16"/>
  <c r="H487" i="17" l="1"/>
  <c r="I487" i="17"/>
  <c r="K487" i="17" s="1"/>
  <c r="O487" i="17"/>
  <c r="P487" i="17"/>
  <c r="R487" i="17" s="1"/>
  <c r="U459" i="16"/>
  <c r="Q459" i="16"/>
  <c r="S459" i="16" s="1"/>
  <c r="J459" i="16"/>
  <c r="U487" i="17" l="1"/>
  <c r="J487" i="17"/>
  <c r="L487" i="17" s="1"/>
  <c r="Q487" i="17"/>
  <c r="S487" i="17" s="1"/>
  <c r="W487" i="17" s="1"/>
  <c r="T459" i="16"/>
  <c r="L459" i="16"/>
  <c r="T487" i="17" l="1"/>
  <c r="V487" i="17"/>
  <c r="Y487" i="17"/>
  <c r="Y459" i="16"/>
  <c r="W459" i="16"/>
  <c r="M488" i="17"/>
  <c r="P488" i="17" s="1"/>
  <c r="R488" i="17" s="1"/>
  <c r="X487" i="17"/>
  <c r="F488" i="17"/>
  <c r="M460" i="16"/>
  <c r="X459" i="16"/>
  <c r="F460" i="16"/>
  <c r="V459" i="16"/>
  <c r="N488" i="17" l="1"/>
  <c r="O488" i="17"/>
  <c r="G488" i="17"/>
  <c r="H488" i="17"/>
  <c r="I488" i="17"/>
  <c r="K488" i="17" s="1"/>
  <c r="U488" i="17" s="1"/>
  <c r="I460" i="16"/>
  <c r="K460" i="16" s="1"/>
  <c r="H460" i="16"/>
  <c r="G460" i="16"/>
  <c r="P460" i="16"/>
  <c r="R460" i="16" s="1"/>
  <c r="O460" i="16"/>
  <c r="N460" i="16"/>
  <c r="Q488" i="17" l="1"/>
  <c r="S488" i="17" s="1"/>
  <c r="J488" i="17"/>
  <c r="U460" i="16"/>
  <c r="Q460" i="16"/>
  <c r="S460" i="16" s="1"/>
  <c r="J460" i="16"/>
  <c r="T488" i="17" l="1"/>
  <c r="L488" i="17"/>
  <c r="W488" i="17" s="1"/>
  <c r="T460" i="16"/>
  <c r="L460" i="16"/>
  <c r="Y488" i="17" l="1"/>
  <c r="Y460" i="16"/>
  <c r="W460" i="16"/>
  <c r="V488" i="17"/>
  <c r="M489" i="17"/>
  <c r="P489" i="17" s="1"/>
  <c r="R489" i="17" s="1"/>
  <c r="X488" i="17"/>
  <c r="F489" i="17"/>
  <c r="I489" i="17" s="1"/>
  <c r="K489" i="17" s="1"/>
  <c r="X460" i="16"/>
  <c r="F461" i="16"/>
  <c r="M461" i="16"/>
  <c r="V460" i="16"/>
  <c r="G489" i="17" l="1"/>
  <c r="O489" i="17"/>
  <c r="N489" i="17"/>
  <c r="H489" i="17"/>
  <c r="U489" i="17"/>
  <c r="P461" i="16"/>
  <c r="R461" i="16" s="1"/>
  <c r="O461" i="16"/>
  <c r="N461" i="16"/>
  <c r="H461" i="16"/>
  <c r="G461" i="16"/>
  <c r="I461" i="16"/>
  <c r="K461" i="16" s="1"/>
  <c r="Q489" i="17" l="1"/>
  <c r="S489" i="17" s="1"/>
  <c r="J489" i="17"/>
  <c r="U461" i="16"/>
  <c r="J461" i="16"/>
  <c r="L461" i="16" s="1"/>
  <c r="Q461" i="16"/>
  <c r="S461" i="16" s="1"/>
  <c r="T489" i="17" l="1"/>
  <c r="W461" i="16"/>
  <c r="L489" i="17"/>
  <c r="W489" i="17" s="1"/>
  <c r="Y461" i="16"/>
  <c r="T461" i="16"/>
  <c r="V461" i="16" s="1"/>
  <c r="X461" i="16"/>
  <c r="F462" i="16"/>
  <c r="M462" i="16"/>
  <c r="V489" i="17" l="1"/>
  <c r="M490" i="17"/>
  <c r="P490" i="17" s="1"/>
  <c r="F490" i="17"/>
  <c r="G490" i="17" s="1"/>
  <c r="Y489" i="17"/>
  <c r="X489" i="17"/>
  <c r="G462" i="16"/>
  <c r="I462" i="16"/>
  <c r="K462" i="16" s="1"/>
  <c r="H462" i="16"/>
  <c r="O462" i="16"/>
  <c r="N462" i="16"/>
  <c r="P462" i="16"/>
  <c r="R462" i="16" s="1"/>
  <c r="N490" i="17" l="1"/>
  <c r="O490" i="17"/>
  <c r="H490" i="17"/>
  <c r="I490" i="17"/>
  <c r="K490" i="17" s="1"/>
  <c r="R490" i="17"/>
  <c r="J462" i="16"/>
  <c r="L462" i="16" s="1"/>
  <c r="W462" i="16" s="1"/>
  <c r="U462" i="16"/>
  <c r="Q462" i="16"/>
  <c r="S462" i="16" s="1"/>
  <c r="Q490" i="17" l="1"/>
  <c r="S490" i="17" s="1"/>
  <c r="J490" i="17"/>
  <c r="L490" i="17" s="1"/>
  <c r="U490" i="17"/>
  <c r="Y462" i="16"/>
  <c r="T462" i="16"/>
  <c r="V462" i="16" s="1"/>
  <c r="F463" i="16"/>
  <c r="M463" i="16"/>
  <c r="X462" i="16"/>
  <c r="W490" i="17" l="1"/>
  <c r="Y490" i="17"/>
  <c r="M491" i="17"/>
  <c r="P491" i="17" s="1"/>
  <c r="R491" i="17" s="1"/>
  <c r="T490" i="17"/>
  <c r="V490" i="17" s="1"/>
  <c r="X490" i="17"/>
  <c r="F491" i="17"/>
  <c r="G491" i="17" s="1"/>
  <c r="N491" i="17"/>
  <c r="N463" i="16"/>
  <c r="P463" i="16"/>
  <c r="R463" i="16" s="1"/>
  <c r="O463" i="16"/>
  <c r="I463" i="16"/>
  <c r="K463" i="16" s="1"/>
  <c r="H463" i="16"/>
  <c r="G463" i="16"/>
  <c r="O491" i="17" l="1"/>
  <c r="Q491" i="17" s="1"/>
  <c r="S491" i="17" s="1"/>
  <c r="I491" i="17"/>
  <c r="K491" i="17" s="1"/>
  <c r="U491" i="17" s="1"/>
  <c r="H491" i="17"/>
  <c r="U463" i="16"/>
  <c r="Q463" i="16"/>
  <c r="S463" i="16" s="1"/>
  <c r="J463" i="16"/>
  <c r="J491" i="17" l="1"/>
  <c r="T491" i="17" s="1"/>
  <c r="T463" i="16"/>
  <c r="L463" i="16"/>
  <c r="L491" i="17" l="1"/>
  <c r="M492" i="17" s="1"/>
  <c r="Y463" i="16"/>
  <c r="W463" i="16"/>
  <c r="M464" i="16"/>
  <c r="X463" i="16"/>
  <c r="F464" i="16"/>
  <c r="V463" i="16"/>
  <c r="X491" i="17" l="1"/>
  <c r="F492" i="17"/>
  <c r="H492" i="17" s="1"/>
  <c r="Y491" i="17"/>
  <c r="O492" i="17"/>
  <c r="P492" i="17"/>
  <c r="R492" i="17" s="1"/>
  <c r="N492" i="17"/>
  <c r="Q492" i="17" s="1"/>
  <c r="S492" i="17" s="1"/>
  <c r="V491" i="17"/>
  <c r="W491" i="17"/>
  <c r="I464" i="16"/>
  <c r="K464" i="16" s="1"/>
  <c r="H464" i="16"/>
  <c r="G464" i="16"/>
  <c r="P464" i="16"/>
  <c r="R464" i="16" s="1"/>
  <c r="O464" i="16"/>
  <c r="N464" i="16"/>
  <c r="G492" i="17" l="1"/>
  <c r="I492" i="17"/>
  <c r="K492" i="17" s="1"/>
  <c r="U492" i="17" s="1"/>
  <c r="U464" i="16"/>
  <c r="Q464" i="16"/>
  <c r="S464" i="16" s="1"/>
  <c r="J464" i="16"/>
  <c r="J492" i="17" l="1"/>
  <c r="T492" i="17" s="1"/>
  <c r="T464" i="16"/>
  <c r="L464" i="16"/>
  <c r="L492" i="17" l="1"/>
  <c r="W492" i="17" s="1"/>
  <c r="F493" i="17"/>
  <c r="I493" i="17" s="1"/>
  <c r="K493" i="17" s="1"/>
  <c r="Y464" i="16"/>
  <c r="W464" i="16"/>
  <c r="V492" i="17"/>
  <c r="X492" i="17"/>
  <c r="Y492" i="17"/>
  <c r="H493" i="17"/>
  <c r="X464" i="16"/>
  <c r="F465" i="16"/>
  <c r="M465" i="16"/>
  <c r="V464" i="16"/>
  <c r="M493" i="17" l="1"/>
  <c r="N493" i="17" s="1"/>
  <c r="G493" i="17"/>
  <c r="J493" i="17" s="1"/>
  <c r="L493" i="17" s="1"/>
  <c r="P465" i="16"/>
  <c r="R465" i="16" s="1"/>
  <c r="O465" i="16"/>
  <c r="N465" i="16"/>
  <c r="H465" i="16"/>
  <c r="G465" i="16"/>
  <c r="I465" i="16"/>
  <c r="K465" i="16" s="1"/>
  <c r="P493" i="17" l="1"/>
  <c r="R493" i="17" s="1"/>
  <c r="U493" i="17" s="1"/>
  <c r="O493" i="17"/>
  <c r="J465" i="16"/>
  <c r="L465" i="16" s="1"/>
  <c r="U465" i="16"/>
  <c r="Q465" i="16"/>
  <c r="S465" i="16" s="1"/>
  <c r="Q493" i="17" l="1"/>
  <c r="T493" i="17" s="1"/>
  <c r="W465" i="16"/>
  <c r="Y465" i="16"/>
  <c r="T465" i="16"/>
  <c r="V465" i="16" s="1"/>
  <c r="X465" i="16"/>
  <c r="F466" i="16"/>
  <c r="M466" i="16"/>
  <c r="S493" i="17" l="1"/>
  <c r="V493" i="17" s="1"/>
  <c r="W493" i="17"/>
  <c r="Y493" i="17"/>
  <c r="F494" i="17"/>
  <c r="X493" i="17"/>
  <c r="M494" i="17"/>
  <c r="G466" i="16"/>
  <c r="I466" i="16"/>
  <c r="K466" i="16" s="1"/>
  <c r="H466" i="16"/>
  <c r="O466" i="16"/>
  <c r="N466" i="16"/>
  <c r="P466" i="16"/>
  <c r="R466" i="16" s="1"/>
  <c r="G494" i="17" l="1"/>
  <c r="I494" i="17"/>
  <c r="K494" i="17" s="1"/>
  <c r="H494" i="17"/>
  <c r="O494" i="17"/>
  <c r="P494" i="17"/>
  <c r="R494" i="17" s="1"/>
  <c r="N494" i="17"/>
  <c r="J494" i="17"/>
  <c r="J466" i="16"/>
  <c r="L466" i="16" s="1"/>
  <c r="U466" i="16"/>
  <c r="Q466" i="16"/>
  <c r="Q494" i="17" l="1"/>
  <c r="S494" i="17" s="1"/>
  <c r="L494" i="17"/>
  <c r="U494" i="17"/>
  <c r="Y494" i="17"/>
  <c r="W494" i="17"/>
  <c r="F495" i="17"/>
  <c r="G495" i="17" s="1"/>
  <c r="M495" i="17"/>
  <c r="P495" i="17" s="1"/>
  <c r="R495" i="17" s="1"/>
  <c r="I495" i="17"/>
  <c r="K495" i="17" s="1"/>
  <c r="H495" i="17"/>
  <c r="T466" i="16"/>
  <c r="S466" i="16"/>
  <c r="W466" i="16" s="1"/>
  <c r="V494" i="17" l="1"/>
  <c r="T494" i="17"/>
  <c r="X494" i="17"/>
  <c r="O495" i="17"/>
  <c r="N495" i="17"/>
  <c r="F467" i="16"/>
  <c r="H467" i="16" s="1"/>
  <c r="X466" i="16"/>
  <c r="U495" i="17"/>
  <c r="J495" i="17"/>
  <c r="M467" i="16"/>
  <c r="N467" i="16" s="1"/>
  <c r="V466" i="16"/>
  <c r="Y466" i="16"/>
  <c r="Q495" i="17" l="1"/>
  <c r="S495" i="17" s="1"/>
  <c r="I467" i="16"/>
  <c r="K467" i="16" s="1"/>
  <c r="G467" i="16"/>
  <c r="O467" i="16"/>
  <c r="P467" i="16"/>
  <c r="R467" i="16" s="1"/>
  <c r="L495" i="17"/>
  <c r="W495" i="17" s="1"/>
  <c r="J467" i="16" l="1"/>
  <c r="L467" i="16" s="1"/>
  <c r="T495" i="17"/>
  <c r="V495" i="17" s="1"/>
  <c r="U467" i="16"/>
  <c r="Q467" i="16"/>
  <c r="S467" i="16" s="1"/>
  <c r="F496" i="17"/>
  <c r="X495" i="17"/>
  <c r="M496" i="17"/>
  <c r="Y495" i="17"/>
  <c r="Y467" i="16" l="1"/>
  <c r="W467" i="16"/>
  <c r="T467" i="16"/>
  <c r="V467" i="16" s="1"/>
  <c r="P496" i="17"/>
  <c r="R496" i="17" s="1"/>
  <c r="O496" i="17"/>
  <c r="N496" i="17"/>
  <c r="G496" i="17"/>
  <c r="H496" i="17"/>
  <c r="I496" i="17"/>
  <c r="K496" i="17" s="1"/>
  <c r="F468" i="16"/>
  <c r="M468" i="16"/>
  <c r="X467" i="16"/>
  <c r="J496" i="17" l="1"/>
  <c r="L496" i="17" s="1"/>
  <c r="Q496" i="17"/>
  <c r="U496" i="17"/>
  <c r="N468" i="16"/>
  <c r="P468" i="16"/>
  <c r="R468" i="16" s="1"/>
  <c r="O468" i="16"/>
  <c r="I468" i="16"/>
  <c r="K468" i="16" s="1"/>
  <c r="H468" i="16"/>
  <c r="G468" i="16"/>
  <c r="W496" i="17" l="1"/>
  <c r="T496" i="17"/>
  <c r="S496" i="17"/>
  <c r="Y496" i="17"/>
  <c r="U468" i="16"/>
  <c r="J468" i="16"/>
  <c r="L468" i="16" s="1"/>
  <c r="Q468" i="16"/>
  <c r="F497" i="17" l="1"/>
  <c r="I497" i="17" s="1"/>
  <c r="K497" i="17" s="1"/>
  <c r="X496" i="17"/>
  <c r="V496" i="17"/>
  <c r="M497" i="17"/>
  <c r="P497" i="17" s="1"/>
  <c r="R497" i="17" s="1"/>
  <c r="T468" i="16"/>
  <c r="S468" i="16"/>
  <c r="V468" i="16" l="1"/>
  <c r="G497" i="17"/>
  <c r="H497" i="17"/>
  <c r="J497" i="17" s="1"/>
  <c r="N497" i="17"/>
  <c r="O497" i="17"/>
  <c r="F469" i="16"/>
  <c r="H469" i="16" s="1"/>
  <c r="W468" i="16"/>
  <c r="U497" i="17"/>
  <c r="X468" i="16"/>
  <c r="Y468" i="16"/>
  <c r="M469" i="16"/>
  <c r="P469" i="16" s="1"/>
  <c r="R469" i="16" s="1"/>
  <c r="Q497" i="17" l="1"/>
  <c r="S497" i="17" s="1"/>
  <c r="I469" i="16"/>
  <c r="K469" i="16" s="1"/>
  <c r="U469" i="16" s="1"/>
  <c r="G469" i="16"/>
  <c r="L497" i="17"/>
  <c r="W497" i="17" s="1"/>
  <c r="N469" i="16"/>
  <c r="O469" i="16"/>
  <c r="T497" i="17" l="1"/>
  <c r="J469" i="16"/>
  <c r="L469" i="16" s="1"/>
  <c r="X497" i="17"/>
  <c r="F498" i="17"/>
  <c r="M498" i="17"/>
  <c r="Y497" i="17"/>
  <c r="V497" i="17"/>
  <c r="Q469" i="16"/>
  <c r="S469" i="16" s="1"/>
  <c r="Y469" i="16" s="1"/>
  <c r="W469" i="16" l="1"/>
  <c r="F470" i="16"/>
  <c r="H470" i="16" s="1"/>
  <c r="M470" i="16"/>
  <c r="N470" i="16" s="1"/>
  <c r="P498" i="17"/>
  <c r="R498" i="17" s="1"/>
  <c r="O498" i="17"/>
  <c r="N498" i="17"/>
  <c r="H498" i="17"/>
  <c r="G498" i="17"/>
  <c r="I498" i="17"/>
  <c r="K498" i="17" s="1"/>
  <c r="X469" i="16"/>
  <c r="T469" i="16"/>
  <c r="V469" i="16" s="1"/>
  <c r="I470" i="16" l="1"/>
  <c r="K470" i="16" s="1"/>
  <c r="G470" i="16"/>
  <c r="O470" i="16"/>
  <c r="P470" i="16"/>
  <c r="R470" i="16" s="1"/>
  <c r="J498" i="17"/>
  <c r="L498" i="17" s="1"/>
  <c r="Q498" i="17"/>
  <c r="U498" i="17"/>
  <c r="J470" i="16"/>
  <c r="L470" i="16" s="1"/>
  <c r="U470" i="16" l="1"/>
  <c r="Q470" i="16"/>
  <c r="S470" i="16" s="1"/>
  <c r="X470" i="16" s="1"/>
  <c r="W498" i="17"/>
  <c r="W470" i="16"/>
  <c r="T498" i="17"/>
  <c r="S498" i="17"/>
  <c r="Y498" i="17"/>
  <c r="M499" i="17"/>
  <c r="Y470" i="16"/>
  <c r="T470" i="16"/>
  <c r="V470" i="16" s="1"/>
  <c r="M471" i="16"/>
  <c r="F471" i="16" l="1"/>
  <c r="H471" i="16" s="1"/>
  <c r="V498" i="17"/>
  <c r="F499" i="17"/>
  <c r="G499" i="17" s="1"/>
  <c r="X498" i="17"/>
  <c r="N499" i="17"/>
  <c r="O499" i="17"/>
  <c r="P499" i="17"/>
  <c r="R499" i="17" s="1"/>
  <c r="I471" i="16"/>
  <c r="K471" i="16" s="1"/>
  <c r="O471" i="16"/>
  <c r="N471" i="16"/>
  <c r="P471" i="16"/>
  <c r="R471" i="16" s="1"/>
  <c r="G471" i="16" l="1"/>
  <c r="H499" i="17"/>
  <c r="I499" i="17"/>
  <c r="K499" i="17" s="1"/>
  <c r="U499" i="17" s="1"/>
  <c r="Q499" i="17"/>
  <c r="J471" i="16"/>
  <c r="L471" i="16" s="1"/>
  <c r="U471" i="16"/>
  <c r="Q471" i="16"/>
  <c r="S471" i="16" s="1"/>
  <c r="W471" i="16" l="1"/>
  <c r="J499" i="17"/>
  <c r="L499" i="17" s="1"/>
  <c r="Y471" i="16"/>
  <c r="S499" i="17"/>
  <c r="T471" i="16"/>
  <c r="V471" i="16" s="1"/>
  <c r="F472" i="16"/>
  <c r="M472" i="16"/>
  <c r="X471" i="16"/>
  <c r="W499" i="17" l="1"/>
  <c r="X499" i="17"/>
  <c r="T499" i="17"/>
  <c r="V499" i="17" s="1"/>
  <c r="M500" i="17"/>
  <c r="N500" i="17" s="1"/>
  <c r="F500" i="17"/>
  <c r="H500" i="17" s="1"/>
  <c r="Y499" i="17"/>
  <c r="I472" i="16"/>
  <c r="K472" i="16" s="1"/>
  <c r="H472" i="16"/>
  <c r="G472" i="16"/>
  <c r="N472" i="16"/>
  <c r="P472" i="16"/>
  <c r="R472" i="16" s="1"/>
  <c r="O472" i="16"/>
  <c r="P500" i="17" l="1"/>
  <c r="R500" i="17" s="1"/>
  <c r="O500" i="17"/>
  <c r="I500" i="17"/>
  <c r="K500" i="17" s="1"/>
  <c r="G500" i="17"/>
  <c r="Q472" i="16"/>
  <c r="S472" i="16" s="1"/>
  <c r="U472" i="16"/>
  <c r="J472" i="16"/>
  <c r="Q500" i="17" l="1"/>
  <c r="S500" i="17" s="1"/>
  <c r="U500" i="17"/>
  <c r="J500" i="17"/>
  <c r="T472" i="16"/>
  <c r="L472" i="16"/>
  <c r="T500" i="17" l="1"/>
  <c r="Y472" i="16"/>
  <c r="W472" i="16"/>
  <c r="L500" i="17"/>
  <c r="M473" i="16"/>
  <c r="X472" i="16"/>
  <c r="F473" i="16"/>
  <c r="V472" i="16"/>
  <c r="V500" i="17" l="1"/>
  <c r="W500" i="17"/>
  <c r="M501" i="17"/>
  <c r="O501" i="17" s="1"/>
  <c r="X500" i="17"/>
  <c r="F501" i="17"/>
  <c r="I501" i="17" s="1"/>
  <c r="K501" i="17" s="1"/>
  <c r="Y500" i="17"/>
  <c r="I473" i="16"/>
  <c r="K473" i="16" s="1"/>
  <c r="H473" i="16"/>
  <c r="G473" i="16"/>
  <c r="P473" i="16"/>
  <c r="R473" i="16" s="1"/>
  <c r="O473" i="16"/>
  <c r="N473" i="16"/>
  <c r="N501" i="17" l="1"/>
  <c r="P501" i="17"/>
  <c r="R501" i="17" s="1"/>
  <c r="U501" i="17" s="1"/>
  <c r="G501" i="17"/>
  <c r="H501" i="17"/>
  <c r="U473" i="16"/>
  <c r="Q473" i="16"/>
  <c r="S473" i="16" s="1"/>
  <c r="J473" i="16"/>
  <c r="J501" i="17" l="1"/>
  <c r="L501" i="17" s="1"/>
  <c r="Q501" i="17"/>
  <c r="S501" i="17" s="1"/>
  <c r="T473" i="16"/>
  <c r="L473" i="16"/>
  <c r="W501" i="17" l="1"/>
  <c r="M502" i="17"/>
  <c r="N502" i="17" s="1"/>
  <c r="Y501" i="17"/>
  <c r="F502" i="17"/>
  <c r="I502" i="17" s="1"/>
  <c r="K502" i="17" s="1"/>
  <c r="X501" i="17"/>
  <c r="T501" i="17"/>
  <c r="V501" i="17" s="1"/>
  <c r="Y473" i="16"/>
  <c r="W473" i="16"/>
  <c r="X473" i="16"/>
  <c r="F474" i="16"/>
  <c r="M474" i="16"/>
  <c r="V473" i="16"/>
  <c r="P502" i="17" l="1"/>
  <c r="R502" i="17" s="1"/>
  <c r="U502" i="17" s="1"/>
  <c r="O502" i="17"/>
  <c r="H502" i="17"/>
  <c r="G502" i="17"/>
  <c r="P474" i="16"/>
  <c r="R474" i="16" s="1"/>
  <c r="O474" i="16"/>
  <c r="N474" i="16"/>
  <c r="H474" i="16"/>
  <c r="G474" i="16"/>
  <c r="I474" i="16"/>
  <c r="K474" i="16" s="1"/>
  <c r="Q502" i="17" l="1"/>
  <c r="S502" i="17" s="1"/>
  <c r="J502" i="17"/>
  <c r="U474" i="16"/>
  <c r="J474" i="16"/>
  <c r="L474" i="16" s="1"/>
  <c r="W474" i="16" s="1"/>
  <c r="Q474" i="16"/>
  <c r="S474" i="16" s="1"/>
  <c r="T502" i="17" l="1"/>
  <c r="L502" i="17"/>
  <c r="Y502" i="17" s="1"/>
  <c r="Y474" i="16"/>
  <c r="X474" i="16"/>
  <c r="F475" i="16"/>
  <c r="M475" i="16"/>
  <c r="T474" i="16"/>
  <c r="V474" i="16" s="1"/>
  <c r="V502" i="17" l="1"/>
  <c r="M503" i="17"/>
  <c r="P503" i="17" s="1"/>
  <c r="R503" i="17" s="1"/>
  <c r="X502" i="17"/>
  <c r="F503" i="17"/>
  <c r="W502" i="17"/>
  <c r="N503" i="17"/>
  <c r="O475" i="16"/>
  <c r="N475" i="16"/>
  <c r="P475" i="16"/>
  <c r="R475" i="16" s="1"/>
  <c r="G475" i="16"/>
  <c r="I475" i="16"/>
  <c r="K475" i="16" s="1"/>
  <c r="H475" i="16"/>
  <c r="O503" i="17" l="1"/>
  <c r="I503" i="17"/>
  <c r="K503" i="17" s="1"/>
  <c r="U503" i="17" s="1"/>
  <c r="H503" i="17"/>
  <c r="G503" i="17"/>
  <c r="Q503" i="17"/>
  <c r="S503" i="17" s="1"/>
  <c r="U475" i="16"/>
  <c r="J475" i="16"/>
  <c r="Q475" i="16"/>
  <c r="S475" i="16" s="1"/>
  <c r="J503" i="17" l="1"/>
  <c r="L503" i="17" s="1"/>
  <c r="W503" i="17" s="1"/>
  <c r="T475" i="16"/>
  <c r="L475" i="16"/>
  <c r="M504" i="17" l="1"/>
  <c r="P504" i="17" s="1"/>
  <c r="R504" i="17" s="1"/>
  <c r="Y503" i="17"/>
  <c r="F504" i="17"/>
  <c r="H504" i="17" s="1"/>
  <c r="T503" i="17"/>
  <c r="V503" i="17" s="1"/>
  <c r="X503" i="17"/>
  <c r="G504" i="17"/>
  <c r="I504" i="17"/>
  <c r="K504" i="17" s="1"/>
  <c r="U504" i="17" s="1"/>
  <c r="O504" i="17"/>
  <c r="N504" i="17"/>
  <c r="Y475" i="16"/>
  <c r="W475" i="16"/>
  <c r="F476" i="16"/>
  <c r="M476" i="16"/>
  <c r="X475" i="16"/>
  <c r="V475" i="16"/>
  <c r="J504" i="17" l="1"/>
  <c r="L504" i="17" s="1"/>
  <c r="W504" i="17" s="1"/>
  <c r="Q504" i="17"/>
  <c r="S504" i="17" s="1"/>
  <c r="N476" i="16"/>
  <c r="P476" i="16"/>
  <c r="R476" i="16" s="1"/>
  <c r="O476" i="16"/>
  <c r="I476" i="16"/>
  <c r="K476" i="16" s="1"/>
  <c r="H476" i="16"/>
  <c r="G476" i="16"/>
  <c r="X504" i="17" l="1"/>
  <c r="M505" i="17"/>
  <c r="P505" i="17" s="1"/>
  <c r="R505" i="17" s="1"/>
  <c r="F505" i="17"/>
  <c r="H505" i="17" s="1"/>
  <c r="Y504" i="17"/>
  <c r="T504" i="17"/>
  <c r="V504" i="17" s="1"/>
  <c r="U476" i="16"/>
  <c r="J476" i="16"/>
  <c r="Q476" i="16"/>
  <c r="S476" i="16" s="1"/>
  <c r="I505" i="17" l="1"/>
  <c r="K505" i="17" s="1"/>
  <c r="U505" i="17" s="1"/>
  <c r="G505" i="17"/>
  <c r="N505" i="17"/>
  <c r="O505" i="17"/>
  <c r="J505" i="17"/>
  <c r="T476" i="16"/>
  <c r="L476" i="16"/>
  <c r="Q505" i="17" l="1"/>
  <c r="S505" i="17" s="1"/>
  <c r="Y476" i="16"/>
  <c r="W476" i="16"/>
  <c r="L505" i="17"/>
  <c r="F506" i="17"/>
  <c r="M477" i="16"/>
  <c r="X476" i="16"/>
  <c r="F477" i="16"/>
  <c r="V476" i="16"/>
  <c r="W505" i="17" l="1"/>
  <c r="T505" i="17"/>
  <c r="V505" i="17"/>
  <c r="Y505" i="17"/>
  <c r="M506" i="17"/>
  <c r="N506" i="17" s="1"/>
  <c r="X505" i="17"/>
  <c r="I506" i="17"/>
  <c r="K506" i="17" s="1"/>
  <c r="G506" i="17"/>
  <c r="H506" i="17"/>
  <c r="I477" i="16"/>
  <c r="K477" i="16" s="1"/>
  <c r="H477" i="16"/>
  <c r="G477" i="16"/>
  <c r="P477" i="16"/>
  <c r="R477" i="16" s="1"/>
  <c r="O477" i="16"/>
  <c r="N477" i="16"/>
  <c r="O506" i="17" l="1"/>
  <c r="P506" i="17"/>
  <c r="R506" i="17" s="1"/>
  <c r="U506" i="17" s="1"/>
  <c r="J506" i="17"/>
  <c r="L506" i="17" s="1"/>
  <c r="U477" i="16"/>
  <c r="Q477" i="16"/>
  <c r="S477" i="16" s="1"/>
  <c r="J477" i="16"/>
  <c r="L477" i="16" s="1"/>
  <c r="Y477" i="16" l="1"/>
  <c r="W477" i="16"/>
  <c r="Q506" i="17"/>
  <c r="T506" i="17" s="1"/>
  <c r="X477" i="16"/>
  <c r="F478" i="16"/>
  <c r="M478" i="16"/>
  <c r="T477" i="16"/>
  <c r="V477" i="16" s="1"/>
  <c r="S506" i="17" l="1"/>
  <c r="W506" i="17" s="1"/>
  <c r="F507" i="17"/>
  <c r="G507" i="17" s="1"/>
  <c r="P478" i="16"/>
  <c r="R478" i="16" s="1"/>
  <c r="O478" i="16"/>
  <c r="N478" i="16"/>
  <c r="H478" i="16"/>
  <c r="G478" i="16"/>
  <c r="I478" i="16"/>
  <c r="K478" i="16" s="1"/>
  <c r="V506" i="17" l="1"/>
  <c r="X506" i="17"/>
  <c r="I507" i="17"/>
  <c r="K507" i="17" s="1"/>
  <c r="Y506" i="17"/>
  <c r="M507" i="17"/>
  <c r="H507" i="17"/>
  <c r="U478" i="16"/>
  <c r="J478" i="16"/>
  <c r="L478" i="16" s="1"/>
  <c r="Q478" i="16"/>
  <c r="S478" i="16" s="1"/>
  <c r="J507" i="17" l="1"/>
  <c r="L507" i="17" s="1"/>
  <c r="W478" i="16"/>
  <c r="N507" i="17"/>
  <c r="P507" i="17"/>
  <c r="R507" i="17" s="1"/>
  <c r="U507" i="17" s="1"/>
  <c r="O507" i="17"/>
  <c r="Y478" i="16"/>
  <c r="T478" i="16"/>
  <c r="V478" i="16" s="1"/>
  <c r="X478" i="16"/>
  <c r="F479" i="16"/>
  <c r="M479" i="16"/>
  <c r="Q507" i="17" l="1"/>
  <c r="S507" i="17" s="1"/>
  <c r="W507" i="17" s="1"/>
  <c r="G479" i="16"/>
  <c r="I479" i="16"/>
  <c r="K479" i="16" s="1"/>
  <c r="H479" i="16"/>
  <c r="O479" i="16"/>
  <c r="N479" i="16"/>
  <c r="P479" i="16"/>
  <c r="R479" i="16" s="1"/>
  <c r="T507" i="17" l="1"/>
  <c r="Y507" i="17"/>
  <c r="X507" i="17"/>
  <c r="M508" i="17"/>
  <c r="V507" i="17"/>
  <c r="F508" i="17"/>
  <c r="U479" i="16"/>
  <c r="Q479" i="16"/>
  <c r="S479" i="16" s="1"/>
  <c r="J479" i="16"/>
  <c r="G508" i="17" l="1"/>
  <c r="H508" i="17"/>
  <c r="I508" i="17"/>
  <c r="K508" i="17" s="1"/>
  <c r="O508" i="17"/>
  <c r="N508" i="17"/>
  <c r="P508" i="17"/>
  <c r="R508" i="17" s="1"/>
  <c r="T479" i="16"/>
  <c r="L479" i="16"/>
  <c r="Q508" i="17" l="1"/>
  <c r="S508" i="17" s="1"/>
  <c r="Y479" i="16"/>
  <c r="W479" i="16"/>
  <c r="J508" i="17"/>
  <c r="U508" i="17"/>
  <c r="F480" i="16"/>
  <c r="M480" i="16"/>
  <c r="X479" i="16"/>
  <c r="V479" i="16"/>
  <c r="T508" i="17" l="1"/>
  <c r="L508" i="17"/>
  <c r="W508" i="17" s="1"/>
  <c r="F509" i="17"/>
  <c r="N480" i="16"/>
  <c r="P480" i="16"/>
  <c r="R480" i="16" s="1"/>
  <c r="O480" i="16"/>
  <c r="I480" i="16"/>
  <c r="K480" i="16" s="1"/>
  <c r="H480" i="16"/>
  <c r="G480" i="16"/>
  <c r="Y508" i="17" l="1"/>
  <c r="V508" i="17"/>
  <c r="M509" i="17"/>
  <c r="N509" i="17" s="1"/>
  <c r="X508" i="17"/>
  <c r="H509" i="17"/>
  <c r="I509" i="17"/>
  <c r="K509" i="17" s="1"/>
  <c r="G509" i="17"/>
  <c r="U480" i="16"/>
  <c r="J480" i="16"/>
  <c r="Q480" i="16"/>
  <c r="S480" i="16" s="1"/>
  <c r="O509" i="17" l="1"/>
  <c r="P509" i="17"/>
  <c r="R509" i="17" s="1"/>
  <c r="U509" i="17" s="1"/>
  <c r="J509" i="17"/>
  <c r="L509" i="17" s="1"/>
  <c r="T480" i="16"/>
  <c r="L480" i="16"/>
  <c r="Q509" i="17" l="1"/>
  <c r="S509" i="17" s="1"/>
  <c r="Y480" i="16"/>
  <c r="W480" i="16"/>
  <c r="M481" i="16"/>
  <c r="X480" i="16"/>
  <c r="F481" i="16"/>
  <c r="V480" i="16"/>
  <c r="T509" i="17" l="1"/>
  <c r="X509" i="17"/>
  <c r="W509" i="17"/>
  <c r="M510" i="17"/>
  <c r="O510" i="17" s="1"/>
  <c r="Y509" i="17"/>
  <c r="F510" i="17"/>
  <c r="G510" i="17" s="1"/>
  <c r="V509" i="17"/>
  <c r="N510" i="17"/>
  <c r="H510" i="17"/>
  <c r="I510" i="17"/>
  <c r="K510" i="17" s="1"/>
  <c r="I481" i="16"/>
  <c r="K481" i="16" s="1"/>
  <c r="H481" i="16"/>
  <c r="G481" i="16"/>
  <c r="P481" i="16"/>
  <c r="R481" i="16" s="1"/>
  <c r="O481" i="16"/>
  <c r="N481" i="16"/>
  <c r="P510" i="17" l="1"/>
  <c r="R510" i="17" s="1"/>
  <c r="U510" i="17" s="1"/>
  <c r="J510" i="17"/>
  <c r="L510" i="17" s="1"/>
  <c r="W510" i="17" s="1"/>
  <c r="Q510" i="17"/>
  <c r="S510" i="17" s="1"/>
  <c r="U481" i="16"/>
  <c r="Q481" i="16"/>
  <c r="S481" i="16" s="1"/>
  <c r="J481" i="16"/>
  <c r="L481" i="16" s="1"/>
  <c r="Y510" i="17" l="1"/>
  <c r="F511" i="17"/>
  <c r="G511" i="17" s="1"/>
  <c r="W481" i="16"/>
  <c r="X510" i="17"/>
  <c r="M511" i="17"/>
  <c r="N511" i="17" s="1"/>
  <c r="T510" i="17"/>
  <c r="V510" i="17" s="1"/>
  <c r="I511" i="17"/>
  <c r="K511" i="17" s="1"/>
  <c r="Y481" i="16"/>
  <c r="X481" i="16"/>
  <c r="F482" i="16"/>
  <c r="M482" i="16"/>
  <c r="T481" i="16"/>
  <c r="V481" i="16" s="1"/>
  <c r="P511" i="17" l="1"/>
  <c r="R511" i="17" s="1"/>
  <c r="U511" i="17" s="1"/>
  <c r="H511" i="17"/>
  <c r="J511" i="17" s="1"/>
  <c r="O511" i="17"/>
  <c r="Q511" i="17" s="1"/>
  <c r="S511" i="17" s="1"/>
  <c r="P482" i="16"/>
  <c r="R482" i="16" s="1"/>
  <c r="O482" i="16"/>
  <c r="N482" i="16"/>
  <c r="H482" i="16"/>
  <c r="G482" i="16"/>
  <c r="I482" i="16"/>
  <c r="K482" i="16" s="1"/>
  <c r="T511" i="17" l="1"/>
  <c r="L511" i="17"/>
  <c r="W511" i="17" s="1"/>
  <c r="U482" i="16"/>
  <c r="J482" i="16"/>
  <c r="L482" i="16" s="1"/>
  <c r="Q482" i="16"/>
  <c r="S482" i="16" s="1"/>
  <c r="W482" i="16" l="1"/>
  <c r="Y511" i="17"/>
  <c r="F512" i="17"/>
  <c r="X511" i="17"/>
  <c r="M512" i="17"/>
  <c r="V511" i="17"/>
  <c r="Y482" i="16"/>
  <c r="T482" i="16"/>
  <c r="V482" i="16" s="1"/>
  <c r="X482" i="16"/>
  <c r="F483" i="16"/>
  <c r="M483" i="16"/>
  <c r="I512" i="17" l="1"/>
  <c r="K512" i="17" s="1"/>
  <c r="G512" i="17"/>
  <c r="H512" i="17"/>
  <c r="P512" i="17"/>
  <c r="R512" i="17" s="1"/>
  <c r="O512" i="17"/>
  <c r="N512" i="17"/>
  <c r="G483" i="16"/>
  <c r="I483" i="16"/>
  <c r="K483" i="16" s="1"/>
  <c r="H483" i="16"/>
  <c r="O483" i="16"/>
  <c r="N483" i="16"/>
  <c r="P483" i="16"/>
  <c r="R483" i="16" s="1"/>
  <c r="Q512" i="17" l="1"/>
  <c r="S512" i="17" s="1"/>
  <c r="J512" i="17"/>
  <c r="U512" i="17"/>
  <c r="J483" i="16"/>
  <c r="L483" i="16" s="1"/>
  <c r="U483" i="16"/>
  <c r="Q483" i="16"/>
  <c r="S483" i="16" s="1"/>
  <c r="W483" i="16" l="1"/>
  <c r="T512" i="17"/>
  <c r="L512" i="17"/>
  <c r="W512" i="17" s="1"/>
  <c r="Y483" i="16"/>
  <c r="T483" i="16"/>
  <c r="V483" i="16" s="1"/>
  <c r="F484" i="16"/>
  <c r="M484" i="16"/>
  <c r="X483" i="16"/>
  <c r="X512" i="17" l="1"/>
  <c r="F513" i="17"/>
  <c r="M513" i="17"/>
  <c r="Y512" i="17"/>
  <c r="V512" i="17"/>
  <c r="I484" i="16"/>
  <c r="K484" i="16" s="1"/>
  <c r="H484" i="16"/>
  <c r="G484" i="16"/>
  <c r="N484" i="16"/>
  <c r="P484" i="16"/>
  <c r="R484" i="16" s="1"/>
  <c r="O484" i="16"/>
  <c r="P513" i="17" l="1"/>
  <c r="R513" i="17" s="1"/>
  <c r="N513" i="17"/>
  <c r="O513" i="17"/>
  <c r="H513" i="17"/>
  <c r="G513" i="17"/>
  <c r="I513" i="17"/>
  <c r="K513" i="17" s="1"/>
  <c r="Q484" i="16"/>
  <c r="S484" i="16" s="1"/>
  <c r="U484" i="16"/>
  <c r="J484" i="16"/>
  <c r="U513" i="17" l="1"/>
  <c r="T484" i="16"/>
  <c r="Q513" i="17"/>
  <c r="S513" i="17" s="1"/>
  <c r="J513" i="17"/>
  <c r="L484" i="16"/>
  <c r="Y484" i="16" l="1"/>
  <c r="W484" i="16"/>
  <c r="T513" i="17"/>
  <c r="L513" i="17"/>
  <c r="W513" i="17" s="1"/>
  <c r="M485" i="16"/>
  <c r="X484" i="16"/>
  <c r="F485" i="16"/>
  <c r="V484" i="16"/>
  <c r="M514" i="17" l="1"/>
  <c r="Y513" i="17"/>
  <c r="X513" i="17"/>
  <c r="F514" i="17"/>
  <c r="V513" i="17"/>
  <c r="I485" i="16"/>
  <c r="K485" i="16" s="1"/>
  <c r="H485" i="16"/>
  <c r="G485" i="16"/>
  <c r="P485" i="16"/>
  <c r="R485" i="16" s="1"/>
  <c r="O485" i="16"/>
  <c r="N485" i="16"/>
  <c r="G514" i="17" l="1"/>
  <c r="I514" i="17"/>
  <c r="K514" i="17" s="1"/>
  <c r="H514" i="17"/>
  <c r="O514" i="17"/>
  <c r="P514" i="17"/>
  <c r="R514" i="17" s="1"/>
  <c r="N514" i="17"/>
  <c r="U485" i="16"/>
  <c r="Q485" i="16"/>
  <c r="S485" i="16" s="1"/>
  <c r="J485" i="16"/>
  <c r="Q514" i="17" l="1"/>
  <c r="S514" i="17" s="1"/>
  <c r="J514" i="17"/>
  <c r="L514" i="17" s="1"/>
  <c r="W514" i="17" s="1"/>
  <c r="U514" i="17"/>
  <c r="T485" i="16"/>
  <c r="L485" i="16"/>
  <c r="Y485" i="16" l="1"/>
  <c r="W485" i="16"/>
  <c r="T514" i="17"/>
  <c r="V514" i="17" s="1"/>
  <c r="Y514" i="17"/>
  <c r="F515" i="17"/>
  <c r="X514" i="17"/>
  <c r="M515" i="17"/>
  <c r="X485" i="16"/>
  <c r="F486" i="16"/>
  <c r="M486" i="16"/>
  <c r="V485" i="16"/>
  <c r="N515" i="17" l="1"/>
  <c r="P515" i="17"/>
  <c r="R515" i="17" s="1"/>
  <c r="O515" i="17"/>
  <c r="I515" i="17"/>
  <c r="K515" i="17" s="1"/>
  <c r="G515" i="17"/>
  <c r="H515" i="17"/>
  <c r="P486" i="16"/>
  <c r="R486" i="16" s="1"/>
  <c r="O486" i="16"/>
  <c r="N486" i="16"/>
  <c r="H486" i="16"/>
  <c r="G486" i="16"/>
  <c r="I486" i="16"/>
  <c r="K486" i="16" s="1"/>
  <c r="U515" i="17" l="1"/>
  <c r="J515" i="17"/>
  <c r="L515" i="17" s="1"/>
  <c r="W515" i="17" s="1"/>
  <c r="Q515" i="17"/>
  <c r="S515" i="17" s="1"/>
  <c r="U486" i="16"/>
  <c r="J486" i="16"/>
  <c r="L486" i="16" s="1"/>
  <c r="Q486" i="16"/>
  <c r="S486" i="16" s="1"/>
  <c r="W486" i="16" l="1"/>
  <c r="Y486" i="16"/>
  <c r="T515" i="17"/>
  <c r="V515" i="17" s="1"/>
  <c r="X515" i="17"/>
  <c r="Y515" i="17"/>
  <c r="F516" i="17"/>
  <c r="M516" i="17"/>
  <c r="X486" i="16"/>
  <c r="F487" i="16"/>
  <c r="M487" i="16"/>
  <c r="T486" i="16"/>
  <c r="V486" i="16" s="1"/>
  <c r="O516" i="17" l="1"/>
  <c r="N516" i="17"/>
  <c r="P516" i="17"/>
  <c r="R516" i="17" s="1"/>
  <c r="I516" i="17"/>
  <c r="K516" i="17" s="1"/>
  <c r="G516" i="17"/>
  <c r="H516" i="17"/>
  <c r="O487" i="16"/>
  <c r="N487" i="16"/>
  <c r="P487" i="16"/>
  <c r="R487" i="16" s="1"/>
  <c r="G487" i="16"/>
  <c r="I487" i="16"/>
  <c r="K487" i="16" s="1"/>
  <c r="H487" i="16"/>
  <c r="Q516" i="17" l="1"/>
  <c r="S516" i="17" s="1"/>
  <c r="U516" i="17"/>
  <c r="J516" i="17"/>
  <c r="U487" i="16"/>
  <c r="J487" i="16"/>
  <c r="Q487" i="16"/>
  <c r="S487" i="16" s="1"/>
  <c r="L516" i="17" l="1"/>
  <c r="W516" i="17" s="1"/>
  <c r="T516" i="17"/>
  <c r="T487" i="16"/>
  <c r="L487" i="16"/>
  <c r="Y487" i="16" l="1"/>
  <c r="W487" i="16"/>
  <c r="X516" i="17"/>
  <c r="Y516" i="17"/>
  <c r="M517" i="17"/>
  <c r="F517" i="17"/>
  <c r="V516" i="17"/>
  <c r="F488" i="16"/>
  <c r="M488" i="16"/>
  <c r="X487" i="16"/>
  <c r="V487" i="16"/>
  <c r="H517" i="17" l="1"/>
  <c r="G517" i="17"/>
  <c r="I517" i="17"/>
  <c r="K517" i="17" s="1"/>
  <c r="O517" i="17"/>
  <c r="P517" i="17"/>
  <c r="N517" i="17"/>
  <c r="N488" i="16"/>
  <c r="P488" i="16"/>
  <c r="R488" i="16" s="1"/>
  <c r="O488" i="16"/>
  <c r="I488" i="16"/>
  <c r="K488" i="16" s="1"/>
  <c r="H488" i="16"/>
  <c r="G488" i="16"/>
  <c r="Q517" i="17" l="1"/>
  <c r="J517" i="17"/>
  <c r="R517" i="17"/>
  <c r="U488" i="16"/>
  <c r="J488" i="16"/>
  <c r="L488" i="16" s="1"/>
  <c r="Q488" i="16"/>
  <c r="S517" i="17" l="1"/>
  <c r="T517" i="17"/>
  <c r="L517" i="17"/>
  <c r="W517" i="17" s="1"/>
  <c r="U517" i="17"/>
  <c r="T488" i="16"/>
  <c r="S488" i="16"/>
  <c r="Y488" i="16" s="1"/>
  <c r="Y517" i="17" l="1"/>
  <c r="W488" i="16"/>
  <c r="F518" i="17"/>
  <c r="I518" i="17" s="1"/>
  <c r="K518" i="17" s="1"/>
  <c r="V517" i="17"/>
  <c r="M518" i="17"/>
  <c r="O518" i="17" s="1"/>
  <c r="X517" i="17"/>
  <c r="V488" i="16"/>
  <c r="F489" i="16"/>
  <c r="G489" i="16" s="1"/>
  <c r="X488" i="16"/>
  <c r="M489" i="16"/>
  <c r="N489" i="16" s="1"/>
  <c r="H518" i="17" l="1"/>
  <c r="G518" i="17"/>
  <c r="N518" i="17"/>
  <c r="P518" i="17"/>
  <c r="R518" i="17" s="1"/>
  <c r="U518" i="17" s="1"/>
  <c r="H489" i="16"/>
  <c r="I489" i="16"/>
  <c r="K489" i="16" s="1"/>
  <c r="O489" i="16"/>
  <c r="P489" i="16"/>
  <c r="R489" i="16" s="1"/>
  <c r="J518" i="17" l="1"/>
  <c r="L518" i="17" s="1"/>
  <c r="W518" i="17" s="1"/>
  <c r="Q518" i="17"/>
  <c r="S518" i="17" s="1"/>
  <c r="Q489" i="16"/>
  <c r="S489" i="16" s="1"/>
  <c r="U489" i="16"/>
  <c r="J489" i="16"/>
  <c r="L489" i="16" s="1"/>
  <c r="W489" i="16" l="1"/>
  <c r="T518" i="17"/>
  <c r="Y518" i="17"/>
  <c r="M519" i="17"/>
  <c r="O519" i="17" s="1"/>
  <c r="X518" i="17"/>
  <c r="F519" i="17"/>
  <c r="H519" i="17" s="1"/>
  <c r="V518" i="17"/>
  <c r="X489" i="16"/>
  <c r="F490" i="16"/>
  <c r="G490" i="16" s="1"/>
  <c r="Y489" i="16"/>
  <c r="M490" i="16"/>
  <c r="N490" i="16" s="1"/>
  <c r="T489" i="16"/>
  <c r="V489" i="16" s="1"/>
  <c r="P519" i="17" l="1"/>
  <c r="R519" i="17" s="1"/>
  <c r="I490" i="16"/>
  <c r="K490" i="16" s="1"/>
  <c r="H490" i="16"/>
  <c r="J490" i="16" s="1"/>
  <c r="N519" i="17"/>
  <c r="I519" i="17"/>
  <c r="K519" i="17" s="1"/>
  <c r="U519" i="17" s="1"/>
  <c r="G519" i="17"/>
  <c r="O490" i="16"/>
  <c r="P490" i="16"/>
  <c r="R490" i="16" s="1"/>
  <c r="U490" i="16" l="1"/>
  <c r="Q519" i="17"/>
  <c r="S519" i="17" s="1"/>
  <c r="J519" i="17"/>
  <c r="L519" i="17" s="1"/>
  <c r="W519" i="17" s="1"/>
  <c r="Q490" i="16"/>
  <c r="S490" i="16" s="1"/>
  <c r="L490" i="16"/>
  <c r="W490" i="16" l="1"/>
  <c r="T519" i="17"/>
  <c r="V519" i="17" s="1"/>
  <c r="F520" i="17"/>
  <c r="X519" i="17"/>
  <c r="M520" i="17"/>
  <c r="Y519" i="17"/>
  <c r="Y490" i="16"/>
  <c r="T490" i="16"/>
  <c r="V490" i="16" s="1"/>
  <c r="X490" i="16"/>
  <c r="F491" i="16"/>
  <c r="M491" i="16"/>
  <c r="H520" i="17" l="1"/>
  <c r="G520" i="17"/>
  <c r="I520" i="17"/>
  <c r="K520" i="17" s="1"/>
  <c r="P520" i="17"/>
  <c r="R520" i="17" s="1"/>
  <c r="N520" i="17"/>
  <c r="O520" i="17"/>
  <c r="O491" i="16"/>
  <c r="N491" i="16"/>
  <c r="P491" i="16"/>
  <c r="R491" i="16" s="1"/>
  <c r="G491" i="16"/>
  <c r="I491" i="16"/>
  <c r="K491" i="16" s="1"/>
  <c r="H491" i="16"/>
  <c r="U520" i="17" l="1"/>
  <c r="J520" i="17"/>
  <c r="Q520" i="17"/>
  <c r="S520" i="17" s="1"/>
  <c r="U491" i="16"/>
  <c r="J491" i="16"/>
  <c r="Q491" i="16"/>
  <c r="S491" i="16" s="1"/>
  <c r="L520" i="17" l="1"/>
  <c r="W520" i="17" s="1"/>
  <c r="T520" i="17"/>
  <c r="T491" i="16"/>
  <c r="L491" i="16"/>
  <c r="Y491" i="16" l="1"/>
  <c r="W491" i="16"/>
  <c r="F521" i="17"/>
  <c r="X520" i="17"/>
  <c r="Y520" i="17"/>
  <c r="M521" i="17"/>
  <c r="V520" i="17"/>
  <c r="F492" i="16"/>
  <c r="M492" i="16"/>
  <c r="X491" i="16"/>
  <c r="V491" i="16"/>
  <c r="P521" i="17" l="1"/>
  <c r="R521" i="17" s="1"/>
  <c r="O521" i="17"/>
  <c r="N521" i="17"/>
  <c r="H521" i="17"/>
  <c r="G521" i="17"/>
  <c r="I521" i="17"/>
  <c r="K521" i="17" s="1"/>
  <c r="N492" i="16"/>
  <c r="P492" i="16"/>
  <c r="R492" i="16" s="1"/>
  <c r="O492" i="16"/>
  <c r="I492" i="16"/>
  <c r="K492" i="16" s="1"/>
  <c r="H492" i="16"/>
  <c r="G492" i="16"/>
  <c r="U521" i="17" l="1"/>
  <c r="Q521" i="17"/>
  <c r="S521" i="17" s="1"/>
  <c r="U492" i="16"/>
  <c r="J521" i="17"/>
  <c r="J492" i="16"/>
  <c r="L492" i="16" s="1"/>
  <c r="W492" i="16" s="1"/>
  <c r="Q492" i="16"/>
  <c r="S492" i="16" s="1"/>
  <c r="Y492" i="16" l="1"/>
  <c r="T521" i="17"/>
  <c r="L521" i="17"/>
  <c r="W521" i="17" s="1"/>
  <c r="T492" i="16"/>
  <c r="V492" i="16" s="1"/>
  <c r="M493" i="16"/>
  <c r="X492" i="16"/>
  <c r="F493" i="16"/>
  <c r="Y521" i="17" l="1"/>
  <c r="F522" i="17"/>
  <c r="X521" i="17"/>
  <c r="M522" i="17"/>
  <c r="V521" i="17"/>
  <c r="P493" i="16"/>
  <c r="R493" i="16" s="1"/>
  <c r="O493" i="16"/>
  <c r="N493" i="16"/>
  <c r="I493" i="16"/>
  <c r="K493" i="16" s="1"/>
  <c r="H493" i="16"/>
  <c r="G493" i="16"/>
  <c r="G522" i="17" l="1"/>
  <c r="H522" i="17"/>
  <c r="I522" i="17"/>
  <c r="K522" i="17" s="1"/>
  <c r="N522" i="17"/>
  <c r="O522" i="17"/>
  <c r="P522" i="17"/>
  <c r="R522" i="17" s="1"/>
  <c r="Q493" i="16"/>
  <c r="S493" i="16" s="1"/>
  <c r="J493" i="16"/>
  <c r="L493" i="16" s="1"/>
  <c r="U493" i="16"/>
  <c r="W493" i="16" l="1"/>
  <c r="J522" i="17"/>
  <c r="Q522" i="17"/>
  <c r="S522" i="17" s="1"/>
  <c r="Y493" i="16"/>
  <c r="U522" i="17"/>
  <c r="T493" i="16"/>
  <c r="V493" i="16" s="1"/>
  <c r="X493" i="16"/>
  <c r="F494" i="16"/>
  <c r="M494" i="16"/>
  <c r="T522" i="17" l="1"/>
  <c r="L522" i="17"/>
  <c r="W522" i="17" s="1"/>
  <c r="P494" i="16"/>
  <c r="R494" i="16" s="1"/>
  <c r="O494" i="16"/>
  <c r="N494" i="16"/>
  <c r="H494" i="16"/>
  <c r="G494" i="16"/>
  <c r="I494" i="16"/>
  <c r="K494" i="16" s="1"/>
  <c r="M523" i="17" l="1"/>
  <c r="P523" i="17" s="1"/>
  <c r="Y522" i="17"/>
  <c r="X522" i="17"/>
  <c r="F523" i="17"/>
  <c r="V522" i="17"/>
  <c r="U494" i="16"/>
  <c r="J494" i="16"/>
  <c r="Q494" i="16"/>
  <c r="S494" i="16" s="1"/>
  <c r="N523" i="17" l="1"/>
  <c r="O523" i="17"/>
  <c r="R523" i="17"/>
  <c r="H523" i="17"/>
  <c r="I523" i="17"/>
  <c r="K523" i="17" s="1"/>
  <c r="G523" i="17"/>
  <c r="T494" i="16"/>
  <c r="L494" i="16"/>
  <c r="Q523" i="17" l="1"/>
  <c r="S523" i="17" s="1"/>
  <c r="U523" i="17"/>
  <c r="Y494" i="16"/>
  <c r="W494" i="16"/>
  <c r="J523" i="17"/>
  <c r="X494" i="16"/>
  <c r="F495" i="16"/>
  <c r="M495" i="16"/>
  <c r="V494" i="16"/>
  <c r="T523" i="17" l="1"/>
  <c r="L523" i="17"/>
  <c r="O495" i="16"/>
  <c r="N495" i="16"/>
  <c r="P495" i="16"/>
  <c r="R495" i="16" s="1"/>
  <c r="G495" i="16"/>
  <c r="I495" i="16"/>
  <c r="K495" i="16" s="1"/>
  <c r="H495" i="16"/>
  <c r="X523" i="17" l="1"/>
  <c r="W523" i="17"/>
  <c r="M524" i="17"/>
  <c r="O524" i="17" s="1"/>
  <c r="F524" i="17"/>
  <c r="H524" i="17" s="1"/>
  <c r="V523" i="17"/>
  <c r="Y523" i="17"/>
  <c r="I524" i="17"/>
  <c r="K524" i="17" s="1"/>
  <c r="U495" i="16"/>
  <c r="J495" i="16"/>
  <c r="Q495" i="16"/>
  <c r="S495" i="16" s="1"/>
  <c r="N524" i="17" l="1"/>
  <c r="G524" i="17"/>
  <c r="J524" i="17" s="1"/>
  <c r="L524" i="17" s="1"/>
  <c r="P524" i="17"/>
  <c r="R524" i="17" s="1"/>
  <c r="U524" i="17" s="1"/>
  <c r="T495" i="16"/>
  <c r="L495" i="16"/>
  <c r="Q524" i="17" l="1"/>
  <c r="S524" i="17" s="1"/>
  <c r="W524" i="17" s="1"/>
  <c r="Y495" i="16"/>
  <c r="W495" i="16"/>
  <c r="F496" i="16"/>
  <c r="M496" i="16"/>
  <c r="X495" i="16"/>
  <c r="V495" i="16"/>
  <c r="M525" i="17" l="1"/>
  <c r="P525" i="17" s="1"/>
  <c r="R525" i="17" s="1"/>
  <c r="Y524" i="17"/>
  <c r="F525" i="17"/>
  <c r="I525" i="17" s="1"/>
  <c r="K525" i="17" s="1"/>
  <c r="T524" i="17"/>
  <c r="V524" i="17" s="1"/>
  <c r="X524" i="17"/>
  <c r="O525" i="17"/>
  <c r="N496" i="16"/>
  <c r="P496" i="16"/>
  <c r="R496" i="16" s="1"/>
  <c r="O496" i="16"/>
  <c r="I496" i="16"/>
  <c r="K496" i="16" s="1"/>
  <c r="H496" i="16"/>
  <c r="G496" i="16"/>
  <c r="N525" i="17" l="1"/>
  <c r="Q525" i="17" s="1"/>
  <c r="S525" i="17" s="1"/>
  <c r="G525" i="17"/>
  <c r="H525" i="17"/>
  <c r="U525" i="17"/>
  <c r="U496" i="16"/>
  <c r="J496" i="16"/>
  <c r="Q496" i="16"/>
  <c r="S496" i="16" s="1"/>
  <c r="J525" i="17" l="1"/>
  <c r="T525" i="17" s="1"/>
  <c r="T496" i="16"/>
  <c r="L496" i="16"/>
  <c r="L525" i="17" l="1"/>
  <c r="W525" i="17" s="1"/>
  <c r="Y496" i="16"/>
  <c r="W496" i="16"/>
  <c r="Y525" i="17"/>
  <c r="F526" i="17"/>
  <c r="V525" i="17"/>
  <c r="X525" i="17"/>
  <c r="M497" i="16"/>
  <c r="X496" i="16"/>
  <c r="F497" i="16"/>
  <c r="V496" i="16"/>
  <c r="M526" i="17" l="1"/>
  <c r="O526" i="17" s="1"/>
  <c r="G526" i="17"/>
  <c r="H526" i="17"/>
  <c r="I526" i="17"/>
  <c r="K526" i="17" s="1"/>
  <c r="I497" i="16"/>
  <c r="K497" i="16" s="1"/>
  <c r="H497" i="16"/>
  <c r="G497" i="16"/>
  <c r="P497" i="16"/>
  <c r="R497" i="16" s="1"/>
  <c r="O497" i="16"/>
  <c r="N497" i="16"/>
  <c r="N526" i="17" l="1"/>
  <c r="P526" i="17"/>
  <c r="R526" i="17" s="1"/>
  <c r="U526" i="17" s="1"/>
  <c r="J526" i="17"/>
  <c r="L526" i="17" s="1"/>
  <c r="U497" i="16"/>
  <c r="Q497" i="16"/>
  <c r="S497" i="16" s="1"/>
  <c r="J497" i="16"/>
  <c r="L497" i="16" s="1"/>
  <c r="W497" i="16" s="1"/>
  <c r="Q526" i="17" l="1"/>
  <c r="S526" i="17" s="1"/>
  <c r="Y497" i="16"/>
  <c r="X497" i="16"/>
  <c r="F498" i="16"/>
  <c r="M498" i="16"/>
  <c r="T497" i="16"/>
  <c r="V497" i="16" s="1"/>
  <c r="F527" i="17" l="1"/>
  <c r="X526" i="17"/>
  <c r="M527" i="17"/>
  <c r="W526" i="17"/>
  <c r="Y526" i="17"/>
  <c r="T526" i="17"/>
  <c r="V526" i="17" s="1"/>
  <c r="O527" i="17"/>
  <c r="N527" i="17"/>
  <c r="P527" i="17"/>
  <c r="R527" i="17" s="1"/>
  <c r="H527" i="17"/>
  <c r="I527" i="17"/>
  <c r="K527" i="17" s="1"/>
  <c r="G527" i="17"/>
  <c r="P498" i="16"/>
  <c r="R498" i="16" s="1"/>
  <c r="O498" i="16"/>
  <c r="N498" i="16"/>
  <c r="H498" i="16"/>
  <c r="G498" i="16"/>
  <c r="I498" i="16"/>
  <c r="K498" i="16" s="1"/>
  <c r="J527" i="17" l="1"/>
  <c r="L527" i="17" s="1"/>
  <c r="U527" i="17"/>
  <c r="Q527" i="17"/>
  <c r="Q498" i="16"/>
  <c r="S498" i="16" s="1"/>
  <c r="U498" i="16"/>
  <c r="J498" i="16"/>
  <c r="W527" i="17" l="1"/>
  <c r="T527" i="17"/>
  <c r="S527" i="17"/>
  <c r="X527" i="17" s="1"/>
  <c r="T498" i="16"/>
  <c r="L498" i="16"/>
  <c r="Y527" i="17" l="1"/>
  <c r="Y498" i="16"/>
  <c r="W498" i="16"/>
  <c r="V527" i="17"/>
  <c r="M528" i="17"/>
  <c r="F528" i="17"/>
  <c r="X498" i="16"/>
  <c r="F499" i="16"/>
  <c r="M499" i="16"/>
  <c r="V498" i="16"/>
  <c r="I528" i="17" l="1"/>
  <c r="K528" i="17" s="1"/>
  <c r="G528" i="17"/>
  <c r="H528" i="17"/>
  <c r="O528" i="17"/>
  <c r="N528" i="17"/>
  <c r="P528" i="17"/>
  <c r="R528" i="17" s="1"/>
  <c r="O499" i="16"/>
  <c r="N499" i="16"/>
  <c r="P499" i="16"/>
  <c r="R499" i="16" s="1"/>
  <c r="G499" i="16"/>
  <c r="I499" i="16"/>
  <c r="K499" i="16" s="1"/>
  <c r="H499" i="16"/>
  <c r="U528" i="17" l="1"/>
  <c r="Q528" i="17"/>
  <c r="S528" i="17" s="1"/>
  <c r="J528" i="17"/>
  <c r="U499" i="16"/>
  <c r="J499" i="16"/>
  <c r="Q499" i="16"/>
  <c r="S499" i="16" s="1"/>
  <c r="T528" i="17" l="1"/>
  <c r="L528" i="17"/>
  <c r="W528" i="17" s="1"/>
  <c r="T499" i="16"/>
  <c r="L499" i="16"/>
  <c r="Y499" i="16" l="1"/>
  <c r="W499" i="16"/>
  <c r="M529" i="17"/>
  <c r="F529" i="17"/>
  <c r="V528" i="17"/>
  <c r="Y528" i="17"/>
  <c r="X528" i="17"/>
  <c r="F500" i="16"/>
  <c r="M500" i="16"/>
  <c r="X499" i="16"/>
  <c r="V499" i="16"/>
  <c r="I529" i="17" l="1"/>
  <c r="K529" i="17" s="1"/>
  <c r="H529" i="17"/>
  <c r="G529" i="17"/>
  <c r="O529" i="17"/>
  <c r="N529" i="17"/>
  <c r="P529" i="17"/>
  <c r="R529" i="17" s="1"/>
  <c r="N500" i="16"/>
  <c r="P500" i="16"/>
  <c r="R500" i="16" s="1"/>
  <c r="O500" i="16"/>
  <c r="I500" i="16"/>
  <c r="K500" i="16" s="1"/>
  <c r="H500" i="16"/>
  <c r="G500" i="16"/>
  <c r="J529" i="17" l="1"/>
  <c r="L529" i="17" s="1"/>
  <c r="Q529" i="17"/>
  <c r="U529" i="17"/>
  <c r="J500" i="16"/>
  <c r="L500" i="16" s="1"/>
  <c r="U500" i="16"/>
  <c r="Q500" i="16"/>
  <c r="W529" i="17" l="1"/>
  <c r="S529" i="17"/>
  <c r="T529" i="17"/>
  <c r="T500" i="16"/>
  <c r="S500" i="16"/>
  <c r="W500" i="16" s="1"/>
  <c r="F501" i="16" l="1"/>
  <c r="G501" i="16" s="1"/>
  <c r="V500" i="16"/>
  <c r="X529" i="17"/>
  <c r="M530" i="17"/>
  <c r="Y529" i="17"/>
  <c r="F530" i="17"/>
  <c r="V529" i="17"/>
  <c r="M501" i="16"/>
  <c r="P501" i="16" s="1"/>
  <c r="R501" i="16" s="1"/>
  <c r="Y500" i="16"/>
  <c r="X500" i="16"/>
  <c r="H501" i="16" l="1"/>
  <c r="I501" i="16"/>
  <c r="K501" i="16" s="1"/>
  <c r="U501" i="16" s="1"/>
  <c r="O530" i="17"/>
  <c r="P530" i="17"/>
  <c r="R530" i="17" s="1"/>
  <c r="N530" i="17"/>
  <c r="H530" i="17"/>
  <c r="I530" i="17"/>
  <c r="K530" i="17" s="1"/>
  <c r="G530" i="17"/>
  <c r="O501" i="16"/>
  <c r="N501" i="16"/>
  <c r="J501" i="16" l="1"/>
  <c r="L501" i="16" s="1"/>
  <c r="Q530" i="17"/>
  <c r="S530" i="17" s="1"/>
  <c r="J530" i="17"/>
  <c r="U530" i="17"/>
  <c r="Q501" i="16"/>
  <c r="S501" i="16" s="1"/>
  <c r="W501" i="16" s="1"/>
  <c r="T530" i="17" l="1"/>
  <c r="M502" i="16"/>
  <c r="P502" i="16" s="1"/>
  <c r="R502" i="16" s="1"/>
  <c r="F502" i="16"/>
  <c r="H502" i="16" s="1"/>
  <c r="Y501" i="16"/>
  <c r="T501" i="16"/>
  <c r="V501" i="16" s="1"/>
  <c r="X501" i="16"/>
  <c r="L530" i="17"/>
  <c r="W530" i="17" s="1"/>
  <c r="G502" i="16" l="1"/>
  <c r="J502" i="16" s="1"/>
  <c r="O502" i="16"/>
  <c r="I502" i="16"/>
  <c r="K502" i="16" s="1"/>
  <c r="U502" i="16" s="1"/>
  <c r="X530" i="17"/>
  <c r="Y530" i="17"/>
  <c r="M531" i="17"/>
  <c r="O531" i="17" s="1"/>
  <c r="V530" i="17"/>
  <c r="F531" i="17"/>
  <c r="G531" i="17" s="1"/>
  <c r="N502" i="16"/>
  <c r="Q502" i="16" s="1"/>
  <c r="S502" i="16" s="1"/>
  <c r="P531" i="17"/>
  <c r="R531" i="17" s="1"/>
  <c r="N531" i="17" l="1"/>
  <c r="Q531" i="17" s="1"/>
  <c r="S531" i="17" s="1"/>
  <c r="H531" i="17"/>
  <c r="I531" i="17"/>
  <c r="K531" i="17" s="1"/>
  <c r="U531" i="17" s="1"/>
  <c r="T502" i="16"/>
  <c r="L502" i="16"/>
  <c r="Y502" i="16" l="1"/>
  <c r="W502" i="16"/>
  <c r="J531" i="17"/>
  <c r="T531" i="17" s="1"/>
  <c r="X502" i="16"/>
  <c r="F503" i="16"/>
  <c r="M503" i="16"/>
  <c r="V502" i="16"/>
  <c r="L531" i="17" l="1"/>
  <c r="W531" i="17" s="1"/>
  <c r="O503" i="16"/>
  <c r="N503" i="16"/>
  <c r="P503" i="16"/>
  <c r="R503" i="16" s="1"/>
  <c r="G503" i="16"/>
  <c r="I503" i="16"/>
  <c r="K503" i="16" s="1"/>
  <c r="H503" i="16"/>
  <c r="X531" i="17" l="1"/>
  <c r="F532" i="17"/>
  <c r="G532" i="17" s="1"/>
  <c r="V531" i="17"/>
  <c r="Y531" i="17"/>
  <c r="M532" i="17"/>
  <c r="I532" i="17"/>
  <c r="K532" i="17" s="1"/>
  <c r="U503" i="16"/>
  <c r="J503" i="16"/>
  <c r="Q503" i="16"/>
  <c r="S503" i="16" s="1"/>
  <c r="H532" i="17" l="1"/>
  <c r="J532" i="17" s="1"/>
  <c r="L532" i="17" s="1"/>
  <c r="O532" i="17"/>
  <c r="N532" i="17"/>
  <c r="P532" i="17"/>
  <c r="R532" i="17" s="1"/>
  <c r="U532" i="17" s="1"/>
  <c r="T503" i="16"/>
  <c r="L503" i="16"/>
  <c r="Q532" i="17" l="1"/>
  <c r="T532" i="17" s="1"/>
  <c r="Y503" i="16"/>
  <c r="W503" i="16"/>
  <c r="F504" i="16"/>
  <c r="M504" i="16"/>
  <c r="X503" i="16"/>
  <c r="V503" i="16"/>
  <c r="S532" i="17" l="1"/>
  <c r="Y532" i="17"/>
  <c r="N504" i="16"/>
  <c r="P504" i="16"/>
  <c r="R504" i="16" s="1"/>
  <c r="O504" i="16"/>
  <c r="I504" i="16"/>
  <c r="K504" i="16" s="1"/>
  <c r="H504" i="16"/>
  <c r="G504" i="16"/>
  <c r="M533" i="17" l="1"/>
  <c r="O533" i="17" s="1"/>
  <c r="W532" i="17"/>
  <c r="F533" i="17"/>
  <c r="H533" i="17" s="1"/>
  <c r="V532" i="17"/>
  <c r="X532" i="17"/>
  <c r="G533" i="17"/>
  <c r="I533" i="17"/>
  <c r="K533" i="17" s="1"/>
  <c r="N533" i="17"/>
  <c r="J504" i="16"/>
  <c r="L504" i="16" s="1"/>
  <c r="U504" i="16"/>
  <c r="Q504" i="16"/>
  <c r="P533" i="17" l="1"/>
  <c r="R533" i="17" s="1"/>
  <c r="U533" i="17" s="1"/>
  <c r="J533" i="17"/>
  <c r="T504" i="16"/>
  <c r="S504" i="16"/>
  <c r="M505" i="16" s="1"/>
  <c r="Q533" i="17" l="1"/>
  <c r="S533" i="17" s="1"/>
  <c r="W504" i="16"/>
  <c r="L533" i="17"/>
  <c r="W533" i="17" s="1"/>
  <c r="V504" i="16"/>
  <c r="Y504" i="16"/>
  <c r="F505" i="16"/>
  <c r="G505" i="16" s="1"/>
  <c r="X504" i="16"/>
  <c r="P505" i="16"/>
  <c r="R505" i="16" s="1"/>
  <c r="O505" i="16"/>
  <c r="N505" i="16"/>
  <c r="T533" i="17" l="1"/>
  <c r="F534" i="17"/>
  <c r="M534" i="17"/>
  <c r="X533" i="17"/>
  <c r="Y533" i="17"/>
  <c r="V533" i="17"/>
  <c r="H505" i="16"/>
  <c r="I505" i="16"/>
  <c r="K505" i="16" s="1"/>
  <c r="U505" i="16" s="1"/>
  <c r="Q505" i="16"/>
  <c r="S505" i="16" s="1"/>
  <c r="O534" i="17" l="1"/>
  <c r="N534" i="17"/>
  <c r="P534" i="17"/>
  <c r="R534" i="17" s="1"/>
  <c r="I534" i="17"/>
  <c r="K534" i="17" s="1"/>
  <c r="H534" i="17"/>
  <c r="G534" i="17"/>
  <c r="J505" i="16"/>
  <c r="T505" i="16" s="1"/>
  <c r="J534" i="17" l="1"/>
  <c r="Q534" i="17"/>
  <c r="S534" i="17" s="1"/>
  <c r="U534" i="17"/>
  <c r="L505" i="16"/>
  <c r="F506" i="16" s="1"/>
  <c r="V505" i="16" l="1"/>
  <c r="M506" i="16"/>
  <c r="O506" i="16" s="1"/>
  <c r="Y505" i="16"/>
  <c r="W505" i="16"/>
  <c r="X505" i="16"/>
  <c r="T534" i="17"/>
  <c r="L534" i="17"/>
  <c r="W534" i="17" s="1"/>
  <c r="P506" i="16"/>
  <c r="R506" i="16" s="1"/>
  <c r="H506" i="16"/>
  <c r="G506" i="16"/>
  <c r="I506" i="16"/>
  <c r="K506" i="16" s="1"/>
  <c r="N506" i="16" l="1"/>
  <c r="Q506" i="16" s="1"/>
  <c r="S506" i="16" s="1"/>
  <c r="V534" i="17"/>
  <c r="M535" i="17"/>
  <c r="F535" i="17"/>
  <c r="X534" i="17"/>
  <c r="Y534" i="17"/>
  <c r="U506" i="16"/>
  <c r="J506" i="16"/>
  <c r="L506" i="16" s="1"/>
  <c r="Y506" i="16" l="1"/>
  <c r="W506" i="16"/>
  <c r="H535" i="17"/>
  <c r="I535" i="17"/>
  <c r="K535" i="17" s="1"/>
  <c r="G535" i="17"/>
  <c r="P535" i="17"/>
  <c r="R535" i="17" s="1"/>
  <c r="O535" i="17"/>
  <c r="N535" i="17"/>
  <c r="T506" i="16"/>
  <c r="V506" i="16" s="1"/>
  <c r="X506" i="16"/>
  <c r="F507" i="16"/>
  <c r="M507" i="16"/>
  <c r="J535" i="17" l="1"/>
  <c r="L535" i="17" s="1"/>
  <c r="W535" i="17" s="1"/>
  <c r="Q535" i="17"/>
  <c r="S535" i="17" s="1"/>
  <c r="U535" i="17"/>
  <c r="G507" i="16"/>
  <c r="I507" i="16"/>
  <c r="K507" i="16" s="1"/>
  <c r="H507" i="16"/>
  <c r="O507" i="16"/>
  <c r="N507" i="16"/>
  <c r="P507" i="16"/>
  <c r="R507" i="16" s="1"/>
  <c r="T535" i="17" l="1"/>
  <c r="V535" i="17" s="1"/>
  <c r="F536" i="17"/>
  <c r="M536" i="17"/>
  <c r="Y535" i="17"/>
  <c r="X535" i="17"/>
  <c r="J507" i="16"/>
  <c r="L507" i="16" s="1"/>
  <c r="U507" i="16"/>
  <c r="Q507" i="16"/>
  <c r="S507" i="16" s="1"/>
  <c r="Y507" i="16" l="1"/>
  <c r="W507" i="16"/>
  <c r="N536" i="17"/>
  <c r="P536" i="17"/>
  <c r="R536" i="17" s="1"/>
  <c r="O536" i="17"/>
  <c r="I536" i="17"/>
  <c r="K536" i="17" s="1"/>
  <c r="U536" i="17" s="1"/>
  <c r="H536" i="17"/>
  <c r="G536" i="17"/>
  <c r="T507" i="16"/>
  <c r="V507" i="16" s="1"/>
  <c r="F508" i="16"/>
  <c r="M508" i="16"/>
  <c r="X507" i="16"/>
  <c r="Q536" i="17" l="1"/>
  <c r="S536" i="17" s="1"/>
  <c r="J536" i="17"/>
  <c r="N508" i="16"/>
  <c r="P508" i="16"/>
  <c r="R508" i="16" s="1"/>
  <c r="O508" i="16"/>
  <c r="I508" i="16"/>
  <c r="K508" i="16" s="1"/>
  <c r="H508" i="16"/>
  <c r="G508" i="16"/>
  <c r="T536" i="17" l="1"/>
  <c r="L536" i="17"/>
  <c r="U508" i="16"/>
  <c r="J508" i="16"/>
  <c r="L508" i="16" s="1"/>
  <c r="Q508" i="16"/>
  <c r="Y536" i="17" l="1"/>
  <c r="W536" i="17"/>
  <c r="V536" i="17"/>
  <c r="M537" i="17"/>
  <c r="P537" i="17" s="1"/>
  <c r="R537" i="17" s="1"/>
  <c r="X536" i="17"/>
  <c r="F537" i="17"/>
  <c r="H537" i="17" s="1"/>
  <c r="T508" i="16"/>
  <c r="S508" i="16"/>
  <c r="W508" i="16" s="1"/>
  <c r="V508" i="16" l="1"/>
  <c r="I537" i="17"/>
  <c r="K537" i="17" s="1"/>
  <c r="O537" i="17"/>
  <c r="G537" i="17"/>
  <c r="J537" i="17" s="1"/>
  <c r="N537" i="17"/>
  <c r="Q537" i="17" s="1"/>
  <c r="S537" i="17" s="1"/>
  <c r="U537" i="17"/>
  <c r="Y508" i="16"/>
  <c r="F509" i="16"/>
  <c r="H509" i="16" s="1"/>
  <c r="M509" i="16"/>
  <c r="N509" i="16" s="1"/>
  <c r="X508" i="16"/>
  <c r="T537" i="17" l="1"/>
  <c r="L537" i="17"/>
  <c r="G509" i="16"/>
  <c r="O509" i="16"/>
  <c r="I509" i="16"/>
  <c r="K509" i="16" s="1"/>
  <c r="P509" i="16"/>
  <c r="R509" i="16" s="1"/>
  <c r="Y537" i="17" l="1"/>
  <c r="W537" i="17"/>
  <c r="M538" i="17"/>
  <c r="N538" i="17" s="1"/>
  <c r="V537" i="17"/>
  <c r="X537" i="17"/>
  <c r="F538" i="17"/>
  <c r="H538" i="17" s="1"/>
  <c r="U509" i="16"/>
  <c r="Q509" i="16"/>
  <c r="S509" i="16" s="1"/>
  <c r="J509" i="16"/>
  <c r="L509" i="16" s="1"/>
  <c r="P538" i="17" l="1"/>
  <c r="R538" i="17" s="1"/>
  <c r="O538" i="17"/>
  <c r="Y509" i="16"/>
  <c r="W509" i="16"/>
  <c r="I538" i="17"/>
  <c r="K538" i="17" s="1"/>
  <c r="U538" i="17" s="1"/>
  <c r="G538" i="17"/>
  <c r="F510" i="16"/>
  <c r="H510" i="16" s="1"/>
  <c r="X509" i="16"/>
  <c r="T509" i="16"/>
  <c r="V509" i="16" s="1"/>
  <c r="M510" i="16"/>
  <c r="N510" i="16" s="1"/>
  <c r="Q538" i="17" l="1"/>
  <c r="S538" i="17" s="1"/>
  <c r="J538" i="17"/>
  <c r="L538" i="17" s="1"/>
  <c r="I510" i="16"/>
  <c r="K510" i="16" s="1"/>
  <c r="G510" i="16"/>
  <c r="O510" i="16"/>
  <c r="P510" i="16"/>
  <c r="R510" i="16" s="1"/>
  <c r="J510" i="16" l="1"/>
  <c r="L510" i="16" s="1"/>
  <c r="W510" i="16" s="1"/>
  <c r="W538" i="17"/>
  <c r="U510" i="16"/>
  <c r="T538" i="17"/>
  <c r="V538" i="17" s="1"/>
  <c r="X538" i="17"/>
  <c r="Y538" i="17"/>
  <c r="F539" i="17"/>
  <c r="G539" i="17" s="1"/>
  <c r="M539" i="17"/>
  <c r="P539" i="17" s="1"/>
  <c r="R539" i="17" s="1"/>
  <c r="Q510" i="16"/>
  <c r="S510" i="16" s="1"/>
  <c r="I539" i="17" l="1"/>
  <c r="K539" i="17" s="1"/>
  <c r="U539" i="17" s="1"/>
  <c r="O539" i="17"/>
  <c r="H539" i="17"/>
  <c r="N539" i="17"/>
  <c r="Q539" i="17" s="1"/>
  <c r="S539" i="17" s="1"/>
  <c r="T510" i="16"/>
  <c r="V510" i="16" s="1"/>
  <c r="Y510" i="16"/>
  <c r="X510" i="16"/>
  <c r="F511" i="16"/>
  <c r="M511" i="16"/>
  <c r="J539" i="17" l="1"/>
  <c r="L539" i="17" s="1"/>
  <c r="W539" i="17" s="1"/>
  <c r="O511" i="16"/>
  <c r="N511" i="16"/>
  <c r="P511" i="16"/>
  <c r="R511" i="16" s="1"/>
  <c r="G511" i="16"/>
  <c r="I511" i="16"/>
  <c r="K511" i="16" s="1"/>
  <c r="H511" i="16"/>
  <c r="M540" i="17" l="1"/>
  <c r="N540" i="17" s="1"/>
  <c r="Y539" i="17"/>
  <c r="F540" i="17"/>
  <c r="H540" i="17" s="1"/>
  <c r="T539" i="17"/>
  <c r="V539" i="17" s="1"/>
  <c r="X539" i="17"/>
  <c r="U511" i="16"/>
  <c r="J511" i="16"/>
  <c r="Q511" i="16"/>
  <c r="S511" i="16" s="1"/>
  <c r="G540" i="17" l="1"/>
  <c r="O540" i="17"/>
  <c r="P540" i="17"/>
  <c r="R540" i="17" s="1"/>
  <c r="I540" i="17"/>
  <c r="K540" i="17" s="1"/>
  <c r="T511" i="16"/>
  <c r="L511" i="16"/>
  <c r="U540" i="17" l="1"/>
  <c r="Q540" i="17"/>
  <c r="S540" i="17" s="1"/>
  <c r="J540" i="17"/>
  <c r="L540" i="17" s="1"/>
  <c r="W540" i="17" s="1"/>
  <c r="Y511" i="16"/>
  <c r="W511" i="16"/>
  <c r="F512" i="16"/>
  <c r="M512" i="16"/>
  <c r="X511" i="16"/>
  <c r="V511" i="16"/>
  <c r="F541" i="17" l="1"/>
  <c r="X540" i="17"/>
  <c r="Y540" i="17"/>
  <c r="M541" i="17"/>
  <c r="O541" i="17" s="1"/>
  <c r="T540" i="17"/>
  <c r="V540" i="17" s="1"/>
  <c r="N512" i="16"/>
  <c r="P512" i="16"/>
  <c r="R512" i="16" s="1"/>
  <c r="O512" i="16"/>
  <c r="I512" i="16"/>
  <c r="K512" i="16" s="1"/>
  <c r="H512" i="16"/>
  <c r="G512" i="16"/>
  <c r="N541" i="17" l="1"/>
  <c r="P541" i="17"/>
  <c r="R541" i="17" s="1"/>
  <c r="I541" i="17"/>
  <c r="K541" i="17" s="1"/>
  <c r="G541" i="17"/>
  <c r="H541" i="17"/>
  <c r="J512" i="16"/>
  <c r="L512" i="16" s="1"/>
  <c r="U512" i="16"/>
  <c r="Q512" i="16"/>
  <c r="Q541" i="17" l="1"/>
  <c r="S541" i="17" s="1"/>
  <c r="J541" i="17"/>
  <c r="L541" i="17" s="1"/>
  <c r="U541" i="17"/>
  <c r="T512" i="16"/>
  <c r="S512" i="16"/>
  <c r="X512" i="16" s="1"/>
  <c r="W541" i="17" l="1"/>
  <c r="X541" i="17"/>
  <c r="M542" i="17"/>
  <c r="O542" i="17" s="1"/>
  <c r="T541" i="17"/>
  <c r="V541" i="17" s="1"/>
  <c r="Y541" i="17"/>
  <c r="F542" i="17"/>
  <c r="G542" i="17" s="1"/>
  <c r="W512" i="16"/>
  <c r="V512" i="16"/>
  <c r="F513" i="16"/>
  <c r="G513" i="16" s="1"/>
  <c r="Y512" i="16"/>
  <c r="M513" i="16"/>
  <c r="P513" i="16" s="1"/>
  <c r="R513" i="16" s="1"/>
  <c r="I542" i="17" l="1"/>
  <c r="K542" i="17" s="1"/>
  <c r="N542" i="17"/>
  <c r="P542" i="17"/>
  <c r="R542" i="17" s="1"/>
  <c r="H542" i="17"/>
  <c r="I513" i="16"/>
  <c r="K513" i="16" s="1"/>
  <c r="U513" i="16" s="1"/>
  <c r="N513" i="16"/>
  <c r="H513" i="16"/>
  <c r="O513" i="16"/>
  <c r="J542" i="17" l="1"/>
  <c r="L542" i="17" s="1"/>
  <c r="U542" i="17"/>
  <c r="Q542" i="17"/>
  <c r="S542" i="17" s="1"/>
  <c r="J513" i="16"/>
  <c r="L513" i="16" s="1"/>
  <c r="Q513" i="16"/>
  <c r="S513" i="16" s="1"/>
  <c r="T542" i="17" l="1"/>
  <c r="F543" i="17"/>
  <c r="I543" i="17" s="1"/>
  <c r="K543" i="17" s="1"/>
  <c r="W542" i="17"/>
  <c r="F514" i="16"/>
  <c r="G514" i="16" s="1"/>
  <c r="X513" i="16"/>
  <c r="T513" i="16"/>
  <c r="V513" i="16" s="1"/>
  <c r="M514" i="16"/>
  <c r="O514" i="16" s="1"/>
  <c r="M543" i="17"/>
  <c r="N543" i="17" s="1"/>
  <c r="Y513" i="16"/>
  <c r="W513" i="16"/>
  <c r="V542" i="17"/>
  <c r="X542" i="17"/>
  <c r="Y542" i="17"/>
  <c r="G543" i="17"/>
  <c r="H543" i="17"/>
  <c r="H514" i="16" l="1"/>
  <c r="I514" i="16"/>
  <c r="K514" i="16" s="1"/>
  <c r="P514" i="16"/>
  <c r="R514" i="16" s="1"/>
  <c r="N514" i="16"/>
  <c r="O543" i="17"/>
  <c r="P543" i="17"/>
  <c r="R543" i="17" s="1"/>
  <c r="U543" i="17" s="1"/>
  <c r="J543" i="17"/>
  <c r="L543" i="17" s="1"/>
  <c r="J514" i="16"/>
  <c r="U514" i="16" l="1"/>
  <c r="Q514" i="16"/>
  <c r="S514" i="16" s="1"/>
  <c r="Q543" i="17"/>
  <c r="S543" i="17" s="1"/>
  <c r="X543" i="17" s="1"/>
  <c r="L514" i="16"/>
  <c r="W514" i="16" l="1"/>
  <c r="W543" i="17"/>
  <c r="T514" i="16"/>
  <c r="Y543" i="17"/>
  <c r="T543" i="17"/>
  <c r="V543" i="17" s="1"/>
  <c r="F544" i="17"/>
  <c r="M544" i="17"/>
  <c r="V514" i="16"/>
  <c r="Y514" i="16"/>
  <c r="M515" i="16"/>
  <c r="O515" i="16" s="1"/>
  <c r="F515" i="16"/>
  <c r="G515" i="16" s="1"/>
  <c r="X514" i="16"/>
  <c r="P544" i="17" l="1"/>
  <c r="R544" i="17" s="1"/>
  <c r="N544" i="17"/>
  <c r="O544" i="17"/>
  <c r="G544" i="17"/>
  <c r="I544" i="17"/>
  <c r="K544" i="17" s="1"/>
  <c r="H544" i="17"/>
  <c r="P515" i="16"/>
  <c r="R515" i="16" s="1"/>
  <c r="N515" i="16"/>
  <c r="H515" i="16"/>
  <c r="I515" i="16"/>
  <c r="K515" i="16" s="1"/>
  <c r="U544" i="17" l="1"/>
  <c r="J544" i="17"/>
  <c r="L544" i="17" s="1"/>
  <c r="W544" i="17" s="1"/>
  <c r="Q544" i="17"/>
  <c r="S544" i="17" s="1"/>
  <c r="U515" i="16"/>
  <c r="Q515" i="16"/>
  <c r="S515" i="16" s="1"/>
  <c r="J515" i="16"/>
  <c r="T544" i="17" l="1"/>
  <c r="V544" i="17" s="1"/>
  <c r="X544" i="17"/>
  <c r="M545" i="17"/>
  <c r="Y544" i="17"/>
  <c r="F545" i="17"/>
  <c r="T515" i="16"/>
  <c r="L515" i="16"/>
  <c r="N545" i="17" l="1"/>
  <c r="P545" i="17"/>
  <c r="R545" i="17" s="1"/>
  <c r="O545" i="17"/>
  <c r="I545" i="17"/>
  <c r="K545" i="17" s="1"/>
  <c r="G545" i="17"/>
  <c r="H545" i="17"/>
  <c r="Y515" i="16"/>
  <c r="W515" i="16"/>
  <c r="V515" i="16"/>
  <c r="X515" i="16"/>
  <c r="M516" i="16"/>
  <c r="N516" i="16" s="1"/>
  <c r="F516" i="16"/>
  <c r="I516" i="16" s="1"/>
  <c r="K516" i="16" s="1"/>
  <c r="Q545" i="17" l="1"/>
  <c r="S545" i="17" s="1"/>
  <c r="J545" i="17"/>
  <c r="U545" i="17"/>
  <c r="O516" i="16"/>
  <c r="G516" i="16"/>
  <c r="P516" i="16"/>
  <c r="R516" i="16" s="1"/>
  <c r="U516" i="16" s="1"/>
  <c r="H516" i="16"/>
  <c r="T545" i="17" l="1"/>
  <c r="L545" i="17"/>
  <c r="J516" i="16"/>
  <c r="L516" i="16" s="1"/>
  <c r="Q516" i="16"/>
  <c r="S516" i="16" s="1"/>
  <c r="V545" i="17" l="1"/>
  <c r="W545" i="17"/>
  <c r="Y545" i="17"/>
  <c r="M546" i="17"/>
  <c r="X545" i="17"/>
  <c r="F546" i="17"/>
  <c r="T516" i="16"/>
  <c r="V516" i="16" s="1"/>
  <c r="Y516" i="16"/>
  <c r="W516" i="16"/>
  <c r="M517" i="16"/>
  <c r="X516" i="16"/>
  <c r="F517" i="16"/>
  <c r="G546" i="17" l="1"/>
  <c r="H546" i="17"/>
  <c r="I546" i="17"/>
  <c r="K546" i="17" s="1"/>
  <c r="P546" i="17"/>
  <c r="R546" i="17" s="1"/>
  <c r="N546" i="17"/>
  <c r="O546" i="17"/>
  <c r="I517" i="16"/>
  <c r="K517" i="16" s="1"/>
  <c r="H517" i="16"/>
  <c r="G517" i="16"/>
  <c r="P517" i="16"/>
  <c r="R517" i="16" s="1"/>
  <c r="O517" i="16"/>
  <c r="N517" i="16"/>
  <c r="J546" i="17" l="1"/>
  <c r="L546" i="17" s="1"/>
  <c r="W546" i="17" s="1"/>
  <c r="U546" i="17"/>
  <c r="Q546" i="17"/>
  <c r="S546" i="17" s="1"/>
  <c r="U517" i="16"/>
  <c r="Q517" i="16"/>
  <c r="S517" i="16" s="1"/>
  <c r="J517" i="16"/>
  <c r="L517" i="16" s="1"/>
  <c r="W517" i="16" s="1"/>
  <c r="T546" i="17" l="1"/>
  <c r="V546" i="17" s="1"/>
  <c r="M547" i="17"/>
  <c r="X546" i="17"/>
  <c r="F547" i="17"/>
  <c r="Y546" i="17"/>
  <c r="Y517" i="16"/>
  <c r="X517" i="16"/>
  <c r="F518" i="16"/>
  <c r="M518" i="16"/>
  <c r="T517" i="16"/>
  <c r="V517" i="16" s="1"/>
  <c r="N547" i="17" l="1"/>
  <c r="P547" i="17"/>
  <c r="R547" i="17" s="1"/>
  <c r="O547" i="17"/>
  <c r="I547" i="17"/>
  <c r="K547" i="17" s="1"/>
  <c r="H547" i="17"/>
  <c r="G547" i="17"/>
  <c r="H518" i="16"/>
  <c r="G518" i="16"/>
  <c r="I518" i="16"/>
  <c r="K518" i="16" s="1"/>
  <c r="P518" i="16"/>
  <c r="R518" i="16" s="1"/>
  <c r="O518" i="16"/>
  <c r="N518" i="16"/>
  <c r="U547" i="17" l="1"/>
  <c r="Q547" i="17"/>
  <c r="S547" i="17" s="1"/>
  <c r="J547" i="17"/>
  <c r="Q518" i="16"/>
  <c r="S518" i="16" s="1"/>
  <c r="U518" i="16"/>
  <c r="J518" i="16"/>
  <c r="T547" i="17" l="1"/>
  <c r="L547" i="17"/>
  <c r="T518" i="16"/>
  <c r="L518" i="16"/>
  <c r="V547" i="17" l="1"/>
  <c r="W547" i="17"/>
  <c r="M548" i="17"/>
  <c r="X547" i="17"/>
  <c r="F548" i="17"/>
  <c r="Y547" i="17"/>
  <c r="Y518" i="16"/>
  <c r="W518" i="16"/>
  <c r="X518" i="16"/>
  <c r="F519" i="16"/>
  <c r="M519" i="16"/>
  <c r="V518" i="16"/>
  <c r="I548" i="17" l="1"/>
  <c r="K548" i="17" s="1"/>
  <c r="H548" i="17"/>
  <c r="G548" i="17"/>
  <c r="P548" i="17"/>
  <c r="R548" i="17" s="1"/>
  <c r="N548" i="17"/>
  <c r="O548" i="17"/>
  <c r="O519" i="16"/>
  <c r="N519" i="16"/>
  <c r="P519" i="16"/>
  <c r="R519" i="16" s="1"/>
  <c r="G519" i="16"/>
  <c r="I519" i="16"/>
  <c r="K519" i="16" s="1"/>
  <c r="H519" i="16"/>
  <c r="Q548" i="17" l="1"/>
  <c r="S548" i="17" s="1"/>
  <c r="J548" i="17"/>
  <c r="U548" i="17"/>
  <c r="U519" i="16"/>
  <c r="J519" i="16"/>
  <c r="L519" i="16" s="1"/>
  <c r="W519" i="16" s="1"/>
  <c r="Q519" i="16"/>
  <c r="S519" i="16" s="1"/>
  <c r="T548" i="17" l="1"/>
  <c r="L548" i="17"/>
  <c r="Y519" i="16"/>
  <c r="F520" i="16"/>
  <c r="M520" i="16"/>
  <c r="X519" i="16"/>
  <c r="T519" i="16"/>
  <c r="V519" i="16" s="1"/>
  <c r="V548" i="17" l="1"/>
  <c r="W548" i="17"/>
  <c r="F549" i="17"/>
  <c r="I549" i="17" s="1"/>
  <c r="K549" i="17" s="1"/>
  <c r="Y548" i="17"/>
  <c r="M549" i="17"/>
  <c r="O549" i="17" s="1"/>
  <c r="X548" i="17"/>
  <c r="H549" i="17"/>
  <c r="G549" i="17"/>
  <c r="N549" i="17"/>
  <c r="N520" i="16"/>
  <c r="P520" i="16"/>
  <c r="R520" i="16" s="1"/>
  <c r="O520" i="16"/>
  <c r="I520" i="16"/>
  <c r="K520" i="16" s="1"/>
  <c r="H520" i="16"/>
  <c r="G520" i="16"/>
  <c r="P549" i="17" l="1"/>
  <c r="R549" i="17" s="1"/>
  <c r="U549" i="17" s="1"/>
  <c r="J549" i="17"/>
  <c r="L549" i="17" s="1"/>
  <c r="U520" i="16"/>
  <c r="J520" i="16"/>
  <c r="Q520" i="16"/>
  <c r="S520" i="16" s="1"/>
  <c r="Q549" i="17" l="1"/>
  <c r="S549" i="17" s="1"/>
  <c r="M550" i="17" s="1"/>
  <c r="W549" i="17"/>
  <c r="T520" i="16"/>
  <c r="L520" i="16"/>
  <c r="Y549" i="17" l="1"/>
  <c r="X549" i="17"/>
  <c r="T549" i="17"/>
  <c r="V549" i="17" s="1"/>
  <c r="F550" i="17"/>
  <c r="G550" i="17" s="1"/>
  <c r="P550" i="17"/>
  <c r="R550" i="17" s="1"/>
  <c r="N550" i="17"/>
  <c r="O550" i="17"/>
  <c r="H550" i="17"/>
  <c r="Y520" i="16"/>
  <c r="W520" i="16"/>
  <c r="M521" i="16"/>
  <c r="X520" i="16"/>
  <c r="F521" i="16"/>
  <c r="V520" i="16"/>
  <c r="Q550" i="17" l="1"/>
  <c r="S550" i="17" s="1"/>
  <c r="I550" i="17"/>
  <c r="K550" i="17" s="1"/>
  <c r="U550" i="17" s="1"/>
  <c r="I521" i="16"/>
  <c r="K521" i="16" s="1"/>
  <c r="H521" i="16"/>
  <c r="G521" i="16"/>
  <c r="P521" i="16"/>
  <c r="R521" i="16" s="1"/>
  <c r="O521" i="16"/>
  <c r="N521" i="16"/>
  <c r="J550" i="17" l="1"/>
  <c r="T550" i="17" s="1"/>
  <c r="J521" i="16"/>
  <c r="L521" i="16" s="1"/>
  <c r="U521" i="16"/>
  <c r="Q521" i="16"/>
  <c r="S521" i="16" s="1"/>
  <c r="L550" i="17" l="1"/>
  <c r="W550" i="17" s="1"/>
  <c r="Y550" i="17"/>
  <c r="M551" i="17"/>
  <c r="N551" i="17" s="1"/>
  <c r="V550" i="17"/>
  <c r="W521" i="16"/>
  <c r="Y521" i="16"/>
  <c r="M522" i="16"/>
  <c r="X521" i="16"/>
  <c r="F522" i="16"/>
  <c r="T521" i="16"/>
  <c r="V521" i="16" s="1"/>
  <c r="F551" i="17" l="1"/>
  <c r="X550" i="17"/>
  <c r="O551" i="17"/>
  <c r="P551" i="17"/>
  <c r="R551" i="17" s="1"/>
  <c r="H522" i="16"/>
  <c r="G522" i="16"/>
  <c r="I522" i="16"/>
  <c r="K522" i="16" s="1"/>
  <c r="P522" i="16"/>
  <c r="R522" i="16" s="1"/>
  <c r="O522" i="16"/>
  <c r="N522" i="16"/>
  <c r="H551" i="17" l="1"/>
  <c r="I551" i="17"/>
  <c r="K551" i="17" s="1"/>
  <c r="U551" i="17" s="1"/>
  <c r="G551" i="17"/>
  <c r="J551" i="17" s="1"/>
  <c r="L551" i="17" s="1"/>
  <c r="W551" i="17" s="1"/>
  <c r="Q551" i="17"/>
  <c r="S551" i="17" s="1"/>
  <c r="Q522" i="16"/>
  <c r="S522" i="16" s="1"/>
  <c r="U522" i="16"/>
  <c r="J522" i="16"/>
  <c r="F552" i="17" l="1"/>
  <c r="G552" i="17" s="1"/>
  <c r="M552" i="17"/>
  <c r="P552" i="17" s="1"/>
  <c r="R552" i="17" s="1"/>
  <c r="X551" i="17"/>
  <c r="Y551" i="17"/>
  <c r="T551" i="17"/>
  <c r="V551" i="17" s="1"/>
  <c r="N552" i="17"/>
  <c r="H552" i="17"/>
  <c r="T522" i="16"/>
  <c r="L522" i="16"/>
  <c r="I552" i="17" l="1"/>
  <c r="K552" i="17" s="1"/>
  <c r="U552" i="17" s="1"/>
  <c r="O552" i="17"/>
  <c r="Q552" i="17"/>
  <c r="S552" i="17" s="1"/>
  <c r="J552" i="17"/>
  <c r="Y522" i="16"/>
  <c r="W522" i="16"/>
  <c r="X522" i="16"/>
  <c r="F523" i="16"/>
  <c r="M523" i="16"/>
  <c r="V522" i="16"/>
  <c r="L552" i="17" l="1"/>
  <c r="W552" i="17" s="1"/>
  <c r="T552" i="17"/>
  <c r="O523" i="16"/>
  <c r="N523" i="16"/>
  <c r="P523" i="16"/>
  <c r="R523" i="16" s="1"/>
  <c r="G523" i="16"/>
  <c r="I523" i="16"/>
  <c r="K523" i="16" s="1"/>
  <c r="H523" i="16"/>
  <c r="V552" i="17" l="1"/>
  <c r="M553" i="17"/>
  <c r="Y552" i="17"/>
  <c r="F553" i="17"/>
  <c r="X552" i="17"/>
  <c r="U523" i="16"/>
  <c r="J523" i="16"/>
  <c r="Q523" i="16"/>
  <c r="S523" i="16" s="1"/>
  <c r="N553" i="17" l="1"/>
  <c r="P553" i="17"/>
  <c r="R553" i="17" s="1"/>
  <c r="O553" i="17"/>
  <c r="I553" i="17"/>
  <c r="K553" i="17" s="1"/>
  <c r="G553" i="17"/>
  <c r="H553" i="17"/>
  <c r="T523" i="16"/>
  <c r="L523" i="16"/>
  <c r="Q553" i="17" l="1"/>
  <c r="S553" i="17" s="1"/>
  <c r="J553" i="17"/>
  <c r="L553" i="17" s="1"/>
  <c r="W553" i="17" s="1"/>
  <c r="U553" i="17"/>
  <c r="Y523" i="16"/>
  <c r="W523" i="16"/>
  <c r="F524" i="16"/>
  <c r="M524" i="16"/>
  <c r="X523" i="16"/>
  <c r="V523" i="16"/>
  <c r="T553" i="17" l="1"/>
  <c r="V553" i="17" s="1"/>
  <c r="Y553" i="17"/>
  <c r="M554" i="17"/>
  <c r="F554" i="17"/>
  <c r="X553" i="17"/>
  <c r="N524" i="16"/>
  <c r="P524" i="16"/>
  <c r="R524" i="16" s="1"/>
  <c r="O524" i="16"/>
  <c r="I524" i="16"/>
  <c r="K524" i="16" s="1"/>
  <c r="H524" i="16"/>
  <c r="G524" i="16"/>
  <c r="H554" i="17" l="1"/>
  <c r="G554" i="17"/>
  <c r="I554" i="17"/>
  <c r="K554" i="17" s="1"/>
  <c r="P554" i="17"/>
  <c r="R554" i="17" s="1"/>
  <c r="O554" i="17"/>
  <c r="N554" i="17"/>
  <c r="U524" i="16"/>
  <c r="J524" i="16"/>
  <c r="Q524" i="16"/>
  <c r="S524" i="16" s="1"/>
  <c r="Q554" i="17" l="1"/>
  <c r="S554" i="17" s="1"/>
  <c r="U554" i="17"/>
  <c r="J554" i="17"/>
  <c r="T524" i="16"/>
  <c r="L524" i="16"/>
  <c r="T554" i="17" l="1"/>
  <c r="L554" i="17"/>
  <c r="W554" i="17" s="1"/>
  <c r="Y524" i="16"/>
  <c r="W524" i="16"/>
  <c r="M525" i="16"/>
  <c r="X524" i="16"/>
  <c r="F525" i="16"/>
  <c r="V524" i="16"/>
  <c r="X554" i="17" l="1"/>
  <c r="Y554" i="17"/>
  <c r="F555" i="17"/>
  <c r="M555" i="17"/>
  <c r="V554" i="17"/>
  <c r="I525" i="16"/>
  <c r="K525" i="16" s="1"/>
  <c r="H525" i="16"/>
  <c r="G525" i="16"/>
  <c r="P525" i="16"/>
  <c r="R525" i="16" s="1"/>
  <c r="O525" i="16"/>
  <c r="N525" i="16"/>
  <c r="P555" i="17" l="1"/>
  <c r="R555" i="17" s="1"/>
  <c r="N555" i="17"/>
  <c r="O555" i="17"/>
  <c r="H555" i="17"/>
  <c r="I555" i="17"/>
  <c r="K555" i="17" s="1"/>
  <c r="G555" i="17"/>
  <c r="Q525" i="16"/>
  <c r="S525" i="16" s="1"/>
  <c r="U525" i="16"/>
  <c r="J525" i="16"/>
  <c r="L525" i="16" s="1"/>
  <c r="W525" i="16" s="1"/>
  <c r="U555" i="17" l="1"/>
  <c r="J555" i="17"/>
  <c r="L555" i="17" s="1"/>
  <c r="Q555" i="17"/>
  <c r="S555" i="17" s="1"/>
  <c r="Y525" i="16"/>
  <c r="T525" i="16"/>
  <c r="V525" i="16" s="1"/>
  <c r="X525" i="16"/>
  <c r="F526" i="16"/>
  <c r="M526" i="16"/>
  <c r="W555" i="17" l="1"/>
  <c r="T555" i="17"/>
  <c r="V555" i="17" s="1"/>
  <c r="M556" i="17"/>
  <c r="Y555" i="17"/>
  <c r="X555" i="17"/>
  <c r="F556" i="17"/>
  <c r="P526" i="16"/>
  <c r="R526" i="16" s="1"/>
  <c r="O526" i="16"/>
  <c r="N526" i="16"/>
  <c r="H526" i="16"/>
  <c r="G526" i="16"/>
  <c r="I526" i="16"/>
  <c r="K526" i="16" s="1"/>
  <c r="G556" i="17" l="1"/>
  <c r="H556" i="17"/>
  <c r="I556" i="17"/>
  <c r="K556" i="17" s="1"/>
  <c r="N556" i="17"/>
  <c r="O556" i="17"/>
  <c r="P556" i="17"/>
  <c r="R556" i="17" s="1"/>
  <c r="U526" i="16"/>
  <c r="J526" i="16"/>
  <c r="Q526" i="16"/>
  <c r="S526" i="16" s="1"/>
  <c r="Q556" i="17" l="1"/>
  <c r="S556" i="17" s="1"/>
  <c r="U556" i="17"/>
  <c r="J556" i="17"/>
  <c r="T526" i="16"/>
  <c r="L526" i="16"/>
  <c r="T556" i="17" l="1"/>
  <c r="L556" i="17"/>
  <c r="Y526" i="16"/>
  <c r="W526" i="16"/>
  <c r="X526" i="16"/>
  <c r="F527" i="16"/>
  <c r="M527" i="16"/>
  <c r="V526" i="16"/>
  <c r="V556" i="17" l="1"/>
  <c r="W556" i="17"/>
  <c r="F557" i="17"/>
  <c r="G557" i="17" s="1"/>
  <c r="X556" i="17"/>
  <c r="M557" i="17"/>
  <c r="P557" i="17" s="1"/>
  <c r="R557" i="17" s="1"/>
  <c r="Y556" i="17"/>
  <c r="O527" i="16"/>
  <c r="N527" i="16"/>
  <c r="P527" i="16"/>
  <c r="R527" i="16" s="1"/>
  <c r="G527" i="16"/>
  <c r="I527" i="16"/>
  <c r="K527" i="16" s="1"/>
  <c r="H527" i="16"/>
  <c r="I557" i="17" l="1"/>
  <c r="K557" i="17" s="1"/>
  <c r="U557" i="17" s="1"/>
  <c r="H557" i="17"/>
  <c r="O557" i="17"/>
  <c r="N557" i="17"/>
  <c r="U527" i="16"/>
  <c r="J527" i="16"/>
  <c r="L527" i="16" s="1"/>
  <c r="Q527" i="16"/>
  <c r="S527" i="16" s="1"/>
  <c r="Q557" i="17" l="1"/>
  <c r="S557" i="17" s="1"/>
  <c r="J557" i="17"/>
  <c r="L557" i="17" s="1"/>
  <c r="W557" i="17" s="1"/>
  <c r="Y527" i="16"/>
  <c r="W527" i="16"/>
  <c r="F528" i="16"/>
  <c r="M528" i="16"/>
  <c r="X527" i="16"/>
  <c r="T527" i="16"/>
  <c r="V527" i="16" s="1"/>
  <c r="F558" i="17" l="1"/>
  <c r="I558" i="17" s="1"/>
  <c r="K558" i="17" s="1"/>
  <c r="T557" i="17"/>
  <c r="V557" i="17" s="1"/>
  <c r="Y557" i="17"/>
  <c r="M558" i="17"/>
  <c r="N558" i="17" s="1"/>
  <c r="X557" i="17"/>
  <c r="N528" i="16"/>
  <c r="P528" i="16"/>
  <c r="R528" i="16" s="1"/>
  <c r="O528" i="16"/>
  <c r="I528" i="16"/>
  <c r="K528" i="16" s="1"/>
  <c r="H528" i="16"/>
  <c r="G528" i="16"/>
  <c r="H558" i="17" l="1"/>
  <c r="G558" i="17"/>
  <c r="P558" i="17"/>
  <c r="R558" i="17" s="1"/>
  <c r="U558" i="17" s="1"/>
  <c r="O558" i="17"/>
  <c r="J528" i="16"/>
  <c r="L528" i="16" s="1"/>
  <c r="U528" i="16"/>
  <c r="Q528" i="16"/>
  <c r="J558" i="17" l="1"/>
  <c r="L558" i="17" s="1"/>
  <c r="Q558" i="17"/>
  <c r="S558" i="17" s="1"/>
  <c r="T528" i="16"/>
  <c r="S528" i="16"/>
  <c r="F559" i="17" l="1"/>
  <c r="G559" i="17" s="1"/>
  <c r="Y558" i="17"/>
  <c r="W558" i="17"/>
  <c r="T558" i="17"/>
  <c r="V558" i="17" s="1"/>
  <c r="X558" i="17"/>
  <c r="M559" i="17"/>
  <c r="O559" i="17" s="1"/>
  <c r="H559" i="17"/>
  <c r="V528" i="16"/>
  <c r="W528" i="16"/>
  <c r="F529" i="16"/>
  <c r="H529" i="16" s="1"/>
  <c r="Y528" i="16"/>
  <c r="M529" i="16"/>
  <c r="O529" i="16" s="1"/>
  <c r="X528" i="16"/>
  <c r="I559" i="17" l="1"/>
  <c r="K559" i="17" s="1"/>
  <c r="I529" i="16"/>
  <c r="K529" i="16" s="1"/>
  <c r="P559" i="17"/>
  <c r="R559" i="17" s="1"/>
  <c r="U559" i="17" s="1"/>
  <c r="N559" i="17"/>
  <c r="J559" i="17"/>
  <c r="L559" i="17" s="1"/>
  <c r="G529" i="16"/>
  <c r="J529" i="16" s="1"/>
  <c r="P529" i="16"/>
  <c r="R529" i="16" s="1"/>
  <c r="N529" i="16"/>
  <c r="Q559" i="17" l="1"/>
  <c r="S559" i="17" s="1"/>
  <c r="X559" i="17" s="1"/>
  <c r="W559" i="17"/>
  <c r="U529" i="16"/>
  <c r="Q529" i="16"/>
  <c r="S529" i="16" s="1"/>
  <c r="M560" i="17"/>
  <c r="F560" i="17"/>
  <c r="Y559" i="17"/>
  <c r="L529" i="16"/>
  <c r="T559" i="17" l="1"/>
  <c r="V559" i="17" s="1"/>
  <c r="T529" i="16"/>
  <c r="Y529" i="16"/>
  <c r="W529" i="16"/>
  <c r="H560" i="17"/>
  <c r="I560" i="17"/>
  <c r="K560" i="17" s="1"/>
  <c r="G560" i="17"/>
  <c r="O560" i="17"/>
  <c r="N560" i="17"/>
  <c r="P560" i="17"/>
  <c r="R560" i="17" s="1"/>
  <c r="X529" i="16"/>
  <c r="F530" i="16"/>
  <c r="M530" i="16"/>
  <c r="V529" i="16"/>
  <c r="U560" i="17" l="1"/>
  <c r="Q560" i="17"/>
  <c r="S560" i="17" s="1"/>
  <c r="J560" i="17"/>
  <c r="P530" i="16"/>
  <c r="R530" i="16" s="1"/>
  <c r="O530" i="16"/>
  <c r="N530" i="16"/>
  <c r="H530" i="16"/>
  <c r="G530" i="16"/>
  <c r="I530" i="16"/>
  <c r="K530" i="16" s="1"/>
  <c r="T560" i="17" l="1"/>
  <c r="U530" i="16"/>
  <c r="L560" i="17"/>
  <c r="W560" i="17" s="1"/>
  <c r="J530" i="16"/>
  <c r="Q530" i="16"/>
  <c r="S530" i="16" s="1"/>
  <c r="F561" i="17" l="1"/>
  <c r="M561" i="17"/>
  <c r="X560" i="17"/>
  <c r="Y560" i="17"/>
  <c r="V560" i="17"/>
  <c r="T530" i="16"/>
  <c r="L530" i="16"/>
  <c r="Y530" i="16" l="1"/>
  <c r="W530" i="16"/>
  <c r="N561" i="17"/>
  <c r="P561" i="17"/>
  <c r="R561" i="17" s="1"/>
  <c r="O561" i="17"/>
  <c r="H561" i="17"/>
  <c r="I561" i="17"/>
  <c r="K561" i="17" s="1"/>
  <c r="G561" i="17"/>
  <c r="X530" i="16"/>
  <c r="F531" i="16"/>
  <c r="M531" i="16"/>
  <c r="V530" i="16"/>
  <c r="U561" i="17" l="1"/>
  <c r="Q561" i="17"/>
  <c r="S561" i="17" s="1"/>
  <c r="J561" i="17"/>
  <c r="O531" i="16"/>
  <c r="N531" i="16"/>
  <c r="P531" i="16"/>
  <c r="R531" i="16" s="1"/>
  <c r="G531" i="16"/>
  <c r="I531" i="16"/>
  <c r="K531" i="16" s="1"/>
  <c r="H531" i="16"/>
  <c r="T561" i="17" l="1"/>
  <c r="L561" i="17"/>
  <c r="W561" i="17" s="1"/>
  <c r="U531" i="16"/>
  <c r="J531" i="16"/>
  <c r="Q531" i="16"/>
  <c r="S531" i="16" s="1"/>
  <c r="M562" i="17" l="1"/>
  <c r="Y561" i="17"/>
  <c r="F562" i="17"/>
  <c r="X561" i="17"/>
  <c r="V561" i="17"/>
  <c r="T531" i="16"/>
  <c r="L531" i="16"/>
  <c r="Y531" i="16" l="1"/>
  <c r="W531" i="16"/>
  <c r="G562" i="17"/>
  <c r="I562" i="17"/>
  <c r="K562" i="17" s="1"/>
  <c r="H562" i="17"/>
  <c r="J562" i="17" s="1"/>
  <c r="O562" i="17"/>
  <c r="N562" i="17"/>
  <c r="P562" i="17"/>
  <c r="R562" i="17" s="1"/>
  <c r="F532" i="16"/>
  <c r="M532" i="16"/>
  <c r="X531" i="16"/>
  <c r="V531" i="16"/>
  <c r="Q562" i="17" l="1"/>
  <c r="S562" i="17" s="1"/>
  <c r="U562" i="17"/>
  <c r="L562" i="17"/>
  <c r="W562" i="17" s="1"/>
  <c r="N532" i="16"/>
  <c r="P532" i="16"/>
  <c r="R532" i="16" s="1"/>
  <c r="O532" i="16"/>
  <c r="I532" i="16"/>
  <c r="K532" i="16" s="1"/>
  <c r="H532" i="16"/>
  <c r="G532" i="16"/>
  <c r="X562" i="17" l="1"/>
  <c r="Y562" i="17"/>
  <c r="F563" i="17"/>
  <c r="M563" i="17"/>
  <c r="T562" i="17"/>
  <c r="U532" i="16"/>
  <c r="J532" i="16"/>
  <c r="Q532" i="16"/>
  <c r="S532" i="16" s="1"/>
  <c r="H563" i="17" l="1"/>
  <c r="I563" i="17"/>
  <c r="K563" i="17" s="1"/>
  <c r="G563" i="17"/>
  <c r="V562" i="17"/>
  <c r="P563" i="17"/>
  <c r="R563" i="17" s="1"/>
  <c r="O563" i="17"/>
  <c r="N563" i="17"/>
  <c r="T532" i="16"/>
  <c r="L532" i="16"/>
  <c r="Q563" i="17" l="1"/>
  <c r="J563" i="17"/>
  <c r="L563" i="17" s="1"/>
  <c r="W563" i="17" s="1"/>
  <c r="Y532" i="16"/>
  <c r="W532" i="16"/>
  <c r="S563" i="17"/>
  <c r="U563" i="17"/>
  <c r="T563" i="17"/>
  <c r="M533" i="16"/>
  <c r="X532" i="16"/>
  <c r="F533" i="16"/>
  <c r="V532" i="16"/>
  <c r="F564" i="17" l="1"/>
  <c r="G564" i="17" s="1"/>
  <c r="Y563" i="17"/>
  <c r="V563" i="17"/>
  <c r="M564" i="17"/>
  <c r="P564" i="17" s="1"/>
  <c r="R564" i="17" s="1"/>
  <c r="I564" i="17"/>
  <c r="K564" i="17" s="1"/>
  <c r="H564" i="17"/>
  <c r="X563" i="17"/>
  <c r="I533" i="16"/>
  <c r="K533" i="16" s="1"/>
  <c r="H533" i="16"/>
  <c r="G533" i="16"/>
  <c r="P533" i="16"/>
  <c r="R533" i="16" s="1"/>
  <c r="O533" i="16"/>
  <c r="N533" i="16"/>
  <c r="J564" i="17" l="1"/>
  <c r="L564" i="17" s="1"/>
  <c r="U564" i="17"/>
  <c r="O564" i="17"/>
  <c r="N564" i="17"/>
  <c r="Q533" i="16"/>
  <c r="S533" i="16" s="1"/>
  <c r="U533" i="16"/>
  <c r="J533" i="16"/>
  <c r="Q564" i="17" l="1"/>
  <c r="T533" i="16"/>
  <c r="L533" i="16"/>
  <c r="Y533" i="16" l="1"/>
  <c r="W533" i="16"/>
  <c r="T564" i="17"/>
  <c r="S564" i="17"/>
  <c r="W564" i="17" s="1"/>
  <c r="X533" i="16"/>
  <c r="F534" i="16"/>
  <c r="M534" i="16"/>
  <c r="V533" i="16"/>
  <c r="V564" i="17" l="1"/>
  <c r="F565" i="17"/>
  <c r="X564" i="17"/>
  <c r="Y564" i="17"/>
  <c r="M565" i="17"/>
  <c r="P534" i="16"/>
  <c r="R534" i="16" s="1"/>
  <c r="O534" i="16"/>
  <c r="N534" i="16"/>
  <c r="H534" i="16"/>
  <c r="G534" i="16"/>
  <c r="I534" i="16"/>
  <c r="K534" i="16" s="1"/>
  <c r="U534" i="16" l="1"/>
  <c r="G565" i="17"/>
  <c r="H565" i="17"/>
  <c r="I565" i="17"/>
  <c r="K565" i="17" s="1"/>
  <c r="O565" i="17"/>
  <c r="P565" i="17"/>
  <c r="R565" i="17" s="1"/>
  <c r="N565" i="17"/>
  <c r="J534" i="16"/>
  <c r="Q534" i="16"/>
  <c r="S534" i="16" s="1"/>
  <c r="Q565" i="17" l="1"/>
  <c r="S565" i="17" s="1"/>
  <c r="U565" i="17"/>
  <c r="J565" i="17"/>
  <c r="T534" i="16"/>
  <c r="L534" i="16"/>
  <c r="T565" i="17" l="1"/>
  <c r="Y534" i="16"/>
  <c r="W534" i="16"/>
  <c r="L565" i="17"/>
  <c r="W565" i="17" s="1"/>
  <c r="X534" i="16"/>
  <c r="F535" i="16"/>
  <c r="M535" i="16"/>
  <c r="V534" i="16"/>
  <c r="M566" i="17" l="1"/>
  <c r="P566" i="17" s="1"/>
  <c r="R566" i="17" s="1"/>
  <c r="X565" i="17"/>
  <c r="Y565" i="17"/>
  <c r="F566" i="17"/>
  <c r="V565" i="17"/>
  <c r="O535" i="16"/>
  <c r="N535" i="16"/>
  <c r="P535" i="16"/>
  <c r="R535" i="16" s="1"/>
  <c r="G535" i="16"/>
  <c r="I535" i="16"/>
  <c r="K535" i="16" s="1"/>
  <c r="H535" i="16"/>
  <c r="N566" i="17" l="1"/>
  <c r="O566" i="17"/>
  <c r="I566" i="17"/>
  <c r="K566" i="17" s="1"/>
  <c r="U566" i="17" s="1"/>
  <c r="H566" i="17"/>
  <c r="G566" i="17"/>
  <c r="U535" i="16"/>
  <c r="J535" i="16"/>
  <c r="Q535" i="16"/>
  <c r="S535" i="16" s="1"/>
  <c r="Q566" i="17" l="1"/>
  <c r="S566" i="17" s="1"/>
  <c r="J566" i="17"/>
  <c r="T535" i="16"/>
  <c r="L535" i="16"/>
  <c r="T566" i="17" l="1"/>
  <c r="Y535" i="16"/>
  <c r="W535" i="16"/>
  <c r="L566" i="17"/>
  <c r="W566" i="17" s="1"/>
  <c r="F536" i="16"/>
  <c r="M536" i="16"/>
  <c r="X535" i="16"/>
  <c r="V535" i="16"/>
  <c r="X566" i="17" l="1"/>
  <c r="M567" i="17"/>
  <c r="N567" i="17" s="1"/>
  <c r="V566" i="17"/>
  <c r="F567" i="17"/>
  <c r="Y566" i="17"/>
  <c r="N536" i="16"/>
  <c r="P536" i="16"/>
  <c r="R536" i="16" s="1"/>
  <c r="O536" i="16"/>
  <c r="I536" i="16"/>
  <c r="K536" i="16" s="1"/>
  <c r="H536" i="16"/>
  <c r="G536" i="16"/>
  <c r="P567" i="17" l="1"/>
  <c r="R567" i="17" s="1"/>
  <c r="O567" i="17"/>
  <c r="I567" i="17"/>
  <c r="K567" i="17" s="1"/>
  <c r="U567" i="17" s="1"/>
  <c r="G567" i="17"/>
  <c r="H567" i="17"/>
  <c r="U536" i="16"/>
  <c r="J536" i="16"/>
  <c r="Q536" i="16"/>
  <c r="S536" i="16" s="1"/>
  <c r="Q567" i="17" l="1"/>
  <c r="S567" i="17" s="1"/>
  <c r="J567" i="17"/>
  <c r="L567" i="17" s="1"/>
  <c r="T536" i="16"/>
  <c r="L536" i="16"/>
  <c r="W567" i="17" l="1"/>
  <c r="Y536" i="16"/>
  <c r="W536" i="16"/>
  <c r="Y567" i="17"/>
  <c r="X567" i="17"/>
  <c r="T567" i="17"/>
  <c r="V567" i="17" s="1"/>
  <c r="M568" i="17"/>
  <c r="F568" i="17"/>
  <c r="M537" i="16"/>
  <c r="X536" i="16"/>
  <c r="F537" i="16"/>
  <c r="V536" i="16"/>
  <c r="I568" i="17" l="1"/>
  <c r="K568" i="17" s="1"/>
  <c r="H568" i="17"/>
  <c r="G568" i="17"/>
  <c r="P568" i="17"/>
  <c r="R568" i="17" s="1"/>
  <c r="O568" i="17"/>
  <c r="N568" i="17"/>
  <c r="I537" i="16"/>
  <c r="K537" i="16" s="1"/>
  <c r="H537" i="16"/>
  <c r="G537" i="16"/>
  <c r="P537" i="16"/>
  <c r="R537" i="16" s="1"/>
  <c r="O537" i="16"/>
  <c r="N537" i="16"/>
  <c r="J568" i="17" l="1"/>
  <c r="L568" i="17" s="1"/>
  <c r="Q568" i="17"/>
  <c r="S568" i="17" s="1"/>
  <c r="U568" i="17"/>
  <c r="U537" i="16"/>
  <c r="Q537" i="16"/>
  <c r="S537" i="16" s="1"/>
  <c r="J537" i="16"/>
  <c r="L537" i="16" s="1"/>
  <c r="W568" i="17" l="1"/>
  <c r="Y537" i="16"/>
  <c r="W537" i="16"/>
  <c r="T568" i="17"/>
  <c r="V568" i="17" s="1"/>
  <c r="X568" i="17"/>
  <c r="Y568" i="17"/>
  <c r="M569" i="17"/>
  <c r="N569" i="17" s="1"/>
  <c r="F569" i="17"/>
  <c r="H569" i="17" s="1"/>
  <c r="X537" i="16"/>
  <c r="F538" i="16"/>
  <c r="M538" i="16"/>
  <c r="T537" i="16"/>
  <c r="V537" i="16" s="1"/>
  <c r="O569" i="17" l="1"/>
  <c r="P569" i="17"/>
  <c r="R569" i="17" s="1"/>
  <c r="G569" i="17"/>
  <c r="I569" i="17"/>
  <c r="K569" i="17" s="1"/>
  <c r="P538" i="16"/>
  <c r="R538" i="16" s="1"/>
  <c r="O538" i="16"/>
  <c r="N538" i="16"/>
  <c r="H538" i="16"/>
  <c r="G538" i="16"/>
  <c r="I538" i="16"/>
  <c r="K538" i="16" s="1"/>
  <c r="U569" i="17" l="1"/>
  <c r="J569" i="17"/>
  <c r="L569" i="17" s="1"/>
  <c r="W569" i="17" s="1"/>
  <c r="Q569" i="17"/>
  <c r="S569" i="17" s="1"/>
  <c r="U538" i="16"/>
  <c r="J538" i="16"/>
  <c r="Q538" i="16"/>
  <c r="S538" i="16" s="1"/>
  <c r="M570" i="17" l="1"/>
  <c r="P570" i="17" s="1"/>
  <c r="R570" i="17" s="1"/>
  <c r="F570" i="17"/>
  <c r="H570" i="17" s="1"/>
  <c r="Y569" i="17"/>
  <c r="X569" i="17"/>
  <c r="T569" i="17"/>
  <c r="V569" i="17" s="1"/>
  <c r="T538" i="16"/>
  <c r="L538" i="16"/>
  <c r="I570" i="17" l="1"/>
  <c r="K570" i="17" s="1"/>
  <c r="U570" i="17" s="1"/>
  <c r="O570" i="17"/>
  <c r="G570" i="17"/>
  <c r="Y538" i="16"/>
  <c r="W538" i="16"/>
  <c r="N570" i="17"/>
  <c r="Q570" i="17" s="1"/>
  <c r="S570" i="17" s="1"/>
  <c r="J570" i="17"/>
  <c r="L570" i="17" s="1"/>
  <c r="W570" i="17" s="1"/>
  <c r="X538" i="16"/>
  <c r="F539" i="16"/>
  <c r="M539" i="16"/>
  <c r="V538" i="16"/>
  <c r="Y570" i="17" l="1"/>
  <c r="F571" i="17"/>
  <c r="M571" i="17"/>
  <c r="T570" i="17"/>
  <c r="V570" i="17" s="1"/>
  <c r="X570" i="17"/>
  <c r="O539" i="16"/>
  <c r="N539" i="16"/>
  <c r="P539" i="16"/>
  <c r="R539" i="16" s="1"/>
  <c r="G539" i="16"/>
  <c r="I539" i="16"/>
  <c r="K539" i="16" s="1"/>
  <c r="H539" i="16"/>
  <c r="P571" i="17" l="1"/>
  <c r="R571" i="17" s="1"/>
  <c r="N571" i="17"/>
  <c r="O571" i="17"/>
  <c r="I571" i="17"/>
  <c r="K571" i="17" s="1"/>
  <c r="H571" i="17"/>
  <c r="G571" i="17"/>
  <c r="U539" i="16"/>
  <c r="J539" i="16"/>
  <c r="Q539" i="16"/>
  <c r="S539" i="16" s="1"/>
  <c r="J571" i="17" l="1"/>
  <c r="L571" i="17" s="1"/>
  <c r="Q571" i="17"/>
  <c r="U571" i="17"/>
  <c r="T539" i="16"/>
  <c r="L539" i="16"/>
  <c r="Y539" i="16" l="1"/>
  <c r="W539" i="16"/>
  <c r="T571" i="17"/>
  <c r="S571" i="17"/>
  <c r="W571" i="17" s="1"/>
  <c r="F540" i="16"/>
  <c r="M540" i="16"/>
  <c r="X539" i="16"/>
  <c r="V539" i="16"/>
  <c r="X571" i="17" l="1"/>
  <c r="M572" i="17"/>
  <c r="F572" i="17"/>
  <c r="Y571" i="17"/>
  <c r="V571" i="17"/>
  <c r="N540" i="16"/>
  <c r="P540" i="16"/>
  <c r="R540" i="16" s="1"/>
  <c r="O540" i="16"/>
  <c r="I540" i="16"/>
  <c r="K540" i="16" s="1"/>
  <c r="H540" i="16"/>
  <c r="G540" i="16"/>
  <c r="J540" i="16" s="1"/>
  <c r="I572" i="17" l="1"/>
  <c r="K572" i="17" s="1"/>
  <c r="H572" i="17"/>
  <c r="G572" i="17"/>
  <c r="O572" i="17"/>
  <c r="N572" i="17"/>
  <c r="P572" i="17"/>
  <c r="R572" i="17" s="1"/>
  <c r="U540" i="16"/>
  <c r="Q540" i="16"/>
  <c r="T540" i="16" s="1"/>
  <c r="L540" i="16"/>
  <c r="J572" i="17" l="1"/>
  <c r="L572" i="17" s="1"/>
  <c r="Q572" i="17"/>
  <c r="S572" i="17" s="1"/>
  <c r="U572" i="17"/>
  <c r="S540" i="16"/>
  <c r="V540" i="16" s="1"/>
  <c r="W572" i="17" l="1"/>
  <c r="W540" i="16"/>
  <c r="X572" i="17"/>
  <c r="Y572" i="17"/>
  <c r="F573" i="17"/>
  <c r="H573" i="17" s="1"/>
  <c r="T572" i="17"/>
  <c r="V572" i="17" s="1"/>
  <c r="M573" i="17"/>
  <c r="N573" i="17" s="1"/>
  <c r="F541" i="16"/>
  <c r="I541" i="16" s="1"/>
  <c r="K541" i="16" s="1"/>
  <c r="Y540" i="16"/>
  <c r="M541" i="16"/>
  <c r="P541" i="16" s="1"/>
  <c r="R541" i="16" s="1"/>
  <c r="X540" i="16"/>
  <c r="G573" i="17" l="1"/>
  <c r="O573" i="17"/>
  <c r="P573" i="17"/>
  <c r="R573" i="17" s="1"/>
  <c r="I573" i="17"/>
  <c r="K573" i="17" s="1"/>
  <c r="G541" i="16"/>
  <c r="H541" i="16"/>
  <c r="N541" i="16"/>
  <c r="O541" i="16"/>
  <c r="U541" i="16"/>
  <c r="U573" i="17" l="1"/>
  <c r="J541" i="16"/>
  <c r="L541" i="16" s="1"/>
  <c r="Q541" i="16"/>
  <c r="S541" i="16" s="1"/>
  <c r="Q573" i="17"/>
  <c r="S573" i="17" s="1"/>
  <c r="J573" i="17"/>
  <c r="W541" i="16" l="1"/>
  <c r="M542" i="16"/>
  <c r="N542" i="16" s="1"/>
  <c r="F542" i="16"/>
  <c r="I542" i="16" s="1"/>
  <c r="K542" i="16" s="1"/>
  <c r="Y541" i="16"/>
  <c r="T541" i="16"/>
  <c r="V541" i="16" s="1"/>
  <c r="X541" i="16"/>
  <c r="T573" i="17"/>
  <c r="L573" i="17"/>
  <c r="W573" i="17" s="1"/>
  <c r="O542" i="16"/>
  <c r="G542" i="16" l="1"/>
  <c r="H542" i="16"/>
  <c r="P542" i="16"/>
  <c r="R542" i="16" s="1"/>
  <c r="U542" i="16" s="1"/>
  <c r="F574" i="17"/>
  <c r="G574" i="17" s="1"/>
  <c r="X573" i="17"/>
  <c r="M574" i="17"/>
  <c r="P574" i="17" s="1"/>
  <c r="R574" i="17" s="1"/>
  <c r="Y573" i="17"/>
  <c r="V573" i="17"/>
  <c r="Q542" i="16" l="1"/>
  <c r="S542" i="16" s="1"/>
  <c r="J542" i="16"/>
  <c r="L542" i="16" s="1"/>
  <c r="H574" i="17"/>
  <c r="I574" i="17"/>
  <c r="K574" i="17" s="1"/>
  <c r="U574" i="17" s="1"/>
  <c r="N574" i="17"/>
  <c r="O574" i="17"/>
  <c r="T542" i="16" l="1"/>
  <c r="J574" i="17"/>
  <c r="L574" i="17" s="1"/>
  <c r="Q574" i="17"/>
  <c r="S574" i="17" s="1"/>
  <c r="M575" i="17" s="1"/>
  <c r="Y542" i="16"/>
  <c r="W542" i="16"/>
  <c r="X542" i="16"/>
  <c r="F543" i="16"/>
  <c r="M543" i="16"/>
  <c r="V542" i="16"/>
  <c r="W574" i="17" l="1"/>
  <c r="Y574" i="17"/>
  <c r="T574" i="17"/>
  <c r="V574" i="17" s="1"/>
  <c r="X574" i="17"/>
  <c r="F575" i="17"/>
  <c r="G575" i="17" s="1"/>
  <c r="O575" i="17"/>
  <c r="N575" i="17"/>
  <c r="P575" i="17"/>
  <c r="R575" i="17" s="1"/>
  <c r="O543" i="16"/>
  <c r="N543" i="16"/>
  <c r="P543" i="16"/>
  <c r="R543" i="16" s="1"/>
  <c r="G543" i="16"/>
  <c r="I543" i="16"/>
  <c r="K543" i="16" s="1"/>
  <c r="H543" i="16"/>
  <c r="H575" i="17" l="1"/>
  <c r="I575" i="17"/>
  <c r="K575" i="17" s="1"/>
  <c r="U575" i="17" s="1"/>
  <c r="Q575" i="17"/>
  <c r="S575" i="17" s="1"/>
  <c r="U543" i="16"/>
  <c r="J543" i="16"/>
  <c r="Q543" i="16"/>
  <c r="S543" i="16" s="1"/>
  <c r="J575" i="17" l="1"/>
  <c r="L575" i="17" s="1"/>
  <c r="W575" i="17" s="1"/>
  <c r="T543" i="16"/>
  <c r="L543" i="16"/>
  <c r="M576" i="17" l="1"/>
  <c r="N576" i="17" s="1"/>
  <c r="F576" i="17"/>
  <c r="I576" i="17" s="1"/>
  <c r="K576" i="17" s="1"/>
  <c r="Y575" i="17"/>
  <c r="T575" i="17"/>
  <c r="V575" i="17" s="1"/>
  <c r="X575" i="17"/>
  <c r="H576" i="17"/>
  <c r="Y543" i="16"/>
  <c r="W543" i="16"/>
  <c r="F544" i="16"/>
  <c r="M544" i="16"/>
  <c r="X543" i="16"/>
  <c r="V543" i="16"/>
  <c r="G576" i="17" l="1"/>
  <c r="J576" i="17" s="1"/>
  <c r="L576" i="17" s="1"/>
  <c r="O576" i="17"/>
  <c r="P576" i="17"/>
  <c r="R576" i="17" s="1"/>
  <c r="U576" i="17" s="1"/>
  <c r="N544" i="16"/>
  <c r="P544" i="16"/>
  <c r="R544" i="16" s="1"/>
  <c r="O544" i="16"/>
  <c r="I544" i="16"/>
  <c r="K544" i="16" s="1"/>
  <c r="H544" i="16"/>
  <c r="G544" i="16"/>
  <c r="Q576" i="17" l="1"/>
  <c r="T576" i="17" s="1"/>
  <c r="U544" i="16"/>
  <c r="J544" i="16"/>
  <c r="Q544" i="16"/>
  <c r="S544" i="16" s="1"/>
  <c r="S576" i="17" l="1"/>
  <c r="M577" i="17"/>
  <c r="O577" i="17" s="1"/>
  <c r="T544" i="16"/>
  <c r="L544" i="16"/>
  <c r="V576" i="17" l="1"/>
  <c r="F577" i="17"/>
  <c r="W576" i="17"/>
  <c r="X576" i="17"/>
  <c r="Y576" i="17"/>
  <c r="P577" i="17"/>
  <c r="R577" i="17" s="1"/>
  <c r="N577" i="17"/>
  <c r="Q577" i="17" s="1"/>
  <c r="Y544" i="16"/>
  <c r="W544" i="16"/>
  <c r="M545" i="16"/>
  <c r="X544" i="16"/>
  <c r="F545" i="16"/>
  <c r="V544" i="16"/>
  <c r="H577" i="17" l="1"/>
  <c r="I577" i="17"/>
  <c r="K577" i="17" s="1"/>
  <c r="U577" i="17" s="1"/>
  <c r="G577" i="17"/>
  <c r="S577" i="17"/>
  <c r="I545" i="16"/>
  <c r="K545" i="16" s="1"/>
  <c r="H545" i="16"/>
  <c r="G545" i="16"/>
  <c r="P545" i="16"/>
  <c r="R545" i="16" s="1"/>
  <c r="O545" i="16"/>
  <c r="N545" i="16"/>
  <c r="J577" i="17" l="1"/>
  <c r="T577" i="17" s="1"/>
  <c r="U545" i="16"/>
  <c r="Q545" i="16"/>
  <c r="S545" i="16" s="1"/>
  <c r="J545" i="16"/>
  <c r="L545" i="16" s="1"/>
  <c r="W545" i="16" s="1"/>
  <c r="L577" i="17" l="1"/>
  <c r="Y545" i="16"/>
  <c r="X545" i="16"/>
  <c r="F546" i="16"/>
  <c r="M546" i="16"/>
  <c r="T545" i="16"/>
  <c r="V545" i="16" s="1"/>
  <c r="W577" i="17" l="1"/>
  <c r="X577" i="17"/>
  <c r="F578" i="17"/>
  <c r="M578" i="17"/>
  <c r="Y577" i="17"/>
  <c r="V577" i="17"/>
  <c r="P546" i="16"/>
  <c r="R546" i="16" s="1"/>
  <c r="O546" i="16"/>
  <c r="N546" i="16"/>
  <c r="H546" i="16"/>
  <c r="G546" i="16"/>
  <c r="I546" i="16"/>
  <c r="K546" i="16" s="1"/>
  <c r="P578" i="17" l="1"/>
  <c r="R578" i="17" s="1"/>
  <c r="O578" i="17"/>
  <c r="N578" i="17"/>
  <c r="Q578" i="17" s="1"/>
  <c r="S578" i="17" s="1"/>
  <c r="G578" i="17"/>
  <c r="J578" i="17" s="1"/>
  <c r="T578" i="17" s="1"/>
  <c r="H578" i="17"/>
  <c r="I578" i="17"/>
  <c r="K578" i="17" s="1"/>
  <c r="U578" i="17" s="1"/>
  <c r="U546" i="16"/>
  <c r="J546" i="16"/>
  <c r="Q546" i="16"/>
  <c r="S546" i="16" s="1"/>
  <c r="L578" i="17" l="1"/>
  <c r="T546" i="16"/>
  <c r="L546" i="16"/>
  <c r="W578" i="17" l="1"/>
  <c r="X578" i="17"/>
  <c r="V578" i="17"/>
  <c r="Y578" i="17"/>
  <c r="F579" i="17"/>
  <c r="M579" i="17"/>
  <c r="Y546" i="16"/>
  <c r="W546" i="16"/>
  <c r="X546" i="16"/>
  <c r="F547" i="16"/>
  <c r="M547" i="16"/>
  <c r="V546" i="16"/>
  <c r="O579" i="17" l="1"/>
  <c r="P579" i="17"/>
  <c r="R579" i="17" s="1"/>
  <c r="N579" i="17"/>
  <c r="Q579" i="17" s="1"/>
  <c r="S579" i="17" s="1"/>
  <c r="I579" i="17"/>
  <c r="K579" i="17" s="1"/>
  <c r="G579" i="17"/>
  <c r="J579" i="17" s="1"/>
  <c r="H579" i="17"/>
  <c r="O547" i="16"/>
  <c r="N547" i="16"/>
  <c r="P547" i="16"/>
  <c r="R547" i="16" s="1"/>
  <c r="G547" i="16"/>
  <c r="I547" i="16"/>
  <c r="K547" i="16" s="1"/>
  <c r="H547" i="16"/>
  <c r="L579" i="17" l="1"/>
  <c r="W579" i="17" s="1"/>
  <c r="T579" i="17"/>
  <c r="U579" i="17"/>
  <c r="F580" i="17"/>
  <c r="G580" i="17" s="1"/>
  <c r="X579" i="17"/>
  <c r="Y579" i="17"/>
  <c r="M580" i="17"/>
  <c r="N580" i="17" s="1"/>
  <c r="V579" i="17"/>
  <c r="U547" i="16"/>
  <c r="J547" i="16"/>
  <c r="Q547" i="16"/>
  <c r="S547" i="16" s="1"/>
  <c r="I580" i="17" l="1"/>
  <c r="K580" i="17" s="1"/>
  <c r="H580" i="17"/>
  <c r="P580" i="17"/>
  <c r="R580" i="17" s="1"/>
  <c r="U580" i="17" s="1"/>
  <c r="O580" i="17"/>
  <c r="T547" i="16"/>
  <c r="L547" i="16"/>
  <c r="J580" i="17" l="1"/>
  <c r="L580" i="17" s="1"/>
  <c r="W580" i="17" s="1"/>
  <c r="Q580" i="17"/>
  <c r="S580" i="17" s="1"/>
  <c r="Y547" i="16"/>
  <c r="W547" i="16"/>
  <c r="F581" i="17"/>
  <c r="Y580" i="17"/>
  <c r="F548" i="16"/>
  <c r="M548" i="16"/>
  <c r="X547" i="16"/>
  <c r="V547" i="16"/>
  <c r="M581" i="17" l="1"/>
  <c r="O581" i="17" s="1"/>
  <c r="X580" i="17"/>
  <c r="T580" i="17"/>
  <c r="V580" i="17" s="1"/>
  <c r="G581" i="17"/>
  <c r="I581" i="17"/>
  <c r="K581" i="17" s="1"/>
  <c r="H581" i="17"/>
  <c r="N548" i="16"/>
  <c r="P548" i="16"/>
  <c r="R548" i="16" s="1"/>
  <c r="O548" i="16"/>
  <c r="I548" i="16"/>
  <c r="K548" i="16" s="1"/>
  <c r="H548" i="16"/>
  <c r="G548" i="16"/>
  <c r="P581" i="17" l="1"/>
  <c r="R581" i="17" s="1"/>
  <c r="U581" i="17" s="1"/>
  <c r="N581" i="17"/>
  <c r="Q581" i="17" s="1"/>
  <c r="S581" i="17" s="1"/>
  <c r="J548" i="16"/>
  <c r="L548" i="16" s="1"/>
  <c r="J581" i="17"/>
  <c r="U548" i="16"/>
  <c r="Q548" i="16"/>
  <c r="S548" i="16" s="1"/>
  <c r="W548" i="16" l="1"/>
  <c r="Y548" i="16"/>
  <c r="T581" i="17"/>
  <c r="L581" i="17"/>
  <c r="W581" i="17" s="1"/>
  <c r="T548" i="16"/>
  <c r="V548" i="16" s="1"/>
  <c r="M549" i="16"/>
  <c r="X548" i="16"/>
  <c r="F549" i="16"/>
  <c r="F582" i="17" l="1"/>
  <c r="X581" i="17"/>
  <c r="Y581" i="17"/>
  <c r="M582" i="17"/>
  <c r="V581" i="17"/>
  <c r="P549" i="16"/>
  <c r="R549" i="16" s="1"/>
  <c r="O549" i="16"/>
  <c r="N549" i="16"/>
  <c r="I549" i="16"/>
  <c r="K549" i="16" s="1"/>
  <c r="H549" i="16"/>
  <c r="G549" i="16"/>
  <c r="N582" i="17" l="1"/>
  <c r="O582" i="17"/>
  <c r="P582" i="17"/>
  <c r="R582" i="17" s="1"/>
  <c r="G582" i="17"/>
  <c r="H582" i="17"/>
  <c r="I582" i="17"/>
  <c r="K582" i="17" s="1"/>
  <c r="Q549" i="16"/>
  <c r="S549" i="16" s="1"/>
  <c r="J549" i="16"/>
  <c r="L549" i="16" s="1"/>
  <c r="W549" i="16" s="1"/>
  <c r="U549" i="16"/>
  <c r="Q582" i="17" l="1"/>
  <c r="S582" i="17" s="1"/>
  <c r="U582" i="17"/>
  <c r="J582" i="17"/>
  <c r="Y549" i="16"/>
  <c r="T549" i="16"/>
  <c r="V549" i="16" s="1"/>
  <c r="F550" i="16"/>
  <c r="X549" i="16"/>
  <c r="M550" i="16"/>
  <c r="T582" i="17" l="1"/>
  <c r="L582" i="17"/>
  <c r="W582" i="17" s="1"/>
  <c r="P550" i="16"/>
  <c r="R550" i="16" s="1"/>
  <c r="O550" i="16"/>
  <c r="N550" i="16"/>
  <c r="H550" i="16"/>
  <c r="G550" i="16"/>
  <c r="I550" i="16"/>
  <c r="K550" i="16" s="1"/>
  <c r="X582" i="17" l="1"/>
  <c r="F583" i="17"/>
  <c r="M583" i="17"/>
  <c r="Y582" i="17"/>
  <c r="V582" i="17"/>
  <c r="U550" i="16"/>
  <c r="J550" i="16"/>
  <c r="L550" i="16" s="1"/>
  <c r="W550" i="16" s="1"/>
  <c r="Q550" i="16"/>
  <c r="S550" i="16" s="1"/>
  <c r="N583" i="17" l="1"/>
  <c r="O583" i="17"/>
  <c r="P583" i="17"/>
  <c r="G583" i="17"/>
  <c r="H583" i="17"/>
  <c r="I583" i="17"/>
  <c r="K583" i="17" s="1"/>
  <c r="Y550" i="16"/>
  <c r="T550" i="16"/>
  <c r="V550" i="16" s="1"/>
  <c r="X550" i="16"/>
  <c r="F551" i="16"/>
  <c r="M551" i="16"/>
  <c r="Q583" i="17" l="1"/>
  <c r="R583" i="17"/>
  <c r="U583" i="17" s="1"/>
  <c r="J583" i="17"/>
  <c r="G551" i="16"/>
  <c r="I551" i="16"/>
  <c r="K551" i="16" s="1"/>
  <c r="H551" i="16"/>
  <c r="O551" i="16"/>
  <c r="N551" i="16"/>
  <c r="P551" i="16"/>
  <c r="R551" i="16" s="1"/>
  <c r="T583" i="17" l="1"/>
  <c r="S583" i="17"/>
  <c r="L583" i="17"/>
  <c r="W583" i="17" s="1"/>
  <c r="J551" i="16"/>
  <c r="L551" i="16" s="1"/>
  <c r="W551" i="16" s="1"/>
  <c r="U551" i="16"/>
  <c r="Q551" i="16"/>
  <c r="S551" i="16" s="1"/>
  <c r="F584" i="17" l="1"/>
  <c r="X583" i="17"/>
  <c r="Y583" i="17"/>
  <c r="M584" i="17"/>
  <c r="V583" i="17"/>
  <c r="Y551" i="16"/>
  <c r="T551" i="16"/>
  <c r="V551" i="16" s="1"/>
  <c r="F552" i="16"/>
  <c r="M552" i="16"/>
  <c r="X551" i="16"/>
  <c r="P584" i="17" l="1"/>
  <c r="R584" i="17" s="1"/>
  <c r="N584" i="17"/>
  <c r="O584" i="17"/>
  <c r="G584" i="17"/>
  <c r="H584" i="17"/>
  <c r="I584" i="17"/>
  <c r="K584" i="17" s="1"/>
  <c r="I552" i="16"/>
  <c r="K552" i="16" s="1"/>
  <c r="H552" i="16"/>
  <c r="G552" i="16"/>
  <c r="N552" i="16"/>
  <c r="P552" i="16"/>
  <c r="R552" i="16" s="1"/>
  <c r="O552" i="16"/>
  <c r="U584" i="17" l="1"/>
  <c r="J584" i="17"/>
  <c r="Q584" i="17"/>
  <c r="S584" i="17" s="1"/>
  <c r="Q552" i="16"/>
  <c r="S552" i="16" s="1"/>
  <c r="U552" i="16"/>
  <c r="J552" i="16"/>
  <c r="L584" i="17" l="1"/>
  <c r="W584" i="17" s="1"/>
  <c r="T584" i="17"/>
  <c r="T552" i="16"/>
  <c r="L552" i="16"/>
  <c r="Y552" i="16" l="1"/>
  <c r="W552" i="16"/>
  <c r="F585" i="17"/>
  <c r="Y584" i="17"/>
  <c r="M585" i="17"/>
  <c r="X584" i="17"/>
  <c r="V584" i="17"/>
  <c r="M553" i="16"/>
  <c r="X552" i="16"/>
  <c r="F553" i="16"/>
  <c r="V552" i="16"/>
  <c r="P585" i="17" l="1"/>
  <c r="R585" i="17" s="1"/>
  <c r="O585" i="17"/>
  <c r="N585" i="17"/>
  <c r="H585" i="17"/>
  <c r="G585" i="17"/>
  <c r="I585" i="17"/>
  <c r="K585" i="17" s="1"/>
  <c r="I553" i="16"/>
  <c r="K553" i="16" s="1"/>
  <c r="H553" i="16"/>
  <c r="G553" i="16"/>
  <c r="P553" i="16"/>
  <c r="R553" i="16" s="1"/>
  <c r="O553" i="16"/>
  <c r="N553" i="16"/>
  <c r="Q585" i="17" l="1"/>
  <c r="S585" i="17" s="1"/>
  <c r="J585" i="17"/>
  <c r="U585" i="17"/>
  <c r="U553" i="16"/>
  <c r="Q553" i="16"/>
  <c r="S553" i="16" s="1"/>
  <c r="J553" i="16"/>
  <c r="T585" i="17" l="1"/>
  <c r="L585" i="17"/>
  <c r="T553" i="16"/>
  <c r="L553" i="16"/>
  <c r="F586" i="17" l="1"/>
  <c r="W585" i="17"/>
  <c r="V585" i="17"/>
  <c r="Y553" i="16"/>
  <c r="W553" i="16"/>
  <c r="X585" i="17"/>
  <c r="M586" i="17"/>
  <c r="O586" i="17" s="1"/>
  <c r="Y585" i="17"/>
  <c r="G586" i="17"/>
  <c r="I586" i="17"/>
  <c r="K586" i="17" s="1"/>
  <c r="H586" i="17"/>
  <c r="X553" i="16"/>
  <c r="F554" i="16"/>
  <c r="M554" i="16"/>
  <c r="V553" i="16"/>
  <c r="N586" i="17" l="1"/>
  <c r="P586" i="17"/>
  <c r="R586" i="17" s="1"/>
  <c r="U586" i="17" s="1"/>
  <c r="J586" i="17"/>
  <c r="L586" i="17" s="1"/>
  <c r="P554" i="16"/>
  <c r="R554" i="16" s="1"/>
  <c r="O554" i="16"/>
  <c r="N554" i="16"/>
  <c r="H554" i="16"/>
  <c r="G554" i="16"/>
  <c r="I554" i="16"/>
  <c r="K554" i="16" s="1"/>
  <c r="W586" i="17" l="1"/>
  <c r="Q586" i="17"/>
  <c r="S586" i="17" s="1"/>
  <c r="U554" i="16"/>
  <c r="J554" i="16"/>
  <c r="Q554" i="16"/>
  <c r="S554" i="16" s="1"/>
  <c r="T586" i="17" l="1"/>
  <c r="Y586" i="17"/>
  <c r="M587" i="17"/>
  <c r="N587" i="17" s="1"/>
  <c r="X586" i="17"/>
  <c r="F587" i="17"/>
  <c r="H587" i="17" s="1"/>
  <c r="V586" i="17"/>
  <c r="T554" i="16"/>
  <c r="L554" i="16"/>
  <c r="P587" i="17" l="1"/>
  <c r="R587" i="17" s="1"/>
  <c r="O587" i="17"/>
  <c r="G587" i="17"/>
  <c r="I587" i="17"/>
  <c r="K587" i="17" s="1"/>
  <c r="Y554" i="16"/>
  <c r="W554" i="16"/>
  <c r="X554" i="16"/>
  <c r="F555" i="16"/>
  <c r="M555" i="16"/>
  <c r="V554" i="16"/>
  <c r="U587" i="17" l="1"/>
  <c r="Q587" i="17"/>
  <c r="S587" i="17" s="1"/>
  <c r="J587" i="17"/>
  <c r="O555" i="16"/>
  <c r="N555" i="16"/>
  <c r="P555" i="16"/>
  <c r="R555" i="16" s="1"/>
  <c r="G555" i="16"/>
  <c r="I555" i="16"/>
  <c r="K555" i="16" s="1"/>
  <c r="H555" i="16"/>
  <c r="T587" i="17" l="1"/>
  <c r="L587" i="17"/>
  <c r="U555" i="16"/>
  <c r="J555" i="16"/>
  <c r="Q555" i="16"/>
  <c r="S555" i="16" s="1"/>
  <c r="V587" i="17" l="1"/>
  <c r="X587" i="17"/>
  <c r="Y587" i="17"/>
  <c r="W587" i="17"/>
  <c r="M588" i="17"/>
  <c r="N588" i="17" s="1"/>
  <c r="F588" i="17"/>
  <c r="H588" i="17" s="1"/>
  <c r="T555" i="16"/>
  <c r="L555" i="16"/>
  <c r="O588" i="17" l="1"/>
  <c r="P588" i="17"/>
  <c r="R588" i="17" s="1"/>
  <c r="I588" i="17"/>
  <c r="K588" i="17" s="1"/>
  <c r="G588" i="17"/>
  <c r="Y555" i="16"/>
  <c r="W555" i="16"/>
  <c r="F556" i="16"/>
  <c r="M556" i="16"/>
  <c r="X555" i="16"/>
  <c r="V555" i="16"/>
  <c r="U588" i="17" l="1"/>
  <c r="Q588" i="17"/>
  <c r="S588" i="17" s="1"/>
  <c r="J588" i="17"/>
  <c r="L588" i="17" s="1"/>
  <c r="N556" i="16"/>
  <c r="P556" i="16"/>
  <c r="R556" i="16" s="1"/>
  <c r="O556" i="16"/>
  <c r="I556" i="16"/>
  <c r="K556" i="16" s="1"/>
  <c r="H556" i="16"/>
  <c r="G556" i="16"/>
  <c r="M589" i="17" l="1"/>
  <c r="N589" i="17" s="1"/>
  <c r="W588" i="17"/>
  <c r="X588" i="17"/>
  <c r="F589" i="17"/>
  <c r="G589" i="17" s="1"/>
  <c r="O589" i="17"/>
  <c r="Y588" i="17"/>
  <c r="T588" i="17"/>
  <c r="V588" i="17" s="1"/>
  <c r="H589" i="17"/>
  <c r="J556" i="16"/>
  <c r="L556" i="16" s="1"/>
  <c r="U556" i="16"/>
  <c r="Q556" i="16"/>
  <c r="S556" i="16" s="1"/>
  <c r="P589" i="17" l="1"/>
  <c r="R589" i="17" s="1"/>
  <c r="I589" i="17"/>
  <c r="K589" i="17" s="1"/>
  <c r="W556" i="16"/>
  <c r="Y556" i="16"/>
  <c r="T556" i="16"/>
  <c r="V556" i="16" s="1"/>
  <c r="M557" i="16"/>
  <c r="X556" i="16"/>
  <c r="F557" i="16"/>
  <c r="J589" i="17" l="1"/>
  <c r="L589" i="17" s="1"/>
  <c r="U589" i="17"/>
  <c r="Q589" i="17"/>
  <c r="S589" i="17" s="1"/>
  <c r="P557" i="16"/>
  <c r="R557" i="16" s="1"/>
  <c r="O557" i="16"/>
  <c r="N557" i="16"/>
  <c r="I557" i="16"/>
  <c r="K557" i="16" s="1"/>
  <c r="H557" i="16"/>
  <c r="G557" i="16"/>
  <c r="M590" i="17" l="1"/>
  <c r="N590" i="17" s="1"/>
  <c r="F590" i="17"/>
  <c r="G590" i="17" s="1"/>
  <c r="X589" i="17"/>
  <c r="Y589" i="17"/>
  <c r="T589" i="17"/>
  <c r="V589" i="17" s="1"/>
  <c r="W589" i="17"/>
  <c r="Q557" i="16"/>
  <c r="S557" i="16" s="1"/>
  <c r="J557" i="16"/>
  <c r="U557" i="16"/>
  <c r="O590" i="17" l="1"/>
  <c r="P590" i="17"/>
  <c r="R590" i="17" s="1"/>
  <c r="H590" i="17"/>
  <c r="I590" i="17"/>
  <c r="K590" i="17" s="1"/>
  <c r="T557" i="16"/>
  <c r="L557" i="16"/>
  <c r="U590" i="17" l="1"/>
  <c r="Q590" i="17"/>
  <c r="S590" i="17" s="1"/>
  <c r="J590" i="17"/>
  <c r="L590" i="17" s="1"/>
  <c r="W590" i="17" s="1"/>
  <c r="X557" i="16"/>
  <c r="W557" i="16"/>
  <c r="M558" i="16"/>
  <c r="O558" i="16" s="1"/>
  <c r="F558" i="16"/>
  <c r="H558" i="16" s="1"/>
  <c r="V557" i="16"/>
  <c r="Y557" i="16"/>
  <c r="M591" i="17" l="1"/>
  <c r="N591" i="17" s="1"/>
  <c r="F591" i="17"/>
  <c r="X590" i="17"/>
  <c r="T590" i="17"/>
  <c r="V590" i="17" s="1"/>
  <c r="Y590" i="17"/>
  <c r="I591" i="17"/>
  <c r="K591" i="17" s="1"/>
  <c r="P558" i="16"/>
  <c r="R558" i="16" s="1"/>
  <c r="N558" i="16"/>
  <c r="I558" i="16"/>
  <c r="K558" i="16" s="1"/>
  <c r="G558" i="16"/>
  <c r="O591" i="17" l="1"/>
  <c r="P591" i="17"/>
  <c r="R591" i="17" s="1"/>
  <c r="U591" i="17" s="1"/>
  <c r="H591" i="17"/>
  <c r="G591" i="17"/>
  <c r="J558" i="16"/>
  <c r="L558" i="16" s="1"/>
  <c r="W558" i="16" s="1"/>
  <c r="Q558" i="16"/>
  <c r="S558" i="16" s="1"/>
  <c r="Q591" i="17"/>
  <c r="S591" i="17" s="1"/>
  <c r="U558" i="16"/>
  <c r="J591" i="17" l="1"/>
  <c r="L591" i="17" s="1"/>
  <c r="W591" i="17" s="1"/>
  <c r="T558" i="16"/>
  <c r="V558" i="16" s="1"/>
  <c r="Y558" i="16"/>
  <c r="X558" i="16"/>
  <c r="F559" i="16"/>
  <c r="H559" i="16" s="1"/>
  <c r="M559" i="16"/>
  <c r="P559" i="16" s="1"/>
  <c r="R559" i="16" s="1"/>
  <c r="T591" i="17"/>
  <c r="V591" i="17" s="1"/>
  <c r="F592" i="17"/>
  <c r="X591" i="17"/>
  <c r="Y591" i="17" l="1"/>
  <c r="M592" i="17"/>
  <c r="G559" i="16"/>
  <c r="J559" i="16" s="1"/>
  <c r="I559" i="16"/>
  <c r="K559" i="16" s="1"/>
  <c r="U559" i="16" s="1"/>
  <c r="O559" i="16"/>
  <c r="N559" i="16"/>
  <c r="I592" i="17"/>
  <c r="K592" i="17" s="1"/>
  <c r="H592" i="17"/>
  <c r="G592" i="17"/>
  <c r="N592" i="17"/>
  <c r="P592" i="17"/>
  <c r="R592" i="17" s="1"/>
  <c r="O592" i="17"/>
  <c r="Q559" i="16" l="1"/>
  <c r="S559" i="16" s="1"/>
  <c r="J592" i="17"/>
  <c r="L592" i="17" s="1"/>
  <c r="W592" i="17" s="1"/>
  <c r="Q592" i="17"/>
  <c r="S592" i="17" s="1"/>
  <c r="U592" i="17"/>
  <c r="L559" i="16"/>
  <c r="T559" i="16" l="1"/>
  <c r="Y559" i="16"/>
  <c r="W559" i="16"/>
  <c r="T592" i="17"/>
  <c r="V592" i="17" s="1"/>
  <c r="M593" i="17"/>
  <c r="X592" i="17"/>
  <c r="F593" i="17"/>
  <c r="Y592" i="17"/>
  <c r="M560" i="16"/>
  <c r="X559" i="16"/>
  <c r="F560" i="16"/>
  <c r="V559" i="16"/>
  <c r="H593" i="17" l="1"/>
  <c r="I593" i="17"/>
  <c r="K593" i="17" s="1"/>
  <c r="G593" i="17"/>
  <c r="N593" i="17"/>
  <c r="P593" i="17"/>
  <c r="R593" i="17" s="1"/>
  <c r="O593" i="17"/>
  <c r="I560" i="16"/>
  <c r="K560" i="16" s="1"/>
  <c r="H560" i="16"/>
  <c r="G560" i="16"/>
  <c r="P560" i="16"/>
  <c r="R560" i="16" s="1"/>
  <c r="O560" i="16"/>
  <c r="N560" i="16"/>
  <c r="Q593" i="17" l="1"/>
  <c r="S593" i="17" s="1"/>
  <c r="J593" i="17"/>
  <c r="L593" i="17" s="1"/>
  <c r="W593" i="17" s="1"/>
  <c r="U593" i="17"/>
  <c r="J560" i="16"/>
  <c r="L560" i="16" s="1"/>
  <c r="Q560" i="16"/>
  <c r="S560" i="16" s="1"/>
  <c r="U560" i="16"/>
  <c r="W560" i="16" l="1"/>
  <c r="F594" i="17"/>
  <c r="H594" i="17" s="1"/>
  <c r="T593" i="17"/>
  <c r="V593" i="17" s="1"/>
  <c r="Y593" i="17"/>
  <c r="X593" i="17"/>
  <c r="M594" i="17"/>
  <c r="F561" i="16"/>
  <c r="G561" i="16" s="1"/>
  <c r="Y560" i="16"/>
  <c r="T560" i="16"/>
  <c r="V560" i="16" s="1"/>
  <c r="M561" i="16"/>
  <c r="N561" i="16" s="1"/>
  <c r="X560" i="16"/>
  <c r="I594" i="17" l="1"/>
  <c r="K594" i="17" s="1"/>
  <c r="H561" i="16"/>
  <c r="G594" i="17"/>
  <c r="J594" i="17" s="1"/>
  <c r="I561" i="16"/>
  <c r="K561" i="16" s="1"/>
  <c r="P594" i="17"/>
  <c r="R594" i="17" s="1"/>
  <c r="U594" i="17" s="1"/>
  <c r="N594" i="17"/>
  <c r="O594" i="17"/>
  <c r="O561" i="16"/>
  <c r="P561" i="16"/>
  <c r="R561" i="16" s="1"/>
  <c r="J561" i="16" l="1"/>
  <c r="L561" i="16" s="1"/>
  <c r="U561" i="16"/>
  <c r="Q594" i="17"/>
  <c r="T594" i="17" s="1"/>
  <c r="Q561" i="16"/>
  <c r="L594" i="17"/>
  <c r="T561" i="16" l="1"/>
  <c r="W561" i="16"/>
  <c r="S561" i="16"/>
  <c r="Y561" i="16" s="1"/>
  <c r="S594" i="17"/>
  <c r="W594" i="17" s="1"/>
  <c r="V561" i="16" l="1"/>
  <c r="M562" i="16"/>
  <c r="O562" i="16" s="1"/>
  <c r="F562" i="16"/>
  <c r="H562" i="16" s="1"/>
  <c r="X561" i="16"/>
  <c r="X594" i="17"/>
  <c r="Y594" i="17"/>
  <c r="M595" i="17"/>
  <c r="O595" i="17" s="1"/>
  <c r="V594" i="17"/>
  <c r="F595" i="17"/>
  <c r="I595" i="17" s="1"/>
  <c r="K595" i="17" s="1"/>
  <c r="P562" i="16" l="1"/>
  <c r="R562" i="16" s="1"/>
  <c r="N562" i="16"/>
  <c r="Q562" i="16" s="1"/>
  <c r="S562" i="16" s="1"/>
  <c r="I562" i="16"/>
  <c r="K562" i="16" s="1"/>
  <c r="U562" i="16" s="1"/>
  <c r="P595" i="17"/>
  <c r="R595" i="17" s="1"/>
  <c r="U595" i="17" s="1"/>
  <c r="G562" i="16"/>
  <c r="J562" i="16" s="1"/>
  <c r="N595" i="17"/>
  <c r="H595" i="17"/>
  <c r="G595" i="17"/>
  <c r="Q595" i="17" l="1"/>
  <c r="S595" i="17" s="1"/>
  <c r="J595" i="17"/>
  <c r="T562" i="16"/>
  <c r="L562" i="16"/>
  <c r="T595" i="17" l="1"/>
  <c r="L595" i="17"/>
  <c r="W595" i="17" s="1"/>
  <c r="Y562" i="16"/>
  <c r="W562" i="16"/>
  <c r="F563" i="16"/>
  <c r="M563" i="16"/>
  <c r="X562" i="16"/>
  <c r="V562" i="16"/>
  <c r="Y595" i="17" l="1"/>
  <c r="M596" i="17"/>
  <c r="O596" i="17" s="1"/>
  <c r="X595" i="17"/>
  <c r="V595" i="17"/>
  <c r="F596" i="17"/>
  <c r="I596" i="17" s="1"/>
  <c r="N596" i="17"/>
  <c r="N563" i="16"/>
  <c r="P563" i="16"/>
  <c r="R563" i="16" s="1"/>
  <c r="O563" i="16"/>
  <c r="I563" i="16"/>
  <c r="K563" i="16" s="1"/>
  <c r="H563" i="16"/>
  <c r="G563" i="16"/>
  <c r="P596" i="17" l="1"/>
  <c r="R596" i="17" s="1"/>
  <c r="H596" i="17"/>
  <c r="G596" i="17"/>
  <c r="K596" i="17"/>
  <c r="U563" i="16"/>
  <c r="J563" i="16"/>
  <c r="Q563" i="16"/>
  <c r="S563" i="16" s="1"/>
  <c r="J596" i="17" l="1"/>
  <c r="U596" i="17"/>
  <c r="Q596" i="17"/>
  <c r="S596" i="17" s="1"/>
  <c r="T563" i="16"/>
  <c r="L563" i="16"/>
  <c r="T596" i="17" l="1"/>
  <c r="L596" i="17"/>
  <c r="W596" i="17" s="1"/>
  <c r="Y563" i="16"/>
  <c r="W563" i="16"/>
  <c r="V596" i="17"/>
  <c r="M564" i="16"/>
  <c r="X563" i="16"/>
  <c r="F564" i="16"/>
  <c r="V563" i="16"/>
  <c r="X596" i="17" l="1"/>
  <c r="M597" i="17"/>
  <c r="N597" i="17" s="1"/>
  <c r="Y596" i="17"/>
  <c r="F597" i="17"/>
  <c r="I597" i="17" s="1"/>
  <c r="K597" i="17" s="1"/>
  <c r="I564" i="16"/>
  <c r="K564" i="16" s="1"/>
  <c r="H564" i="16"/>
  <c r="G564" i="16"/>
  <c r="P564" i="16"/>
  <c r="R564" i="16" s="1"/>
  <c r="O564" i="16"/>
  <c r="N564" i="16"/>
  <c r="O597" i="17" l="1"/>
  <c r="P597" i="17"/>
  <c r="R597" i="17" s="1"/>
  <c r="U597" i="17" s="1"/>
  <c r="H597" i="17"/>
  <c r="G597" i="17"/>
  <c r="Q597" i="17"/>
  <c r="S597" i="17" s="1"/>
  <c r="U564" i="16"/>
  <c r="Q564" i="16"/>
  <c r="S564" i="16" s="1"/>
  <c r="J564" i="16"/>
  <c r="L564" i="16" s="1"/>
  <c r="J597" i="17" l="1"/>
  <c r="T597" i="17" s="1"/>
  <c r="Y564" i="16"/>
  <c r="W564" i="16"/>
  <c r="T564" i="16"/>
  <c r="V564" i="16" s="1"/>
  <c r="X564" i="16"/>
  <c r="F565" i="16"/>
  <c r="M565" i="16"/>
  <c r="L597" i="17" l="1"/>
  <c r="W597" i="17" s="1"/>
  <c r="M598" i="17"/>
  <c r="Y597" i="17"/>
  <c r="F598" i="17"/>
  <c r="V597" i="17"/>
  <c r="P565" i="16"/>
  <c r="R565" i="16" s="1"/>
  <c r="O565" i="16"/>
  <c r="N565" i="16"/>
  <c r="H565" i="16"/>
  <c r="G565" i="16"/>
  <c r="I565" i="16"/>
  <c r="K565" i="16" s="1"/>
  <c r="X597" i="17" l="1"/>
  <c r="P598" i="17"/>
  <c r="R598" i="17" s="1"/>
  <c r="O598" i="17"/>
  <c r="N598" i="17"/>
  <c r="I598" i="17"/>
  <c r="K598" i="17" s="1"/>
  <c r="H598" i="17"/>
  <c r="G598" i="17"/>
  <c r="U565" i="16"/>
  <c r="J565" i="16"/>
  <c r="L565" i="16" s="1"/>
  <c r="Q565" i="16"/>
  <c r="S565" i="16" s="1"/>
  <c r="Y565" i="16" l="1"/>
  <c r="W565" i="16"/>
  <c r="Q598" i="17"/>
  <c r="S598" i="17" s="1"/>
  <c r="U598" i="17"/>
  <c r="J598" i="17"/>
  <c r="T565" i="16"/>
  <c r="V565" i="16" s="1"/>
  <c r="X565" i="16"/>
  <c r="F566" i="16"/>
  <c r="M566" i="16"/>
  <c r="T598" i="17" l="1"/>
  <c r="L598" i="17"/>
  <c r="W598" i="17" s="1"/>
  <c r="G566" i="16"/>
  <c r="I566" i="16"/>
  <c r="K566" i="16" s="1"/>
  <c r="H566" i="16"/>
  <c r="O566" i="16"/>
  <c r="N566" i="16"/>
  <c r="P566" i="16"/>
  <c r="R566" i="16" s="1"/>
  <c r="M599" i="17" l="1"/>
  <c r="X598" i="17"/>
  <c r="Y598" i="17"/>
  <c r="F599" i="17"/>
  <c r="V598" i="17"/>
  <c r="J566" i="16"/>
  <c r="L566" i="16" s="1"/>
  <c r="U566" i="16"/>
  <c r="Q566" i="16"/>
  <c r="S566" i="16" s="1"/>
  <c r="W566" i="16" l="1"/>
  <c r="I599" i="17"/>
  <c r="K599" i="17" s="1"/>
  <c r="G599" i="17"/>
  <c r="H599" i="17"/>
  <c r="N599" i="17"/>
  <c r="O599" i="17"/>
  <c r="P599" i="17"/>
  <c r="R599" i="17" s="1"/>
  <c r="Y566" i="16"/>
  <c r="T566" i="16"/>
  <c r="V566" i="16" s="1"/>
  <c r="F567" i="16"/>
  <c r="M567" i="16"/>
  <c r="X566" i="16"/>
  <c r="Q599" i="17" l="1"/>
  <c r="S599" i="17" s="1"/>
  <c r="J599" i="17"/>
  <c r="U599" i="17"/>
  <c r="I567" i="16"/>
  <c r="K567" i="16" s="1"/>
  <c r="H567" i="16"/>
  <c r="G567" i="16"/>
  <c r="N567" i="16"/>
  <c r="P567" i="16"/>
  <c r="R567" i="16" s="1"/>
  <c r="O567" i="16"/>
  <c r="T599" i="17" l="1"/>
  <c r="L599" i="17"/>
  <c r="Q567" i="16"/>
  <c r="S567" i="16" s="1"/>
  <c r="U567" i="16"/>
  <c r="J567" i="16"/>
  <c r="F600" i="17" l="1"/>
  <c r="H600" i="17" s="1"/>
  <c r="W599" i="17"/>
  <c r="X599" i="17"/>
  <c r="M600" i="17"/>
  <c r="O600" i="17" s="1"/>
  <c r="V599" i="17"/>
  <c r="Y599" i="17"/>
  <c r="T567" i="16"/>
  <c r="L567" i="16"/>
  <c r="G600" i="17" l="1"/>
  <c r="I600" i="17"/>
  <c r="K600" i="17" s="1"/>
  <c r="P600" i="17"/>
  <c r="R600" i="17" s="1"/>
  <c r="N600" i="17"/>
  <c r="Y567" i="16"/>
  <c r="W567" i="16"/>
  <c r="J600" i="17"/>
  <c r="M568" i="16"/>
  <c r="X567" i="16"/>
  <c r="F568" i="16"/>
  <c r="V567" i="16"/>
  <c r="U600" i="17" l="1"/>
  <c r="Q600" i="17"/>
  <c r="S600" i="17" s="1"/>
  <c r="L600" i="17"/>
  <c r="W600" i="17" s="1"/>
  <c r="I568" i="16"/>
  <c r="K568" i="16" s="1"/>
  <c r="H568" i="16"/>
  <c r="G568" i="16"/>
  <c r="P568" i="16"/>
  <c r="R568" i="16" s="1"/>
  <c r="O568" i="16"/>
  <c r="N568" i="16"/>
  <c r="T600" i="17" l="1"/>
  <c r="M601" i="17"/>
  <c r="F601" i="17"/>
  <c r="X600" i="17"/>
  <c r="Y600" i="17"/>
  <c r="V600" i="17"/>
  <c r="U568" i="16"/>
  <c r="Q568" i="16"/>
  <c r="S568" i="16" s="1"/>
  <c r="J568" i="16"/>
  <c r="L568" i="16" s="1"/>
  <c r="W568" i="16" s="1"/>
  <c r="H601" i="17" l="1"/>
  <c r="G601" i="17"/>
  <c r="I601" i="17"/>
  <c r="K601" i="17" s="1"/>
  <c r="P601" i="17"/>
  <c r="R601" i="17" s="1"/>
  <c r="N601" i="17"/>
  <c r="O601" i="17"/>
  <c r="Y568" i="16"/>
  <c r="X568" i="16"/>
  <c r="F569" i="16"/>
  <c r="M569" i="16"/>
  <c r="T568" i="16"/>
  <c r="V568" i="16" s="1"/>
  <c r="U601" i="17" l="1"/>
  <c r="Q601" i="17"/>
  <c r="S601" i="17" s="1"/>
  <c r="J601" i="17"/>
  <c r="H569" i="16"/>
  <c r="G569" i="16"/>
  <c r="I569" i="16"/>
  <c r="K569" i="16" s="1"/>
  <c r="P569" i="16"/>
  <c r="R569" i="16" s="1"/>
  <c r="O569" i="16"/>
  <c r="N569" i="16"/>
  <c r="T601" i="17" l="1"/>
  <c r="L601" i="17"/>
  <c r="W601" i="17" s="1"/>
  <c r="Q569" i="16"/>
  <c r="S569" i="16" s="1"/>
  <c r="U569" i="16"/>
  <c r="J569" i="16"/>
  <c r="F602" i="17" l="1"/>
  <c r="Y601" i="17"/>
  <c r="M602" i="17"/>
  <c r="V601" i="17"/>
  <c r="T569" i="16"/>
  <c r="X601" i="17"/>
  <c r="L569" i="16"/>
  <c r="Y569" i="16" l="1"/>
  <c r="W569" i="16"/>
  <c r="P602" i="17"/>
  <c r="R602" i="17" s="1"/>
  <c r="O602" i="17"/>
  <c r="N602" i="17"/>
  <c r="G602" i="17"/>
  <c r="I602" i="17"/>
  <c r="K602" i="17" s="1"/>
  <c r="U602" i="17" s="1"/>
  <c r="H602" i="17"/>
  <c r="X569" i="16"/>
  <c r="F570" i="16"/>
  <c r="M570" i="16"/>
  <c r="V569" i="16"/>
  <c r="Q602" i="17" l="1"/>
  <c r="S602" i="17" s="1"/>
  <c r="J602" i="17"/>
  <c r="O570" i="16"/>
  <c r="N570" i="16"/>
  <c r="P570" i="16"/>
  <c r="R570" i="16" s="1"/>
  <c r="G570" i="16"/>
  <c r="I570" i="16"/>
  <c r="K570" i="16" s="1"/>
  <c r="H570" i="16"/>
  <c r="T602" i="17" l="1"/>
  <c r="L602" i="17"/>
  <c r="U570" i="16"/>
  <c r="J570" i="16"/>
  <c r="Q570" i="16"/>
  <c r="S570" i="16" s="1"/>
  <c r="F603" i="17" l="1"/>
  <c r="G603" i="17" s="1"/>
  <c r="W602" i="17"/>
  <c r="Y602" i="17"/>
  <c r="V602" i="17"/>
  <c r="M603" i="17"/>
  <c r="N603" i="17" s="1"/>
  <c r="X602" i="17"/>
  <c r="I603" i="17"/>
  <c r="K603" i="17" s="1"/>
  <c r="T570" i="16"/>
  <c r="L570" i="16"/>
  <c r="H603" i="17" l="1"/>
  <c r="Y570" i="16"/>
  <c r="W570" i="16"/>
  <c r="O603" i="17"/>
  <c r="P603" i="17"/>
  <c r="R603" i="17" s="1"/>
  <c r="U603" i="17" s="1"/>
  <c r="J603" i="17"/>
  <c r="F571" i="16"/>
  <c r="M571" i="16"/>
  <c r="X570" i="16"/>
  <c r="V570" i="16"/>
  <c r="Q603" i="17" l="1"/>
  <c r="S603" i="17" s="1"/>
  <c r="L603" i="17"/>
  <c r="N571" i="16"/>
  <c r="P571" i="16"/>
  <c r="R571" i="16" s="1"/>
  <c r="O571" i="16"/>
  <c r="I571" i="16"/>
  <c r="K571" i="16" s="1"/>
  <c r="H571" i="16"/>
  <c r="G571" i="16"/>
  <c r="W603" i="17" l="1"/>
  <c r="T603" i="17"/>
  <c r="V603" i="17" s="1"/>
  <c r="M604" i="17"/>
  <c r="P604" i="17" s="1"/>
  <c r="R604" i="17" s="1"/>
  <c r="Y603" i="17"/>
  <c r="X603" i="17"/>
  <c r="F604" i="17"/>
  <c r="I604" i="17" s="1"/>
  <c r="K604" i="17" s="1"/>
  <c r="N604" i="17"/>
  <c r="U571" i="16"/>
  <c r="J571" i="16"/>
  <c r="Q571" i="16"/>
  <c r="S571" i="16" s="1"/>
  <c r="O604" i="17" l="1"/>
  <c r="Q604" i="17" s="1"/>
  <c r="G604" i="17"/>
  <c r="H604" i="17"/>
  <c r="U604" i="17"/>
  <c r="T571" i="16"/>
  <c r="L571" i="16"/>
  <c r="J604" i="17" l="1"/>
  <c r="L604" i="17" s="1"/>
  <c r="Y571" i="16"/>
  <c r="W571" i="16"/>
  <c r="S604" i="17"/>
  <c r="M572" i="16"/>
  <c r="X571" i="16"/>
  <c r="F572" i="16"/>
  <c r="V571" i="16"/>
  <c r="W604" i="17" l="1"/>
  <c r="F605" i="17"/>
  <c r="H605" i="17" s="1"/>
  <c r="M605" i="17"/>
  <c r="O605" i="17" s="1"/>
  <c r="T604" i="17"/>
  <c r="V604" i="17" s="1"/>
  <c r="Y604" i="17"/>
  <c r="X604" i="17"/>
  <c r="I572" i="16"/>
  <c r="K572" i="16" s="1"/>
  <c r="H572" i="16"/>
  <c r="G572" i="16"/>
  <c r="P572" i="16"/>
  <c r="R572" i="16" s="1"/>
  <c r="O572" i="16"/>
  <c r="N572" i="16"/>
  <c r="G605" i="17" l="1"/>
  <c r="I605" i="17"/>
  <c r="K605" i="17" s="1"/>
  <c r="P605" i="17"/>
  <c r="R605" i="17" s="1"/>
  <c r="N605" i="17"/>
  <c r="U572" i="16"/>
  <c r="Q572" i="16"/>
  <c r="S572" i="16" s="1"/>
  <c r="J572" i="16"/>
  <c r="L572" i="16" s="1"/>
  <c r="W572" i="16" s="1"/>
  <c r="U605" i="17" l="1"/>
  <c r="Q605" i="17"/>
  <c r="S605" i="17" s="1"/>
  <c r="J605" i="17"/>
  <c r="L605" i="17" s="1"/>
  <c r="W605" i="17" s="1"/>
  <c r="Y572" i="16"/>
  <c r="X572" i="16"/>
  <c r="F573" i="16"/>
  <c r="M573" i="16"/>
  <c r="T572" i="16"/>
  <c r="V572" i="16" s="1"/>
  <c r="T605" i="17" l="1"/>
  <c r="F606" i="17"/>
  <c r="Y605" i="17"/>
  <c r="M606" i="17"/>
  <c r="V605" i="17"/>
  <c r="X605" i="17"/>
  <c r="P573" i="16"/>
  <c r="R573" i="16" s="1"/>
  <c r="O573" i="16"/>
  <c r="N573" i="16"/>
  <c r="H573" i="16"/>
  <c r="G573" i="16"/>
  <c r="I573" i="16"/>
  <c r="K573" i="16" s="1"/>
  <c r="O606" i="17" l="1"/>
  <c r="N606" i="17"/>
  <c r="P606" i="17"/>
  <c r="R606" i="17" s="1"/>
  <c r="G606" i="17"/>
  <c r="H606" i="17"/>
  <c r="I606" i="17"/>
  <c r="K606" i="17" s="1"/>
  <c r="U573" i="16"/>
  <c r="J573" i="16"/>
  <c r="Q573" i="16"/>
  <c r="S573" i="16" s="1"/>
  <c r="U606" i="17" l="1"/>
  <c r="J606" i="17"/>
  <c r="L606" i="17" s="1"/>
  <c r="W606" i="17" s="1"/>
  <c r="Q606" i="17"/>
  <c r="S606" i="17" s="1"/>
  <c r="T573" i="16"/>
  <c r="L573" i="16"/>
  <c r="Y573" i="16" l="1"/>
  <c r="W573" i="16"/>
  <c r="T606" i="17"/>
  <c r="V606" i="17" s="1"/>
  <c r="X606" i="17"/>
  <c r="Y606" i="17"/>
  <c r="F607" i="17"/>
  <c r="M607" i="17"/>
  <c r="X573" i="16"/>
  <c r="F574" i="16"/>
  <c r="M574" i="16"/>
  <c r="V573" i="16"/>
  <c r="N607" i="17" l="1"/>
  <c r="P607" i="17"/>
  <c r="R607" i="17" s="1"/>
  <c r="O607" i="17"/>
  <c r="G607" i="17"/>
  <c r="I607" i="17"/>
  <c r="K607" i="17" s="1"/>
  <c r="H607" i="17"/>
  <c r="O574" i="16"/>
  <c r="N574" i="16"/>
  <c r="P574" i="16"/>
  <c r="R574" i="16" s="1"/>
  <c r="G574" i="16"/>
  <c r="I574" i="16"/>
  <c r="K574" i="16" s="1"/>
  <c r="H574" i="16"/>
  <c r="U607" i="17" l="1"/>
  <c r="J607" i="17"/>
  <c r="L607" i="17" s="1"/>
  <c r="Q607" i="17"/>
  <c r="S607" i="17" s="1"/>
  <c r="U574" i="16"/>
  <c r="J574" i="16"/>
  <c r="Q574" i="16"/>
  <c r="S574" i="16" s="1"/>
  <c r="W607" i="17" l="1"/>
  <c r="M608" i="17"/>
  <c r="X607" i="17"/>
  <c r="F608" i="17"/>
  <c r="Y607" i="17"/>
  <c r="T607" i="17"/>
  <c r="T574" i="16"/>
  <c r="L574" i="16"/>
  <c r="Y574" i="16" l="1"/>
  <c r="W574" i="16"/>
  <c r="O608" i="17"/>
  <c r="N608" i="17"/>
  <c r="P608" i="17"/>
  <c r="R608" i="17" s="1"/>
  <c r="G608" i="17"/>
  <c r="H608" i="17"/>
  <c r="I608" i="17"/>
  <c r="K608" i="17" s="1"/>
  <c r="V607" i="17"/>
  <c r="F575" i="16"/>
  <c r="M575" i="16"/>
  <c r="X574" i="16"/>
  <c r="V574" i="16"/>
  <c r="J608" i="17" l="1"/>
  <c r="L608" i="17" s="1"/>
  <c r="U608" i="17"/>
  <c r="Q608" i="17"/>
  <c r="N575" i="16"/>
  <c r="P575" i="16"/>
  <c r="R575" i="16" s="1"/>
  <c r="O575" i="16"/>
  <c r="I575" i="16"/>
  <c r="K575" i="16" s="1"/>
  <c r="H575" i="16"/>
  <c r="G575" i="16"/>
  <c r="T608" i="17" l="1"/>
  <c r="W608" i="17"/>
  <c r="S608" i="17"/>
  <c r="V608" i="17" s="1"/>
  <c r="Y608" i="17"/>
  <c r="J575" i="16"/>
  <c r="L575" i="16" s="1"/>
  <c r="U575" i="16"/>
  <c r="Q575" i="16"/>
  <c r="S575" i="16" s="1"/>
  <c r="M609" i="17" l="1"/>
  <c r="N609" i="17" s="1"/>
  <c r="X608" i="17"/>
  <c r="F609" i="17"/>
  <c r="H609" i="17" s="1"/>
  <c r="Y575" i="16"/>
  <c r="W575" i="16"/>
  <c r="T575" i="16"/>
  <c r="V575" i="16" s="1"/>
  <c r="M576" i="16"/>
  <c r="X575" i="16"/>
  <c r="F576" i="16"/>
  <c r="G609" i="17" l="1"/>
  <c r="P609" i="17"/>
  <c r="R609" i="17" s="1"/>
  <c r="O609" i="17"/>
  <c r="Q609" i="17" s="1"/>
  <c r="S609" i="17" s="1"/>
  <c r="I609" i="17"/>
  <c r="K609" i="17" s="1"/>
  <c r="U609" i="17" s="1"/>
  <c r="P576" i="16"/>
  <c r="R576" i="16" s="1"/>
  <c r="O576" i="16"/>
  <c r="N576" i="16"/>
  <c r="I576" i="16"/>
  <c r="K576" i="16" s="1"/>
  <c r="H576" i="16"/>
  <c r="G576" i="16"/>
  <c r="J609" i="17" l="1"/>
  <c r="L609" i="17" s="1"/>
  <c r="W609" i="17" s="1"/>
  <c r="U576" i="16"/>
  <c r="Q576" i="16"/>
  <c r="S576" i="16" s="1"/>
  <c r="J576" i="16"/>
  <c r="F610" i="17" l="1"/>
  <c r="I610" i="17" s="1"/>
  <c r="K610" i="17" s="1"/>
  <c r="X609" i="17"/>
  <c r="Y609" i="17"/>
  <c r="M610" i="17"/>
  <c r="N610" i="17" s="1"/>
  <c r="T609" i="17"/>
  <c r="V609" i="17" s="1"/>
  <c r="T576" i="16"/>
  <c r="L576" i="16"/>
  <c r="G610" i="17" l="1"/>
  <c r="O610" i="17"/>
  <c r="H610" i="17"/>
  <c r="P610" i="17"/>
  <c r="R610" i="17" s="1"/>
  <c r="Y576" i="16"/>
  <c r="W576" i="16"/>
  <c r="J610" i="17"/>
  <c r="L610" i="17" s="1"/>
  <c r="U610" i="17"/>
  <c r="Q610" i="17"/>
  <c r="X576" i="16"/>
  <c r="F577" i="16"/>
  <c r="M577" i="16"/>
  <c r="V576" i="16"/>
  <c r="W610" i="17" l="1"/>
  <c r="T610" i="17"/>
  <c r="S610" i="17"/>
  <c r="V610" i="17" s="1"/>
  <c r="P577" i="16"/>
  <c r="R577" i="16" s="1"/>
  <c r="O577" i="16"/>
  <c r="N577" i="16"/>
  <c r="H577" i="16"/>
  <c r="G577" i="16"/>
  <c r="I577" i="16"/>
  <c r="K577" i="16" s="1"/>
  <c r="X610" i="17" l="1"/>
  <c r="Y610" i="17"/>
  <c r="M611" i="17"/>
  <c r="P611" i="17" s="1"/>
  <c r="R611" i="17" s="1"/>
  <c r="F611" i="17"/>
  <c r="G611" i="17" s="1"/>
  <c r="U577" i="16"/>
  <c r="J577" i="16"/>
  <c r="Q577" i="16"/>
  <c r="S577" i="16" s="1"/>
  <c r="I611" i="17" l="1"/>
  <c r="K611" i="17" s="1"/>
  <c r="U611" i="17" s="1"/>
  <c r="H611" i="17"/>
  <c r="O611" i="17"/>
  <c r="N611" i="17"/>
  <c r="T577" i="16"/>
  <c r="L577" i="16"/>
  <c r="Q611" i="17" l="1"/>
  <c r="S611" i="17" s="1"/>
  <c r="J611" i="17"/>
  <c r="L611" i="17" s="1"/>
  <c r="Y577" i="16"/>
  <c r="W577" i="16"/>
  <c r="X577" i="16"/>
  <c r="F578" i="16"/>
  <c r="M578" i="16"/>
  <c r="V577" i="16"/>
  <c r="W611" i="17" l="1"/>
  <c r="T611" i="17"/>
  <c r="F612" i="17"/>
  <c r="H612" i="17" s="1"/>
  <c r="Y611" i="17"/>
  <c r="X611" i="17"/>
  <c r="M612" i="17"/>
  <c r="V611" i="17"/>
  <c r="O578" i="16"/>
  <c r="N578" i="16"/>
  <c r="P578" i="16"/>
  <c r="R578" i="16" s="1"/>
  <c r="G578" i="16"/>
  <c r="I578" i="16"/>
  <c r="K578" i="16" s="1"/>
  <c r="H578" i="16"/>
  <c r="G612" i="17" l="1"/>
  <c r="I612" i="17"/>
  <c r="K612" i="17" s="1"/>
  <c r="N612" i="17"/>
  <c r="O612" i="17"/>
  <c r="P612" i="17"/>
  <c r="R612" i="17" s="1"/>
  <c r="U578" i="16"/>
  <c r="J578" i="16"/>
  <c r="Q578" i="16"/>
  <c r="S578" i="16" s="1"/>
  <c r="U612" i="17" l="1"/>
  <c r="J612" i="17"/>
  <c r="L612" i="17" s="1"/>
  <c r="Q612" i="17"/>
  <c r="T578" i="16"/>
  <c r="L578" i="16"/>
  <c r="T612" i="17" l="1"/>
  <c r="Y578" i="16"/>
  <c r="W578" i="16"/>
  <c r="S612" i="17"/>
  <c r="W612" i="17" s="1"/>
  <c r="F579" i="16"/>
  <c r="M579" i="16"/>
  <c r="X578" i="16"/>
  <c r="V578" i="16"/>
  <c r="V612" i="17" l="1"/>
  <c r="X612" i="17"/>
  <c r="Y612" i="17"/>
  <c r="M613" i="17"/>
  <c r="F613" i="17"/>
  <c r="N579" i="16"/>
  <c r="P579" i="16"/>
  <c r="R579" i="16" s="1"/>
  <c r="O579" i="16"/>
  <c r="I579" i="16"/>
  <c r="K579" i="16" s="1"/>
  <c r="H579" i="16"/>
  <c r="G579" i="16"/>
  <c r="J579" i="16" l="1"/>
  <c r="L579" i="16" s="1"/>
  <c r="H613" i="17"/>
  <c r="I613" i="17"/>
  <c r="K613" i="17" s="1"/>
  <c r="G613" i="17"/>
  <c r="P613" i="17"/>
  <c r="R613" i="17" s="1"/>
  <c r="N613" i="17"/>
  <c r="O613" i="17"/>
  <c r="U579" i="16"/>
  <c r="Q579" i="16"/>
  <c r="T579" i="16" s="1"/>
  <c r="U613" i="17" l="1"/>
  <c r="J613" i="17"/>
  <c r="Q613" i="17"/>
  <c r="S613" i="17" s="1"/>
  <c r="S579" i="16"/>
  <c r="M580" i="16" s="1"/>
  <c r="W579" i="16" l="1"/>
  <c r="T613" i="17"/>
  <c r="L613" i="17"/>
  <c r="W613" i="17" s="1"/>
  <c r="V579" i="16"/>
  <c r="Y579" i="16"/>
  <c r="F580" i="16"/>
  <c r="I580" i="16" s="1"/>
  <c r="K580" i="16" s="1"/>
  <c r="X579" i="16"/>
  <c r="P580" i="16"/>
  <c r="R580" i="16" s="1"/>
  <c r="O580" i="16"/>
  <c r="N580" i="16"/>
  <c r="F614" i="17" l="1"/>
  <c r="Y613" i="17"/>
  <c r="M614" i="17"/>
  <c r="X613" i="17"/>
  <c r="V613" i="17"/>
  <c r="G580" i="16"/>
  <c r="H580" i="16"/>
  <c r="U580" i="16"/>
  <c r="Q580" i="16"/>
  <c r="S580" i="16" s="1"/>
  <c r="J580" i="16" l="1"/>
  <c r="L580" i="16" s="1"/>
  <c r="P614" i="17"/>
  <c r="R614" i="17" s="1"/>
  <c r="O614" i="17"/>
  <c r="N614" i="17"/>
  <c r="H614" i="17"/>
  <c r="I614" i="17"/>
  <c r="K614" i="17" s="1"/>
  <c r="G614" i="17"/>
  <c r="Y580" i="16" l="1"/>
  <c r="W580" i="16"/>
  <c r="M581" i="16"/>
  <c r="N581" i="16" s="1"/>
  <c r="F581" i="16"/>
  <c r="H581" i="16" s="1"/>
  <c r="T580" i="16"/>
  <c r="V580" i="16" s="1"/>
  <c r="X580" i="16"/>
  <c r="Q614" i="17"/>
  <c r="S614" i="17" s="1"/>
  <c r="J614" i="17"/>
  <c r="U614" i="17"/>
  <c r="O581" i="16" l="1"/>
  <c r="P581" i="16"/>
  <c r="R581" i="16" s="1"/>
  <c r="T614" i="17"/>
  <c r="I581" i="16"/>
  <c r="K581" i="16" s="1"/>
  <c r="G581" i="16"/>
  <c r="L614" i="17"/>
  <c r="W614" i="17" s="1"/>
  <c r="U581" i="16" l="1"/>
  <c r="Q581" i="16"/>
  <c r="S581" i="16" s="1"/>
  <c r="J581" i="16"/>
  <c r="L581" i="16" s="1"/>
  <c r="Y614" i="17"/>
  <c r="X614" i="17"/>
  <c r="F615" i="17"/>
  <c r="M615" i="17"/>
  <c r="V614" i="17"/>
  <c r="X581" i="16" l="1"/>
  <c r="F582" i="16"/>
  <c r="G582" i="16" s="1"/>
  <c r="Y581" i="16"/>
  <c r="W581" i="16"/>
  <c r="M582" i="16"/>
  <c r="O582" i="16" s="1"/>
  <c r="T581" i="16"/>
  <c r="V581" i="16" s="1"/>
  <c r="I615" i="17"/>
  <c r="K615" i="17" s="1"/>
  <c r="H615" i="17"/>
  <c r="G615" i="17"/>
  <c r="O615" i="17"/>
  <c r="N615" i="17"/>
  <c r="P615" i="17"/>
  <c r="R615" i="17" s="1"/>
  <c r="I582" i="16"/>
  <c r="K582" i="16" s="1"/>
  <c r="H582" i="16"/>
  <c r="P582" i="16" l="1"/>
  <c r="R582" i="16" s="1"/>
  <c r="U582" i="16" s="1"/>
  <c r="N582" i="16"/>
  <c r="Q615" i="17"/>
  <c r="S615" i="17" s="1"/>
  <c r="J615" i="17"/>
  <c r="U615" i="17"/>
  <c r="J582" i="16"/>
  <c r="L582" i="16" s="1"/>
  <c r="Q582" i="16"/>
  <c r="S582" i="16" l="1"/>
  <c r="W582" i="16" s="1"/>
  <c r="T615" i="17"/>
  <c r="L615" i="17"/>
  <c r="T582" i="16"/>
  <c r="F583" i="16"/>
  <c r="V582" i="16" l="1"/>
  <c r="X582" i="16"/>
  <c r="M583" i="16"/>
  <c r="N583" i="16" s="1"/>
  <c r="Y582" i="16"/>
  <c r="F616" i="17"/>
  <c r="H616" i="17" s="1"/>
  <c r="W615" i="17"/>
  <c r="M616" i="17"/>
  <c r="P616" i="17" s="1"/>
  <c r="R616" i="17" s="1"/>
  <c r="X615" i="17"/>
  <c r="Y615" i="17"/>
  <c r="V615" i="17"/>
  <c r="G616" i="17"/>
  <c r="P583" i="16"/>
  <c r="R583" i="16" s="1"/>
  <c r="I583" i="16"/>
  <c r="K583" i="16" s="1"/>
  <c r="H583" i="16"/>
  <c r="G583" i="16"/>
  <c r="O583" i="16" l="1"/>
  <c r="Q583" i="16" s="1"/>
  <c r="I616" i="17"/>
  <c r="K616" i="17" s="1"/>
  <c r="U616" i="17" s="1"/>
  <c r="O616" i="17"/>
  <c r="N616" i="17"/>
  <c r="U583" i="16"/>
  <c r="J583" i="16"/>
  <c r="L583" i="16" s="1"/>
  <c r="J616" i="17" l="1"/>
  <c r="L616" i="17" s="1"/>
  <c r="W616" i="17" s="1"/>
  <c r="Q616" i="17"/>
  <c r="S616" i="17" s="1"/>
  <c r="T583" i="16"/>
  <c r="S583" i="16"/>
  <c r="M584" i="16" s="1"/>
  <c r="T616" i="17" l="1"/>
  <c r="V616" i="17" s="1"/>
  <c r="X616" i="17"/>
  <c r="F617" i="17"/>
  <c r="I617" i="17" s="1"/>
  <c r="K617" i="17" s="1"/>
  <c r="M617" i="17"/>
  <c r="P617" i="17" s="1"/>
  <c r="R617" i="17" s="1"/>
  <c r="W583" i="16"/>
  <c r="Y616" i="17"/>
  <c r="V583" i="16"/>
  <c r="F584" i="16"/>
  <c r="I584" i="16" s="1"/>
  <c r="K584" i="16" s="1"/>
  <c r="Y583" i="16"/>
  <c r="X583" i="16"/>
  <c r="P584" i="16"/>
  <c r="R584" i="16" s="1"/>
  <c r="O584" i="16"/>
  <c r="N584" i="16"/>
  <c r="H617" i="17" l="1"/>
  <c r="O617" i="17"/>
  <c r="N617" i="17"/>
  <c r="G617" i="17"/>
  <c r="U617" i="17"/>
  <c r="H584" i="16"/>
  <c r="G584" i="16"/>
  <c r="U584" i="16"/>
  <c r="Q584" i="16"/>
  <c r="S584" i="16" s="1"/>
  <c r="J617" i="17" l="1"/>
  <c r="L617" i="17" s="1"/>
  <c r="Q617" i="17"/>
  <c r="S617" i="17" s="1"/>
  <c r="J584" i="16"/>
  <c r="T584" i="16" s="1"/>
  <c r="W617" i="17" l="1"/>
  <c r="T617" i="17"/>
  <c r="V617" i="17" s="1"/>
  <c r="Y617" i="17"/>
  <c r="L584" i="16"/>
  <c r="F585" i="16" s="1"/>
  <c r="F618" i="17"/>
  <c r="I618" i="17" s="1"/>
  <c r="K618" i="17" s="1"/>
  <c r="M618" i="17"/>
  <c r="O618" i="17" s="1"/>
  <c r="X617" i="17"/>
  <c r="M585" i="16" l="1"/>
  <c r="O585" i="16" s="1"/>
  <c r="X584" i="16"/>
  <c r="V584" i="16"/>
  <c r="N618" i="17"/>
  <c r="P618" i="17"/>
  <c r="R618" i="17" s="1"/>
  <c r="U618" i="17" s="1"/>
  <c r="Y584" i="16"/>
  <c r="W584" i="16"/>
  <c r="G618" i="17"/>
  <c r="H618" i="17"/>
  <c r="N585" i="16"/>
  <c r="H585" i="16"/>
  <c r="G585" i="16"/>
  <c r="I585" i="16"/>
  <c r="K585" i="16" s="1"/>
  <c r="P585" i="16" l="1"/>
  <c r="R585" i="16" s="1"/>
  <c r="U585" i="16" s="1"/>
  <c r="Q618" i="17"/>
  <c r="S618" i="17" s="1"/>
  <c r="J618" i="17"/>
  <c r="L618" i="17" s="1"/>
  <c r="W618" i="17" s="1"/>
  <c r="J585" i="16"/>
  <c r="Q585" i="16"/>
  <c r="S585" i="16" s="1"/>
  <c r="T618" i="17" l="1"/>
  <c r="V618" i="17" s="1"/>
  <c r="F619" i="17"/>
  <c r="H619" i="17" s="1"/>
  <c r="X618" i="17"/>
  <c r="Y618" i="17"/>
  <c r="M619" i="17"/>
  <c r="O619" i="17" s="1"/>
  <c r="T585" i="16"/>
  <c r="L585" i="16"/>
  <c r="I619" i="17" l="1"/>
  <c r="K619" i="17" s="1"/>
  <c r="G619" i="17"/>
  <c r="P619" i="17"/>
  <c r="R619" i="17" s="1"/>
  <c r="N619" i="17"/>
  <c r="Y585" i="16"/>
  <c r="W585" i="16"/>
  <c r="X585" i="16"/>
  <c r="F586" i="16"/>
  <c r="M586" i="16"/>
  <c r="V585" i="16"/>
  <c r="J619" i="17" l="1"/>
  <c r="L619" i="17" s="1"/>
  <c r="W619" i="17" s="1"/>
  <c r="Q619" i="17"/>
  <c r="S619" i="17" s="1"/>
  <c r="U619" i="17"/>
  <c r="O586" i="16"/>
  <c r="N586" i="16"/>
  <c r="P586" i="16"/>
  <c r="R586" i="16" s="1"/>
  <c r="G586" i="16"/>
  <c r="I586" i="16"/>
  <c r="K586" i="16" s="1"/>
  <c r="H586" i="16"/>
  <c r="F620" i="17" l="1"/>
  <c r="H620" i="17" s="1"/>
  <c r="Y619" i="17"/>
  <c r="T619" i="17"/>
  <c r="X619" i="17"/>
  <c r="M620" i="17"/>
  <c r="V619" i="17"/>
  <c r="U586" i="16"/>
  <c r="J586" i="16"/>
  <c r="Q586" i="16"/>
  <c r="S586" i="16" s="1"/>
  <c r="I620" i="17" l="1"/>
  <c r="K620" i="17" s="1"/>
  <c r="G620" i="17"/>
  <c r="N620" i="17"/>
  <c r="P620" i="17"/>
  <c r="R620" i="17" s="1"/>
  <c r="O620" i="17"/>
  <c r="T586" i="16"/>
  <c r="L586" i="16"/>
  <c r="J620" i="17" l="1"/>
  <c r="L620" i="17" s="1"/>
  <c r="U620" i="17"/>
  <c r="Q620" i="17"/>
  <c r="S620" i="17" s="1"/>
  <c r="Y586" i="16"/>
  <c r="W586" i="16"/>
  <c r="F587" i="16"/>
  <c r="M587" i="16"/>
  <c r="X586" i="16"/>
  <c r="V586" i="16"/>
  <c r="F621" i="17" l="1"/>
  <c r="I621" i="17" s="1"/>
  <c r="K621" i="17" s="1"/>
  <c r="W620" i="17"/>
  <c r="Y620" i="17"/>
  <c r="T620" i="17"/>
  <c r="V620" i="17" s="1"/>
  <c r="X620" i="17"/>
  <c r="M621" i="17"/>
  <c r="N621" i="17" s="1"/>
  <c r="N587" i="16"/>
  <c r="P587" i="16"/>
  <c r="R587" i="16" s="1"/>
  <c r="O587" i="16"/>
  <c r="I587" i="16"/>
  <c r="K587" i="16" s="1"/>
  <c r="H587" i="16"/>
  <c r="G587" i="16"/>
  <c r="H621" i="17" l="1"/>
  <c r="G621" i="17"/>
  <c r="O621" i="17"/>
  <c r="P621" i="17"/>
  <c r="R621" i="17" s="1"/>
  <c r="U621" i="17" s="1"/>
  <c r="U587" i="16"/>
  <c r="J587" i="16"/>
  <c r="Q587" i="16"/>
  <c r="S587" i="16" s="1"/>
  <c r="J621" i="17" l="1"/>
  <c r="L621" i="17" s="1"/>
  <c r="Q621" i="17"/>
  <c r="S621" i="17" s="1"/>
  <c r="T587" i="16"/>
  <c r="L587" i="16"/>
  <c r="T621" i="17" l="1"/>
  <c r="V621" i="17" s="1"/>
  <c r="W621" i="17"/>
  <c r="Y621" i="17"/>
  <c r="M622" i="17"/>
  <c r="X621" i="17"/>
  <c r="F622" i="17"/>
  <c r="Y587" i="16"/>
  <c r="W587" i="16"/>
  <c r="M588" i="16"/>
  <c r="X587" i="16"/>
  <c r="F588" i="16"/>
  <c r="V587" i="16"/>
  <c r="G622" i="17" l="1"/>
  <c r="H622" i="17"/>
  <c r="I622" i="17"/>
  <c r="K622" i="17" s="1"/>
  <c r="P622" i="17"/>
  <c r="R622" i="17" s="1"/>
  <c r="N622" i="17"/>
  <c r="O622" i="17"/>
  <c r="I588" i="16"/>
  <c r="K588" i="16" s="1"/>
  <c r="H588" i="16"/>
  <c r="G588" i="16"/>
  <c r="P588" i="16"/>
  <c r="R588" i="16" s="1"/>
  <c r="O588" i="16"/>
  <c r="N588" i="16"/>
  <c r="U622" i="17" l="1"/>
  <c r="Q622" i="17"/>
  <c r="S622" i="17" s="1"/>
  <c r="J622" i="17"/>
  <c r="U588" i="16"/>
  <c r="Q588" i="16"/>
  <c r="S588" i="16" s="1"/>
  <c r="J588" i="16"/>
  <c r="T622" i="17" l="1"/>
  <c r="L622" i="17"/>
  <c r="W622" i="17" s="1"/>
  <c r="T588" i="16"/>
  <c r="L588" i="16"/>
  <c r="X622" i="17" l="1"/>
  <c r="V622" i="17"/>
  <c r="Y622" i="17"/>
  <c r="M623" i="17"/>
  <c r="F623" i="17"/>
  <c r="Y588" i="16"/>
  <c r="W588" i="16"/>
  <c r="X588" i="16"/>
  <c r="F589" i="16"/>
  <c r="M589" i="16"/>
  <c r="V588" i="16"/>
  <c r="P623" i="17" l="1"/>
  <c r="R623" i="17" s="1"/>
  <c r="N623" i="17"/>
  <c r="O623" i="17"/>
  <c r="I623" i="17"/>
  <c r="K623" i="17" s="1"/>
  <c r="H623" i="17"/>
  <c r="G623" i="17"/>
  <c r="P589" i="16"/>
  <c r="R589" i="16" s="1"/>
  <c r="O589" i="16"/>
  <c r="N589" i="16"/>
  <c r="H589" i="16"/>
  <c r="G589" i="16"/>
  <c r="I589" i="16"/>
  <c r="K589" i="16" s="1"/>
  <c r="U623" i="17" l="1"/>
  <c r="Q623" i="17"/>
  <c r="S623" i="17" s="1"/>
  <c r="J623" i="17"/>
  <c r="L623" i="17" s="1"/>
  <c r="U589" i="16"/>
  <c r="J589" i="16"/>
  <c r="Q589" i="16"/>
  <c r="S589" i="16" s="1"/>
  <c r="W623" i="17" l="1"/>
  <c r="F624" i="17"/>
  <c r="G624" i="17" s="1"/>
  <c r="Y623" i="17"/>
  <c r="T623" i="17"/>
  <c r="V623" i="17" s="1"/>
  <c r="M624" i="17"/>
  <c r="P624" i="17" s="1"/>
  <c r="R624" i="17" s="1"/>
  <c r="X623" i="17"/>
  <c r="T589" i="16"/>
  <c r="L589" i="16"/>
  <c r="I624" i="17" l="1"/>
  <c r="K624" i="17" s="1"/>
  <c r="U624" i="17" s="1"/>
  <c r="H624" i="17"/>
  <c r="N624" i="17"/>
  <c r="O624" i="17"/>
  <c r="Y589" i="16"/>
  <c r="W589" i="16"/>
  <c r="X589" i="16"/>
  <c r="F590" i="16"/>
  <c r="M590" i="16"/>
  <c r="V589" i="16"/>
  <c r="J624" i="17" l="1"/>
  <c r="L624" i="17" s="1"/>
  <c r="W624" i="17" s="1"/>
  <c r="Q624" i="17"/>
  <c r="S624" i="17" s="1"/>
  <c r="O590" i="16"/>
  <c r="N590" i="16"/>
  <c r="P590" i="16"/>
  <c r="R590" i="16" s="1"/>
  <c r="G590" i="16"/>
  <c r="I590" i="16"/>
  <c r="K590" i="16" s="1"/>
  <c r="H590" i="16"/>
  <c r="T624" i="17" l="1"/>
  <c r="Y624" i="17"/>
  <c r="M625" i="17"/>
  <c r="X624" i="17"/>
  <c r="F625" i="17"/>
  <c r="V624" i="17"/>
  <c r="U590" i="16"/>
  <c r="J590" i="16"/>
  <c r="Q590" i="16"/>
  <c r="S590" i="16" s="1"/>
  <c r="H625" i="17" l="1"/>
  <c r="G625" i="17"/>
  <c r="I625" i="17"/>
  <c r="K625" i="17" s="1"/>
  <c r="O625" i="17"/>
  <c r="P625" i="17"/>
  <c r="R625" i="17" s="1"/>
  <c r="N625" i="17"/>
  <c r="T590" i="16"/>
  <c r="L590" i="16"/>
  <c r="Y590" i="16" l="1"/>
  <c r="W590" i="16"/>
  <c r="Q625" i="17"/>
  <c r="S625" i="17" s="1"/>
  <c r="U625" i="17"/>
  <c r="J625" i="17"/>
  <c r="F591" i="16"/>
  <c r="M591" i="16"/>
  <c r="X590" i="16"/>
  <c r="V590" i="16"/>
  <c r="T625" i="17" l="1"/>
  <c r="L625" i="17"/>
  <c r="W625" i="17" s="1"/>
  <c r="N591" i="16"/>
  <c r="P591" i="16"/>
  <c r="R591" i="16" s="1"/>
  <c r="O591" i="16"/>
  <c r="I591" i="16"/>
  <c r="K591" i="16" s="1"/>
  <c r="H591" i="16"/>
  <c r="G591" i="16"/>
  <c r="M626" i="17" l="1"/>
  <c r="P626" i="17" s="1"/>
  <c r="R626" i="17" s="1"/>
  <c r="F626" i="17"/>
  <c r="Y625" i="17"/>
  <c r="X625" i="17"/>
  <c r="V625" i="17"/>
  <c r="U591" i="16"/>
  <c r="J591" i="16"/>
  <c r="Q591" i="16"/>
  <c r="S591" i="16" s="1"/>
  <c r="N626" i="17" l="1"/>
  <c r="O626" i="17"/>
  <c r="H626" i="17"/>
  <c r="G626" i="17"/>
  <c r="I626" i="17"/>
  <c r="K626" i="17" s="1"/>
  <c r="U626" i="17" s="1"/>
  <c r="T591" i="16"/>
  <c r="L591" i="16"/>
  <c r="Q626" i="17" l="1"/>
  <c r="S626" i="17" s="1"/>
  <c r="Y591" i="16"/>
  <c r="W591" i="16"/>
  <c r="J626" i="17"/>
  <c r="M592" i="16"/>
  <c r="X591" i="16"/>
  <c r="F592" i="16"/>
  <c r="V591" i="16"/>
  <c r="T626" i="17" l="1"/>
  <c r="L626" i="17"/>
  <c r="W626" i="17" s="1"/>
  <c r="I592" i="16"/>
  <c r="K592" i="16" s="1"/>
  <c r="H592" i="16"/>
  <c r="G592" i="16"/>
  <c r="P592" i="16"/>
  <c r="R592" i="16" s="1"/>
  <c r="O592" i="16"/>
  <c r="N592" i="16"/>
  <c r="F627" i="17" l="1"/>
  <c r="Y626" i="17"/>
  <c r="M627" i="17"/>
  <c r="X626" i="17"/>
  <c r="V626" i="17"/>
  <c r="Q592" i="16"/>
  <c r="S592" i="16" s="1"/>
  <c r="U592" i="16"/>
  <c r="J592" i="16"/>
  <c r="L592" i="16" s="1"/>
  <c r="W592" i="16" l="1"/>
  <c r="Y592" i="16"/>
  <c r="N627" i="17"/>
  <c r="P627" i="17"/>
  <c r="R627" i="17" s="1"/>
  <c r="O627" i="17"/>
  <c r="H627" i="17"/>
  <c r="G627" i="17"/>
  <c r="I627" i="17"/>
  <c r="K627" i="17" s="1"/>
  <c r="U627" i="17" s="1"/>
  <c r="T592" i="16"/>
  <c r="V592" i="16" s="1"/>
  <c r="X592" i="16"/>
  <c r="F593" i="16"/>
  <c r="M593" i="16"/>
  <c r="J627" i="17" l="1"/>
  <c r="L627" i="17" s="1"/>
  <c r="W627" i="17" s="1"/>
  <c r="Q627" i="17"/>
  <c r="S627" i="17" s="1"/>
  <c r="P593" i="16"/>
  <c r="R593" i="16" s="1"/>
  <c r="O593" i="16"/>
  <c r="N593" i="16"/>
  <c r="H593" i="16"/>
  <c r="G593" i="16"/>
  <c r="I593" i="16"/>
  <c r="K593" i="16" s="1"/>
  <c r="T627" i="17" l="1"/>
  <c r="V627" i="17" s="1"/>
  <c r="X627" i="17"/>
  <c r="M628" i="17"/>
  <c r="Y627" i="17"/>
  <c r="F628" i="17"/>
  <c r="J593" i="16"/>
  <c r="L593" i="16" s="1"/>
  <c r="U593" i="16"/>
  <c r="Q593" i="16"/>
  <c r="S593" i="16" s="1"/>
  <c r="Y593" i="16" l="1"/>
  <c r="W593" i="16"/>
  <c r="N628" i="17"/>
  <c r="P628" i="17"/>
  <c r="R628" i="17" s="1"/>
  <c r="O628" i="17"/>
  <c r="G628" i="17"/>
  <c r="H628" i="17"/>
  <c r="I628" i="17"/>
  <c r="K628" i="17" s="1"/>
  <c r="U628" i="17" s="1"/>
  <c r="T593" i="16"/>
  <c r="V593" i="16" s="1"/>
  <c r="X593" i="16"/>
  <c r="F594" i="16"/>
  <c r="M594" i="16"/>
  <c r="Q628" i="17" l="1"/>
  <c r="S628" i="17" s="1"/>
  <c r="J628" i="17"/>
  <c r="G594" i="16"/>
  <c r="I594" i="16"/>
  <c r="K594" i="16" s="1"/>
  <c r="H594" i="16"/>
  <c r="O594" i="16"/>
  <c r="N594" i="16"/>
  <c r="P594" i="16"/>
  <c r="R594" i="16" s="1"/>
  <c r="T628" i="17" l="1"/>
  <c r="L628" i="17"/>
  <c r="W628" i="17" s="1"/>
  <c r="J594" i="16"/>
  <c r="L594" i="16" s="1"/>
  <c r="U594" i="16"/>
  <c r="Q594" i="16"/>
  <c r="S594" i="16" s="1"/>
  <c r="Y594" i="16" l="1"/>
  <c r="W594" i="16"/>
  <c r="F629" i="17"/>
  <c r="X628" i="17"/>
  <c r="Y628" i="17"/>
  <c r="M629" i="17"/>
  <c r="V628" i="17"/>
  <c r="T594" i="16"/>
  <c r="V594" i="16" s="1"/>
  <c r="F595" i="16"/>
  <c r="M595" i="16"/>
  <c r="X594" i="16"/>
  <c r="O629" i="17" l="1"/>
  <c r="P629" i="17"/>
  <c r="R629" i="17" s="1"/>
  <c r="N629" i="17"/>
  <c r="H629" i="17"/>
  <c r="G629" i="17"/>
  <c r="I629" i="17"/>
  <c r="K629" i="17" s="1"/>
  <c r="I595" i="16"/>
  <c r="K595" i="16" s="1"/>
  <c r="H595" i="16"/>
  <c r="G595" i="16"/>
  <c r="N595" i="16"/>
  <c r="P595" i="16"/>
  <c r="R595" i="16" s="1"/>
  <c r="O595" i="16"/>
  <c r="Q629" i="17" l="1"/>
  <c r="S629" i="17" s="1"/>
  <c r="U629" i="17"/>
  <c r="J629" i="17"/>
  <c r="Q595" i="16"/>
  <c r="S595" i="16" s="1"/>
  <c r="U595" i="16"/>
  <c r="J595" i="16"/>
  <c r="T629" i="17" l="1"/>
  <c r="T595" i="16"/>
  <c r="L629" i="17"/>
  <c r="W629" i="17" s="1"/>
  <c r="L595" i="16"/>
  <c r="V629" i="17" l="1"/>
  <c r="Y595" i="16"/>
  <c r="W595" i="16"/>
  <c r="F630" i="17"/>
  <c r="I630" i="17" s="1"/>
  <c r="K630" i="17" s="1"/>
  <c r="Y629" i="17"/>
  <c r="M630" i="17"/>
  <c r="N630" i="17" s="1"/>
  <c r="X629" i="17"/>
  <c r="M596" i="16"/>
  <c r="X595" i="16"/>
  <c r="F596" i="16"/>
  <c r="V595" i="16"/>
  <c r="H630" i="17" l="1"/>
  <c r="G630" i="17"/>
  <c r="P630" i="17"/>
  <c r="R630" i="17" s="1"/>
  <c r="O630" i="17"/>
  <c r="I596" i="16"/>
  <c r="K596" i="16" s="1"/>
  <c r="H596" i="16"/>
  <c r="G596" i="16"/>
  <c r="P596" i="16"/>
  <c r="R596" i="16" s="1"/>
  <c r="O596" i="16"/>
  <c r="N596" i="16"/>
  <c r="J630" i="17" l="1"/>
  <c r="L630" i="17" s="1"/>
  <c r="W630" i="17" s="1"/>
  <c r="Q630" i="17"/>
  <c r="S630" i="17" s="1"/>
  <c r="U630" i="17"/>
  <c r="U596" i="16"/>
  <c r="Q596" i="16"/>
  <c r="S596" i="16" s="1"/>
  <c r="J596" i="16"/>
  <c r="T630" i="17" l="1"/>
  <c r="V630" i="17" s="1"/>
  <c r="T596" i="16"/>
  <c r="X630" i="17"/>
  <c r="F631" i="17"/>
  <c r="Y630" i="17"/>
  <c r="M631" i="17"/>
  <c r="L596" i="16"/>
  <c r="Y596" i="16" l="1"/>
  <c r="W596" i="16"/>
  <c r="P631" i="17"/>
  <c r="R631" i="17" s="1"/>
  <c r="O631" i="17"/>
  <c r="N631" i="17"/>
  <c r="I631" i="17"/>
  <c r="K631" i="17" s="1"/>
  <c r="G631" i="17"/>
  <c r="H631" i="17"/>
  <c r="X596" i="16"/>
  <c r="F597" i="16"/>
  <c r="M597" i="16"/>
  <c r="V596" i="16"/>
  <c r="U631" i="17" l="1"/>
  <c r="Q631" i="17"/>
  <c r="S631" i="17" s="1"/>
  <c r="J631" i="17"/>
  <c r="P597" i="16"/>
  <c r="R597" i="16" s="1"/>
  <c r="O597" i="16"/>
  <c r="N597" i="16"/>
  <c r="H597" i="16"/>
  <c r="G597" i="16"/>
  <c r="I597" i="16"/>
  <c r="K597" i="16" s="1"/>
  <c r="T631" i="17" l="1"/>
  <c r="L631" i="17"/>
  <c r="W631" i="17" s="1"/>
  <c r="U597" i="16"/>
  <c r="J597" i="16"/>
  <c r="Q597" i="16"/>
  <c r="S597" i="16" s="1"/>
  <c r="X631" i="17" l="1"/>
  <c r="Y631" i="17"/>
  <c r="F632" i="17"/>
  <c r="M632" i="17"/>
  <c r="V631" i="17"/>
  <c r="T597" i="16"/>
  <c r="L597" i="16"/>
  <c r="Y597" i="16" l="1"/>
  <c r="W597" i="16"/>
  <c r="N632" i="17"/>
  <c r="O632" i="17"/>
  <c r="P632" i="17"/>
  <c r="R632" i="17" s="1"/>
  <c r="I632" i="17"/>
  <c r="K632" i="17" s="1"/>
  <c r="H632" i="17"/>
  <c r="G632" i="17"/>
  <c r="X597" i="16"/>
  <c r="F598" i="16"/>
  <c r="M598" i="16"/>
  <c r="V597" i="16"/>
  <c r="J632" i="17" l="1"/>
  <c r="U632" i="17"/>
  <c r="Q632" i="17"/>
  <c r="S632" i="17" s="1"/>
  <c r="O598" i="16"/>
  <c r="N598" i="16"/>
  <c r="P598" i="16"/>
  <c r="R598" i="16" s="1"/>
  <c r="G598" i="16"/>
  <c r="I598" i="16"/>
  <c r="K598" i="16" s="1"/>
  <c r="H598" i="16"/>
  <c r="T632" i="17" l="1"/>
  <c r="L632" i="17"/>
  <c r="W632" i="17" s="1"/>
  <c r="U598" i="16"/>
  <c r="J598" i="16"/>
  <c r="Q598" i="16"/>
  <c r="S598" i="16" s="1"/>
  <c r="Y632" i="17" l="1"/>
  <c r="M633" i="17"/>
  <c r="X632" i="17"/>
  <c r="F633" i="17"/>
  <c r="V632" i="17"/>
  <c r="T598" i="16"/>
  <c r="L598" i="16"/>
  <c r="Y598" i="16" l="1"/>
  <c r="W598" i="16"/>
  <c r="H633" i="17"/>
  <c r="G633" i="17"/>
  <c r="I633" i="17"/>
  <c r="K633" i="17" s="1"/>
  <c r="O633" i="17"/>
  <c r="P633" i="17"/>
  <c r="R633" i="17" s="1"/>
  <c r="N633" i="17"/>
  <c r="F599" i="16"/>
  <c r="M599" i="16"/>
  <c r="X598" i="16"/>
  <c r="V598" i="16"/>
  <c r="Q633" i="17" l="1"/>
  <c r="S633" i="17" s="1"/>
  <c r="J633" i="17"/>
  <c r="L633" i="17" s="1"/>
  <c r="U633" i="17"/>
  <c r="N599" i="16"/>
  <c r="P599" i="16"/>
  <c r="R599" i="16" s="1"/>
  <c r="O599" i="16"/>
  <c r="I599" i="16"/>
  <c r="K599" i="16" s="1"/>
  <c r="H599" i="16"/>
  <c r="G599" i="16"/>
  <c r="W633" i="17" l="1"/>
  <c r="J599" i="16"/>
  <c r="T633" i="17"/>
  <c r="V633" i="17" s="1"/>
  <c r="Y633" i="17"/>
  <c r="X633" i="17"/>
  <c r="M634" i="17"/>
  <c r="F634" i="17"/>
  <c r="U599" i="16"/>
  <c r="Q599" i="16"/>
  <c r="L599" i="16"/>
  <c r="T599" i="16" l="1"/>
  <c r="I634" i="17"/>
  <c r="K634" i="17" s="1"/>
  <c r="H634" i="17"/>
  <c r="G634" i="17"/>
  <c r="O634" i="17"/>
  <c r="P634" i="17"/>
  <c r="R634" i="17" s="1"/>
  <c r="N634" i="17"/>
  <c r="S599" i="16"/>
  <c r="V599" i="16" s="1"/>
  <c r="J634" i="17" l="1"/>
  <c r="W599" i="16"/>
  <c r="Q634" i="17"/>
  <c r="T634" i="17" s="1"/>
  <c r="F600" i="16"/>
  <c r="H600" i="16" s="1"/>
  <c r="L634" i="17"/>
  <c r="M600" i="16"/>
  <c r="O600" i="16" s="1"/>
  <c r="U634" i="17"/>
  <c r="Y599" i="16"/>
  <c r="X599" i="16"/>
  <c r="W634" i="17" l="1"/>
  <c r="I600" i="16"/>
  <c r="K600" i="16" s="1"/>
  <c r="G600" i="16"/>
  <c r="J600" i="16" s="1"/>
  <c r="L600" i="16" s="1"/>
  <c r="S634" i="17"/>
  <c r="V634" i="17" s="1"/>
  <c r="N600" i="16"/>
  <c r="P600" i="16"/>
  <c r="R600" i="16" s="1"/>
  <c r="U600" i="16" l="1"/>
  <c r="X634" i="17"/>
  <c r="F635" i="17"/>
  <c r="G635" i="17" s="1"/>
  <c r="M635" i="17"/>
  <c r="P635" i="17" s="1"/>
  <c r="R635" i="17" s="1"/>
  <c r="Q600" i="16"/>
  <c r="S600" i="16" s="1"/>
  <c r="Y634" i="17"/>
  <c r="I635" i="17" l="1"/>
  <c r="K635" i="17" s="1"/>
  <c r="U635" i="17" s="1"/>
  <c r="H635" i="17"/>
  <c r="T600" i="16"/>
  <c r="V600" i="16" s="1"/>
  <c r="N635" i="17"/>
  <c r="O635" i="17"/>
  <c r="W600" i="16"/>
  <c r="F601" i="16"/>
  <c r="G601" i="16" s="1"/>
  <c r="M601" i="16"/>
  <c r="P601" i="16" s="1"/>
  <c r="R601" i="16" s="1"/>
  <c r="Y600" i="16"/>
  <c r="X600" i="16"/>
  <c r="J635" i="17" l="1"/>
  <c r="L635" i="17" s="1"/>
  <c r="W635" i="17" s="1"/>
  <c r="I601" i="16"/>
  <c r="K601" i="16" s="1"/>
  <c r="U601" i="16" s="1"/>
  <c r="H601" i="16"/>
  <c r="Q635" i="17"/>
  <c r="S635" i="17" s="1"/>
  <c r="O601" i="16"/>
  <c r="N601" i="16"/>
  <c r="J601" i="16" l="1"/>
  <c r="L601" i="16" s="1"/>
  <c r="T635" i="17"/>
  <c r="Q601" i="16"/>
  <c r="S601" i="16" s="1"/>
  <c r="M636" i="17"/>
  <c r="Y635" i="17"/>
  <c r="F636" i="17"/>
  <c r="X635" i="17"/>
  <c r="V635" i="17"/>
  <c r="T601" i="16" l="1"/>
  <c r="Y601" i="16"/>
  <c r="W601" i="16"/>
  <c r="I636" i="17"/>
  <c r="K636" i="17" s="1"/>
  <c r="G636" i="17"/>
  <c r="H636" i="17"/>
  <c r="O636" i="17"/>
  <c r="N636" i="17"/>
  <c r="P636" i="17"/>
  <c r="R636" i="17" s="1"/>
  <c r="X601" i="16"/>
  <c r="F602" i="16"/>
  <c r="M602" i="16"/>
  <c r="V601" i="16"/>
  <c r="Q636" i="17" l="1"/>
  <c r="S636" i="17" s="1"/>
  <c r="J636" i="17"/>
  <c r="U636" i="17"/>
  <c r="O602" i="16"/>
  <c r="N602" i="16"/>
  <c r="P602" i="16"/>
  <c r="R602" i="16" s="1"/>
  <c r="G602" i="16"/>
  <c r="I602" i="16"/>
  <c r="K602" i="16" s="1"/>
  <c r="H602" i="16"/>
  <c r="T636" i="17" l="1"/>
  <c r="L636" i="17"/>
  <c r="W636" i="17" s="1"/>
  <c r="U602" i="16"/>
  <c r="J602" i="16"/>
  <c r="Q602" i="16"/>
  <c r="S602" i="16" s="1"/>
  <c r="Y636" i="17" l="1"/>
  <c r="X636" i="17"/>
  <c r="M637" i="17"/>
  <c r="F637" i="17"/>
  <c r="V636" i="17"/>
  <c r="T602" i="16"/>
  <c r="L602" i="16"/>
  <c r="Y602" i="16" l="1"/>
  <c r="W602" i="16"/>
  <c r="H637" i="17"/>
  <c r="G637" i="17"/>
  <c r="I637" i="17"/>
  <c r="K637" i="17" s="1"/>
  <c r="N637" i="17"/>
  <c r="P637" i="17"/>
  <c r="R637" i="17" s="1"/>
  <c r="O637" i="17"/>
  <c r="F603" i="16"/>
  <c r="M603" i="16"/>
  <c r="X602" i="16"/>
  <c r="V602" i="16"/>
  <c r="J637" i="17" l="1"/>
  <c r="L637" i="17" s="1"/>
  <c r="Q637" i="17"/>
  <c r="U637" i="17"/>
  <c r="N603" i="16"/>
  <c r="P603" i="16"/>
  <c r="R603" i="16" s="1"/>
  <c r="O603" i="16"/>
  <c r="I603" i="16"/>
  <c r="K603" i="16" s="1"/>
  <c r="H603" i="16"/>
  <c r="G603" i="16"/>
  <c r="W637" i="17" l="1"/>
  <c r="T637" i="17"/>
  <c r="J603" i="16"/>
  <c r="L603" i="16" s="1"/>
  <c r="S637" i="17"/>
  <c r="M638" i="17" s="1"/>
  <c r="O638" i="17" s="1"/>
  <c r="U603" i="16"/>
  <c r="Q603" i="16"/>
  <c r="T603" i="16" l="1"/>
  <c r="F638" i="17"/>
  <c r="G638" i="17" s="1"/>
  <c r="X637" i="17"/>
  <c r="Y637" i="17"/>
  <c r="V637" i="17"/>
  <c r="N638" i="17"/>
  <c r="P638" i="17"/>
  <c r="R638" i="17" s="1"/>
  <c r="H638" i="17"/>
  <c r="S603" i="16"/>
  <c r="V603" i="16" s="1"/>
  <c r="I638" i="17" l="1"/>
  <c r="K638" i="17" s="1"/>
  <c r="U638" i="17" s="1"/>
  <c r="W603" i="16"/>
  <c r="Q638" i="17"/>
  <c r="S638" i="17" s="1"/>
  <c r="F604" i="16"/>
  <c r="I604" i="16" s="1"/>
  <c r="K604" i="16" s="1"/>
  <c r="M604" i="16"/>
  <c r="O604" i="16" s="1"/>
  <c r="Y603" i="16"/>
  <c r="J638" i="17"/>
  <c r="T638" i="17" s="1"/>
  <c r="X603" i="16"/>
  <c r="H604" i="16" l="1"/>
  <c r="G604" i="16"/>
  <c r="P604" i="16"/>
  <c r="R604" i="16" s="1"/>
  <c r="U604" i="16" s="1"/>
  <c r="N604" i="16"/>
  <c r="L638" i="17"/>
  <c r="W638" i="17" s="1"/>
  <c r="J604" i="16" l="1"/>
  <c r="L604" i="16" s="1"/>
  <c r="Q604" i="16"/>
  <c r="M639" i="17"/>
  <c r="F639" i="17"/>
  <c r="Y638" i="17"/>
  <c r="X638" i="17"/>
  <c r="V638" i="17"/>
  <c r="T604" i="16" l="1"/>
  <c r="S604" i="16"/>
  <c r="Y604" i="16" s="1"/>
  <c r="H639" i="17"/>
  <c r="G639" i="17"/>
  <c r="I639" i="17"/>
  <c r="K639" i="17" s="1"/>
  <c r="N639" i="17"/>
  <c r="P639" i="17"/>
  <c r="R639" i="17" s="1"/>
  <c r="O639" i="17"/>
  <c r="V604" i="16" l="1"/>
  <c r="M605" i="16"/>
  <c r="P605" i="16" s="1"/>
  <c r="R605" i="16" s="1"/>
  <c r="F605" i="16"/>
  <c r="I605" i="16" s="1"/>
  <c r="K605" i="16" s="1"/>
  <c r="W604" i="16"/>
  <c r="X604" i="16"/>
  <c r="J639" i="17"/>
  <c r="L639" i="17" s="1"/>
  <c r="Q639" i="17"/>
  <c r="U639" i="17"/>
  <c r="O605" i="16" l="1"/>
  <c r="N605" i="16"/>
  <c r="H605" i="16"/>
  <c r="U605" i="16"/>
  <c r="W639" i="17"/>
  <c r="G605" i="16"/>
  <c r="T639" i="17"/>
  <c r="S639" i="17"/>
  <c r="V639" i="17" s="1"/>
  <c r="Q605" i="16" l="1"/>
  <c r="S605" i="16" s="1"/>
  <c r="J605" i="16"/>
  <c r="L605" i="16" s="1"/>
  <c r="W605" i="16" s="1"/>
  <c r="Y639" i="17"/>
  <c r="M640" i="17"/>
  <c r="O640" i="17" s="1"/>
  <c r="X639" i="17"/>
  <c r="F640" i="17"/>
  <c r="I640" i="17" s="1"/>
  <c r="K640" i="17" s="1"/>
  <c r="T605" i="16" l="1"/>
  <c r="V605" i="16" s="1"/>
  <c r="Y605" i="16"/>
  <c r="M606" i="16"/>
  <c r="N606" i="16" s="1"/>
  <c r="X605" i="16"/>
  <c r="N640" i="17"/>
  <c r="P640" i="17"/>
  <c r="R640" i="17" s="1"/>
  <c r="U640" i="17" s="1"/>
  <c r="F606" i="16"/>
  <c r="G606" i="16" s="1"/>
  <c r="G640" i="17"/>
  <c r="H640" i="17"/>
  <c r="P606" i="16" l="1"/>
  <c r="R606" i="16" s="1"/>
  <c r="O606" i="16"/>
  <c r="I606" i="16"/>
  <c r="K606" i="16" s="1"/>
  <c r="U606" i="16" s="1"/>
  <c r="Q640" i="17"/>
  <c r="S640" i="17" s="1"/>
  <c r="H606" i="16"/>
  <c r="J640" i="17"/>
  <c r="Q606" i="16"/>
  <c r="J606" i="16" l="1"/>
  <c r="L606" i="16" s="1"/>
  <c r="S606" i="16"/>
  <c r="T640" i="17"/>
  <c r="L640" i="17"/>
  <c r="W640" i="17" s="1"/>
  <c r="T606" i="16" l="1"/>
  <c r="V640" i="17"/>
  <c r="M641" i="17"/>
  <c r="N641" i="17" s="1"/>
  <c r="Y640" i="17"/>
  <c r="X640" i="17"/>
  <c r="F641" i="17"/>
  <c r="H641" i="17" s="1"/>
  <c r="Y606" i="16"/>
  <c r="W606" i="16"/>
  <c r="F607" i="16"/>
  <c r="M607" i="16"/>
  <c r="X606" i="16"/>
  <c r="V606" i="16"/>
  <c r="P641" i="17" l="1"/>
  <c r="R641" i="17" s="1"/>
  <c r="O641" i="17"/>
  <c r="I641" i="17"/>
  <c r="K641" i="17" s="1"/>
  <c r="U641" i="17" s="1"/>
  <c r="G641" i="17"/>
  <c r="N607" i="16"/>
  <c r="P607" i="16"/>
  <c r="R607" i="16" s="1"/>
  <c r="O607" i="16"/>
  <c r="I607" i="16"/>
  <c r="K607" i="16" s="1"/>
  <c r="H607" i="16"/>
  <c r="G607" i="16"/>
  <c r="Q641" i="17" l="1"/>
  <c r="S641" i="17" s="1"/>
  <c r="J641" i="17"/>
  <c r="L641" i="17" s="1"/>
  <c r="W641" i="17" s="1"/>
  <c r="J607" i="16"/>
  <c r="U607" i="16"/>
  <c r="Q607" i="16"/>
  <c r="S607" i="16" s="1"/>
  <c r="T641" i="17" l="1"/>
  <c r="V641" i="17" s="1"/>
  <c r="F642" i="17"/>
  <c r="I642" i="17" s="1"/>
  <c r="K642" i="17" s="1"/>
  <c r="Y641" i="17"/>
  <c r="M642" i="17"/>
  <c r="N642" i="17" s="1"/>
  <c r="X641" i="17"/>
  <c r="T607" i="16"/>
  <c r="L607" i="16"/>
  <c r="Y607" i="16" l="1"/>
  <c r="W607" i="16"/>
  <c r="G642" i="17"/>
  <c r="P642" i="17"/>
  <c r="R642" i="17" s="1"/>
  <c r="U642" i="17" s="1"/>
  <c r="O642" i="17"/>
  <c r="Q642" i="17" s="1"/>
  <c r="S642" i="17" s="1"/>
  <c r="H642" i="17"/>
  <c r="M608" i="16"/>
  <c r="X607" i="16"/>
  <c r="F608" i="16"/>
  <c r="V607" i="16"/>
  <c r="J642" i="17" l="1"/>
  <c r="T642" i="17" s="1"/>
  <c r="I608" i="16"/>
  <c r="K608" i="16" s="1"/>
  <c r="H608" i="16"/>
  <c r="G608" i="16"/>
  <c r="O608" i="16"/>
  <c r="N608" i="16"/>
  <c r="P608" i="16"/>
  <c r="R608" i="16" s="1"/>
  <c r="L642" i="17" l="1"/>
  <c r="X642" i="17" s="1"/>
  <c r="J608" i="16"/>
  <c r="L608" i="16" s="1"/>
  <c r="U608" i="16"/>
  <c r="Q608" i="16"/>
  <c r="V642" i="17" l="1"/>
  <c r="M643" i="17"/>
  <c r="P643" i="17" s="1"/>
  <c r="R643" i="17" s="1"/>
  <c r="Y642" i="17"/>
  <c r="W642" i="17"/>
  <c r="F643" i="17"/>
  <c r="O643" i="17"/>
  <c r="N643" i="17"/>
  <c r="T608" i="16"/>
  <c r="S608" i="16"/>
  <c r="Q643" i="17" l="1"/>
  <c r="S643" i="17" s="1"/>
  <c r="V608" i="16"/>
  <c r="G643" i="17"/>
  <c r="H643" i="17"/>
  <c r="I643" i="17"/>
  <c r="K643" i="17" s="1"/>
  <c r="U643" i="17" s="1"/>
  <c r="W608" i="16"/>
  <c r="F609" i="16"/>
  <c r="H609" i="16" s="1"/>
  <c r="M609" i="16"/>
  <c r="P609" i="16" s="1"/>
  <c r="R609" i="16" s="1"/>
  <c r="Y608" i="16"/>
  <c r="X608" i="16"/>
  <c r="J643" i="17" l="1"/>
  <c r="T643" i="17" s="1"/>
  <c r="G609" i="16"/>
  <c r="I609" i="16"/>
  <c r="K609" i="16" s="1"/>
  <c r="U609" i="16" s="1"/>
  <c r="N609" i="16"/>
  <c r="O609" i="16"/>
  <c r="J609" i="16" l="1"/>
  <c r="L609" i="16" s="1"/>
  <c r="L643" i="17"/>
  <c r="W643" i="17" s="1"/>
  <c r="Q609" i="16"/>
  <c r="S609" i="16" s="1"/>
  <c r="F644" i="17" l="1"/>
  <c r="I644" i="17" s="1"/>
  <c r="K644" i="17" s="1"/>
  <c r="V643" i="17"/>
  <c r="M644" i="17"/>
  <c r="Y643" i="17"/>
  <c r="X643" i="17"/>
  <c r="T609" i="16"/>
  <c r="V609" i="16" s="1"/>
  <c r="X609" i="16"/>
  <c r="Y609" i="16"/>
  <c r="W609" i="16"/>
  <c r="F610" i="16"/>
  <c r="G610" i="16" s="1"/>
  <c r="M610" i="16"/>
  <c r="O610" i="16" s="1"/>
  <c r="H644" i="17" l="1"/>
  <c r="G644" i="17"/>
  <c r="J644" i="17" s="1"/>
  <c r="L644" i="17" s="1"/>
  <c r="O644" i="17"/>
  <c r="N644" i="17"/>
  <c r="P644" i="17"/>
  <c r="R644" i="17" s="1"/>
  <c r="U644" i="17" s="1"/>
  <c r="H610" i="16"/>
  <c r="I610" i="16"/>
  <c r="K610" i="16" s="1"/>
  <c r="P610" i="16"/>
  <c r="R610" i="16" s="1"/>
  <c r="N610" i="16"/>
  <c r="J610" i="16" l="1"/>
  <c r="L610" i="16" s="1"/>
  <c r="Q644" i="17"/>
  <c r="U610" i="16"/>
  <c r="Q610" i="16"/>
  <c r="S610" i="16" s="1"/>
  <c r="S644" i="17" l="1"/>
  <c r="T644" i="17"/>
  <c r="T610" i="16"/>
  <c r="Y610" i="16"/>
  <c r="W610" i="16"/>
  <c r="F611" i="16"/>
  <c r="M611" i="16"/>
  <c r="X610" i="16"/>
  <c r="V610" i="16"/>
  <c r="M645" i="17" l="1"/>
  <c r="W644" i="17"/>
  <c r="Y644" i="17"/>
  <c r="F645" i="17"/>
  <c r="V644" i="17"/>
  <c r="X644" i="17"/>
  <c r="N611" i="16"/>
  <c r="P611" i="16"/>
  <c r="R611" i="16" s="1"/>
  <c r="O611" i="16"/>
  <c r="I611" i="16"/>
  <c r="K611" i="16" s="1"/>
  <c r="H611" i="16"/>
  <c r="G611" i="16"/>
  <c r="I645" i="17" l="1"/>
  <c r="K645" i="17" s="1"/>
  <c r="H645" i="17"/>
  <c r="G645" i="17"/>
  <c r="J645" i="17" s="1"/>
  <c r="N645" i="17"/>
  <c r="P645" i="17"/>
  <c r="R645" i="17" s="1"/>
  <c r="O645" i="17"/>
  <c r="J611" i="16"/>
  <c r="Q611" i="16"/>
  <c r="S611" i="16" s="1"/>
  <c r="U611" i="16"/>
  <c r="Q645" i="17" l="1"/>
  <c r="S645" i="17" s="1"/>
  <c r="L645" i="17"/>
  <c r="U645" i="17"/>
  <c r="T611" i="16"/>
  <c r="L611" i="16"/>
  <c r="T645" i="17" l="1"/>
  <c r="W645" i="17"/>
  <c r="V645" i="17"/>
  <c r="X645" i="17"/>
  <c r="Y645" i="17"/>
  <c r="M646" i="17"/>
  <c r="F646" i="17"/>
  <c r="Y611" i="16"/>
  <c r="W611" i="16"/>
  <c r="M612" i="16"/>
  <c r="X611" i="16"/>
  <c r="F612" i="16"/>
  <c r="V611" i="16"/>
  <c r="G646" i="17" l="1"/>
  <c r="I646" i="17"/>
  <c r="K646" i="17" s="1"/>
  <c r="H646" i="17"/>
  <c r="N646" i="17"/>
  <c r="P646" i="17"/>
  <c r="R646" i="17" s="1"/>
  <c r="O646" i="17"/>
  <c r="I612" i="16"/>
  <c r="K612" i="16" s="1"/>
  <c r="H612" i="16"/>
  <c r="G612" i="16"/>
  <c r="O612" i="16"/>
  <c r="N612" i="16"/>
  <c r="P612" i="16"/>
  <c r="R612" i="16" s="1"/>
  <c r="Q646" i="17" l="1"/>
  <c r="S646" i="17" s="1"/>
  <c r="U646" i="17"/>
  <c r="J646" i="17"/>
  <c r="Q612" i="16"/>
  <c r="S612" i="16" s="1"/>
  <c r="J612" i="16"/>
  <c r="U612" i="16"/>
  <c r="L646" i="17" l="1"/>
  <c r="T646" i="17"/>
  <c r="T612" i="16"/>
  <c r="L612" i="16"/>
  <c r="W612" i="16" s="1"/>
  <c r="V646" i="17" l="1"/>
  <c r="X646" i="17"/>
  <c r="Y646" i="17"/>
  <c r="M647" i="17"/>
  <c r="F647" i="17"/>
  <c r="W646" i="17"/>
  <c r="V612" i="16"/>
  <c r="Y612" i="16"/>
  <c r="F613" i="16"/>
  <c r="G613" i="16" s="1"/>
  <c r="X612" i="16"/>
  <c r="M613" i="16"/>
  <c r="O613" i="16" s="1"/>
  <c r="G647" i="17" l="1"/>
  <c r="I647" i="17"/>
  <c r="K647" i="17" s="1"/>
  <c r="H647" i="17"/>
  <c r="J647" i="17" s="1"/>
  <c r="O647" i="17"/>
  <c r="Q647" i="17" s="1"/>
  <c r="N647" i="17"/>
  <c r="P647" i="17"/>
  <c r="R647" i="17" s="1"/>
  <c r="H613" i="16"/>
  <c r="I613" i="16"/>
  <c r="K613" i="16" s="1"/>
  <c r="N613" i="16"/>
  <c r="P613" i="16"/>
  <c r="R613" i="16" s="1"/>
  <c r="S647" i="17" l="1"/>
  <c r="U647" i="17"/>
  <c r="L647" i="17"/>
  <c r="T647" i="17"/>
  <c r="V647" i="17" s="1"/>
  <c r="Q613" i="16"/>
  <c r="S613" i="16" s="1"/>
  <c r="U613" i="16"/>
  <c r="J613" i="16"/>
  <c r="W647" i="17" l="1"/>
  <c r="X647" i="17"/>
  <c r="Y647" i="17"/>
  <c r="F648" i="17"/>
  <c r="M648" i="17"/>
  <c r="T613" i="16"/>
  <c r="L613" i="16"/>
  <c r="G648" i="17" l="1"/>
  <c r="H648" i="17"/>
  <c r="I648" i="17"/>
  <c r="K648" i="17" s="1"/>
  <c r="P648" i="17"/>
  <c r="R648" i="17" s="1"/>
  <c r="O648" i="17"/>
  <c r="N648" i="17"/>
  <c r="Y613" i="16"/>
  <c r="W613" i="16"/>
  <c r="M614" i="16"/>
  <c r="O614" i="16" s="1"/>
  <c r="V613" i="16"/>
  <c r="F614" i="16"/>
  <c r="H614" i="16" s="1"/>
  <c r="X613" i="16"/>
  <c r="U648" i="17" l="1"/>
  <c r="Q648" i="17"/>
  <c r="S648" i="17" s="1"/>
  <c r="J648" i="17"/>
  <c r="N614" i="16"/>
  <c r="P614" i="16"/>
  <c r="R614" i="16" s="1"/>
  <c r="I614" i="16"/>
  <c r="K614" i="16" s="1"/>
  <c r="G614" i="16"/>
  <c r="L648" i="17" l="1"/>
  <c r="T648" i="17"/>
  <c r="U614" i="16"/>
  <c r="J614" i="16"/>
  <c r="L614" i="16" s="1"/>
  <c r="Q614" i="16"/>
  <c r="S614" i="16" s="1"/>
  <c r="V648" i="17" l="1"/>
  <c r="W648" i="17"/>
  <c r="M649" i="17"/>
  <c r="F649" i="17"/>
  <c r="Y648" i="17"/>
  <c r="X648" i="17"/>
  <c r="T614" i="16"/>
  <c r="Y614" i="16"/>
  <c r="W614" i="16"/>
  <c r="X614" i="16"/>
  <c r="F615" i="16"/>
  <c r="M615" i="16"/>
  <c r="V614" i="16"/>
  <c r="I649" i="17" l="1"/>
  <c r="K649" i="17" s="1"/>
  <c r="H649" i="17"/>
  <c r="G649" i="17"/>
  <c r="J649" i="17" s="1"/>
  <c r="N649" i="17"/>
  <c r="P649" i="17"/>
  <c r="R649" i="17" s="1"/>
  <c r="U649" i="17" s="1"/>
  <c r="O649" i="17"/>
  <c r="O615" i="16"/>
  <c r="N615" i="16"/>
  <c r="P615" i="16"/>
  <c r="R615" i="16" s="1"/>
  <c r="G615" i="16"/>
  <c r="I615" i="16"/>
  <c r="K615" i="16" s="1"/>
  <c r="H615" i="16"/>
  <c r="Q649" i="17" l="1"/>
  <c r="S649" i="17" s="1"/>
  <c r="L649" i="17"/>
  <c r="F650" i="17" s="1"/>
  <c r="U615" i="16"/>
  <c r="J615" i="16"/>
  <c r="Q615" i="16"/>
  <c r="S615" i="16" s="1"/>
  <c r="T649" i="17" l="1"/>
  <c r="V649" i="17" s="1"/>
  <c r="I650" i="17"/>
  <c r="K650" i="17" s="1"/>
  <c r="G650" i="17"/>
  <c r="H650" i="17"/>
  <c r="W649" i="17"/>
  <c r="Y649" i="17"/>
  <c r="X649" i="17"/>
  <c r="M650" i="17"/>
  <c r="T615" i="16"/>
  <c r="L615" i="16"/>
  <c r="J650" i="17" l="1"/>
  <c r="L650" i="17" s="1"/>
  <c r="O650" i="17"/>
  <c r="P650" i="17"/>
  <c r="R650" i="17" s="1"/>
  <c r="U650" i="17" s="1"/>
  <c r="N650" i="17"/>
  <c r="Y615" i="16"/>
  <c r="W615" i="16"/>
  <c r="F616" i="16"/>
  <c r="M616" i="16"/>
  <c r="X615" i="16"/>
  <c r="V615" i="16"/>
  <c r="Q650" i="17" l="1"/>
  <c r="S650" i="17" s="1"/>
  <c r="M651" i="17" s="1"/>
  <c r="W650" i="17"/>
  <c r="Y650" i="17"/>
  <c r="T650" i="17"/>
  <c r="V650" i="17" s="1"/>
  <c r="N616" i="16"/>
  <c r="P616" i="16"/>
  <c r="R616" i="16" s="1"/>
  <c r="O616" i="16"/>
  <c r="I616" i="16"/>
  <c r="K616" i="16" s="1"/>
  <c r="H616" i="16"/>
  <c r="G616" i="16"/>
  <c r="X650" i="17" l="1"/>
  <c r="F651" i="17"/>
  <c r="I651" i="17" s="1"/>
  <c r="K651" i="17" s="1"/>
  <c r="N651" i="17"/>
  <c r="P651" i="17"/>
  <c r="R651" i="17" s="1"/>
  <c r="O651" i="17"/>
  <c r="Q651" i="17" s="1"/>
  <c r="S651" i="17" s="1"/>
  <c r="G651" i="17"/>
  <c r="J616" i="16"/>
  <c r="L616" i="16" s="1"/>
  <c r="U616" i="16"/>
  <c r="Q616" i="16"/>
  <c r="S616" i="16" s="1"/>
  <c r="H651" i="17" l="1"/>
  <c r="J651" i="17" s="1"/>
  <c r="U651" i="17"/>
  <c r="W616" i="16"/>
  <c r="Y616" i="16"/>
  <c r="M617" i="16"/>
  <c r="X616" i="16"/>
  <c r="F617" i="16"/>
  <c r="T616" i="16"/>
  <c r="V616" i="16" s="1"/>
  <c r="T651" i="17" l="1"/>
  <c r="L651" i="17"/>
  <c r="W651" i="17"/>
  <c r="F652" i="17"/>
  <c r="M652" i="17"/>
  <c r="Y651" i="17"/>
  <c r="V651" i="17"/>
  <c r="X651" i="17"/>
  <c r="I617" i="16"/>
  <c r="K617" i="16" s="1"/>
  <c r="H617" i="16"/>
  <c r="G617" i="16"/>
  <c r="P617" i="16"/>
  <c r="R617" i="16" s="1"/>
  <c r="O617" i="16"/>
  <c r="N617" i="16"/>
  <c r="N652" i="17" l="1"/>
  <c r="P652" i="17"/>
  <c r="R652" i="17" s="1"/>
  <c r="O652" i="17"/>
  <c r="H652" i="17"/>
  <c r="G652" i="17"/>
  <c r="I652" i="17"/>
  <c r="K652" i="17" s="1"/>
  <c r="U652" i="17" s="1"/>
  <c r="U617" i="16"/>
  <c r="Q617" i="16"/>
  <c r="S617" i="16" s="1"/>
  <c r="J617" i="16"/>
  <c r="J652" i="17" l="1"/>
  <c r="L652" i="17" s="1"/>
  <c r="Q652" i="17"/>
  <c r="S652" i="17" s="1"/>
  <c r="T617" i="16"/>
  <c r="L617" i="16"/>
  <c r="W652" i="17" l="1"/>
  <c r="Y652" i="17"/>
  <c r="F653" i="17"/>
  <c r="M653" i="17"/>
  <c r="O653" i="17" s="1"/>
  <c r="X652" i="17"/>
  <c r="T652" i="17"/>
  <c r="V652" i="17" s="1"/>
  <c r="Y617" i="16"/>
  <c r="W617" i="16"/>
  <c r="G653" i="17"/>
  <c r="I653" i="17"/>
  <c r="K653" i="17" s="1"/>
  <c r="H653" i="17"/>
  <c r="X617" i="16"/>
  <c r="F618" i="16"/>
  <c r="M618" i="16"/>
  <c r="V617" i="16"/>
  <c r="N653" i="17" l="1"/>
  <c r="P653" i="17"/>
  <c r="R653" i="17" s="1"/>
  <c r="U653" i="17" s="1"/>
  <c r="J653" i="17"/>
  <c r="L653" i="17" s="1"/>
  <c r="W653" i="17" s="1"/>
  <c r="Q653" i="17"/>
  <c r="S653" i="17" s="1"/>
  <c r="H618" i="16"/>
  <c r="G618" i="16"/>
  <c r="I618" i="16"/>
  <c r="K618" i="16" s="1"/>
  <c r="P618" i="16"/>
  <c r="R618" i="16" s="1"/>
  <c r="O618" i="16"/>
  <c r="N618" i="16"/>
  <c r="F654" i="17" l="1"/>
  <c r="G654" i="17" s="1"/>
  <c r="T653" i="17"/>
  <c r="V653" i="17" s="1"/>
  <c r="Y653" i="17"/>
  <c r="Q618" i="16"/>
  <c r="S618" i="16" s="1"/>
  <c r="X653" i="17"/>
  <c r="M654" i="17"/>
  <c r="U618" i="16"/>
  <c r="J618" i="16"/>
  <c r="T618" i="16" l="1"/>
  <c r="H654" i="17"/>
  <c r="I654" i="17"/>
  <c r="K654" i="17" s="1"/>
  <c r="P654" i="17"/>
  <c r="R654" i="17" s="1"/>
  <c r="O654" i="17"/>
  <c r="N654" i="17"/>
  <c r="L618" i="16"/>
  <c r="Y618" i="16" l="1"/>
  <c r="W618" i="16"/>
  <c r="Q654" i="17"/>
  <c r="S654" i="17" s="1"/>
  <c r="U654" i="17"/>
  <c r="J654" i="17"/>
  <c r="L654" i="17" s="1"/>
  <c r="W654" i="17" s="1"/>
  <c r="X618" i="16"/>
  <c r="F619" i="16"/>
  <c r="M619" i="16"/>
  <c r="V618" i="16"/>
  <c r="T654" i="17" l="1"/>
  <c r="F655" i="17"/>
  <c r="M655" i="17"/>
  <c r="Y654" i="17"/>
  <c r="X654" i="17"/>
  <c r="V654" i="17"/>
  <c r="O619" i="16"/>
  <c r="N619" i="16"/>
  <c r="P619" i="16"/>
  <c r="R619" i="16" s="1"/>
  <c r="G619" i="16"/>
  <c r="I619" i="16"/>
  <c r="K619" i="16" s="1"/>
  <c r="H619" i="16"/>
  <c r="O655" i="17" l="1"/>
  <c r="N655" i="17"/>
  <c r="P655" i="17"/>
  <c r="R655" i="17" s="1"/>
  <c r="G655" i="17"/>
  <c r="I655" i="17"/>
  <c r="K655" i="17" s="1"/>
  <c r="H655" i="17"/>
  <c r="U619" i="16"/>
  <c r="J619" i="16"/>
  <c r="Q619" i="16"/>
  <c r="S619" i="16" s="1"/>
  <c r="U655" i="17" l="1"/>
  <c r="J655" i="17"/>
  <c r="L655" i="17" s="1"/>
  <c r="Q655" i="17"/>
  <c r="T619" i="16"/>
  <c r="L619" i="16"/>
  <c r="Y619" i="16" l="1"/>
  <c r="W619" i="16"/>
  <c r="T655" i="17"/>
  <c r="S655" i="17"/>
  <c r="W655" i="17" s="1"/>
  <c r="F620" i="16"/>
  <c r="M620" i="16"/>
  <c r="X619" i="16"/>
  <c r="V619" i="16"/>
  <c r="Y655" i="17" l="1"/>
  <c r="X655" i="17"/>
  <c r="V655" i="17"/>
  <c r="F656" i="17"/>
  <c r="M656" i="17"/>
  <c r="N620" i="16"/>
  <c r="P620" i="16"/>
  <c r="R620" i="16" s="1"/>
  <c r="O620" i="16"/>
  <c r="I620" i="16"/>
  <c r="K620" i="16" s="1"/>
  <c r="H620" i="16"/>
  <c r="G620" i="16"/>
  <c r="N656" i="17" l="1"/>
  <c r="P656" i="17"/>
  <c r="R656" i="17" s="1"/>
  <c r="O656" i="17"/>
  <c r="H656" i="17"/>
  <c r="G656" i="17"/>
  <c r="I656" i="17"/>
  <c r="K656" i="17" s="1"/>
  <c r="U656" i="17" s="1"/>
  <c r="Q620" i="16"/>
  <c r="S620" i="16" s="1"/>
  <c r="U620" i="16"/>
  <c r="J620" i="16"/>
  <c r="J656" i="17" l="1"/>
  <c r="Q656" i="17"/>
  <c r="S656" i="17" s="1"/>
  <c r="T620" i="16"/>
  <c r="L620" i="16"/>
  <c r="Y620" i="16" l="1"/>
  <c r="W620" i="16"/>
  <c r="T656" i="17"/>
  <c r="L656" i="17"/>
  <c r="W656" i="17" s="1"/>
  <c r="Y656" i="17"/>
  <c r="M621" i="16"/>
  <c r="X620" i="16"/>
  <c r="F621" i="16"/>
  <c r="V620" i="16"/>
  <c r="X656" i="17" l="1"/>
  <c r="M657" i="17"/>
  <c r="N657" i="17" s="1"/>
  <c r="V656" i="17"/>
  <c r="F657" i="17"/>
  <c r="G657" i="17" s="1"/>
  <c r="I621" i="16"/>
  <c r="K621" i="16" s="1"/>
  <c r="H621" i="16"/>
  <c r="G621" i="16"/>
  <c r="P621" i="16"/>
  <c r="R621" i="16" s="1"/>
  <c r="O621" i="16"/>
  <c r="N621" i="16"/>
  <c r="O657" i="17" l="1"/>
  <c r="P657" i="17"/>
  <c r="R657" i="17" s="1"/>
  <c r="H657" i="17"/>
  <c r="I657" i="17"/>
  <c r="K657" i="17" s="1"/>
  <c r="U621" i="16"/>
  <c r="Q621" i="16"/>
  <c r="S621" i="16" s="1"/>
  <c r="J621" i="16"/>
  <c r="U657" i="17" l="1"/>
  <c r="Q657" i="17"/>
  <c r="S657" i="17" s="1"/>
  <c r="J657" i="17"/>
  <c r="L657" i="17" s="1"/>
  <c r="W657" i="17" s="1"/>
  <c r="T621" i="16"/>
  <c r="L621" i="16"/>
  <c r="Y621" i="16" l="1"/>
  <c r="W621" i="16"/>
  <c r="X657" i="17"/>
  <c r="Y657" i="17"/>
  <c r="M658" i="17"/>
  <c r="P658" i="17" s="1"/>
  <c r="R658" i="17" s="1"/>
  <c r="T657" i="17"/>
  <c r="V657" i="17" s="1"/>
  <c r="F658" i="17"/>
  <c r="I658" i="17" s="1"/>
  <c r="K658" i="17" s="1"/>
  <c r="X621" i="16"/>
  <c r="F622" i="16"/>
  <c r="M622" i="16"/>
  <c r="V621" i="16"/>
  <c r="O658" i="17" l="1"/>
  <c r="N658" i="17"/>
  <c r="U658" i="17"/>
  <c r="G658" i="17"/>
  <c r="H658" i="17"/>
  <c r="P622" i="16"/>
  <c r="R622" i="16" s="1"/>
  <c r="O622" i="16"/>
  <c r="N622" i="16"/>
  <c r="H622" i="16"/>
  <c r="G622" i="16"/>
  <c r="I622" i="16"/>
  <c r="K622" i="16" s="1"/>
  <c r="Q658" i="17" l="1"/>
  <c r="S658" i="17" s="1"/>
  <c r="J658" i="17"/>
  <c r="U622" i="16"/>
  <c r="J622" i="16"/>
  <c r="Q622" i="16"/>
  <c r="S622" i="16" s="1"/>
  <c r="L658" i="17" l="1"/>
  <c r="W658" i="17" s="1"/>
  <c r="T658" i="17"/>
  <c r="T622" i="16"/>
  <c r="L622" i="16"/>
  <c r="Y622" i="16" l="1"/>
  <c r="W622" i="16"/>
  <c r="V658" i="17"/>
  <c r="M659" i="17"/>
  <c r="F659" i="17"/>
  <c r="Y658" i="17"/>
  <c r="X658" i="17"/>
  <c r="X622" i="16"/>
  <c r="F623" i="16"/>
  <c r="M623" i="16"/>
  <c r="V622" i="16"/>
  <c r="I659" i="17" l="1"/>
  <c r="K659" i="17" s="1"/>
  <c r="H659" i="17"/>
  <c r="G659" i="17"/>
  <c r="O659" i="17"/>
  <c r="P659" i="17"/>
  <c r="R659" i="17" s="1"/>
  <c r="N659" i="17"/>
  <c r="O623" i="16"/>
  <c r="N623" i="16"/>
  <c r="P623" i="16"/>
  <c r="R623" i="16" s="1"/>
  <c r="G623" i="16"/>
  <c r="I623" i="16"/>
  <c r="K623" i="16" s="1"/>
  <c r="H623" i="16"/>
  <c r="J659" i="17" l="1"/>
  <c r="L659" i="17" s="1"/>
  <c r="W659" i="17" s="1"/>
  <c r="Q659" i="17"/>
  <c r="S659" i="17" s="1"/>
  <c r="U659" i="17"/>
  <c r="U623" i="16"/>
  <c r="J623" i="16"/>
  <c r="Q623" i="16"/>
  <c r="S623" i="16" s="1"/>
  <c r="T659" i="17" l="1"/>
  <c r="V659" i="17" s="1"/>
  <c r="X659" i="17"/>
  <c r="Y659" i="17"/>
  <c r="M660" i="17"/>
  <c r="F660" i="17"/>
  <c r="T623" i="16"/>
  <c r="L623" i="16"/>
  <c r="Y623" i="16" l="1"/>
  <c r="W623" i="16"/>
  <c r="N660" i="17"/>
  <c r="O660" i="17"/>
  <c r="P660" i="17"/>
  <c r="R660" i="17" s="1"/>
  <c r="H660" i="17"/>
  <c r="G660" i="17"/>
  <c r="I660" i="17"/>
  <c r="K660" i="17" s="1"/>
  <c r="F624" i="16"/>
  <c r="M624" i="16"/>
  <c r="X623" i="16"/>
  <c r="V623" i="16"/>
  <c r="U660" i="17" l="1"/>
  <c r="J660" i="17"/>
  <c r="L660" i="17" s="1"/>
  <c r="W660" i="17" s="1"/>
  <c r="Q660" i="17"/>
  <c r="S660" i="17" s="1"/>
  <c r="N624" i="16"/>
  <c r="P624" i="16"/>
  <c r="R624" i="16" s="1"/>
  <c r="O624" i="16"/>
  <c r="I624" i="16"/>
  <c r="K624" i="16" s="1"/>
  <c r="H624" i="16"/>
  <c r="G624" i="16"/>
  <c r="T660" i="17" l="1"/>
  <c r="F661" i="17"/>
  <c r="M661" i="17"/>
  <c r="V660" i="17"/>
  <c r="Y660" i="17"/>
  <c r="X660" i="17"/>
  <c r="Q624" i="16"/>
  <c r="S624" i="16" s="1"/>
  <c r="U624" i="16"/>
  <c r="J624" i="16"/>
  <c r="P661" i="17" l="1"/>
  <c r="R661" i="17" s="1"/>
  <c r="O661" i="17"/>
  <c r="N661" i="17"/>
  <c r="I661" i="17"/>
  <c r="K661" i="17" s="1"/>
  <c r="G661" i="17"/>
  <c r="H661" i="17"/>
  <c r="T624" i="16"/>
  <c r="L624" i="16"/>
  <c r="J661" i="17" l="1"/>
  <c r="Q661" i="17"/>
  <c r="S661" i="17" s="1"/>
  <c r="Y624" i="16"/>
  <c r="W624" i="16"/>
  <c r="L661" i="17"/>
  <c r="W661" i="17" s="1"/>
  <c r="U661" i="17"/>
  <c r="F662" i="17"/>
  <c r="M625" i="16"/>
  <c r="X624" i="16"/>
  <c r="F625" i="16"/>
  <c r="V624" i="16"/>
  <c r="T661" i="17" l="1"/>
  <c r="X661" i="17"/>
  <c r="M662" i="17"/>
  <c r="O662" i="17" s="1"/>
  <c r="Y661" i="17"/>
  <c r="V661" i="17"/>
  <c r="H662" i="17"/>
  <c r="G662" i="17"/>
  <c r="I662" i="17"/>
  <c r="K662" i="17" s="1"/>
  <c r="I625" i="16"/>
  <c r="K625" i="16" s="1"/>
  <c r="H625" i="16"/>
  <c r="G625" i="16"/>
  <c r="P625" i="16"/>
  <c r="R625" i="16" s="1"/>
  <c r="O625" i="16"/>
  <c r="N625" i="16"/>
  <c r="N662" i="17" l="1"/>
  <c r="P662" i="17"/>
  <c r="J662" i="17"/>
  <c r="Q625" i="16"/>
  <c r="S625" i="16" s="1"/>
  <c r="U625" i="16"/>
  <c r="J625" i="16"/>
  <c r="Q662" i="17" l="1"/>
  <c r="T662" i="17" s="1"/>
  <c r="R662" i="17"/>
  <c r="U662" i="17" s="1"/>
  <c r="T625" i="16"/>
  <c r="L662" i="17"/>
  <c r="L625" i="16"/>
  <c r="S662" i="17" l="1"/>
  <c r="W662" i="17" s="1"/>
  <c r="Y625" i="16"/>
  <c r="W625" i="16"/>
  <c r="F663" i="17"/>
  <c r="X625" i="16"/>
  <c r="F626" i="16"/>
  <c r="M626" i="16"/>
  <c r="V625" i="16"/>
  <c r="M663" i="17" l="1"/>
  <c r="O663" i="17" s="1"/>
  <c r="Y662" i="17"/>
  <c r="V662" i="17"/>
  <c r="X662" i="17"/>
  <c r="G663" i="17"/>
  <c r="I663" i="17"/>
  <c r="K663" i="17" s="1"/>
  <c r="H663" i="17"/>
  <c r="H626" i="16"/>
  <c r="G626" i="16"/>
  <c r="I626" i="16"/>
  <c r="K626" i="16" s="1"/>
  <c r="P626" i="16"/>
  <c r="R626" i="16" s="1"/>
  <c r="O626" i="16"/>
  <c r="N626" i="16"/>
  <c r="P663" i="17" l="1"/>
  <c r="R663" i="17" s="1"/>
  <c r="U663" i="17" s="1"/>
  <c r="N663" i="17"/>
  <c r="J663" i="17"/>
  <c r="Q626" i="16"/>
  <c r="S626" i="16" s="1"/>
  <c r="U626" i="16"/>
  <c r="J626" i="16"/>
  <c r="Q663" i="17" l="1"/>
  <c r="S663" i="17" s="1"/>
  <c r="L663" i="17"/>
  <c r="W663" i="17" s="1"/>
  <c r="T626" i="16"/>
  <c r="L626" i="16"/>
  <c r="T663" i="17" l="1"/>
  <c r="Y626" i="16"/>
  <c r="W626" i="16"/>
  <c r="X663" i="17"/>
  <c r="M664" i="17"/>
  <c r="Y663" i="17"/>
  <c r="F664" i="17"/>
  <c r="V663" i="17"/>
  <c r="X626" i="16"/>
  <c r="F627" i="16"/>
  <c r="M627" i="16"/>
  <c r="V626" i="16"/>
  <c r="O664" i="17" l="1"/>
  <c r="N664" i="17"/>
  <c r="P664" i="17"/>
  <c r="R664" i="17" s="1"/>
  <c r="I664" i="17"/>
  <c r="K664" i="17" s="1"/>
  <c r="H664" i="17"/>
  <c r="G664" i="17"/>
  <c r="O627" i="16"/>
  <c r="N627" i="16"/>
  <c r="P627" i="16"/>
  <c r="R627" i="16" s="1"/>
  <c r="G627" i="16"/>
  <c r="I627" i="16"/>
  <c r="K627" i="16" s="1"/>
  <c r="H627" i="16"/>
  <c r="Q664" i="17" l="1"/>
  <c r="S664" i="17" s="1"/>
  <c r="U664" i="17"/>
  <c r="J664" i="17"/>
  <c r="U627" i="16"/>
  <c r="J627" i="16"/>
  <c r="Q627" i="16"/>
  <c r="S627" i="16" s="1"/>
  <c r="L664" i="17" l="1"/>
  <c r="W664" i="17" s="1"/>
  <c r="T664" i="17"/>
  <c r="T627" i="16"/>
  <c r="L627" i="16"/>
  <c r="Y627" i="16" l="1"/>
  <c r="W627" i="16"/>
  <c r="F665" i="17"/>
  <c r="M665" i="17"/>
  <c r="X664" i="17"/>
  <c r="Y664" i="17"/>
  <c r="V664" i="17"/>
  <c r="F628" i="16"/>
  <c r="M628" i="16"/>
  <c r="X627" i="16"/>
  <c r="V627" i="16"/>
  <c r="N665" i="17" l="1"/>
  <c r="O665" i="17"/>
  <c r="P665" i="17"/>
  <c r="R665" i="17" s="1"/>
  <c r="H665" i="17"/>
  <c r="G665" i="17"/>
  <c r="I665" i="17"/>
  <c r="K665" i="17" s="1"/>
  <c r="N628" i="16"/>
  <c r="P628" i="16"/>
  <c r="R628" i="16" s="1"/>
  <c r="O628" i="16"/>
  <c r="I628" i="16"/>
  <c r="K628" i="16" s="1"/>
  <c r="H628" i="16"/>
  <c r="G628" i="16"/>
  <c r="U665" i="17" l="1"/>
  <c r="J665" i="17"/>
  <c r="Q665" i="17"/>
  <c r="S665" i="17" s="1"/>
  <c r="U628" i="16"/>
  <c r="Q628" i="16"/>
  <c r="S628" i="16" s="1"/>
  <c r="J628" i="16"/>
  <c r="T628" i="16" l="1"/>
  <c r="T665" i="17"/>
  <c r="L665" i="17"/>
  <c r="W665" i="17" s="1"/>
  <c r="L628" i="16"/>
  <c r="Y628" i="16" l="1"/>
  <c r="W628" i="16"/>
  <c r="F666" i="17"/>
  <c r="Y665" i="17"/>
  <c r="X665" i="17"/>
  <c r="M666" i="17"/>
  <c r="V665" i="17"/>
  <c r="M629" i="16"/>
  <c r="X628" i="16"/>
  <c r="F629" i="16"/>
  <c r="V628" i="16"/>
  <c r="H666" i="17" l="1"/>
  <c r="I666" i="17"/>
  <c r="K666" i="17" s="1"/>
  <c r="G666" i="17"/>
  <c r="N666" i="17"/>
  <c r="P666" i="17"/>
  <c r="R666" i="17" s="1"/>
  <c r="O666" i="17"/>
  <c r="I629" i="16"/>
  <c r="K629" i="16" s="1"/>
  <c r="H629" i="16"/>
  <c r="G629" i="16"/>
  <c r="P629" i="16"/>
  <c r="R629" i="16" s="1"/>
  <c r="O629" i="16"/>
  <c r="N629" i="16"/>
  <c r="Q666" i="17" l="1"/>
  <c r="S666" i="17" s="1"/>
  <c r="U666" i="17"/>
  <c r="J666" i="17"/>
  <c r="Q629" i="16"/>
  <c r="S629" i="16" s="1"/>
  <c r="U629" i="16"/>
  <c r="J629" i="16"/>
  <c r="L629" i="16" s="1"/>
  <c r="T666" i="17" l="1"/>
  <c r="Y629" i="16"/>
  <c r="W629" i="16"/>
  <c r="L666" i="17"/>
  <c r="W666" i="17" s="1"/>
  <c r="X629" i="16"/>
  <c r="F630" i="16"/>
  <c r="M630" i="16"/>
  <c r="T629" i="16"/>
  <c r="V629" i="16" s="1"/>
  <c r="F667" i="17" l="1"/>
  <c r="M667" i="17"/>
  <c r="X666" i="17"/>
  <c r="Y666" i="17"/>
  <c r="V666" i="17"/>
  <c r="P630" i="16"/>
  <c r="R630" i="16" s="1"/>
  <c r="O630" i="16"/>
  <c r="N630" i="16"/>
  <c r="H630" i="16"/>
  <c r="G630" i="16"/>
  <c r="I630" i="16"/>
  <c r="K630" i="16" s="1"/>
  <c r="U630" i="16" l="1"/>
  <c r="O667" i="17"/>
  <c r="N667" i="17"/>
  <c r="P667" i="17"/>
  <c r="R667" i="17" s="1"/>
  <c r="I667" i="17"/>
  <c r="K667" i="17" s="1"/>
  <c r="H667" i="17"/>
  <c r="G667" i="17"/>
  <c r="J630" i="16"/>
  <c r="L630" i="16" s="1"/>
  <c r="Q630" i="16"/>
  <c r="S630" i="16" s="1"/>
  <c r="Y630" i="16" l="1"/>
  <c r="W630" i="16"/>
  <c r="J667" i="17"/>
  <c r="Q667" i="17"/>
  <c r="S667" i="17" s="1"/>
  <c r="U667" i="17"/>
  <c r="X630" i="16"/>
  <c r="F631" i="16"/>
  <c r="M631" i="16"/>
  <c r="T630" i="16"/>
  <c r="V630" i="16" s="1"/>
  <c r="T667" i="17" l="1"/>
  <c r="L667" i="17"/>
  <c r="W667" i="17" s="1"/>
  <c r="G631" i="16"/>
  <c r="I631" i="16"/>
  <c r="K631" i="16" s="1"/>
  <c r="H631" i="16"/>
  <c r="O631" i="16"/>
  <c r="N631" i="16"/>
  <c r="P631" i="16"/>
  <c r="R631" i="16" s="1"/>
  <c r="V667" i="17" l="1"/>
  <c r="F668" i="17"/>
  <c r="I668" i="17" s="1"/>
  <c r="K668" i="17" s="1"/>
  <c r="Y667" i="17"/>
  <c r="M668" i="17"/>
  <c r="P668" i="17" s="1"/>
  <c r="R668" i="17" s="1"/>
  <c r="X667" i="17"/>
  <c r="U631" i="16"/>
  <c r="Q631" i="16"/>
  <c r="S631" i="16" s="1"/>
  <c r="J631" i="16"/>
  <c r="H668" i="17" l="1"/>
  <c r="G668" i="17"/>
  <c r="N668" i="17"/>
  <c r="O668" i="17"/>
  <c r="U668" i="17"/>
  <c r="T631" i="16"/>
  <c r="L631" i="16"/>
  <c r="J668" i="17" l="1"/>
  <c r="L668" i="17" s="1"/>
  <c r="Y631" i="16"/>
  <c r="W631" i="16"/>
  <c r="Q668" i="17"/>
  <c r="F632" i="16"/>
  <c r="M632" i="16"/>
  <c r="X631" i="16"/>
  <c r="V631" i="16"/>
  <c r="W668" i="17" l="1"/>
  <c r="T668" i="17"/>
  <c r="S668" i="17"/>
  <c r="N632" i="16"/>
  <c r="P632" i="16"/>
  <c r="R632" i="16" s="1"/>
  <c r="O632" i="16"/>
  <c r="I632" i="16"/>
  <c r="K632" i="16" s="1"/>
  <c r="H632" i="16"/>
  <c r="G632" i="16"/>
  <c r="V668" i="17" l="1"/>
  <c r="X668" i="17"/>
  <c r="Y668" i="17"/>
  <c r="F669" i="17"/>
  <c r="M669" i="17"/>
  <c r="J632" i="16"/>
  <c r="L632" i="16" s="1"/>
  <c r="U632" i="16"/>
  <c r="Q632" i="16"/>
  <c r="H669" i="17" l="1"/>
  <c r="G669" i="17"/>
  <c r="I669" i="17"/>
  <c r="K669" i="17" s="1"/>
  <c r="O669" i="17"/>
  <c r="N669" i="17"/>
  <c r="P669" i="17"/>
  <c r="R669" i="17" s="1"/>
  <c r="T632" i="16"/>
  <c r="S632" i="16"/>
  <c r="J669" i="17" l="1"/>
  <c r="L669" i="17" s="1"/>
  <c r="V632" i="16"/>
  <c r="W632" i="16"/>
  <c r="Q669" i="17"/>
  <c r="U669" i="17"/>
  <c r="F633" i="16"/>
  <c r="G633" i="16" s="1"/>
  <c r="Y632" i="16"/>
  <c r="M633" i="16"/>
  <c r="P633" i="16" s="1"/>
  <c r="R633" i="16" s="1"/>
  <c r="X632" i="16"/>
  <c r="H633" i="16" l="1"/>
  <c r="I633" i="16"/>
  <c r="K633" i="16" s="1"/>
  <c r="U633" i="16" s="1"/>
  <c r="S669" i="17"/>
  <c r="F670" i="17" s="1"/>
  <c r="G670" i="17" s="1"/>
  <c r="T669" i="17"/>
  <c r="N633" i="16"/>
  <c r="O633" i="16"/>
  <c r="J633" i="16"/>
  <c r="W669" i="17" l="1"/>
  <c r="H670" i="17"/>
  <c r="X669" i="17"/>
  <c r="V669" i="17"/>
  <c r="Y669" i="17"/>
  <c r="I670" i="17"/>
  <c r="K670" i="17" s="1"/>
  <c r="M670" i="17"/>
  <c r="J670" i="17"/>
  <c r="Q633" i="16"/>
  <c r="S633" i="16" s="1"/>
  <c r="L633" i="16"/>
  <c r="W633" i="16" l="1"/>
  <c r="Y633" i="16"/>
  <c r="N670" i="17"/>
  <c r="O670" i="17"/>
  <c r="P670" i="17"/>
  <c r="R670" i="17" s="1"/>
  <c r="U670" i="17" s="1"/>
  <c r="L670" i="17"/>
  <c r="T633" i="16"/>
  <c r="X633" i="16"/>
  <c r="F634" i="16"/>
  <c r="M634" i="16"/>
  <c r="V633" i="16"/>
  <c r="Q670" i="17" l="1"/>
  <c r="T670" i="17" s="1"/>
  <c r="P634" i="16"/>
  <c r="R634" i="16" s="1"/>
  <c r="O634" i="16"/>
  <c r="N634" i="16"/>
  <c r="H634" i="16"/>
  <c r="G634" i="16"/>
  <c r="I634" i="16"/>
  <c r="K634" i="16" s="1"/>
  <c r="S670" i="17" l="1"/>
  <c r="U634" i="16"/>
  <c r="J634" i="16"/>
  <c r="L634" i="16" s="1"/>
  <c r="W634" i="16" s="1"/>
  <c r="Q634" i="16"/>
  <c r="S634" i="16" s="1"/>
  <c r="V670" i="17" l="1"/>
  <c r="W670" i="17"/>
  <c r="F671" i="17"/>
  <c r="I671" i="17" s="1"/>
  <c r="K671" i="17" s="1"/>
  <c r="M671" i="17"/>
  <c r="O671" i="17" s="1"/>
  <c r="Y670" i="17"/>
  <c r="X670" i="17"/>
  <c r="Y634" i="16"/>
  <c r="T634" i="16"/>
  <c r="V634" i="16" s="1"/>
  <c r="X634" i="16"/>
  <c r="F635" i="16"/>
  <c r="M635" i="16"/>
  <c r="H671" i="17" l="1"/>
  <c r="N671" i="17"/>
  <c r="G671" i="17"/>
  <c r="J671" i="17" s="1"/>
  <c r="P671" i="17"/>
  <c r="R671" i="17" s="1"/>
  <c r="U671" i="17" s="1"/>
  <c r="G635" i="16"/>
  <c r="I635" i="16"/>
  <c r="K635" i="16" s="1"/>
  <c r="H635" i="16"/>
  <c r="O635" i="16"/>
  <c r="N635" i="16"/>
  <c r="P635" i="16"/>
  <c r="R635" i="16" s="1"/>
  <c r="Q671" i="17" l="1"/>
  <c r="S671" i="17" s="1"/>
  <c r="L671" i="17"/>
  <c r="U635" i="16"/>
  <c r="Q635" i="16"/>
  <c r="S635" i="16" s="1"/>
  <c r="J635" i="16"/>
  <c r="W671" i="17" l="1"/>
  <c r="T671" i="17"/>
  <c r="M672" i="17"/>
  <c r="X671" i="17"/>
  <c r="Y671" i="17"/>
  <c r="F672" i="17"/>
  <c r="V671" i="17"/>
  <c r="T635" i="16"/>
  <c r="L635" i="16"/>
  <c r="Y635" i="16" l="1"/>
  <c r="W635" i="16"/>
  <c r="H672" i="17"/>
  <c r="I672" i="17"/>
  <c r="K672" i="17" s="1"/>
  <c r="G672" i="17"/>
  <c r="N672" i="17"/>
  <c r="P672" i="17"/>
  <c r="R672" i="17" s="1"/>
  <c r="O672" i="17"/>
  <c r="F636" i="16"/>
  <c r="M636" i="16"/>
  <c r="X635" i="16"/>
  <c r="V635" i="16"/>
  <c r="J672" i="17" l="1"/>
  <c r="L672" i="17" s="1"/>
  <c r="W672" i="17" s="1"/>
  <c r="U672" i="17"/>
  <c r="Q672" i="17"/>
  <c r="S672" i="17" s="1"/>
  <c r="N636" i="16"/>
  <c r="P636" i="16"/>
  <c r="R636" i="16" s="1"/>
  <c r="O636" i="16"/>
  <c r="I636" i="16"/>
  <c r="K636" i="16" s="1"/>
  <c r="H636" i="16"/>
  <c r="G636" i="16"/>
  <c r="T672" i="17" l="1"/>
  <c r="V672" i="17" s="1"/>
  <c r="X672" i="17"/>
  <c r="M673" i="17"/>
  <c r="F673" i="17"/>
  <c r="Y672" i="17"/>
  <c r="J636" i="16"/>
  <c r="L636" i="16" s="1"/>
  <c r="U636" i="16"/>
  <c r="Q636" i="16"/>
  <c r="G673" i="17" l="1"/>
  <c r="I673" i="17"/>
  <c r="K673" i="17" s="1"/>
  <c r="H673" i="17"/>
  <c r="O673" i="17"/>
  <c r="P673" i="17"/>
  <c r="R673" i="17" s="1"/>
  <c r="N673" i="17"/>
  <c r="T636" i="16"/>
  <c r="S636" i="16"/>
  <c r="Q673" i="17" l="1"/>
  <c r="S673" i="17" s="1"/>
  <c r="V636" i="16"/>
  <c r="W636" i="16"/>
  <c r="J673" i="17"/>
  <c r="U673" i="17"/>
  <c r="F637" i="16"/>
  <c r="H637" i="16" s="1"/>
  <c r="Y636" i="16"/>
  <c r="M637" i="16"/>
  <c r="P637" i="16" s="1"/>
  <c r="R637" i="16" s="1"/>
  <c r="X636" i="16"/>
  <c r="T673" i="17" l="1"/>
  <c r="L673" i="17"/>
  <c r="O637" i="16"/>
  <c r="N637" i="16"/>
  <c r="I637" i="16"/>
  <c r="K637" i="16" s="1"/>
  <c r="U637" i="16" s="1"/>
  <c r="G637" i="16"/>
  <c r="V673" i="17" l="1"/>
  <c r="W673" i="17"/>
  <c r="Y673" i="17"/>
  <c r="M674" i="17"/>
  <c r="O674" i="17" s="1"/>
  <c r="X673" i="17"/>
  <c r="F674" i="17"/>
  <c r="G674" i="17" s="1"/>
  <c r="J637" i="16"/>
  <c r="L637" i="16" s="1"/>
  <c r="Q637" i="16"/>
  <c r="S637" i="16" s="1"/>
  <c r="N674" i="17" l="1"/>
  <c r="P674" i="17"/>
  <c r="R674" i="17" s="1"/>
  <c r="W637" i="16"/>
  <c r="H674" i="17"/>
  <c r="I674" i="17"/>
  <c r="K674" i="17" s="1"/>
  <c r="Y637" i="16"/>
  <c r="Q674" i="17"/>
  <c r="S674" i="17" s="1"/>
  <c r="T637" i="16"/>
  <c r="V637" i="16" s="1"/>
  <c r="X637" i="16"/>
  <c r="F638" i="16"/>
  <c r="M638" i="16"/>
  <c r="U674" i="17" l="1"/>
  <c r="J674" i="17"/>
  <c r="L674" i="17" s="1"/>
  <c r="W674" i="17" s="1"/>
  <c r="P638" i="16"/>
  <c r="R638" i="16" s="1"/>
  <c r="O638" i="16"/>
  <c r="N638" i="16"/>
  <c r="H638" i="16"/>
  <c r="G638" i="16"/>
  <c r="I638" i="16"/>
  <c r="K638" i="16" s="1"/>
  <c r="Y674" i="17" l="1"/>
  <c r="X674" i="17"/>
  <c r="M675" i="17"/>
  <c r="P675" i="17" s="1"/>
  <c r="R675" i="17" s="1"/>
  <c r="F675" i="17"/>
  <c r="I675" i="17" s="1"/>
  <c r="V674" i="17"/>
  <c r="T674" i="17"/>
  <c r="U638" i="16"/>
  <c r="J638" i="16"/>
  <c r="Q638" i="16"/>
  <c r="S638" i="16" s="1"/>
  <c r="N675" i="17" l="1"/>
  <c r="O675" i="17"/>
  <c r="H675" i="17"/>
  <c r="G675" i="17"/>
  <c r="K675" i="17"/>
  <c r="U675" i="17" s="1"/>
  <c r="T638" i="16"/>
  <c r="L638" i="16"/>
  <c r="Q675" i="17" l="1"/>
  <c r="S675" i="17" s="1"/>
  <c r="J675" i="17"/>
  <c r="Y638" i="16"/>
  <c r="W638" i="16"/>
  <c r="X638" i="16"/>
  <c r="F639" i="16"/>
  <c r="M639" i="16"/>
  <c r="V638" i="16"/>
  <c r="T675" i="17" l="1"/>
  <c r="L675" i="17"/>
  <c r="W675" i="17" s="1"/>
  <c r="O639" i="16"/>
  <c r="N639" i="16"/>
  <c r="P639" i="16"/>
  <c r="R639" i="16" s="1"/>
  <c r="G639" i="16"/>
  <c r="I639" i="16"/>
  <c r="K639" i="16" s="1"/>
  <c r="H639" i="16"/>
  <c r="V675" i="17" l="1"/>
  <c r="F676" i="17"/>
  <c r="I676" i="17" s="1"/>
  <c r="K676" i="17" s="1"/>
  <c r="M676" i="17"/>
  <c r="N676" i="17" s="1"/>
  <c r="X675" i="17"/>
  <c r="Y675" i="17"/>
  <c r="U639" i="16"/>
  <c r="J639" i="16"/>
  <c r="Q639" i="16"/>
  <c r="S639" i="16" s="1"/>
  <c r="H676" i="17" l="1"/>
  <c r="G676" i="17"/>
  <c r="O676" i="17"/>
  <c r="P676" i="17"/>
  <c r="R676" i="17" s="1"/>
  <c r="U676" i="17" s="1"/>
  <c r="T639" i="16"/>
  <c r="L639" i="16"/>
  <c r="J676" i="17" l="1"/>
  <c r="L676" i="17" s="1"/>
  <c r="W676" i="17" s="1"/>
  <c r="Q676" i="17"/>
  <c r="S676" i="17" s="1"/>
  <c r="Y639" i="16"/>
  <c r="W639" i="16"/>
  <c r="F640" i="16"/>
  <c r="M640" i="16"/>
  <c r="X639" i="16"/>
  <c r="V639" i="16"/>
  <c r="T676" i="17" l="1"/>
  <c r="F677" i="17"/>
  <c r="M677" i="17"/>
  <c r="X676" i="17"/>
  <c r="Y676" i="17"/>
  <c r="V676" i="17"/>
  <c r="N640" i="16"/>
  <c r="P640" i="16"/>
  <c r="R640" i="16" s="1"/>
  <c r="O640" i="16"/>
  <c r="I640" i="16"/>
  <c r="K640" i="16" s="1"/>
  <c r="H640" i="16"/>
  <c r="G640" i="16"/>
  <c r="O677" i="17" l="1"/>
  <c r="N677" i="17"/>
  <c r="P677" i="17"/>
  <c r="R677" i="17" s="1"/>
  <c r="G677" i="17"/>
  <c r="I677" i="17"/>
  <c r="K677" i="17" s="1"/>
  <c r="H677" i="17"/>
  <c r="J640" i="16"/>
  <c r="L640" i="16" s="1"/>
  <c r="U640" i="16"/>
  <c r="Q640" i="16"/>
  <c r="J677" i="17" l="1"/>
  <c r="L677" i="17" s="1"/>
  <c r="Q677" i="17"/>
  <c r="U677" i="17"/>
  <c r="T640" i="16"/>
  <c r="S640" i="16"/>
  <c r="W640" i="16" s="1"/>
  <c r="F641" i="16" l="1"/>
  <c r="I641" i="16" s="1"/>
  <c r="K641" i="16" s="1"/>
  <c r="V640" i="16"/>
  <c r="T677" i="17"/>
  <c r="S677" i="17"/>
  <c r="X640" i="16"/>
  <c r="M641" i="16"/>
  <c r="O641" i="16" s="1"/>
  <c r="Y640" i="16"/>
  <c r="G641" i="16" l="1"/>
  <c r="H641" i="16"/>
  <c r="J641" i="16" s="1"/>
  <c r="L641" i="16" s="1"/>
  <c r="V677" i="17"/>
  <c r="W677" i="17"/>
  <c r="Y677" i="17"/>
  <c r="F678" i="17"/>
  <c r="H678" i="17" s="1"/>
  <c r="X677" i="17"/>
  <c r="M678" i="17"/>
  <c r="N678" i="17" s="1"/>
  <c r="I678" i="17"/>
  <c r="K678" i="17" s="1"/>
  <c r="G678" i="17"/>
  <c r="P641" i="16"/>
  <c r="R641" i="16" s="1"/>
  <c r="U641" i="16" s="1"/>
  <c r="N641" i="16"/>
  <c r="P678" i="17" l="1"/>
  <c r="R678" i="17" s="1"/>
  <c r="U678" i="17" s="1"/>
  <c r="O678" i="17"/>
  <c r="J678" i="17"/>
  <c r="Q641" i="16"/>
  <c r="S641" i="16" s="1"/>
  <c r="F642" i="16" s="1"/>
  <c r="W641" i="16" l="1"/>
  <c r="Q678" i="17"/>
  <c r="S678" i="17" s="1"/>
  <c r="T641" i="16"/>
  <c r="V641" i="16" s="1"/>
  <c r="X641" i="16"/>
  <c r="M642" i="16"/>
  <c r="P642" i="16" s="1"/>
  <c r="R642" i="16" s="1"/>
  <c r="Y641" i="16"/>
  <c r="L678" i="17"/>
  <c r="W678" i="17" s="1"/>
  <c r="H642" i="16"/>
  <c r="G642" i="16"/>
  <c r="I642" i="16"/>
  <c r="K642" i="16" s="1"/>
  <c r="T678" i="17" l="1"/>
  <c r="V678" i="17" s="1"/>
  <c r="Y678" i="17"/>
  <c r="N642" i="16"/>
  <c r="O642" i="16"/>
  <c r="M679" i="17"/>
  <c r="N679" i="17" s="1"/>
  <c r="X678" i="17"/>
  <c r="F679" i="17"/>
  <c r="G679" i="17" s="1"/>
  <c r="U642" i="16"/>
  <c r="J642" i="16"/>
  <c r="Q642" i="16" l="1"/>
  <c r="S642" i="16" s="1"/>
  <c r="O679" i="17"/>
  <c r="I679" i="17"/>
  <c r="K679" i="17" s="1"/>
  <c r="H679" i="17"/>
  <c r="P679" i="17"/>
  <c r="R679" i="17" s="1"/>
  <c r="L642" i="16"/>
  <c r="U679" i="17" l="1"/>
  <c r="T642" i="16"/>
  <c r="J679" i="17"/>
  <c r="L679" i="17" s="1"/>
  <c r="W679" i="17" s="1"/>
  <c r="Y642" i="16"/>
  <c r="W642" i="16"/>
  <c r="Q679" i="17"/>
  <c r="S679" i="17" s="1"/>
  <c r="X642" i="16"/>
  <c r="F643" i="16"/>
  <c r="M643" i="16"/>
  <c r="V642" i="16"/>
  <c r="Y679" i="17" l="1"/>
  <c r="M680" i="17"/>
  <c r="O680" i="17" s="1"/>
  <c r="X679" i="17"/>
  <c r="F680" i="17"/>
  <c r="I680" i="17" s="1"/>
  <c r="K680" i="17" s="1"/>
  <c r="T679" i="17"/>
  <c r="V679" i="17" s="1"/>
  <c r="N680" i="17"/>
  <c r="O643" i="16"/>
  <c r="N643" i="16"/>
  <c r="P643" i="16"/>
  <c r="R643" i="16" s="1"/>
  <c r="G643" i="16"/>
  <c r="I643" i="16"/>
  <c r="K643" i="16" s="1"/>
  <c r="H643" i="16"/>
  <c r="P680" i="17" l="1"/>
  <c r="R680" i="17" s="1"/>
  <c r="U680" i="17" s="1"/>
  <c r="G680" i="17"/>
  <c r="H680" i="17"/>
  <c r="U643" i="16"/>
  <c r="J643" i="16"/>
  <c r="Q643" i="16"/>
  <c r="S643" i="16" s="1"/>
  <c r="J680" i="17" l="1"/>
  <c r="L680" i="17" s="1"/>
  <c r="W680" i="17" s="1"/>
  <c r="Q680" i="17"/>
  <c r="S680" i="17" s="1"/>
  <c r="T643" i="16"/>
  <c r="L643" i="16"/>
  <c r="Y643" i="16" l="1"/>
  <c r="W643" i="16"/>
  <c r="T680" i="17"/>
  <c r="M681" i="17"/>
  <c r="F681" i="17"/>
  <c r="X680" i="17"/>
  <c r="Y680" i="17"/>
  <c r="V680" i="17"/>
  <c r="F644" i="16"/>
  <c r="M644" i="16"/>
  <c r="X643" i="16"/>
  <c r="V643" i="16"/>
  <c r="H681" i="17" l="1"/>
  <c r="G681" i="17"/>
  <c r="I681" i="17"/>
  <c r="K681" i="17" s="1"/>
  <c r="N681" i="17"/>
  <c r="P681" i="17"/>
  <c r="R681" i="17" s="1"/>
  <c r="O681" i="17"/>
  <c r="N644" i="16"/>
  <c r="P644" i="16"/>
  <c r="R644" i="16" s="1"/>
  <c r="O644" i="16"/>
  <c r="I644" i="16"/>
  <c r="K644" i="16" s="1"/>
  <c r="H644" i="16"/>
  <c r="G644" i="16"/>
  <c r="Q681" i="17" l="1"/>
  <c r="S681" i="17" s="1"/>
  <c r="U681" i="17"/>
  <c r="J681" i="17"/>
  <c r="U644" i="16"/>
  <c r="J644" i="16"/>
  <c r="Q644" i="16"/>
  <c r="S644" i="16" s="1"/>
  <c r="T681" i="17" l="1"/>
  <c r="L681" i="17"/>
  <c r="W681" i="17" s="1"/>
  <c r="T644" i="16"/>
  <c r="L644" i="16"/>
  <c r="Y681" i="17" l="1"/>
  <c r="Y644" i="16"/>
  <c r="W644" i="16"/>
  <c r="M682" i="17"/>
  <c r="F682" i="17"/>
  <c r="X681" i="17"/>
  <c r="V681" i="17"/>
  <c r="M645" i="16"/>
  <c r="X644" i="16"/>
  <c r="F645" i="16"/>
  <c r="V644" i="16"/>
  <c r="G682" i="17" l="1"/>
  <c r="I682" i="17"/>
  <c r="K682" i="17" s="1"/>
  <c r="H682" i="17"/>
  <c r="P682" i="17"/>
  <c r="R682" i="17" s="1"/>
  <c r="O682" i="17"/>
  <c r="N682" i="17"/>
  <c r="I645" i="16"/>
  <c r="K645" i="16" s="1"/>
  <c r="H645" i="16"/>
  <c r="G645" i="16"/>
  <c r="P645" i="16"/>
  <c r="R645" i="16" s="1"/>
  <c r="O645" i="16"/>
  <c r="N645" i="16"/>
  <c r="U682" i="17" l="1"/>
  <c r="Q682" i="17"/>
  <c r="S682" i="17" s="1"/>
  <c r="J682" i="17"/>
  <c r="U645" i="16"/>
  <c r="Q645" i="16"/>
  <c r="S645" i="16" s="1"/>
  <c r="J645" i="16"/>
  <c r="L645" i="16" s="1"/>
  <c r="Y645" i="16" l="1"/>
  <c r="W645" i="16"/>
  <c r="T682" i="17"/>
  <c r="L682" i="17"/>
  <c r="W682" i="17" s="1"/>
  <c r="X645" i="16"/>
  <c r="F646" i="16"/>
  <c r="M646" i="16"/>
  <c r="T645" i="16"/>
  <c r="V645" i="16" s="1"/>
  <c r="F683" i="17" l="1"/>
  <c r="M683" i="17"/>
  <c r="X682" i="17"/>
  <c r="Y682" i="17"/>
  <c r="V682" i="17"/>
  <c r="P646" i="16"/>
  <c r="R646" i="16" s="1"/>
  <c r="O646" i="16"/>
  <c r="N646" i="16"/>
  <c r="H646" i="16"/>
  <c r="G646" i="16"/>
  <c r="I646" i="16"/>
  <c r="K646" i="16" s="1"/>
  <c r="N683" i="17" l="1"/>
  <c r="O683" i="17"/>
  <c r="P683" i="17"/>
  <c r="R683" i="17" s="1"/>
  <c r="G683" i="17"/>
  <c r="H683" i="17"/>
  <c r="I683" i="17"/>
  <c r="K683" i="17" s="1"/>
  <c r="U646" i="16"/>
  <c r="J646" i="16"/>
  <c r="Q646" i="16"/>
  <c r="S646" i="16" s="1"/>
  <c r="Q683" i="17" l="1"/>
  <c r="S683" i="17" s="1"/>
  <c r="U683" i="17"/>
  <c r="J683" i="17"/>
  <c r="T646" i="16"/>
  <c r="L646" i="16"/>
  <c r="Y646" i="16" l="1"/>
  <c r="W646" i="16"/>
  <c r="T683" i="17"/>
  <c r="L683" i="17"/>
  <c r="W683" i="17" s="1"/>
  <c r="X646" i="16"/>
  <c r="F647" i="16"/>
  <c r="M647" i="16"/>
  <c r="V646" i="16"/>
  <c r="X683" i="17" l="1"/>
  <c r="F684" i="17"/>
  <c r="Y683" i="17"/>
  <c r="M684" i="17"/>
  <c r="V683" i="17"/>
  <c r="O647" i="16"/>
  <c r="N647" i="16"/>
  <c r="P647" i="16"/>
  <c r="R647" i="16" s="1"/>
  <c r="G647" i="16"/>
  <c r="I647" i="16"/>
  <c r="K647" i="16" s="1"/>
  <c r="H647" i="16"/>
  <c r="N684" i="17" l="1"/>
  <c r="O684" i="17"/>
  <c r="P684" i="17"/>
  <c r="R684" i="17" s="1"/>
  <c r="G684" i="17"/>
  <c r="H684" i="17"/>
  <c r="I684" i="17"/>
  <c r="K684" i="17" s="1"/>
  <c r="U647" i="16"/>
  <c r="J647" i="16"/>
  <c r="Q647" i="16"/>
  <c r="S647" i="16" s="1"/>
  <c r="U684" i="17" l="1"/>
  <c r="J684" i="17"/>
  <c r="L684" i="17" s="1"/>
  <c r="Q684" i="17"/>
  <c r="S684" i="17" s="1"/>
  <c r="T647" i="16"/>
  <c r="L647" i="16"/>
  <c r="W684" i="17" l="1"/>
  <c r="Y647" i="16"/>
  <c r="W647" i="16"/>
  <c r="T684" i="17"/>
  <c r="V684" i="17" s="1"/>
  <c r="X684" i="17"/>
  <c r="F685" i="17"/>
  <c r="Y684" i="17"/>
  <c r="M685" i="17"/>
  <c r="F648" i="16"/>
  <c r="M648" i="16"/>
  <c r="X647" i="16"/>
  <c r="V647" i="16"/>
  <c r="I685" i="17" l="1"/>
  <c r="K685" i="17" s="1"/>
  <c r="G685" i="17"/>
  <c r="H685" i="17"/>
  <c r="N685" i="17"/>
  <c r="P685" i="17"/>
  <c r="R685" i="17" s="1"/>
  <c r="O685" i="17"/>
  <c r="N648" i="16"/>
  <c r="P648" i="16"/>
  <c r="R648" i="16" s="1"/>
  <c r="O648" i="16"/>
  <c r="I648" i="16"/>
  <c r="K648" i="16" s="1"/>
  <c r="H648" i="16"/>
  <c r="G648" i="16"/>
  <c r="J685" i="17" l="1"/>
  <c r="L685" i="17" s="1"/>
  <c r="W685" i="17" s="1"/>
  <c r="Q685" i="17"/>
  <c r="S685" i="17" s="1"/>
  <c r="U685" i="17"/>
  <c r="U648" i="16"/>
  <c r="J648" i="16"/>
  <c r="Q648" i="16"/>
  <c r="S648" i="16" s="1"/>
  <c r="T685" i="17" l="1"/>
  <c r="V685" i="17" s="1"/>
  <c r="M686" i="17"/>
  <c r="X685" i="17"/>
  <c r="Y685" i="17"/>
  <c r="F686" i="17"/>
  <c r="T648" i="16"/>
  <c r="L648" i="16"/>
  <c r="Y648" i="16" l="1"/>
  <c r="W648" i="16"/>
  <c r="H686" i="17"/>
  <c r="I686" i="17"/>
  <c r="K686" i="17" s="1"/>
  <c r="G686" i="17"/>
  <c r="P686" i="17"/>
  <c r="R686" i="17" s="1"/>
  <c r="N686" i="17"/>
  <c r="O686" i="17"/>
  <c r="M649" i="16"/>
  <c r="X648" i="16"/>
  <c r="F649" i="16"/>
  <c r="V648" i="16"/>
  <c r="J686" i="17" l="1"/>
  <c r="L686" i="17" s="1"/>
  <c r="W686" i="17" s="1"/>
  <c r="Q686" i="17"/>
  <c r="S686" i="17" s="1"/>
  <c r="U686" i="17"/>
  <c r="I649" i="16"/>
  <c r="K649" i="16" s="1"/>
  <c r="H649" i="16"/>
  <c r="G649" i="16"/>
  <c r="P649" i="16"/>
  <c r="R649" i="16" s="1"/>
  <c r="O649" i="16"/>
  <c r="N649" i="16"/>
  <c r="T686" i="17" l="1"/>
  <c r="V686" i="17" s="1"/>
  <c r="X686" i="17"/>
  <c r="Y686" i="17"/>
  <c r="F687" i="17"/>
  <c r="M687" i="17"/>
  <c r="U649" i="16"/>
  <c r="Q649" i="16"/>
  <c r="S649" i="16" s="1"/>
  <c r="J649" i="16"/>
  <c r="L649" i="16" s="1"/>
  <c r="Y649" i="16" l="1"/>
  <c r="W649" i="16"/>
  <c r="N687" i="17"/>
  <c r="P687" i="17"/>
  <c r="R687" i="17" s="1"/>
  <c r="O687" i="17"/>
  <c r="H687" i="17"/>
  <c r="I687" i="17"/>
  <c r="K687" i="17" s="1"/>
  <c r="G687" i="17"/>
  <c r="X649" i="16"/>
  <c r="F650" i="16"/>
  <c r="M650" i="16"/>
  <c r="T649" i="16"/>
  <c r="V649" i="16" s="1"/>
  <c r="U687" i="17" l="1"/>
  <c r="J687" i="17"/>
  <c r="Q687" i="17"/>
  <c r="S687" i="17" s="1"/>
  <c r="P650" i="16"/>
  <c r="R650" i="16" s="1"/>
  <c r="O650" i="16"/>
  <c r="N650" i="16"/>
  <c r="H650" i="16"/>
  <c r="G650" i="16"/>
  <c r="I650" i="16"/>
  <c r="K650" i="16" s="1"/>
  <c r="L687" i="17" l="1"/>
  <c r="W687" i="17" s="1"/>
  <c r="T687" i="17"/>
  <c r="U650" i="16"/>
  <c r="J650" i="16"/>
  <c r="Q650" i="16"/>
  <c r="S650" i="16" s="1"/>
  <c r="F688" i="17" l="1"/>
  <c r="Y687" i="17"/>
  <c r="M688" i="17"/>
  <c r="V687" i="17"/>
  <c r="X687" i="17"/>
  <c r="T650" i="16"/>
  <c r="L650" i="16"/>
  <c r="Y650" i="16" l="1"/>
  <c r="W650" i="16"/>
  <c r="O688" i="17"/>
  <c r="N688" i="17"/>
  <c r="P688" i="17"/>
  <c r="R688" i="17" s="1"/>
  <c r="H688" i="17"/>
  <c r="G688" i="17"/>
  <c r="I688" i="17"/>
  <c r="K688" i="17" s="1"/>
  <c r="X650" i="16"/>
  <c r="F651" i="16"/>
  <c r="M651" i="16"/>
  <c r="V650" i="16"/>
  <c r="U688" i="17" l="1"/>
  <c r="Q688" i="17"/>
  <c r="S688" i="17" s="1"/>
  <c r="J688" i="17"/>
  <c r="O651" i="16"/>
  <c r="N651" i="16"/>
  <c r="P651" i="16"/>
  <c r="R651" i="16" s="1"/>
  <c r="G651" i="16"/>
  <c r="I651" i="16"/>
  <c r="K651" i="16" s="1"/>
  <c r="H651" i="16"/>
  <c r="T688" i="17" l="1"/>
  <c r="L688" i="17"/>
  <c r="W688" i="17" s="1"/>
  <c r="U651" i="16"/>
  <c r="J651" i="16"/>
  <c r="Q651" i="16"/>
  <c r="S651" i="16" s="1"/>
  <c r="F689" i="17" l="1"/>
  <c r="Y688" i="17"/>
  <c r="M689" i="17"/>
  <c r="X688" i="17"/>
  <c r="V688" i="17"/>
  <c r="T651" i="16"/>
  <c r="L651" i="16"/>
  <c r="Y651" i="16" l="1"/>
  <c r="W651" i="16"/>
  <c r="O689" i="17"/>
  <c r="N689" i="17"/>
  <c r="P689" i="17"/>
  <c r="R689" i="17" s="1"/>
  <c r="I689" i="17"/>
  <c r="K689" i="17" s="1"/>
  <c r="H689" i="17"/>
  <c r="G689" i="17"/>
  <c r="F652" i="16"/>
  <c r="M652" i="16"/>
  <c r="X651" i="16"/>
  <c r="V651" i="16"/>
  <c r="Q689" i="17" l="1"/>
  <c r="S689" i="17" s="1"/>
  <c r="J689" i="17"/>
  <c r="L689" i="17" s="1"/>
  <c r="W689" i="17" s="1"/>
  <c r="U689" i="17"/>
  <c r="N652" i="16"/>
  <c r="P652" i="16"/>
  <c r="R652" i="16" s="1"/>
  <c r="O652" i="16"/>
  <c r="I652" i="16"/>
  <c r="K652" i="16" s="1"/>
  <c r="H652" i="16"/>
  <c r="G652" i="16"/>
  <c r="J652" i="16" l="1"/>
  <c r="T689" i="17"/>
  <c r="V689" i="17" s="1"/>
  <c r="F690" i="17"/>
  <c r="I690" i="17" s="1"/>
  <c r="X689" i="17"/>
  <c r="M690" i="17"/>
  <c r="Y689" i="17"/>
  <c r="Q652" i="16"/>
  <c r="T652" i="16" s="1"/>
  <c r="U652" i="16"/>
  <c r="L652" i="16"/>
  <c r="H690" i="17" l="1"/>
  <c r="G690" i="17"/>
  <c r="K690" i="17"/>
  <c r="O690" i="17"/>
  <c r="N690" i="17"/>
  <c r="P690" i="17"/>
  <c r="R690" i="17" s="1"/>
  <c r="S652" i="16"/>
  <c r="M653" i="16" s="1"/>
  <c r="J690" i="17" l="1"/>
  <c r="W652" i="16"/>
  <c r="V652" i="16"/>
  <c r="Q690" i="17"/>
  <c r="S690" i="17" s="1"/>
  <c r="U690" i="17"/>
  <c r="L690" i="17"/>
  <c r="W690" i="17" s="1"/>
  <c r="F653" i="16"/>
  <c r="G653" i="16" s="1"/>
  <c r="Y652" i="16"/>
  <c r="X652" i="16"/>
  <c r="P653" i="16"/>
  <c r="R653" i="16" s="1"/>
  <c r="O653" i="16"/>
  <c r="N653" i="16"/>
  <c r="T690" i="17" l="1"/>
  <c r="V690" i="17" s="1"/>
  <c r="H653" i="16"/>
  <c r="I653" i="16"/>
  <c r="K653" i="16" s="1"/>
  <c r="U653" i="16" s="1"/>
  <c r="M691" i="17"/>
  <c r="N691" i="17" s="1"/>
  <c r="Y690" i="17"/>
  <c r="F691" i="17"/>
  <c r="X690" i="17"/>
  <c r="Q653" i="16"/>
  <c r="J653" i="16" l="1"/>
  <c r="L653" i="16" s="1"/>
  <c r="O691" i="17"/>
  <c r="P691" i="17"/>
  <c r="R691" i="17" s="1"/>
  <c r="H691" i="17"/>
  <c r="I691" i="17"/>
  <c r="K691" i="17" s="1"/>
  <c r="G691" i="17"/>
  <c r="S653" i="16"/>
  <c r="Y653" i="16" l="1"/>
  <c r="T653" i="16"/>
  <c r="W653" i="16"/>
  <c r="U691" i="17"/>
  <c r="Q691" i="17"/>
  <c r="S691" i="17" s="1"/>
  <c r="J691" i="17"/>
  <c r="M654" i="16"/>
  <c r="V653" i="16"/>
  <c r="X653" i="16"/>
  <c r="F654" i="16"/>
  <c r="T691" i="17" l="1"/>
  <c r="L691" i="17"/>
  <c r="W691" i="17" s="1"/>
  <c r="G654" i="16"/>
  <c r="I654" i="16"/>
  <c r="K654" i="16" s="1"/>
  <c r="H654" i="16"/>
  <c r="O654" i="16"/>
  <c r="P654" i="16"/>
  <c r="R654" i="16" s="1"/>
  <c r="N654" i="16"/>
  <c r="Q654" i="16" l="1"/>
  <c r="F692" i="17"/>
  <c r="Y691" i="17"/>
  <c r="M692" i="17"/>
  <c r="X691" i="17"/>
  <c r="V691" i="17"/>
  <c r="J654" i="16"/>
  <c r="T654" i="16" s="1"/>
  <c r="U654" i="16"/>
  <c r="S654" i="16"/>
  <c r="N692" i="17" l="1"/>
  <c r="P692" i="17"/>
  <c r="R692" i="17" s="1"/>
  <c r="O692" i="17"/>
  <c r="H692" i="17"/>
  <c r="I692" i="17"/>
  <c r="K692" i="17" s="1"/>
  <c r="G692" i="17"/>
  <c r="L654" i="16"/>
  <c r="Y654" i="16" l="1"/>
  <c r="W654" i="16"/>
  <c r="Q692" i="17"/>
  <c r="M655" i="16"/>
  <c r="P655" i="16" s="1"/>
  <c r="R655" i="16" s="1"/>
  <c r="U692" i="17"/>
  <c r="F655" i="16"/>
  <c r="I655" i="16" s="1"/>
  <c r="K655" i="16" s="1"/>
  <c r="X654" i="16"/>
  <c r="V654" i="16"/>
  <c r="J692" i="17"/>
  <c r="T692" i="17" s="1"/>
  <c r="S692" i="17"/>
  <c r="N655" i="16" l="1"/>
  <c r="O655" i="16"/>
  <c r="H655" i="16"/>
  <c r="G655" i="16"/>
  <c r="L692" i="17"/>
  <c r="W692" i="17" s="1"/>
  <c r="U655" i="16"/>
  <c r="Q655" i="16" l="1"/>
  <c r="S655" i="16" s="1"/>
  <c r="J655" i="16"/>
  <c r="F693" i="17"/>
  <c r="X692" i="17"/>
  <c r="Y692" i="17"/>
  <c r="M693" i="17"/>
  <c r="V692" i="17"/>
  <c r="T655" i="16" l="1"/>
  <c r="L655" i="16"/>
  <c r="Y655" i="16" s="1"/>
  <c r="P693" i="17"/>
  <c r="R693" i="17" s="1"/>
  <c r="N693" i="17"/>
  <c r="O693" i="17"/>
  <c r="G693" i="17"/>
  <c r="I693" i="17"/>
  <c r="K693" i="17" s="1"/>
  <c r="H693" i="17"/>
  <c r="V655" i="16"/>
  <c r="F656" i="16" l="1"/>
  <c r="I656" i="16" s="1"/>
  <c r="K656" i="16" s="1"/>
  <c r="M656" i="16"/>
  <c r="N656" i="16" s="1"/>
  <c r="U693" i="17"/>
  <c r="X655" i="16"/>
  <c r="W655" i="16"/>
  <c r="Q693" i="17"/>
  <c r="S693" i="17" s="1"/>
  <c r="J693" i="17"/>
  <c r="P656" i="16" l="1"/>
  <c r="O656" i="16"/>
  <c r="H656" i="16"/>
  <c r="G656" i="16"/>
  <c r="J656" i="16" s="1"/>
  <c r="L656" i="16" s="1"/>
  <c r="T693" i="17"/>
  <c r="L693" i="17"/>
  <c r="W693" i="17" s="1"/>
  <c r="Q656" i="16"/>
  <c r="R656" i="16"/>
  <c r="S656" i="16" l="1"/>
  <c r="W656" i="16" s="1"/>
  <c r="F694" i="17"/>
  <c r="M694" i="17"/>
  <c r="Y693" i="17"/>
  <c r="X693" i="17"/>
  <c r="V693" i="17"/>
  <c r="T656" i="16"/>
  <c r="U656" i="16"/>
  <c r="M657" i="16"/>
  <c r="X656" i="16" l="1"/>
  <c r="Y656" i="16"/>
  <c r="F657" i="16"/>
  <c r="G657" i="16" s="1"/>
  <c r="V656" i="16"/>
  <c r="O694" i="17"/>
  <c r="P694" i="17"/>
  <c r="R694" i="17" s="1"/>
  <c r="N694" i="17"/>
  <c r="H694" i="17"/>
  <c r="G694" i="17"/>
  <c r="I694" i="17"/>
  <c r="K694" i="17" s="1"/>
  <c r="P657" i="16"/>
  <c r="R657" i="16" s="1"/>
  <c r="N657" i="16"/>
  <c r="O657" i="16"/>
  <c r="H657" i="16" l="1"/>
  <c r="I657" i="16"/>
  <c r="K657" i="16" s="1"/>
  <c r="U657" i="16" s="1"/>
  <c r="U694" i="17"/>
  <c r="Q694" i="17"/>
  <c r="S694" i="17" s="1"/>
  <c r="J694" i="17"/>
  <c r="Q657" i="16"/>
  <c r="S657" i="16" s="1"/>
  <c r="J657" i="16" l="1"/>
  <c r="L657" i="16" s="1"/>
  <c r="W657" i="16" s="1"/>
  <c r="T694" i="17"/>
  <c r="L694" i="17"/>
  <c r="W694" i="17" s="1"/>
  <c r="T657" i="16" l="1"/>
  <c r="V657" i="16"/>
  <c r="F658" i="16"/>
  <c r="I658" i="16" s="1"/>
  <c r="K658" i="16" s="1"/>
  <c r="M658" i="16"/>
  <c r="P658" i="16" s="1"/>
  <c r="R658" i="16" s="1"/>
  <c r="Y657" i="16"/>
  <c r="X657" i="16"/>
  <c r="X694" i="17"/>
  <c r="M695" i="17"/>
  <c r="F695" i="17"/>
  <c r="Y694" i="17"/>
  <c r="V694" i="17"/>
  <c r="G658" i="16" l="1"/>
  <c r="J658" i="16" s="1"/>
  <c r="L658" i="16" s="1"/>
  <c r="O658" i="16"/>
  <c r="H658" i="16"/>
  <c r="N658" i="16"/>
  <c r="Q658" i="16" s="1"/>
  <c r="S658" i="16" s="1"/>
  <c r="I695" i="17"/>
  <c r="K695" i="17" s="1"/>
  <c r="G695" i="17"/>
  <c r="H695" i="17"/>
  <c r="O695" i="17"/>
  <c r="P695" i="17"/>
  <c r="R695" i="17" s="1"/>
  <c r="N695" i="17"/>
  <c r="U658" i="16"/>
  <c r="W658" i="16" l="1"/>
  <c r="Y658" i="16"/>
  <c r="Q695" i="17"/>
  <c r="S695" i="17" s="1"/>
  <c r="J695" i="17"/>
  <c r="U695" i="17"/>
  <c r="F659" i="16"/>
  <c r="M659" i="16"/>
  <c r="X658" i="16"/>
  <c r="T658" i="16"/>
  <c r="V658" i="16" s="1"/>
  <c r="T695" i="17" l="1"/>
  <c r="L695" i="17"/>
  <c r="W695" i="17" s="1"/>
  <c r="H659" i="16"/>
  <c r="I659" i="16"/>
  <c r="K659" i="16" s="1"/>
  <c r="G659" i="16"/>
  <c r="N659" i="16"/>
  <c r="P659" i="16"/>
  <c r="R659" i="16" s="1"/>
  <c r="O659" i="16"/>
  <c r="V695" i="17" l="1"/>
  <c r="Y695" i="17"/>
  <c r="M696" i="17"/>
  <c r="N696" i="17" s="1"/>
  <c r="X695" i="17"/>
  <c r="F696" i="17"/>
  <c r="H696" i="17" s="1"/>
  <c r="U659" i="16"/>
  <c r="Q659" i="16"/>
  <c r="S659" i="16" s="1"/>
  <c r="J659" i="16"/>
  <c r="P696" i="17" l="1"/>
  <c r="R696" i="17" s="1"/>
  <c r="O696" i="17"/>
  <c r="I696" i="17"/>
  <c r="K696" i="17" s="1"/>
  <c r="G696" i="17"/>
  <c r="T659" i="16"/>
  <c r="L659" i="16"/>
  <c r="U696" i="17" l="1"/>
  <c r="Q696" i="17"/>
  <c r="S696" i="17" s="1"/>
  <c r="Y659" i="16"/>
  <c r="W659" i="16"/>
  <c r="J696" i="17"/>
  <c r="M660" i="16"/>
  <c r="X659" i="16"/>
  <c r="F660" i="16"/>
  <c r="V659" i="16"/>
  <c r="T696" i="17" l="1"/>
  <c r="L696" i="17"/>
  <c r="W696" i="17" s="1"/>
  <c r="I660" i="16"/>
  <c r="K660" i="16" s="1"/>
  <c r="G660" i="16"/>
  <c r="H660" i="16"/>
  <c r="O660" i="16"/>
  <c r="N660" i="16"/>
  <c r="P660" i="16"/>
  <c r="R660" i="16" s="1"/>
  <c r="V696" i="17" l="1"/>
  <c r="X696" i="17"/>
  <c r="M697" i="17"/>
  <c r="F697" i="17"/>
  <c r="Y696" i="17"/>
  <c r="J660" i="16"/>
  <c r="L660" i="16" s="1"/>
  <c r="U660" i="16"/>
  <c r="Q660" i="16"/>
  <c r="I697" i="17" l="1"/>
  <c r="K697" i="17" s="1"/>
  <c r="H697" i="17"/>
  <c r="G697" i="17"/>
  <c r="P697" i="17"/>
  <c r="R697" i="17" s="1"/>
  <c r="N697" i="17"/>
  <c r="O697" i="17"/>
  <c r="T660" i="16"/>
  <c r="S660" i="16"/>
  <c r="W660" i="16" s="1"/>
  <c r="J697" i="17" l="1"/>
  <c r="L697" i="17" s="1"/>
  <c r="W697" i="17" s="1"/>
  <c r="Q697" i="17"/>
  <c r="S697" i="17" s="1"/>
  <c r="U697" i="17"/>
  <c r="V660" i="16"/>
  <c r="M661" i="16"/>
  <c r="P661" i="16" s="1"/>
  <c r="R661" i="16" s="1"/>
  <c r="Y660" i="16"/>
  <c r="X660" i="16"/>
  <c r="F661" i="16"/>
  <c r="Y697" i="17" l="1"/>
  <c r="X697" i="17"/>
  <c r="M698" i="17"/>
  <c r="P698" i="17" s="1"/>
  <c r="R698" i="17" s="1"/>
  <c r="F698" i="17"/>
  <c r="G698" i="17" s="1"/>
  <c r="T697" i="17"/>
  <c r="V697" i="17" s="1"/>
  <c r="O661" i="16"/>
  <c r="N661" i="16"/>
  <c r="H661" i="16"/>
  <c r="I661" i="16"/>
  <c r="K661" i="16" s="1"/>
  <c r="U661" i="16" s="1"/>
  <c r="G661" i="16"/>
  <c r="O698" i="17" l="1"/>
  <c r="N698" i="17"/>
  <c r="H698" i="17"/>
  <c r="I698" i="17"/>
  <c r="K698" i="17" s="1"/>
  <c r="U698" i="17" s="1"/>
  <c r="Q661" i="16"/>
  <c r="S661" i="16" s="1"/>
  <c r="J661" i="16"/>
  <c r="Q698" i="17" l="1"/>
  <c r="S698" i="17" s="1"/>
  <c r="T661" i="16"/>
  <c r="J698" i="17"/>
  <c r="L661" i="16"/>
  <c r="T698" i="17" l="1"/>
  <c r="Y661" i="16"/>
  <c r="W661" i="16"/>
  <c r="L698" i="17"/>
  <c r="W698" i="17" s="1"/>
  <c r="V661" i="16"/>
  <c r="M662" i="16"/>
  <c r="P662" i="16" s="1"/>
  <c r="R662" i="16" s="1"/>
  <c r="F662" i="16"/>
  <c r="G662" i="16" s="1"/>
  <c r="X661" i="16"/>
  <c r="N662" i="16" l="1"/>
  <c r="O662" i="16"/>
  <c r="V698" i="17"/>
  <c r="M699" i="17"/>
  <c r="N699" i="17" s="1"/>
  <c r="F699" i="17"/>
  <c r="G699" i="17" s="1"/>
  <c r="X698" i="17"/>
  <c r="Y698" i="17"/>
  <c r="H662" i="16"/>
  <c r="I662" i="16"/>
  <c r="K662" i="16" s="1"/>
  <c r="U662" i="16" s="1"/>
  <c r="Q662" i="16" l="1"/>
  <c r="S662" i="16" s="1"/>
  <c r="O699" i="17"/>
  <c r="P699" i="17"/>
  <c r="R699" i="17" s="1"/>
  <c r="I699" i="17"/>
  <c r="K699" i="17" s="1"/>
  <c r="H699" i="17"/>
  <c r="J662" i="16"/>
  <c r="L662" i="16" s="1"/>
  <c r="W662" i="16" s="1"/>
  <c r="Q699" i="17" l="1"/>
  <c r="U699" i="17"/>
  <c r="F663" i="16"/>
  <c r="I663" i="16" s="1"/>
  <c r="K663" i="16" s="1"/>
  <c r="T662" i="16"/>
  <c r="V662" i="16" s="1"/>
  <c r="J699" i="17"/>
  <c r="L699" i="17" s="1"/>
  <c r="X662" i="16"/>
  <c r="M663" i="16"/>
  <c r="O663" i="16" s="1"/>
  <c r="Y662" i="16"/>
  <c r="S699" i="17"/>
  <c r="W699" i="17" l="1"/>
  <c r="G663" i="16"/>
  <c r="H663" i="16"/>
  <c r="J663" i="16" s="1"/>
  <c r="Y699" i="17"/>
  <c r="P663" i="16"/>
  <c r="R663" i="16" s="1"/>
  <c r="U663" i="16" s="1"/>
  <c r="N663" i="16"/>
  <c r="T699" i="17"/>
  <c r="V699" i="17"/>
  <c r="F700" i="17"/>
  <c r="G700" i="17" s="1"/>
  <c r="M700" i="17"/>
  <c r="N700" i="17" s="1"/>
  <c r="X699" i="17"/>
  <c r="Q663" i="16" l="1"/>
  <c r="S663" i="16" s="1"/>
  <c r="H700" i="17"/>
  <c r="I700" i="17"/>
  <c r="K700" i="17" s="1"/>
  <c r="O700" i="17"/>
  <c r="P700" i="17"/>
  <c r="R700" i="17" s="1"/>
  <c r="L663" i="16"/>
  <c r="T663" i="16" l="1"/>
  <c r="J700" i="17"/>
  <c r="L700" i="17" s="1"/>
  <c r="U700" i="17"/>
  <c r="Y663" i="16"/>
  <c r="W663" i="16"/>
  <c r="Q700" i="17"/>
  <c r="S700" i="17" s="1"/>
  <c r="M664" i="16"/>
  <c r="X663" i="16"/>
  <c r="F664" i="16"/>
  <c r="V663" i="16"/>
  <c r="W700" i="17" l="1"/>
  <c r="T700" i="17"/>
  <c r="V700" i="17" s="1"/>
  <c r="F701" i="17"/>
  <c r="M701" i="17"/>
  <c r="X700" i="17"/>
  <c r="Y700" i="17"/>
  <c r="I664" i="16"/>
  <c r="K664" i="16" s="1"/>
  <c r="G664" i="16"/>
  <c r="H664" i="16"/>
  <c r="O664" i="16"/>
  <c r="N664" i="16"/>
  <c r="P664" i="16"/>
  <c r="O701" i="17" l="1"/>
  <c r="P701" i="17"/>
  <c r="R701" i="17" s="1"/>
  <c r="N701" i="17"/>
  <c r="G701" i="17"/>
  <c r="H701" i="17"/>
  <c r="I701" i="17"/>
  <c r="K701" i="17" s="1"/>
  <c r="J664" i="16"/>
  <c r="L664" i="16" s="1"/>
  <c r="R664" i="16"/>
  <c r="U664" i="16" s="1"/>
  <c r="Q664" i="16"/>
  <c r="U701" i="17" l="1"/>
  <c r="Q701" i="17"/>
  <c r="S701" i="17" s="1"/>
  <c r="T664" i="16"/>
  <c r="J701" i="17"/>
  <c r="S664" i="16"/>
  <c r="V664" i="16" l="1"/>
  <c r="Y664" i="16"/>
  <c r="W664" i="16"/>
  <c r="T701" i="17"/>
  <c r="M665" i="16"/>
  <c r="O665" i="16" s="1"/>
  <c r="L701" i="17"/>
  <c r="W701" i="17" s="1"/>
  <c r="X664" i="16"/>
  <c r="F665" i="16"/>
  <c r="P665" i="16" l="1"/>
  <c r="R665" i="16" s="1"/>
  <c r="N665" i="16"/>
  <c r="M702" i="17"/>
  <c r="X701" i="17"/>
  <c r="F702" i="17"/>
  <c r="Y701" i="17"/>
  <c r="V701" i="17"/>
  <c r="H665" i="16"/>
  <c r="I665" i="16"/>
  <c r="K665" i="16" s="1"/>
  <c r="U665" i="16" s="1"/>
  <c r="G665" i="16"/>
  <c r="Q665" i="16" l="1"/>
  <c r="S665" i="16" s="1"/>
  <c r="I702" i="17"/>
  <c r="K702" i="17" s="1"/>
  <c r="H702" i="17"/>
  <c r="G702" i="17"/>
  <c r="P702" i="17"/>
  <c r="R702" i="17" s="1"/>
  <c r="N702" i="17"/>
  <c r="O702" i="17"/>
  <c r="J665" i="16"/>
  <c r="T665" i="16" l="1"/>
  <c r="J702" i="17"/>
  <c r="L702" i="17" s="1"/>
  <c r="Q702" i="17"/>
  <c r="S702" i="17" s="1"/>
  <c r="U702" i="17"/>
  <c r="L665" i="16"/>
  <c r="W665" i="16" s="1"/>
  <c r="F666" i="16"/>
  <c r="W702" i="17" l="1"/>
  <c r="M666" i="16"/>
  <c r="N666" i="16" s="1"/>
  <c r="V665" i="16"/>
  <c r="T702" i="17"/>
  <c r="V702" i="17" s="1"/>
  <c r="F703" i="17"/>
  <c r="X702" i="17"/>
  <c r="M703" i="17"/>
  <c r="Y702" i="17"/>
  <c r="X665" i="16"/>
  <c r="Y665" i="16"/>
  <c r="G666" i="16"/>
  <c r="I666" i="16"/>
  <c r="K666" i="16" s="1"/>
  <c r="H666" i="16"/>
  <c r="P666" i="16" l="1"/>
  <c r="R666" i="16" s="1"/>
  <c r="U666" i="16" s="1"/>
  <c r="O666" i="16"/>
  <c r="I703" i="17"/>
  <c r="K703" i="17" s="1"/>
  <c r="H703" i="17"/>
  <c r="G703" i="17"/>
  <c r="N703" i="17"/>
  <c r="P703" i="17"/>
  <c r="R703" i="17" s="1"/>
  <c r="O703" i="17"/>
  <c r="Q666" i="16"/>
  <c r="S666" i="16" s="1"/>
  <c r="J666" i="16"/>
  <c r="Q703" i="17" l="1"/>
  <c r="S703" i="17" s="1"/>
  <c r="J703" i="17"/>
  <c r="U703" i="17"/>
  <c r="T666" i="16"/>
  <c r="L666" i="16"/>
  <c r="Y666" i="16" l="1"/>
  <c r="W666" i="16"/>
  <c r="T703" i="17"/>
  <c r="L703" i="17"/>
  <c r="W703" i="17" s="1"/>
  <c r="F667" i="16"/>
  <c r="M667" i="16"/>
  <c r="X666" i="16"/>
  <c r="V666" i="16"/>
  <c r="Y703" i="17" l="1"/>
  <c r="X703" i="17"/>
  <c r="M704" i="17"/>
  <c r="F704" i="17"/>
  <c r="V703" i="17"/>
  <c r="N667" i="16"/>
  <c r="P667" i="16"/>
  <c r="R667" i="16" s="1"/>
  <c r="O667" i="16"/>
  <c r="H667" i="16"/>
  <c r="I667" i="16"/>
  <c r="K667" i="16" s="1"/>
  <c r="G667" i="16"/>
  <c r="P704" i="17" l="1"/>
  <c r="R704" i="17" s="1"/>
  <c r="O704" i="17"/>
  <c r="N704" i="17"/>
  <c r="H704" i="17"/>
  <c r="G704" i="17"/>
  <c r="I704" i="17"/>
  <c r="K704" i="17" s="1"/>
  <c r="Q667" i="16"/>
  <c r="S667" i="16" s="1"/>
  <c r="U667" i="16"/>
  <c r="J667" i="16"/>
  <c r="Q704" i="17" l="1"/>
  <c r="S704" i="17" s="1"/>
  <c r="U704" i="17"/>
  <c r="T667" i="16"/>
  <c r="J704" i="17"/>
  <c r="L667" i="16"/>
  <c r="T704" i="17" l="1"/>
  <c r="Y667" i="16"/>
  <c r="W667" i="16"/>
  <c r="L704" i="17"/>
  <c r="W704" i="17" s="1"/>
  <c r="M668" i="16"/>
  <c r="X667" i="16"/>
  <c r="F668" i="16"/>
  <c r="V667" i="16"/>
  <c r="F705" i="17" l="1"/>
  <c r="Y704" i="17"/>
  <c r="X704" i="17"/>
  <c r="M705" i="17"/>
  <c r="V704" i="17"/>
  <c r="I668" i="16"/>
  <c r="K668" i="16" s="1"/>
  <c r="G668" i="16"/>
  <c r="H668" i="16"/>
  <c r="O668" i="16"/>
  <c r="N668" i="16"/>
  <c r="P668" i="16"/>
  <c r="N705" i="17" l="1"/>
  <c r="O705" i="17"/>
  <c r="P705" i="17"/>
  <c r="R705" i="17" s="1"/>
  <c r="G705" i="17"/>
  <c r="H705" i="17"/>
  <c r="I705" i="17"/>
  <c r="K705" i="17" s="1"/>
  <c r="Q668" i="16"/>
  <c r="R668" i="16"/>
  <c r="J668" i="16"/>
  <c r="U705" i="17" l="1"/>
  <c r="Q705" i="17"/>
  <c r="S705" i="17" s="1"/>
  <c r="J705" i="17"/>
  <c r="S668" i="16"/>
  <c r="U668" i="16"/>
  <c r="T668" i="16"/>
  <c r="L668" i="16"/>
  <c r="Y668" i="16" l="1"/>
  <c r="W668" i="16"/>
  <c r="T705" i="17"/>
  <c r="L705" i="17"/>
  <c r="W705" i="17" s="1"/>
  <c r="F669" i="16"/>
  <c r="M669" i="16"/>
  <c r="X668" i="16"/>
  <c r="V668" i="16"/>
  <c r="X705" i="17" l="1"/>
  <c r="Y705" i="17"/>
  <c r="M706" i="17"/>
  <c r="F706" i="17"/>
  <c r="V705" i="17"/>
  <c r="P669" i="16"/>
  <c r="R669" i="16" s="1"/>
  <c r="N669" i="16"/>
  <c r="O669" i="16"/>
  <c r="H669" i="16"/>
  <c r="I669" i="16"/>
  <c r="K669" i="16" s="1"/>
  <c r="G669" i="16"/>
  <c r="P706" i="17" l="1"/>
  <c r="R706" i="17" s="1"/>
  <c r="N706" i="17"/>
  <c r="O706" i="17"/>
  <c r="I706" i="17"/>
  <c r="K706" i="17" s="1"/>
  <c r="H706" i="17"/>
  <c r="G706" i="17"/>
  <c r="Q669" i="16"/>
  <c r="S669" i="16" s="1"/>
  <c r="U669" i="16"/>
  <c r="J669" i="16"/>
  <c r="J706" i="17" l="1"/>
  <c r="L706" i="17" s="1"/>
  <c r="W706" i="17" s="1"/>
  <c r="Q706" i="17"/>
  <c r="S706" i="17" s="1"/>
  <c r="U706" i="17"/>
  <c r="T669" i="16"/>
  <c r="L669" i="16"/>
  <c r="Y669" i="16" l="1"/>
  <c r="W669" i="16"/>
  <c r="T706" i="17"/>
  <c r="V706" i="17" s="1"/>
  <c r="Y706" i="17"/>
  <c r="F707" i="17"/>
  <c r="X706" i="17"/>
  <c r="M707" i="17"/>
  <c r="X669" i="16"/>
  <c r="F670" i="16"/>
  <c r="M670" i="16"/>
  <c r="V669" i="16"/>
  <c r="H707" i="17" l="1"/>
  <c r="I707" i="17"/>
  <c r="G707" i="17"/>
  <c r="N707" i="17"/>
  <c r="P707" i="17"/>
  <c r="R707" i="17" s="1"/>
  <c r="O707" i="17"/>
  <c r="O670" i="16"/>
  <c r="N670" i="16"/>
  <c r="P670" i="16"/>
  <c r="R670" i="16" s="1"/>
  <c r="G670" i="16"/>
  <c r="I670" i="16"/>
  <c r="K670" i="16" s="1"/>
  <c r="H670" i="16"/>
  <c r="Q707" i="17" l="1"/>
  <c r="S707" i="17" s="1"/>
  <c r="K707" i="17"/>
  <c r="U707" i="17" s="1"/>
  <c r="J707" i="17"/>
  <c r="U670" i="16"/>
  <c r="J670" i="16"/>
  <c r="Q670" i="16"/>
  <c r="S670" i="16" s="1"/>
  <c r="T707" i="17" l="1"/>
  <c r="L707" i="17"/>
  <c r="W707" i="17" s="1"/>
  <c r="T670" i="16"/>
  <c r="L670" i="16"/>
  <c r="Y670" i="16" l="1"/>
  <c r="W670" i="16"/>
  <c r="X707" i="17"/>
  <c r="M708" i="17"/>
  <c r="F708" i="17"/>
  <c r="Y707" i="17"/>
  <c r="V707" i="17"/>
  <c r="F671" i="16"/>
  <c r="M671" i="16"/>
  <c r="X670" i="16"/>
  <c r="V670" i="16"/>
  <c r="H708" i="17" l="1"/>
  <c r="G708" i="17"/>
  <c r="I708" i="17"/>
  <c r="K708" i="17" s="1"/>
  <c r="N708" i="17"/>
  <c r="O708" i="17"/>
  <c r="P708" i="17"/>
  <c r="R708" i="17" s="1"/>
  <c r="N671" i="16"/>
  <c r="P671" i="16"/>
  <c r="R671" i="16" s="1"/>
  <c r="O671" i="16"/>
  <c r="I671" i="16"/>
  <c r="K671" i="16" s="1"/>
  <c r="H671" i="16"/>
  <c r="G671" i="16"/>
  <c r="U708" i="17" l="1"/>
  <c r="J708" i="17"/>
  <c r="Q708" i="17"/>
  <c r="S708" i="17" s="1"/>
  <c r="U671" i="16"/>
  <c r="Q671" i="16"/>
  <c r="S671" i="16" s="1"/>
  <c r="J671" i="16"/>
  <c r="T671" i="16" l="1"/>
  <c r="L708" i="17"/>
  <c r="W708" i="17" s="1"/>
  <c r="T708" i="17"/>
  <c r="L671" i="16"/>
  <c r="M672" i="16" l="1"/>
  <c r="P672" i="16" s="1"/>
  <c r="R672" i="16" s="1"/>
  <c r="W671" i="16"/>
  <c r="M709" i="17"/>
  <c r="F709" i="17"/>
  <c r="Y708" i="17"/>
  <c r="V708" i="17"/>
  <c r="X708" i="17"/>
  <c r="F672" i="16"/>
  <c r="H672" i="16" s="1"/>
  <c r="V671" i="16"/>
  <c r="Y671" i="16"/>
  <c r="X671" i="16"/>
  <c r="N672" i="16" l="1"/>
  <c r="O672" i="16"/>
  <c r="I672" i="16"/>
  <c r="K672" i="16" s="1"/>
  <c r="U672" i="16" s="1"/>
  <c r="I709" i="17"/>
  <c r="K709" i="17" s="1"/>
  <c r="H709" i="17"/>
  <c r="G709" i="17"/>
  <c r="P709" i="17"/>
  <c r="R709" i="17" s="1"/>
  <c r="O709" i="17"/>
  <c r="N709" i="17"/>
  <c r="G672" i="16"/>
  <c r="Q672" i="16"/>
  <c r="J672" i="16" l="1"/>
  <c r="T672" i="16" s="1"/>
  <c r="Q709" i="17"/>
  <c r="S709" i="17" s="1"/>
  <c r="J709" i="17"/>
  <c r="U709" i="17"/>
  <c r="S672" i="16"/>
  <c r="L672" i="16" l="1"/>
  <c r="W672" i="16" s="1"/>
  <c r="T709" i="17"/>
  <c r="L709" i="17"/>
  <c r="W709" i="17" s="1"/>
  <c r="V672" i="16" l="1"/>
  <c r="M673" i="16"/>
  <c r="P673" i="16" s="1"/>
  <c r="R673" i="16" s="1"/>
  <c r="F673" i="16"/>
  <c r="H673" i="16" s="1"/>
  <c r="X672" i="16"/>
  <c r="Y672" i="16"/>
  <c r="M710" i="17"/>
  <c r="F710" i="17"/>
  <c r="X709" i="17"/>
  <c r="Y709" i="17"/>
  <c r="V709" i="17"/>
  <c r="N673" i="16" l="1"/>
  <c r="G673" i="16"/>
  <c r="I673" i="16"/>
  <c r="K673" i="16" s="1"/>
  <c r="U673" i="16" s="1"/>
  <c r="O673" i="16"/>
  <c r="I710" i="17"/>
  <c r="K710" i="17" s="1"/>
  <c r="H710" i="17"/>
  <c r="G710" i="17"/>
  <c r="O710" i="17"/>
  <c r="N710" i="17"/>
  <c r="P710" i="17"/>
  <c r="R710" i="17" s="1"/>
  <c r="Q673" i="16" l="1"/>
  <c r="S673" i="16" s="1"/>
  <c r="J673" i="16"/>
  <c r="L673" i="16" s="1"/>
  <c r="J710" i="17"/>
  <c r="L710" i="17" s="1"/>
  <c r="W710" i="17" s="1"/>
  <c r="Q710" i="17"/>
  <c r="S710" i="17" s="1"/>
  <c r="U710" i="17"/>
  <c r="T673" i="16" l="1"/>
  <c r="W673" i="16"/>
  <c r="M674" i="16"/>
  <c r="O674" i="16" s="1"/>
  <c r="Y673" i="16"/>
  <c r="V673" i="16"/>
  <c r="X673" i="16"/>
  <c r="F674" i="16"/>
  <c r="I674" i="16" s="1"/>
  <c r="K674" i="16" s="1"/>
  <c r="T710" i="17"/>
  <c r="V710" i="17" s="1"/>
  <c r="Y710" i="17"/>
  <c r="M711" i="17"/>
  <c r="X710" i="17"/>
  <c r="F711" i="17"/>
  <c r="G674" i="16" l="1"/>
  <c r="J674" i="16" s="1"/>
  <c r="P674" i="16"/>
  <c r="R674" i="16" s="1"/>
  <c r="H674" i="16"/>
  <c r="N674" i="16"/>
  <c r="O711" i="17"/>
  <c r="N711" i="17"/>
  <c r="P711" i="17"/>
  <c r="R711" i="17" s="1"/>
  <c r="G711" i="17"/>
  <c r="I711" i="17"/>
  <c r="K711" i="17" s="1"/>
  <c r="H711" i="17"/>
  <c r="U674" i="16"/>
  <c r="Q674" i="16"/>
  <c r="S674" i="16" s="1"/>
  <c r="Q711" i="17" l="1"/>
  <c r="S711" i="17" s="1"/>
  <c r="J711" i="17"/>
  <c r="U711" i="17"/>
  <c r="T674" i="16"/>
  <c r="L674" i="16"/>
  <c r="Y674" i="16" l="1"/>
  <c r="W674" i="16"/>
  <c r="T711" i="17"/>
  <c r="L711" i="17"/>
  <c r="W711" i="17" s="1"/>
  <c r="F675" i="16"/>
  <c r="M675" i="16"/>
  <c r="X674" i="16"/>
  <c r="V674" i="16"/>
  <c r="Y711" i="17" l="1"/>
  <c r="M712" i="17"/>
  <c r="X711" i="17"/>
  <c r="F712" i="17"/>
  <c r="V711" i="17"/>
  <c r="N675" i="16"/>
  <c r="P675" i="16"/>
  <c r="R675" i="16" s="1"/>
  <c r="O675" i="16"/>
  <c r="I675" i="16"/>
  <c r="K675" i="16" s="1"/>
  <c r="H675" i="16"/>
  <c r="G675" i="16"/>
  <c r="P712" i="17" l="1"/>
  <c r="R712" i="17" s="1"/>
  <c r="O712" i="17"/>
  <c r="N712" i="17"/>
  <c r="H712" i="17"/>
  <c r="I712" i="17"/>
  <c r="K712" i="17" s="1"/>
  <c r="G712" i="17"/>
  <c r="U675" i="16"/>
  <c r="J675" i="16"/>
  <c r="L675" i="16" s="1"/>
  <c r="Q675" i="16"/>
  <c r="S675" i="16" s="1"/>
  <c r="W675" i="16" l="1"/>
  <c r="U712" i="17"/>
  <c r="J712" i="17"/>
  <c r="L712" i="17" s="1"/>
  <c r="Y675" i="16"/>
  <c r="Q712" i="17"/>
  <c r="S712" i="17" s="1"/>
  <c r="T675" i="16"/>
  <c r="M676" i="16"/>
  <c r="X675" i="16"/>
  <c r="F676" i="16"/>
  <c r="V675" i="16"/>
  <c r="W712" i="17" l="1"/>
  <c r="T712" i="17"/>
  <c r="V712" i="17" s="1"/>
  <c r="Y712" i="17"/>
  <c r="X712" i="17"/>
  <c r="M713" i="17"/>
  <c r="F713" i="17"/>
  <c r="I676" i="16"/>
  <c r="K676" i="16" s="1"/>
  <c r="H676" i="16"/>
  <c r="G676" i="16"/>
  <c r="P676" i="16"/>
  <c r="R676" i="16" s="1"/>
  <c r="O676" i="16"/>
  <c r="N676" i="16"/>
  <c r="P713" i="17" l="1"/>
  <c r="R713" i="17" s="1"/>
  <c r="O713" i="17"/>
  <c r="N713" i="17"/>
  <c r="I713" i="17"/>
  <c r="K713" i="17" s="1"/>
  <c r="G713" i="17"/>
  <c r="H713" i="17"/>
  <c r="Q676" i="16"/>
  <c r="S676" i="16" s="1"/>
  <c r="U676" i="16"/>
  <c r="J676" i="16"/>
  <c r="L676" i="16" s="1"/>
  <c r="W676" i="16" s="1"/>
  <c r="Q713" i="17" l="1"/>
  <c r="S713" i="17" s="1"/>
  <c r="U713" i="17"/>
  <c r="J713" i="17"/>
  <c r="Y676" i="16"/>
  <c r="X676" i="16"/>
  <c r="F677" i="16"/>
  <c r="M677" i="16"/>
  <c r="T676" i="16"/>
  <c r="V676" i="16" s="1"/>
  <c r="T713" i="17" l="1"/>
  <c r="L713" i="17"/>
  <c r="W713" i="17" s="1"/>
  <c r="H677" i="16"/>
  <c r="G677" i="16"/>
  <c r="I677" i="16"/>
  <c r="K677" i="16" s="1"/>
  <c r="P677" i="16"/>
  <c r="R677" i="16" s="1"/>
  <c r="O677" i="16"/>
  <c r="N677" i="16"/>
  <c r="Y713" i="17" l="1"/>
  <c r="M714" i="17"/>
  <c r="N714" i="17" s="1"/>
  <c r="F714" i="17"/>
  <c r="I714" i="17" s="1"/>
  <c r="K714" i="17" s="1"/>
  <c r="V713" i="17"/>
  <c r="X713" i="17"/>
  <c r="Q677" i="16"/>
  <c r="S677" i="16" s="1"/>
  <c r="U677" i="16"/>
  <c r="J677" i="16"/>
  <c r="O714" i="17" l="1"/>
  <c r="P714" i="17"/>
  <c r="R714" i="17" s="1"/>
  <c r="U714" i="17" s="1"/>
  <c r="H714" i="17"/>
  <c r="G714" i="17"/>
  <c r="T677" i="16"/>
  <c r="L677" i="16"/>
  <c r="Q714" i="17" l="1"/>
  <c r="S714" i="17" s="1"/>
  <c r="J714" i="17"/>
  <c r="L714" i="17" s="1"/>
  <c r="Y677" i="16"/>
  <c r="W677" i="16"/>
  <c r="X677" i="16"/>
  <c r="F678" i="16"/>
  <c r="M678" i="16"/>
  <c r="V677" i="16"/>
  <c r="W714" i="17" l="1"/>
  <c r="Y714" i="17"/>
  <c r="T714" i="17"/>
  <c r="V714" i="17" s="1"/>
  <c r="F715" i="17"/>
  <c r="G715" i="17" s="1"/>
  <c r="M715" i="17"/>
  <c r="O715" i="17" s="1"/>
  <c r="X714" i="17"/>
  <c r="O678" i="16"/>
  <c r="N678" i="16"/>
  <c r="P678" i="16"/>
  <c r="R678" i="16" s="1"/>
  <c r="G678" i="16"/>
  <c r="I678" i="16"/>
  <c r="K678" i="16" s="1"/>
  <c r="H678" i="16"/>
  <c r="H715" i="17" l="1"/>
  <c r="I715" i="17"/>
  <c r="K715" i="17" s="1"/>
  <c r="P715" i="17"/>
  <c r="R715" i="17" s="1"/>
  <c r="N715" i="17"/>
  <c r="U678" i="16"/>
  <c r="J678" i="16"/>
  <c r="L678" i="16" s="1"/>
  <c r="Q678" i="16"/>
  <c r="S678" i="16" s="1"/>
  <c r="Y678" i="16" l="1"/>
  <c r="W678" i="16"/>
  <c r="J715" i="17"/>
  <c r="L715" i="17" s="1"/>
  <c r="W715" i="17" s="1"/>
  <c r="U715" i="17"/>
  <c r="Q715" i="17"/>
  <c r="S715" i="17" s="1"/>
  <c r="F679" i="16"/>
  <c r="M679" i="16"/>
  <c r="X678" i="16"/>
  <c r="T678" i="16"/>
  <c r="V678" i="16" s="1"/>
  <c r="T715" i="17" l="1"/>
  <c r="X715" i="17"/>
  <c r="M716" i="17"/>
  <c r="Y715" i="17"/>
  <c r="F716" i="17"/>
  <c r="V715" i="17"/>
  <c r="N679" i="16"/>
  <c r="P679" i="16"/>
  <c r="R679" i="16" s="1"/>
  <c r="O679" i="16"/>
  <c r="I679" i="16"/>
  <c r="K679" i="16" s="1"/>
  <c r="H679" i="16"/>
  <c r="G679" i="16"/>
  <c r="J679" i="16" s="1"/>
  <c r="P716" i="17" l="1"/>
  <c r="R716" i="17" s="1"/>
  <c r="O716" i="17"/>
  <c r="N716" i="17"/>
  <c r="I716" i="17"/>
  <c r="K716" i="17" s="1"/>
  <c r="H716" i="17"/>
  <c r="G716" i="17"/>
  <c r="U679" i="16"/>
  <c r="Q679" i="16"/>
  <c r="T679" i="16" s="1"/>
  <c r="L679" i="16"/>
  <c r="Q716" i="17" l="1"/>
  <c r="S716" i="17" s="1"/>
  <c r="U716" i="17"/>
  <c r="J716" i="17"/>
  <c r="S679" i="16"/>
  <c r="V679" i="16" s="1"/>
  <c r="W679" i="16" l="1"/>
  <c r="T716" i="17"/>
  <c r="F680" i="16"/>
  <c r="H680" i="16" s="1"/>
  <c r="M680" i="16"/>
  <c r="O680" i="16" s="1"/>
  <c r="L716" i="17"/>
  <c r="W716" i="17" s="1"/>
  <c r="Y679" i="16"/>
  <c r="X679" i="16"/>
  <c r="P680" i="16" l="1"/>
  <c r="R680" i="16" s="1"/>
  <c r="V716" i="17"/>
  <c r="N680" i="16"/>
  <c r="Q680" i="16" s="1"/>
  <c r="I680" i="16"/>
  <c r="K680" i="16" s="1"/>
  <c r="G680" i="16"/>
  <c r="M717" i="17"/>
  <c r="P717" i="17" s="1"/>
  <c r="R717" i="17" s="1"/>
  <c r="Y716" i="17"/>
  <c r="F717" i="17"/>
  <c r="I717" i="17" s="1"/>
  <c r="K717" i="17" s="1"/>
  <c r="X716" i="17"/>
  <c r="J680" i="16" l="1"/>
  <c r="L680" i="16" s="1"/>
  <c r="U680" i="16"/>
  <c r="N717" i="17"/>
  <c r="O717" i="17"/>
  <c r="H717" i="17"/>
  <c r="G717" i="17"/>
  <c r="U717" i="17"/>
  <c r="S680" i="16"/>
  <c r="T680" i="16" l="1"/>
  <c r="Y680" i="16"/>
  <c r="Q717" i="17"/>
  <c r="S717" i="17" s="1"/>
  <c r="W680" i="16"/>
  <c r="J717" i="17"/>
  <c r="M681" i="16"/>
  <c r="X680" i="16"/>
  <c r="V680" i="16"/>
  <c r="F681" i="16"/>
  <c r="T717" i="17" l="1"/>
  <c r="L717" i="17"/>
  <c r="W717" i="17" s="1"/>
  <c r="H681" i="16"/>
  <c r="G681" i="16"/>
  <c r="I681" i="16"/>
  <c r="K681" i="16" s="1"/>
  <c r="P681" i="16"/>
  <c r="R681" i="16" s="1"/>
  <c r="O681" i="16"/>
  <c r="N681" i="16"/>
  <c r="V717" i="17" l="1"/>
  <c r="X717" i="17"/>
  <c r="M718" i="17"/>
  <c r="N718" i="17" s="1"/>
  <c r="F718" i="17"/>
  <c r="I718" i="17" s="1"/>
  <c r="K718" i="17" s="1"/>
  <c r="Y717" i="17"/>
  <c r="Q681" i="16"/>
  <c r="S681" i="16" s="1"/>
  <c r="U681" i="16"/>
  <c r="J681" i="16"/>
  <c r="O718" i="17" l="1"/>
  <c r="P718" i="17"/>
  <c r="R718" i="17" s="1"/>
  <c r="U718" i="17" s="1"/>
  <c r="H718" i="17"/>
  <c r="G718" i="17"/>
  <c r="T681" i="16"/>
  <c r="L681" i="16"/>
  <c r="J718" i="17" l="1"/>
  <c r="L718" i="17" s="1"/>
  <c r="Q718" i="17"/>
  <c r="Y681" i="16"/>
  <c r="W681" i="16"/>
  <c r="X681" i="16"/>
  <c r="F682" i="16"/>
  <c r="M682" i="16"/>
  <c r="V681" i="16"/>
  <c r="W718" i="17" l="1"/>
  <c r="T718" i="17"/>
  <c r="S718" i="17"/>
  <c r="X718" i="17" s="1"/>
  <c r="Y718" i="17"/>
  <c r="O682" i="16"/>
  <c r="N682" i="16"/>
  <c r="P682" i="16"/>
  <c r="R682" i="16" s="1"/>
  <c r="G682" i="16"/>
  <c r="I682" i="16"/>
  <c r="K682" i="16" s="1"/>
  <c r="H682" i="16"/>
  <c r="F719" i="17" l="1"/>
  <c r="G719" i="17" s="1"/>
  <c r="M719" i="17"/>
  <c r="P719" i="17" s="1"/>
  <c r="R719" i="17" s="1"/>
  <c r="V718" i="17"/>
  <c r="U682" i="16"/>
  <c r="J682" i="16"/>
  <c r="Q682" i="16"/>
  <c r="S682" i="16" s="1"/>
  <c r="H719" i="17" l="1"/>
  <c r="N719" i="17"/>
  <c r="I719" i="17"/>
  <c r="K719" i="17" s="1"/>
  <c r="U719" i="17" s="1"/>
  <c r="O719" i="17"/>
  <c r="T682" i="16"/>
  <c r="L682" i="16"/>
  <c r="Q719" i="17" l="1"/>
  <c r="S719" i="17" s="1"/>
  <c r="J719" i="17"/>
  <c r="L719" i="17" s="1"/>
  <c r="W719" i="17" s="1"/>
  <c r="Y682" i="16"/>
  <c r="W682" i="16"/>
  <c r="F683" i="16"/>
  <c r="M683" i="16"/>
  <c r="X682" i="16"/>
  <c r="V682" i="16"/>
  <c r="F720" i="17" l="1"/>
  <c r="G720" i="17" s="1"/>
  <c r="X719" i="17"/>
  <c r="M720" i="17"/>
  <c r="O720" i="17" s="1"/>
  <c r="Y719" i="17"/>
  <c r="T719" i="17"/>
  <c r="V719" i="17" s="1"/>
  <c r="N683" i="16"/>
  <c r="P683" i="16"/>
  <c r="R683" i="16" s="1"/>
  <c r="O683" i="16"/>
  <c r="I683" i="16"/>
  <c r="K683" i="16" s="1"/>
  <c r="H683" i="16"/>
  <c r="G683" i="16"/>
  <c r="I720" i="17" l="1"/>
  <c r="K720" i="17" s="1"/>
  <c r="H720" i="17"/>
  <c r="J720" i="17" s="1"/>
  <c r="P720" i="17"/>
  <c r="R720" i="17" s="1"/>
  <c r="U720" i="17" s="1"/>
  <c r="N720" i="17"/>
  <c r="J683" i="16"/>
  <c r="L683" i="16" s="1"/>
  <c r="U683" i="16"/>
  <c r="Q683" i="16"/>
  <c r="Q720" i="17" l="1"/>
  <c r="S720" i="17" s="1"/>
  <c r="L720" i="17"/>
  <c r="W720" i="17" s="1"/>
  <c r="T683" i="16"/>
  <c r="S683" i="16"/>
  <c r="M684" i="16" s="1"/>
  <c r="T720" i="17" l="1"/>
  <c r="W683" i="16"/>
  <c r="F721" i="17"/>
  <c r="G721" i="17" s="1"/>
  <c r="M721" i="17"/>
  <c r="N721" i="17" s="1"/>
  <c r="V720" i="17"/>
  <c r="Y720" i="17"/>
  <c r="X720" i="17"/>
  <c r="Y683" i="16"/>
  <c r="F684" i="16"/>
  <c r="I684" i="16" s="1"/>
  <c r="K684" i="16" s="1"/>
  <c r="P684" i="16"/>
  <c r="R684" i="16" s="1"/>
  <c r="O684" i="16"/>
  <c r="N684" i="16"/>
  <c r="V683" i="16"/>
  <c r="X683" i="16"/>
  <c r="H721" i="17" l="1"/>
  <c r="O721" i="17"/>
  <c r="I721" i="17"/>
  <c r="K721" i="17" s="1"/>
  <c r="P721" i="17"/>
  <c r="R721" i="17" s="1"/>
  <c r="H684" i="16"/>
  <c r="G684" i="16"/>
  <c r="Q684" i="16"/>
  <c r="S684" i="16" s="1"/>
  <c r="U684" i="16"/>
  <c r="J721" i="17" l="1"/>
  <c r="L721" i="17" s="1"/>
  <c r="W721" i="17" s="1"/>
  <c r="U721" i="17"/>
  <c r="Q721" i="17"/>
  <c r="S721" i="17" s="1"/>
  <c r="J684" i="16"/>
  <c r="L684" i="16" s="1"/>
  <c r="T721" i="17" l="1"/>
  <c r="V721" i="17" s="1"/>
  <c r="Y684" i="16"/>
  <c r="W684" i="16"/>
  <c r="M685" i="16"/>
  <c r="P685" i="16" s="1"/>
  <c r="R685" i="16" s="1"/>
  <c r="X684" i="16"/>
  <c r="T684" i="16"/>
  <c r="V684" i="16" s="1"/>
  <c r="F685" i="16"/>
  <c r="H685" i="16" s="1"/>
  <c r="F722" i="17"/>
  <c r="M722" i="17"/>
  <c r="Y721" i="17"/>
  <c r="X721" i="17"/>
  <c r="N685" i="16" l="1"/>
  <c r="O685" i="16"/>
  <c r="I685" i="16"/>
  <c r="K685" i="16" s="1"/>
  <c r="U685" i="16" s="1"/>
  <c r="G685" i="16"/>
  <c r="O722" i="17"/>
  <c r="P722" i="17"/>
  <c r="R722" i="17" s="1"/>
  <c r="N722" i="17"/>
  <c r="H722" i="17"/>
  <c r="G722" i="17"/>
  <c r="I722" i="17"/>
  <c r="K722" i="17" s="1"/>
  <c r="Q685" i="16"/>
  <c r="S685" i="16" s="1"/>
  <c r="J685" i="16" l="1"/>
  <c r="L685" i="16" s="1"/>
  <c r="Q722" i="17"/>
  <c r="S722" i="17" s="1"/>
  <c r="U722" i="17"/>
  <c r="J722" i="17"/>
  <c r="T722" i="17" s="1"/>
  <c r="T685" i="16" l="1"/>
  <c r="Y685" i="16"/>
  <c r="W685" i="16"/>
  <c r="L722" i="17"/>
  <c r="W722" i="17" s="1"/>
  <c r="X685" i="16"/>
  <c r="F686" i="16"/>
  <c r="M686" i="16"/>
  <c r="V685" i="16"/>
  <c r="X722" i="17" l="1"/>
  <c r="F723" i="17"/>
  <c r="M723" i="17"/>
  <c r="Y722" i="17"/>
  <c r="V722" i="17"/>
  <c r="O686" i="16"/>
  <c r="N686" i="16"/>
  <c r="P686" i="16"/>
  <c r="R686" i="16" s="1"/>
  <c r="G686" i="16"/>
  <c r="I686" i="16"/>
  <c r="K686" i="16" s="1"/>
  <c r="H686" i="16"/>
  <c r="P723" i="17" l="1"/>
  <c r="R723" i="17" s="1"/>
  <c r="N723" i="17"/>
  <c r="O723" i="17"/>
  <c r="I723" i="17"/>
  <c r="K723" i="17" s="1"/>
  <c r="H723" i="17"/>
  <c r="G723" i="17"/>
  <c r="U686" i="16"/>
  <c r="J686" i="16"/>
  <c r="Q686" i="16"/>
  <c r="S686" i="16" s="1"/>
  <c r="U723" i="17" l="1"/>
  <c r="J723" i="17"/>
  <c r="L723" i="17" s="1"/>
  <c r="W723" i="17" s="1"/>
  <c r="Q723" i="17"/>
  <c r="S723" i="17" s="1"/>
  <c r="T686" i="16"/>
  <c r="L686" i="16"/>
  <c r="Y686" i="16" l="1"/>
  <c r="W686" i="16"/>
  <c r="T723" i="17"/>
  <c r="V723" i="17" s="1"/>
  <c r="X723" i="17"/>
  <c r="M724" i="17"/>
  <c r="Y723" i="17"/>
  <c r="F724" i="17"/>
  <c r="F687" i="16"/>
  <c r="M687" i="16"/>
  <c r="X686" i="16"/>
  <c r="V686" i="16"/>
  <c r="P724" i="17" l="1"/>
  <c r="R724" i="17" s="1"/>
  <c r="O724" i="17"/>
  <c r="N724" i="17"/>
  <c r="I724" i="17"/>
  <c r="K724" i="17" s="1"/>
  <c r="H724" i="17"/>
  <c r="G724" i="17"/>
  <c r="N687" i="16"/>
  <c r="P687" i="16"/>
  <c r="R687" i="16" s="1"/>
  <c r="O687" i="16"/>
  <c r="I687" i="16"/>
  <c r="K687" i="16" s="1"/>
  <c r="H687" i="16"/>
  <c r="G687" i="16"/>
  <c r="J687" i="16" s="1"/>
  <c r="Q724" i="17" l="1"/>
  <c r="S724" i="17" s="1"/>
  <c r="U724" i="17"/>
  <c r="J724" i="17"/>
  <c r="U687" i="16"/>
  <c r="Q687" i="16"/>
  <c r="T687" i="16" s="1"/>
  <c r="L687" i="16"/>
  <c r="T724" i="17" l="1"/>
  <c r="L724" i="17"/>
  <c r="W724" i="17" s="1"/>
  <c r="S687" i="16"/>
  <c r="V687" i="16" s="1"/>
  <c r="W687" i="16" l="1"/>
  <c r="Y687" i="16"/>
  <c r="F688" i="16"/>
  <c r="G688" i="16" s="1"/>
  <c r="M688" i="16"/>
  <c r="N688" i="16" s="1"/>
  <c r="F725" i="17"/>
  <c r="M725" i="17"/>
  <c r="Y724" i="17"/>
  <c r="X724" i="17"/>
  <c r="V724" i="17"/>
  <c r="X687" i="16"/>
  <c r="H688" i="16" l="1"/>
  <c r="J688" i="16" s="1"/>
  <c r="L688" i="16" s="1"/>
  <c r="I688" i="16"/>
  <c r="K688" i="16" s="1"/>
  <c r="O688" i="16"/>
  <c r="P688" i="16"/>
  <c r="R688" i="16" s="1"/>
  <c r="U688" i="16" s="1"/>
  <c r="N725" i="17"/>
  <c r="P725" i="17"/>
  <c r="O725" i="17"/>
  <c r="H725" i="17"/>
  <c r="G725" i="17"/>
  <c r="I725" i="17"/>
  <c r="K725" i="17" s="1"/>
  <c r="Q688" i="16" l="1"/>
  <c r="T688" i="16" s="1"/>
  <c r="Q725" i="17"/>
  <c r="J725" i="17"/>
  <c r="R725" i="17"/>
  <c r="S725" i="17" s="1"/>
  <c r="S688" i="16" l="1"/>
  <c r="T725" i="17"/>
  <c r="L725" i="17"/>
  <c r="W725" i="17" s="1"/>
  <c r="U725" i="17"/>
  <c r="M689" i="16"/>
  <c r="F689" i="16" l="1"/>
  <c r="H689" i="16" s="1"/>
  <c r="W688" i="16"/>
  <c r="X688" i="16"/>
  <c r="V688" i="16"/>
  <c r="Y688" i="16"/>
  <c r="Y725" i="17"/>
  <c r="X725" i="17"/>
  <c r="F726" i="17"/>
  <c r="M726" i="17"/>
  <c r="V725" i="17"/>
  <c r="N689" i="16"/>
  <c r="P689" i="16"/>
  <c r="R689" i="16" s="1"/>
  <c r="O689" i="16"/>
  <c r="G689" i="16" l="1"/>
  <c r="I689" i="16"/>
  <c r="K689" i="16" s="1"/>
  <c r="U689" i="16" s="1"/>
  <c r="P726" i="17"/>
  <c r="R726" i="17" s="1"/>
  <c r="N726" i="17"/>
  <c r="O726" i="17"/>
  <c r="H726" i="17"/>
  <c r="I726" i="17"/>
  <c r="K726" i="17" s="1"/>
  <c r="G726" i="17"/>
  <c r="Q689" i="16"/>
  <c r="S689" i="16" s="1"/>
  <c r="U726" i="17" l="1"/>
  <c r="J689" i="16"/>
  <c r="L689" i="16" s="1"/>
  <c r="Y689" i="16" s="1"/>
  <c r="Q726" i="17"/>
  <c r="S726" i="17" s="1"/>
  <c r="J726" i="17"/>
  <c r="F690" i="16" l="1"/>
  <c r="X689" i="16"/>
  <c r="V689" i="16"/>
  <c r="T689" i="16"/>
  <c r="M690" i="16"/>
  <c r="P690" i="16" s="1"/>
  <c r="R690" i="16" s="1"/>
  <c r="W689" i="16"/>
  <c r="T726" i="17"/>
  <c r="L726" i="17"/>
  <c r="W726" i="17" s="1"/>
  <c r="O690" i="16"/>
  <c r="N690" i="16"/>
  <c r="G690" i="16"/>
  <c r="I690" i="16"/>
  <c r="K690" i="16" s="1"/>
  <c r="H690" i="16"/>
  <c r="M727" i="17" l="1"/>
  <c r="X726" i="17"/>
  <c r="F727" i="17"/>
  <c r="Y726" i="17"/>
  <c r="V726" i="17"/>
  <c r="U690" i="16"/>
  <c r="J690" i="16"/>
  <c r="Q690" i="16"/>
  <c r="S690" i="16" s="1"/>
  <c r="G727" i="17" l="1"/>
  <c r="I727" i="17"/>
  <c r="K727" i="17" s="1"/>
  <c r="H727" i="17"/>
  <c r="O727" i="17"/>
  <c r="P727" i="17"/>
  <c r="R727" i="17" s="1"/>
  <c r="N727" i="17"/>
  <c r="T690" i="16"/>
  <c r="L690" i="16"/>
  <c r="Y690" i="16" l="1"/>
  <c r="W690" i="16"/>
  <c r="Q727" i="17"/>
  <c r="S727" i="17" s="1"/>
  <c r="U727" i="17"/>
  <c r="J727" i="17"/>
  <c r="F691" i="16"/>
  <c r="M691" i="16"/>
  <c r="X690" i="16"/>
  <c r="V690" i="16"/>
  <c r="T727" i="17" l="1"/>
  <c r="L727" i="17"/>
  <c r="W727" i="17" s="1"/>
  <c r="N691" i="16"/>
  <c r="P691" i="16"/>
  <c r="R691" i="16" s="1"/>
  <c r="O691" i="16"/>
  <c r="I691" i="16"/>
  <c r="K691" i="16" s="1"/>
  <c r="H691" i="16"/>
  <c r="G691" i="16"/>
  <c r="Y727" i="17" l="1"/>
  <c r="M728" i="17"/>
  <c r="X727" i="17"/>
  <c r="F728" i="17"/>
  <c r="V727" i="17"/>
  <c r="J691" i="16"/>
  <c r="L691" i="16" s="1"/>
  <c r="U691" i="16"/>
  <c r="Q691" i="16"/>
  <c r="I728" i="17" l="1"/>
  <c r="K728" i="17" s="1"/>
  <c r="G728" i="17"/>
  <c r="H728" i="17"/>
  <c r="T691" i="16"/>
  <c r="O728" i="17"/>
  <c r="N728" i="17"/>
  <c r="P728" i="17"/>
  <c r="R728" i="17" s="1"/>
  <c r="S691" i="16"/>
  <c r="X691" i="16" s="1"/>
  <c r="W691" i="16" l="1"/>
  <c r="J728" i="17"/>
  <c r="L728" i="17" s="1"/>
  <c r="V691" i="16"/>
  <c r="F692" i="16"/>
  <c r="I692" i="16" s="1"/>
  <c r="K692" i="16" s="1"/>
  <c r="Q728" i="17"/>
  <c r="S728" i="17" s="1"/>
  <c r="U728" i="17"/>
  <c r="M692" i="16"/>
  <c r="P692" i="16" s="1"/>
  <c r="R692" i="16" s="1"/>
  <c r="Y691" i="16"/>
  <c r="W728" i="17" l="1"/>
  <c r="H692" i="16"/>
  <c r="G692" i="16"/>
  <c r="M729" i="17"/>
  <c r="Y728" i="17"/>
  <c r="F729" i="17"/>
  <c r="X728" i="17"/>
  <c r="T728" i="17"/>
  <c r="N692" i="16"/>
  <c r="O692" i="16"/>
  <c r="U692" i="16"/>
  <c r="J692" i="16" l="1"/>
  <c r="L692" i="16" s="1"/>
  <c r="Y692" i="16" s="1"/>
  <c r="Q692" i="16"/>
  <c r="S692" i="16" s="1"/>
  <c r="O729" i="17"/>
  <c r="N729" i="17"/>
  <c r="P729" i="17"/>
  <c r="R729" i="17" s="1"/>
  <c r="G729" i="17"/>
  <c r="I729" i="17"/>
  <c r="K729" i="17" s="1"/>
  <c r="H729" i="17"/>
  <c r="V728" i="17"/>
  <c r="M693" i="16" l="1"/>
  <c r="W692" i="16"/>
  <c r="F693" i="16"/>
  <c r="H693" i="16" s="1"/>
  <c r="X692" i="16"/>
  <c r="T692" i="16"/>
  <c r="V692" i="16" s="1"/>
  <c r="U729" i="17"/>
  <c r="Q729" i="17"/>
  <c r="S729" i="17" s="1"/>
  <c r="J729" i="17"/>
  <c r="P693" i="16"/>
  <c r="R693" i="16" s="1"/>
  <c r="O693" i="16"/>
  <c r="N693" i="16"/>
  <c r="I693" i="16" l="1"/>
  <c r="K693" i="16" s="1"/>
  <c r="U693" i="16" s="1"/>
  <c r="G693" i="16"/>
  <c r="T729" i="17"/>
  <c r="L729" i="17"/>
  <c r="W729" i="17" s="1"/>
  <c r="Q693" i="16"/>
  <c r="S693" i="16" s="1"/>
  <c r="J693" i="16" l="1"/>
  <c r="T693" i="16" s="1"/>
  <c r="Y729" i="17"/>
  <c r="M730" i="17"/>
  <c r="F730" i="17"/>
  <c r="X729" i="17"/>
  <c r="V729" i="17"/>
  <c r="L693" i="16" l="1"/>
  <c r="Y693" i="16"/>
  <c r="W693" i="16"/>
  <c r="G730" i="17"/>
  <c r="H730" i="17"/>
  <c r="I730" i="17"/>
  <c r="K730" i="17" s="1"/>
  <c r="O730" i="17"/>
  <c r="P730" i="17"/>
  <c r="R730" i="17" s="1"/>
  <c r="N730" i="17"/>
  <c r="X693" i="16"/>
  <c r="F694" i="16"/>
  <c r="M694" i="16"/>
  <c r="V693" i="16"/>
  <c r="Q730" i="17" l="1"/>
  <c r="S730" i="17" s="1"/>
  <c r="J730" i="17"/>
  <c r="U730" i="17"/>
  <c r="O694" i="16"/>
  <c r="N694" i="16"/>
  <c r="P694" i="16"/>
  <c r="R694" i="16" s="1"/>
  <c r="G694" i="16"/>
  <c r="I694" i="16"/>
  <c r="K694" i="16" s="1"/>
  <c r="H694" i="16"/>
  <c r="T730" i="17" l="1"/>
  <c r="L730" i="17"/>
  <c r="W730" i="17" s="1"/>
  <c r="U694" i="16"/>
  <c r="J694" i="16"/>
  <c r="Q694" i="16"/>
  <c r="S694" i="16" s="1"/>
  <c r="M731" i="17" l="1"/>
  <c r="X730" i="17"/>
  <c r="F731" i="17"/>
  <c r="Y730" i="17"/>
  <c r="V730" i="17"/>
  <c r="T694" i="16"/>
  <c r="L694" i="16"/>
  <c r="Y694" i="16" l="1"/>
  <c r="W694" i="16"/>
  <c r="H731" i="17"/>
  <c r="G731" i="17"/>
  <c r="I731" i="17"/>
  <c r="K731" i="17" s="1"/>
  <c r="N731" i="17"/>
  <c r="P731" i="17"/>
  <c r="R731" i="17" s="1"/>
  <c r="O731" i="17"/>
  <c r="F695" i="16"/>
  <c r="M695" i="16"/>
  <c r="X694" i="16"/>
  <c r="V694" i="16"/>
  <c r="J731" i="17" l="1"/>
  <c r="L731" i="17" s="1"/>
  <c r="W731" i="17" s="1"/>
  <c r="U731" i="17"/>
  <c r="Q731" i="17"/>
  <c r="S731" i="17" s="1"/>
  <c r="N695" i="16"/>
  <c r="P695" i="16"/>
  <c r="R695" i="16" s="1"/>
  <c r="O695" i="16"/>
  <c r="I695" i="16"/>
  <c r="K695" i="16" s="1"/>
  <c r="H695" i="16"/>
  <c r="G695" i="16"/>
  <c r="T731" i="17" l="1"/>
  <c r="V731" i="17" s="1"/>
  <c r="M732" i="17"/>
  <c r="X731" i="17"/>
  <c r="Y731" i="17"/>
  <c r="F732" i="17"/>
  <c r="J695" i="16"/>
  <c r="L695" i="16" s="1"/>
  <c r="U695" i="16"/>
  <c r="Q695" i="16"/>
  <c r="T695" i="16" l="1"/>
  <c r="I732" i="17"/>
  <c r="K732" i="17" s="1"/>
  <c r="G732" i="17"/>
  <c r="H732" i="17"/>
  <c r="P732" i="17"/>
  <c r="R732" i="17" s="1"/>
  <c r="N732" i="17"/>
  <c r="O732" i="17"/>
  <c r="S695" i="16"/>
  <c r="V695" i="16" s="1"/>
  <c r="W695" i="16" l="1"/>
  <c r="F696" i="16"/>
  <c r="I696" i="16" s="1"/>
  <c r="K696" i="16" s="1"/>
  <c r="Q732" i="17"/>
  <c r="S732" i="17" s="1"/>
  <c r="J732" i="17"/>
  <c r="U732" i="17"/>
  <c r="M696" i="16"/>
  <c r="N696" i="16" s="1"/>
  <c r="Y695" i="16"/>
  <c r="X695" i="16"/>
  <c r="G696" i="16" l="1"/>
  <c r="H696" i="16"/>
  <c r="P696" i="16"/>
  <c r="R696" i="16" s="1"/>
  <c r="U696" i="16" s="1"/>
  <c r="O696" i="16"/>
  <c r="T732" i="17"/>
  <c r="L732" i="17"/>
  <c r="W732" i="17" s="1"/>
  <c r="J696" i="16"/>
  <c r="L696" i="16" s="1"/>
  <c r="Q696" i="16" l="1"/>
  <c r="S696" i="16" s="1"/>
  <c r="W696" i="16" s="1"/>
  <c r="X732" i="17"/>
  <c r="F733" i="17"/>
  <c r="M733" i="17"/>
  <c r="Y732" i="17"/>
  <c r="V732" i="17"/>
  <c r="T696" i="16" l="1"/>
  <c r="Y696" i="16"/>
  <c r="X696" i="16"/>
  <c r="M697" i="16"/>
  <c r="P697" i="16" s="1"/>
  <c r="R697" i="16" s="1"/>
  <c r="F697" i="16"/>
  <c r="G697" i="16" s="1"/>
  <c r="V696" i="16"/>
  <c r="I733" i="17"/>
  <c r="K733" i="17" s="1"/>
  <c r="G733" i="17"/>
  <c r="H733" i="17"/>
  <c r="N733" i="17"/>
  <c r="P733" i="17"/>
  <c r="R733" i="17" s="1"/>
  <c r="O733" i="17"/>
  <c r="N697" i="16" l="1"/>
  <c r="O697" i="16"/>
  <c r="H697" i="16"/>
  <c r="I697" i="16"/>
  <c r="K697" i="16" s="1"/>
  <c r="U697" i="16" s="1"/>
  <c r="Q733" i="17"/>
  <c r="S733" i="17" s="1"/>
  <c r="J733" i="17"/>
  <c r="L733" i="17" s="1"/>
  <c r="W733" i="17" s="1"/>
  <c r="U733" i="17"/>
  <c r="J697" i="16" l="1"/>
  <c r="L697" i="16" s="1"/>
  <c r="Q697" i="16"/>
  <c r="S697" i="16" s="1"/>
  <c r="T733" i="17"/>
  <c r="V733" i="17" s="1"/>
  <c r="F734" i="17"/>
  <c r="X733" i="17"/>
  <c r="M734" i="17"/>
  <c r="Y733" i="17"/>
  <c r="T697" i="16" l="1"/>
  <c r="Y697" i="16"/>
  <c r="W697" i="16"/>
  <c r="N734" i="17"/>
  <c r="P734" i="17"/>
  <c r="R734" i="17" s="1"/>
  <c r="O734" i="17"/>
  <c r="G734" i="17"/>
  <c r="H734" i="17"/>
  <c r="I734" i="17"/>
  <c r="K734" i="17" s="1"/>
  <c r="U734" i="17" s="1"/>
  <c r="X697" i="16"/>
  <c r="F698" i="16"/>
  <c r="M698" i="16"/>
  <c r="V697" i="16"/>
  <c r="Q734" i="17" l="1"/>
  <c r="S734" i="17" s="1"/>
  <c r="J734" i="17"/>
  <c r="O698" i="16"/>
  <c r="N698" i="16"/>
  <c r="P698" i="16"/>
  <c r="R698" i="16" s="1"/>
  <c r="G698" i="16"/>
  <c r="I698" i="16"/>
  <c r="K698" i="16" s="1"/>
  <c r="H698" i="16"/>
  <c r="T734" i="17" l="1"/>
  <c r="L734" i="17"/>
  <c r="W734" i="17" s="1"/>
  <c r="U698" i="16"/>
  <c r="J698" i="16"/>
  <c r="L698" i="16" s="1"/>
  <c r="Q698" i="16"/>
  <c r="S698" i="16" s="1"/>
  <c r="W698" i="16" l="1"/>
  <c r="M735" i="17"/>
  <c r="F735" i="17"/>
  <c r="Y734" i="17"/>
  <c r="X734" i="17"/>
  <c r="V734" i="17"/>
  <c r="Y698" i="16"/>
  <c r="F699" i="16"/>
  <c r="M699" i="16"/>
  <c r="X698" i="16"/>
  <c r="T698" i="16"/>
  <c r="V698" i="16" s="1"/>
  <c r="G735" i="17" l="1"/>
  <c r="I735" i="17"/>
  <c r="K735" i="17" s="1"/>
  <c r="H735" i="17"/>
  <c r="N735" i="17"/>
  <c r="O735" i="17"/>
  <c r="P735" i="17"/>
  <c r="R735" i="17" s="1"/>
  <c r="N699" i="16"/>
  <c r="P699" i="16"/>
  <c r="R699" i="16" s="1"/>
  <c r="O699" i="16"/>
  <c r="I699" i="16"/>
  <c r="K699" i="16" s="1"/>
  <c r="H699" i="16"/>
  <c r="G699" i="16"/>
  <c r="J735" i="17" l="1"/>
  <c r="L735" i="17" s="1"/>
  <c r="W735" i="17" s="1"/>
  <c r="Q735" i="17"/>
  <c r="S735" i="17" s="1"/>
  <c r="U735" i="17"/>
  <c r="U699" i="16"/>
  <c r="J699" i="16"/>
  <c r="Q699" i="16"/>
  <c r="S699" i="16" s="1"/>
  <c r="T735" i="17" l="1"/>
  <c r="V735" i="17" s="1"/>
  <c r="F736" i="17"/>
  <c r="M736" i="17"/>
  <c r="Y735" i="17"/>
  <c r="X735" i="17"/>
  <c r="T699" i="16"/>
  <c r="L699" i="16"/>
  <c r="Y699" i="16" l="1"/>
  <c r="W699" i="16"/>
  <c r="O736" i="17"/>
  <c r="N736" i="17"/>
  <c r="P736" i="17"/>
  <c r="R736" i="17" s="1"/>
  <c r="H736" i="17"/>
  <c r="G736" i="17"/>
  <c r="I736" i="17"/>
  <c r="K736" i="17" s="1"/>
  <c r="M700" i="16"/>
  <c r="X699" i="16"/>
  <c r="F700" i="16"/>
  <c r="V699" i="16"/>
  <c r="Q736" i="17" l="1"/>
  <c r="S736" i="17" s="1"/>
  <c r="U736" i="17"/>
  <c r="J736" i="17"/>
  <c r="I700" i="16"/>
  <c r="K700" i="16" s="1"/>
  <c r="H700" i="16"/>
  <c r="G700" i="16"/>
  <c r="P700" i="16"/>
  <c r="R700" i="16" s="1"/>
  <c r="O700" i="16"/>
  <c r="N700" i="16"/>
  <c r="T736" i="17" l="1"/>
  <c r="L736" i="17"/>
  <c r="W736" i="17" s="1"/>
  <c r="U700" i="16"/>
  <c r="Q700" i="16"/>
  <c r="S700" i="16" s="1"/>
  <c r="J700" i="16"/>
  <c r="M737" i="17" l="1"/>
  <c r="X736" i="17"/>
  <c r="Y736" i="17"/>
  <c r="F737" i="17"/>
  <c r="V736" i="17"/>
  <c r="T700" i="16"/>
  <c r="L700" i="16"/>
  <c r="Y700" i="16" l="1"/>
  <c r="W700" i="16"/>
  <c r="G737" i="17"/>
  <c r="H737" i="17"/>
  <c r="I737" i="17"/>
  <c r="K737" i="17" s="1"/>
  <c r="P737" i="17"/>
  <c r="R737" i="17" s="1"/>
  <c r="N737" i="17"/>
  <c r="O737" i="17"/>
  <c r="X700" i="16"/>
  <c r="F701" i="16"/>
  <c r="M701" i="16"/>
  <c r="V700" i="16"/>
  <c r="U737" i="17" l="1"/>
  <c r="Q737" i="17"/>
  <c r="S737" i="17" s="1"/>
  <c r="J737" i="17"/>
  <c r="P701" i="16"/>
  <c r="R701" i="16" s="1"/>
  <c r="O701" i="16"/>
  <c r="N701" i="16"/>
  <c r="H701" i="16"/>
  <c r="G701" i="16"/>
  <c r="I701" i="16"/>
  <c r="K701" i="16" s="1"/>
  <c r="L737" i="17" l="1"/>
  <c r="W737" i="17" s="1"/>
  <c r="T737" i="17"/>
  <c r="U701" i="16"/>
  <c r="J701" i="16"/>
  <c r="L701" i="16" s="1"/>
  <c r="Q701" i="16"/>
  <c r="S701" i="16" s="1"/>
  <c r="W701" i="16" l="1"/>
  <c r="F738" i="17"/>
  <c r="H738" i="17" s="1"/>
  <c r="Y701" i="16"/>
  <c r="X737" i="17"/>
  <c r="Y737" i="17"/>
  <c r="M738" i="17"/>
  <c r="V737" i="17"/>
  <c r="T701" i="16"/>
  <c r="V701" i="16" s="1"/>
  <c r="X701" i="16"/>
  <c r="F702" i="16"/>
  <c r="M702" i="16"/>
  <c r="G738" i="17" l="1"/>
  <c r="I738" i="17"/>
  <c r="K738" i="17" s="1"/>
  <c r="O738" i="17"/>
  <c r="N738" i="17"/>
  <c r="P738" i="17"/>
  <c r="G702" i="16"/>
  <c r="I702" i="16"/>
  <c r="K702" i="16" s="1"/>
  <c r="H702" i="16"/>
  <c r="O702" i="16"/>
  <c r="N702" i="16"/>
  <c r="P702" i="16"/>
  <c r="R702" i="16" s="1"/>
  <c r="J738" i="17" l="1"/>
  <c r="L738" i="17" s="1"/>
  <c r="Q738" i="17"/>
  <c r="R738" i="17"/>
  <c r="U738" i="17" s="1"/>
  <c r="U702" i="16"/>
  <c r="J702" i="16"/>
  <c r="L702" i="16" s="1"/>
  <c r="Q702" i="16"/>
  <c r="S702" i="16" s="1"/>
  <c r="W702" i="16" l="1"/>
  <c r="T738" i="17"/>
  <c r="Y702" i="16"/>
  <c r="S738" i="17"/>
  <c r="W738" i="17" s="1"/>
  <c r="T702" i="16"/>
  <c r="V702" i="16" s="1"/>
  <c r="F703" i="16"/>
  <c r="M703" i="16"/>
  <c r="X702" i="16"/>
  <c r="X738" i="17" l="1"/>
  <c r="M739" i="17"/>
  <c r="F739" i="17"/>
  <c r="V738" i="17"/>
  <c r="Y738" i="17"/>
  <c r="I703" i="16"/>
  <c r="K703" i="16" s="1"/>
  <c r="H703" i="16"/>
  <c r="G703" i="16"/>
  <c r="N703" i="16"/>
  <c r="P703" i="16"/>
  <c r="R703" i="16" s="1"/>
  <c r="O703" i="16"/>
  <c r="H739" i="17" l="1"/>
  <c r="G739" i="17"/>
  <c r="I739" i="17"/>
  <c r="K739" i="17" s="1"/>
  <c r="O739" i="17"/>
  <c r="P739" i="17"/>
  <c r="R739" i="17" s="1"/>
  <c r="N739" i="17"/>
  <c r="Q703" i="16"/>
  <c r="S703" i="16" s="1"/>
  <c r="U703" i="16"/>
  <c r="J703" i="16"/>
  <c r="T703" i="16" l="1"/>
  <c r="Q739" i="17"/>
  <c r="S739" i="17" s="1"/>
  <c r="J739" i="17"/>
  <c r="L739" i="17" s="1"/>
  <c r="W739" i="17" s="1"/>
  <c r="U739" i="17"/>
  <c r="L703" i="16"/>
  <c r="Y703" i="16" l="1"/>
  <c r="W703" i="16"/>
  <c r="T739" i="17"/>
  <c r="V739" i="17" s="1"/>
  <c r="X739" i="17"/>
  <c r="M740" i="17"/>
  <c r="Y739" i="17"/>
  <c r="F740" i="17"/>
  <c r="M704" i="16"/>
  <c r="X703" i="16"/>
  <c r="F704" i="16"/>
  <c r="V703" i="16"/>
  <c r="O740" i="17" l="1"/>
  <c r="N740" i="17"/>
  <c r="P740" i="17"/>
  <c r="R740" i="17" s="1"/>
  <c r="G740" i="17"/>
  <c r="H740" i="17"/>
  <c r="I740" i="17"/>
  <c r="K740" i="17" s="1"/>
  <c r="I704" i="16"/>
  <c r="K704" i="16" s="1"/>
  <c r="H704" i="16"/>
  <c r="G704" i="16"/>
  <c r="P704" i="16"/>
  <c r="R704" i="16" s="1"/>
  <c r="O704" i="16"/>
  <c r="N704" i="16"/>
  <c r="Q740" i="17" l="1"/>
  <c r="S740" i="17" s="1"/>
  <c r="U740" i="17"/>
  <c r="J740" i="17"/>
  <c r="J704" i="16"/>
  <c r="L704" i="16" s="1"/>
  <c r="U704" i="16"/>
  <c r="Q704" i="16"/>
  <c r="T740" i="17" l="1"/>
  <c r="L740" i="17"/>
  <c r="W740" i="17" s="1"/>
  <c r="T704" i="16"/>
  <c r="S704" i="16"/>
  <c r="Y704" i="16" s="1"/>
  <c r="W704" i="16" l="1"/>
  <c r="X740" i="17"/>
  <c r="M741" i="17"/>
  <c r="Y740" i="17"/>
  <c r="F741" i="17"/>
  <c r="V740" i="17"/>
  <c r="M705" i="16"/>
  <c r="X704" i="16"/>
  <c r="V704" i="16"/>
  <c r="F705" i="16"/>
  <c r="G741" i="17" l="1"/>
  <c r="I741" i="17"/>
  <c r="K741" i="17" s="1"/>
  <c r="H741" i="17"/>
  <c r="P741" i="17"/>
  <c r="R741" i="17" s="1"/>
  <c r="N741" i="17"/>
  <c r="O741" i="17"/>
  <c r="H705" i="16"/>
  <c r="G705" i="16"/>
  <c r="I705" i="16"/>
  <c r="K705" i="16" s="1"/>
  <c r="P705" i="16"/>
  <c r="R705" i="16" s="1"/>
  <c r="O705" i="16"/>
  <c r="N705" i="16"/>
  <c r="J741" i="17" l="1"/>
  <c r="Q741" i="17"/>
  <c r="S741" i="17" s="1"/>
  <c r="L741" i="17"/>
  <c r="U741" i="17"/>
  <c r="Q705" i="16"/>
  <c r="S705" i="16" s="1"/>
  <c r="U705" i="16"/>
  <c r="J705" i="16"/>
  <c r="W741" i="17" l="1"/>
  <c r="T741" i="17"/>
  <c r="V741" i="17" s="1"/>
  <c r="T705" i="16"/>
  <c r="X741" i="17"/>
  <c r="F742" i="17"/>
  <c r="Y741" i="17"/>
  <c r="M742" i="17"/>
  <c r="L705" i="16"/>
  <c r="Y705" i="16" l="1"/>
  <c r="W705" i="16"/>
  <c r="N742" i="17"/>
  <c r="P742" i="17"/>
  <c r="R742" i="17" s="1"/>
  <c r="O742" i="17"/>
  <c r="G742" i="17"/>
  <c r="I742" i="17"/>
  <c r="H742" i="17"/>
  <c r="K742" i="17"/>
  <c r="X705" i="16"/>
  <c r="F706" i="16"/>
  <c r="M706" i="16"/>
  <c r="V705" i="16"/>
  <c r="U742" i="17" l="1"/>
  <c r="Q742" i="17"/>
  <c r="S742" i="17" s="1"/>
  <c r="J742" i="17"/>
  <c r="G706" i="16"/>
  <c r="I706" i="16"/>
  <c r="K706" i="16" s="1"/>
  <c r="H706" i="16"/>
  <c r="P706" i="16"/>
  <c r="R706" i="16" s="1"/>
  <c r="O706" i="16"/>
  <c r="N706" i="16"/>
  <c r="T742" i="17" l="1"/>
  <c r="L742" i="17"/>
  <c r="W742" i="17" s="1"/>
  <c r="J706" i="16"/>
  <c r="L706" i="16" s="1"/>
  <c r="U706" i="16"/>
  <c r="Q706" i="16"/>
  <c r="X742" i="17" l="1"/>
  <c r="M743" i="17"/>
  <c r="F743" i="17"/>
  <c r="Y742" i="17"/>
  <c r="V742" i="17"/>
  <c r="T706" i="16"/>
  <c r="S706" i="16"/>
  <c r="M707" i="16" s="1"/>
  <c r="W706" i="16" l="1"/>
  <c r="G743" i="17"/>
  <c r="I743" i="17"/>
  <c r="K743" i="17" s="1"/>
  <c r="H743" i="17"/>
  <c r="N743" i="17"/>
  <c r="P743" i="17"/>
  <c r="R743" i="17" s="1"/>
  <c r="O743" i="17"/>
  <c r="Y706" i="16"/>
  <c r="F707" i="16"/>
  <c r="H707" i="16" s="1"/>
  <c r="V706" i="16"/>
  <c r="X706" i="16"/>
  <c r="O707" i="16"/>
  <c r="P707" i="16"/>
  <c r="R707" i="16" s="1"/>
  <c r="N707" i="16"/>
  <c r="I707" i="16" l="1"/>
  <c r="K707" i="16" s="1"/>
  <c r="U707" i="16" s="1"/>
  <c r="Q743" i="17"/>
  <c r="S743" i="17" s="1"/>
  <c r="J743" i="17"/>
  <c r="U743" i="17"/>
  <c r="Q707" i="16"/>
  <c r="S707" i="16" s="1"/>
  <c r="G707" i="16"/>
  <c r="J707" i="16" s="1"/>
  <c r="T743" i="17" l="1"/>
  <c r="L743" i="17"/>
  <c r="T707" i="16"/>
  <c r="L707" i="16"/>
  <c r="F744" i="17" l="1"/>
  <c r="W743" i="17"/>
  <c r="Y743" i="17"/>
  <c r="V743" i="17"/>
  <c r="Y707" i="16"/>
  <c r="W707" i="16"/>
  <c r="X743" i="17"/>
  <c r="M744" i="17"/>
  <c r="P744" i="17" s="1"/>
  <c r="R744" i="17" s="1"/>
  <c r="G744" i="17"/>
  <c r="I744" i="17"/>
  <c r="K744" i="17" s="1"/>
  <c r="H744" i="17"/>
  <c r="F708" i="16"/>
  <c r="X707" i="16"/>
  <c r="M708" i="16"/>
  <c r="V707" i="16"/>
  <c r="O744" i="17" l="1"/>
  <c r="N744" i="17"/>
  <c r="U744" i="17"/>
  <c r="J744" i="17"/>
  <c r="H708" i="16"/>
  <c r="I708" i="16"/>
  <c r="K708" i="16" s="1"/>
  <c r="G708" i="16"/>
  <c r="P708" i="16"/>
  <c r="R708" i="16" s="1"/>
  <c r="N708" i="16"/>
  <c r="O708" i="16"/>
  <c r="Q744" i="17" l="1"/>
  <c r="S744" i="17" s="1"/>
  <c r="L744" i="17"/>
  <c r="Q708" i="16"/>
  <c r="S708" i="16" s="1"/>
  <c r="J708" i="16"/>
  <c r="U708" i="16"/>
  <c r="W744" i="17" l="1"/>
  <c r="F745" i="17"/>
  <c r="I745" i="17" s="1"/>
  <c r="K745" i="17" s="1"/>
  <c r="Y744" i="17"/>
  <c r="X744" i="17"/>
  <c r="M745" i="17"/>
  <c r="N745" i="17" s="1"/>
  <c r="T744" i="17"/>
  <c r="V744" i="17" s="1"/>
  <c r="T708" i="16"/>
  <c r="L708" i="16"/>
  <c r="H745" i="17" l="1"/>
  <c r="G745" i="17"/>
  <c r="F709" i="16"/>
  <c r="G709" i="16" s="1"/>
  <c r="W708" i="16"/>
  <c r="O745" i="17"/>
  <c r="P745" i="17"/>
  <c r="R745" i="17" s="1"/>
  <c r="U745" i="17" s="1"/>
  <c r="M709" i="16"/>
  <c r="O709" i="16" s="1"/>
  <c r="J745" i="17"/>
  <c r="V708" i="16"/>
  <c r="Y708" i="16"/>
  <c r="X708" i="16"/>
  <c r="H709" i="16" l="1"/>
  <c r="I709" i="16"/>
  <c r="K709" i="16" s="1"/>
  <c r="Q745" i="17"/>
  <c r="S745" i="17" s="1"/>
  <c r="N709" i="16"/>
  <c r="P709" i="16"/>
  <c r="R709" i="16" s="1"/>
  <c r="L745" i="17"/>
  <c r="W745" i="17" s="1"/>
  <c r="J709" i="16" l="1"/>
  <c r="L709" i="16" s="1"/>
  <c r="Y745" i="17"/>
  <c r="U709" i="16"/>
  <c r="Q709" i="16"/>
  <c r="S709" i="16" s="1"/>
  <c r="T745" i="17"/>
  <c r="V745" i="17"/>
  <c r="M746" i="17"/>
  <c r="N746" i="17" s="1"/>
  <c r="X745" i="17"/>
  <c r="F746" i="17"/>
  <c r="I746" i="17" s="1"/>
  <c r="K746" i="17" s="1"/>
  <c r="T709" i="16" l="1"/>
  <c r="Y709" i="16"/>
  <c r="F710" i="16"/>
  <c r="H710" i="16" s="1"/>
  <c r="M710" i="16"/>
  <c r="P710" i="16" s="1"/>
  <c r="R710" i="16" s="1"/>
  <c r="X709" i="16"/>
  <c r="W709" i="16"/>
  <c r="V709" i="16"/>
  <c r="P746" i="17"/>
  <c r="R746" i="17" s="1"/>
  <c r="U746" i="17" s="1"/>
  <c r="O746" i="17"/>
  <c r="G746" i="17"/>
  <c r="H746" i="17"/>
  <c r="G710" i="16" l="1"/>
  <c r="O710" i="16"/>
  <c r="N710" i="16"/>
  <c r="I710" i="16"/>
  <c r="K710" i="16" s="1"/>
  <c r="U710" i="16" s="1"/>
  <c r="Q746" i="17"/>
  <c r="S746" i="17" s="1"/>
  <c r="J746" i="17"/>
  <c r="L746" i="17" s="1"/>
  <c r="W746" i="17" s="1"/>
  <c r="J710" i="16" l="1"/>
  <c r="L710" i="16" s="1"/>
  <c r="Q710" i="16"/>
  <c r="S710" i="16" s="1"/>
  <c r="M747" i="17"/>
  <c r="O747" i="17" s="1"/>
  <c r="F747" i="17"/>
  <c r="G747" i="17" s="1"/>
  <c r="T746" i="17"/>
  <c r="V746" i="17"/>
  <c r="Y746" i="17"/>
  <c r="X746" i="17"/>
  <c r="T710" i="16" l="1"/>
  <c r="I747" i="17"/>
  <c r="K747" i="17" s="1"/>
  <c r="P747" i="17"/>
  <c r="R747" i="17" s="1"/>
  <c r="N747" i="17"/>
  <c r="H747" i="17"/>
  <c r="Y710" i="16"/>
  <c r="W710" i="16"/>
  <c r="M711" i="16"/>
  <c r="X710" i="16"/>
  <c r="F711" i="16"/>
  <c r="V710" i="16"/>
  <c r="Q747" i="17" l="1"/>
  <c r="S747" i="17" s="1"/>
  <c r="J747" i="17"/>
  <c r="U747" i="17"/>
  <c r="I711" i="16"/>
  <c r="K711" i="16" s="1"/>
  <c r="G711" i="16"/>
  <c r="H711" i="16"/>
  <c r="O711" i="16"/>
  <c r="P711" i="16"/>
  <c r="R711" i="16" s="1"/>
  <c r="N711" i="16"/>
  <c r="T747" i="17" l="1"/>
  <c r="L747" i="17"/>
  <c r="W747" i="17" s="1"/>
  <c r="Q711" i="16"/>
  <c r="S711" i="16" s="1"/>
  <c r="U711" i="16"/>
  <c r="J711" i="16"/>
  <c r="V747" i="17" l="1"/>
  <c r="X747" i="17"/>
  <c r="Y747" i="17"/>
  <c r="F748" i="17"/>
  <c r="G748" i="17" s="1"/>
  <c r="M748" i="17"/>
  <c r="P748" i="17" s="1"/>
  <c r="T711" i="16"/>
  <c r="L711" i="16"/>
  <c r="N748" i="17" l="1"/>
  <c r="O748" i="17"/>
  <c r="H748" i="17"/>
  <c r="R748" i="17"/>
  <c r="I748" i="17"/>
  <c r="K748" i="17" s="1"/>
  <c r="Y711" i="16"/>
  <c r="W711" i="16"/>
  <c r="F712" i="16"/>
  <c r="X711" i="16"/>
  <c r="M712" i="16"/>
  <c r="V711" i="16"/>
  <c r="U748" i="17" l="1"/>
  <c r="Q748" i="17"/>
  <c r="S748" i="17" s="1"/>
  <c r="J748" i="17"/>
  <c r="L748" i="17" s="1"/>
  <c r="W748" i="17" s="1"/>
  <c r="H712" i="16"/>
  <c r="I712" i="16"/>
  <c r="K712" i="16" s="1"/>
  <c r="G712" i="16"/>
  <c r="P712" i="16"/>
  <c r="R712" i="16" s="1"/>
  <c r="N712" i="16"/>
  <c r="O712" i="16"/>
  <c r="F749" i="17" l="1"/>
  <c r="H749" i="17" s="1"/>
  <c r="X748" i="17"/>
  <c r="Y748" i="17"/>
  <c r="M749" i="17"/>
  <c r="P749" i="17" s="1"/>
  <c r="R749" i="17" s="1"/>
  <c r="T748" i="17"/>
  <c r="V748" i="17" s="1"/>
  <c r="Q712" i="16"/>
  <c r="S712" i="16" s="1"/>
  <c r="J712" i="16"/>
  <c r="U712" i="16"/>
  <c r="N749" i="17" l="1"/>
  <c r="G749" i="17"/>
  <c r="O749" i="17"/>
  <c r="I749" i="17"/>
  <c r="K749" i="17" s="1"/>
  <c r="U749" i="17" s="1"/>
  <c r="T712" i="16"/>
  <c r="L712" i="16"/>
  <c r="J749" i="17" l="1"/>
  <c r="Q749" i="17"/>
  <c r="S749" i="17" s="1"/>
  <c r="M713" i="16"/>
  <c r="O713" i="16" s="1"/>
  <c r="W712" i="16"/>
  <c r="L749" i="17"/>
  <c r="W749" i="17" s="1"/>
  <c r="F713" i="16"/>
  <c r="G713" i="16" s="1"/>
  <c r="V712" i="16"/>
  <c r="Y712" i="16"/>
  <c r="X712" i="16"/>
  <c r="T749" i="17" l="1"/>
  <c r="V749" i="17" s="1"/>
  <c r="N713" i="16"/>
  <c r="P713" i="16"/>
  <c r="R713" i="16" s="1"/>
  <c r="X749" i="17"/>
  <c r="Y749" i="17"/>
  <c r="M750" i="17"/>
  <c r="F750" i="17"/>
  <c r="H713" i="16"/>
  <c r="I713" i="16"/>
  <c r="K713" i="16" s="1"/>
  <c r="Q713" i="16" l="1"/>
  <c r="S713" i="16" s="1"/>
  <c r="U713" i="16"/>
  <c r="J713" i="16"/>
  <c r="L713" i="16" s="1"/>
  <c r="P750" i="17"/>
  <c r="R750" i="17" s="1"/>
  <c r="O750" i="17"/>
  <c r="N750" i="17"/>
  <c r="H750" i="17"/>
  <c r="G750" i="17"/>
  <c r="I750" i="17"/>
  <c r="K750" i="17" s="1"/>
  <c r="Y713" i="16" l="1"/>
  <c r="W713" i="16"/>
  <c r="U750" i="17"/>
  <c r="F714" i="16"/>
  <c r="H714" i="16" s="1"/>
  <c r="M714" i="16"/>
  <c r="P714" i="16" s="1"/>
  <c r="R714" i="16" s="1"/>
  <c r="Q750" i="17"/>
  <c r="S750" i="17" s="1"/>
  <c r="X713" i="16"/>
  <c r="T713" i="16"/>
  <c r="V713" i="16" s="1"/>
  <c r="J750" i="17"/>
  <c r="N714" i="16" l="1"/>
  <c r="I714" i="16"/>
  <c r="K714" i="16" s="1"/>
  <c r="U714" i="16" s="1"/>
  <c r="G714" i="16"/>
  <c r="J714" i="16" s="1"/>
  <c r="O714" i="16"/>
  <c r="T750" i="17"/>
  <c r="L750" i="17"/>
  <c r="W750" i="17" s="1"/>
  <c r="Q714" i="16" l="1"/>
  <c r="S714" i="16" s="1"/>
  <c r="F751" i="17"/>
  <c r="M751" i="17"/>
  <c r="X750" i="17"/>
  <c r="Y750" i="17"/>
  <c r="V750" i="17"/>
  <c r="L714" i="16"/>
  <c r="Y714" i="16" l="1"/>
  <c r="W714" i="16"/>
  <c r="T714" i="16"/>
  <c r="O751" i="17"/>
  <c r="N751" i="17"/>
  <c r="P751" i="17"/>
  <c r="R751" i="17" s="1"/>
  <c r="H751" i="17"/>
  <c r="G751" i="17"/>
  <c r="I751" i="17"/>
  <c r="K751" i="17" s="1"/>
  <c r="M715" i="16"/>
  <c r="X714" i="16"/>
  <c r="F715" i="16"/>
  <c r="V714" i="16"/>
  <c r="J751" i="17" l="1"/>
  <c r="L751" i="17" s="1"/>
  <c r="U751" i="17"/>
  <c r="Q751" i="17"/>
  <c r="I715" i="16"/>
  <c r="K715" i="16" s="1"/>
  <c r="G715" i="16"/>
  <c r="H715" i="16"/>
  <c r="O715" i="16"/>
  <c r="P715" i="16"/>
  <c r="R715" i="16" s="1"/>
  <c r="N715" i="16"/>
  <c r="W751" i="17" l="1"/>
  <c r="T751" i="17"/>
  <c r="S751" i="17"/>
  <c r="V751" i="17" s="1"/>
  <c r="Q715" i="16"/>
  <c r="S715" i="16" s="1"/>
  <c r="U715" i="16"/>
  <c r="J715" i="16"/>
  <c r="F752" i="17" l="1"/>
  <c r="G752" i="17" s="1"/>
  <c r="Y751" i="17"/>
  <c r="X751" i="17"/>
  <c r="M752" i="17"/>
  <c r="N752" i="17" s="1"/>
  <c r="T715" i="16"/>
  <c r="L715" i="16"/>
  <c r="H752" i="17" l="1"/>
  <c r="I752" i="17"/>
  <c r="K752" i="17" s="1"/>
  <c r="Y715" i="16"/>
  <c r="W715" i="16"/>
  <c r="P752" i="17"/>
  <c r="R752" i="17" s="1"/>
  <c r="O752" i="17"/>
  <c r="Q752" i="17"/>
  <c r="S752" i="17" s="1"/>
  <c r="F716" i="16"/>
  <c r="X715" i="16"/>
  <c r="M716" i="16"/>
  <c r="V715" i="16"/>
  <c r="U752" i="17" l="1"/>
  <c r="J752" i="17"/>
  <c r="L752" i="17" s="1"/>
  <c r="W752" i="17" s="1"/>
  <c r="H716" i="16"/>
  <c r="I716" i="16"/>
  <c r="K716" i="16" s="1"/>
  <c r="G716" i="16"/>
  <c r="P716" i="16"/>
  <c r="R716" i="16" s="1"/>
  <c r="N716" i="16"/>
  <c r="O716" i="16"/>
  <c r="T752" i="17" l="1"/>
  <c r="V752" i="17" s="1"/>
  <c r="F753" i="17"/>
  <c r="X752" i="17"/>
  <c r="M753" i="17"/>
  <c r="Y752" i="17"/>
  <c r="J716" i="16"/>
  <c r="L716" i="16" s="1"/>
  <c r="Q716" i="16"/>
  <c r="S716" i="16" s="1"/>
  <c r="U716" i="16"/>
  <c r="W716" i="16" l="1"/>
  <c r="O753" i="17"/>
  <c r="N753" i="17"/>
  <c r="P753" i="17"/>
  <c r="R753" i="17" s="1"/>
  <c r="H753" i="17"/>
  <c r="I753" i="17"/>
  <c r="K753" i="17" s="1"/>
  <c r="G753" i="17"/>
  <c r="Y716" i="16"/>
  <c r="T716" i="16"/>
  <c r="V716" i="16" s="1"/>
  <c r="X716" i="16"/>
  <c r="M717" i="16"/>
  <c r="F717" i="16"/>
  <c r="U753" i="17" l="1"/>
  <c r="Q753" i="17"/>
  <c r="S753" i="17" s="1"/>
  <c r="J753" i="17"/>
  <c r="O717" i="16"/>
  <c r="P717" i="16"/>
  <c r="R717" i="16" s="1"/>
  <c r="N717" i="16"/>
  <c r="G717" i="16"/>
  <c r="I717" i="16"/>
  <c r="K717" i="16" s="1"/>
  <c r="H717" i="16"/>
  <c r="T753" i="17" l="1"/>
  <c r="L753" i="17"/>
  <c r="W753" i="17" s="1"/>
  <c r="U717" i="16"/>
  <c r="J717" i="16"/>
  <c r="Q717" i="16"/>
  <c r="S717" i="16" s="1"/>
  <c r="F754" i="17" l="1"/>
  <c r="M754" i="17"/>
  <c r="Y753" i="17"/>
  <c r="X753" i="17"/>
  <c r="V753" i="17"/>
  <c r="T717" i="16"/>
  <c r="L717" i="16"/>
  <c r="Y717" i="16" l="1"/>
  <c r="W717" i="16"/>
  <c r="P754" i="17"/>
  <c r="R754" i="17" s="1"/>
  <c r="O754" i="17"/>
  <c r="N754" i="17"/>
  <c r="G754" i="17"/>
  <c r="I754" i="17"/>
  <c r="K754" i="17" s="1"/>
  <c r="U754" i="17" s="1"/>
  <c r="H754" i="17"/>
  <c r="F718" i="16"/>
  <c r="M718" i="16"/>
  <c r="X717" i="16"/>
  <c r="V717" i="16"/>
  <c r="Q754" i="17" l="1"/>
  <c r="S754" i="17" s="1"/>
  <c r="J754" i="17"/>
  <c r="N718" i="16"/>
  <c r="P718" i="16"/>
  <c r="R718" i="16" s="1"/>
  <c r="O718" i="16"/>
  <c r="H718" i="16"/>
  <c r="G718" i="16"/>
  <c r="I718" i="16"/>
  <c r="T754" i="17" l="1"/>
  <c r="L754" i="17"/>
  <c r="W754" i="17" s="1"/>
  <c r="J718" i="16"/>
  <c r="K718" i="16"/>
  <c r="U718" i="16" s="1"/>
  <c r="Q718" i="16"/>
  <c r="S718" i="16" s="1"/>
  <c r="X754" i="17" l="1"/>
  <c r="Y754" i="17"/>
  <c r="F755" i="17"/>
  <c r="M755" i="17"/>
  <c r="V754" i="17"/>
  <c r="T718" i="16"/>
  <c r="L718" i="16"/>
  <c r="Y718" i="16" l="1"/>
  <c r="W718" i="16"/>
  <c r="O755" i="17"/>
  <c r="N755" i="17"/>
  <c r="P755" i="17"/>
  <c r="R755" i="17" s="1"/>
  <c r="G755" i="17"/>
  <c r="H755" i="17"/>
  <c r="I755" i="17"/>
  <c r="K755" i="17" s="1"/>
  <c r="M719" i="16"/>
  <c r="X718" i="16"/>
  <c r="F719" i="16"/>
  <c r="V718" i="16"/>
  <c r="U755" i="17" l="1"/>
  <c r="J755" i="17"/>
  <c r="L755" i="17" s="1"/>
  <c r="Q755" i="17"/>
  <c r="S755" i="17" s="1"/>
  <c r="I719" i="16"/>
  <c r="K719" i="16" s="1"/>
  <c r="G719" i="16"/>
  <c r="H719" i="16"/>
  <c r="O719" i="16"/>
  <c r="P719" i="16"/>
  <c r="R719" i="16" s="1"/>
  <c r="N719" i="16"/>
  <c r="W755" i="17" l="1"/>
  <c r="F756" i="17"/>
  <c r="X755" i="17"/>
  <c r="Y755" i="17"/>
  <c r="M756" i="17"/>
  <c r="T755" i="17"/>
  <c r="V755" i="17" s="1"/>
  <c r="Q719" i="16"/>
  <c r="S719" i="16" s="1"/>
  <c r="U719" i="16"/>
  <c r="J719" i="16"/>
  <c r="N756" i="17" l="1"/>
  <c r="O756" i="17"/>
  <c r="P756" i="17"/>
  <c r="R756" i="17" s="1"/>
  <c r="G756" i="17"/>
  <c r="H756" i="17"/>
  <c r="I756" i="17"/>
  <c r="T719" i="16"/>
  <c r="L719" i="16"/>
  <c r="Y719" i="16" l="1"/>
  <c r="W719" i="16"/>
  <c r="Q756" i="17"/>
  <c r="S756" i="17" s="1"/>
  <c r="J756" i="17"/>
  <c r="K756" i="17"/>
  <c r="U756" i="17" s="1"/>
  <c r="F720" i="16"/>
  <c r="X719" i="16"/>
  <c r="M720" i="16"/>
  <c r="V719" i="16"/>
  <c r="T756" i="17" l="1"/>
  <c r="L756" i="17"/>
  <c r="W756" i="17" s="1"/>
  <c r="H720" i="16"/>
  <c r="I720" i="16"/>
  <c r="K720" i="16" s="1"/>
  <c r="G720" i="16"/>
  <c r="P720" i="16"/>
  <c r="R720" i="16" s="1"/>
  <c r="N720" i="16"/>
  <c r="O720" i="16"/>
  <c r="J720" i="16" l="1"/>
  <c r="L720" i="16" s="1"/>
  <c r="X756" i="17"/>
  <c r="M757" i="17"/>
  <c r="Y756" i="17"/>
  <c r="F757" i="17"/>
  <c r="V756" i="17"/>
  <c r="Q720" i="16"/>
  <c r="U720" i="16"/>
  <c r="T720" i="16" l="1"/>
  <c r="H757" i="17"/>
  <c r="G757" i="17"/>
  <c r="I757" i="17"/>
  <c r="K757" i="17" s="1"/>
  <c r="N757" i="17"/>
  <c r="P757" i="17"/>
  <c r="R757" i="17" s="1"/>
  <c r="O757" i="17"/>
  <c r="S720" i="16"/>
  <c r="V720" i="16" l="1"/>
  <c r="W720" i="16"/>
  <c r="J757" i="17"/>
  <c r="L757" i="17" s="1"/>
  <c r="W757" i="17" s="1"/>
  <c r="Q757" i="17"/>
  <c r="S757" i="17" s="1"/>
  <c r="U757" i="17"/>
  <c r="M721" i="16"/>
  <c r="P721" i="16" s="1"/>
  <c r="R721" i="16" s="1"/>
  <c r="Y720" i="16"/>
  <c r="F721" i="16"/>
  <c r="G721" i="16" s="1"/>
  <c r="X720" i="16"/>
  <c r="N721" i="16" l="1"/>
  <c r="O721" i="16"/>
  <c r="H721" i="16"/>
  <c r="Y757" i="17"/>
  <c r="M758" i="17"/>
  <c r="X757" i="17"/>
  <c r="F758" i="17"/>
  <c r="T757" i="17"/>
  <c r="V757" i="17" s="1"/>
  <c r="I721" i="16"/>
  <c r="K721" i="16" s="1"/>
  <c r="U721" i="16" s="1"/>
  <c r="Q721" i="16" l="1"/>
  <c r="S721" i="16" s="1"/>
  <c r="J721" i="16"/>
  <c r="L721" i="16" s="1"/>
  <c r="N758" i="17"/>
  <c r="P758" i="17"/>
  <c r="R758" i="17" s="1"/>
  <c r="O758" i="17"/>
  <c r="G758" i="17"/>
  <c r="I758" i="17"/>
  <c r="K758" i="17" s="1"/>
  <c r="H758" i="17"/>
  <c r="Y721" i="16" l="1"/>
  <c r="W721" i="16"/>
  <c r="T721" i="16"/>
  <c r="V721" i="16" s="1"/>
  <c r="M722" i="16"/>
  <c r="N722" i="16" s="1"/>
  <c r="F722" i="16"/>
  <c r="I722" i="16" s="1"/>
  <c r="K722" i="16" s="1"/>
  <c r="X721" i="16"/>
  <c r="U758" i="17"/>
  <c r="Q758" i="17"/>
  <c r="S758" i="17" s="1"/>
  <c r="J758" i="17"/>
  <c r="H722" i="16" l="1"/>
  <c r="O722" i="16"/>
  <c r="P722" i="16"/>
  <c r="R722" i="16" s="1"/>
  <c r="U722" i="16" s="1"/>
  <c r="G722" i="16"/>
  <c r="L758" i="17"/>
  <c r="W758" i="17" s="1"/>
  <c r="T758" i="17"/>
  <c r="J722" i="16" l="1"/>
  <c r="L722" i="16" s="1"/>
  <c r="Q722" i="16"/>
  <c r="S722" i="16" s="1"/>
  <c r="F759" i="17"/>
  <c r="M759" i="17"/>
  <c r="Y758" i="17"/>
  <c r="X758" i="17"/>
  <c r="V758" i="17"/>
  <c r="Y722" i="16" l="1"/>
  <c r="W722" i="16"/>
  <c r="T722" i="16"/>
  <c r="N759" i="17"/>
  <c r="O759" i="17"/>
  <c r="P759" i="17"/>
  <c r="R759" i="17" s="1"/>
  <c r="G759" i="17"/>
  <c r="H759" i="17"/>
  <c r="I759" i="17"/>
  <c r="K759" i="17" s="1"/>
  <c r="M723" i="16"/>
  <c r="X722" i="16"/>
  <c r="F723" i="16"/>
  <c r="V722" i="16"/>
  <c r="J759" i="17" l="1"/>
  <c r="L759" i="17" s="1"/>
  <c r="W759" i="17" s="1"/>
  <c r="U759" i="17"/>
  <c r="Q759" i="17"/>
  <c r="S759" i="17" s="1"/>
  <c r="I723" i="16"/>
  <c r="K723" i="16" s="1"/>
  <c r="H723" i="16"/>
  <c r="G723" i="16"/>
  <c r="P723" i="16"/>
  <c r="R723" i="16" s="1"/>
  <c r="O723" i="16"/>
  <c r="N723" i="16"/>
  <c r="X759" i="17" l="1"/>
  <c r="Y759" i="17"/>
  <c r="F760" i="17"/>
  <c r="M760" i="17"/>
  <c r="T759" i="17"/>
  <c r="Q723" i="16"/>
  <c r="S723" i="16" s="1"/>
  <c r="U723" i="16"/>
  <c r="J723" i="16"/>
  <c r="H760" i="17" l="1"/>
  <c r="I760" i="17"/>
  <c r="K760" i="17" s="1"/>
  <c r="G760" i="17"/>
  <c r="T723" i="16"/>
  <c r="N760" i="17"/>
  <c r="P760" i="17"/>
  <c r="R760" i="17" s="1"/>
  <c r="O760" i="17"/>
  <c r="V759" i="17"/>
  <c r="L723" i="16"/>
  <c r="Y723" i="16" l="1"/>
  <c r="W723" i="16"/>
  <c r="Q760" i="17"/>
  <c r="S760" i="17" s="1"/>
  <c r="J760" i="17"/>
  <c r="U760" i="17"/>
  <c r="X723" i="16"/>
  <c r="F724" i="16"/>
  <c r="M724" i="16"/>
  <c r="V723" i="16"/>
  <c r="T760" i="17" l="1"/>
  <c r="L760" i="17"/>
  <c r="W760" i="17" s="1"/>
  <c r="P724" i="16"/>
  <c r="R724" i="16" s="1"/>
  <c r="O724" i="16"/>
  <c r="N724" i="16"/>
  <c r="H724" i="16"/>
  <c r="G724" i="16"/>
  <c r="I724" i="16"/>
  <c r="K724" i="16" s="1"/>
  <c r="X760" i="17" l="1"/>
  <c r="F761" i="17"/>
  <c r="M761" i="17"/>
  <c r="Y760" i="17"/>
  <c r="V760" i="17"/>
  <c r="U724" i="16"/>
  <c r="Q724" i="16"/>
  <c r="S724" i="16" s="1"/>
  <c r="J724" i="16"/>
  <c r="P761" i="17" l="1"/>
  <c r="R761" i="17" s="1"/>
  <c r="O761" i="17"/>
  <c r="N761" i="17"/>
  <c r="T724" i="16"/>
  <c r="H761" i="17"/>
  <c r="G761" i="17"/>
  <c r="I761" i="17"/>
  <c r="K761" i="17" s="1"/>
  <c r="L724" i="16"/>
  <c r="Y724" i="16" l="1"/>
  <c r="W724" i="16"/>
  <c r="U761" i="17"/>
  <c r="J761" i="17"/>
  <c r="Q761" i="17"/>
  <c r="S761" i="17" s="1"/>
  <c r="X724" i="16"/>
  <c r="F725" i="16"/>
  <c r="M725" i="16"/>
  <c r="V724" i="16"/>
  <c r="T761" i="17" l="1"/>
  <c r="L761" i="17"/>
  <c r="W761" i="17" s="1"/>
  <c r="O725" i="16"/>
  <c r="N725" i="16"/>
  <c r="P725" i="16"/>
  <c r="R725" i="16" s="1"/>
  <c r="G725" i="16"/>
  <c r="I725" i="16"/>
  <c r="K725" i="16" s="1"/>
  <c r="H725" i="16"/>
  <c r="Y761" i="17" l="1"/>
  <c r="M762" i="17"/>
  <c r="X761" i="17"/>
  <c r="F762" i="17"/>
  <c r="V761" i="17"/>
  <c r="U725" i="16"/>
  <c r="J725" i="16"/>
  <c r="Q725" i="16"/>
  <c r="S725" i="16" s="1"/>
  <c r="I762" i="17" l="1"/>
  <c r="K762" i="17" s="1"/>
  <c r="H762" i="17"/>
  <c r="G762" i="17"/>
  <c r="P762" i="17"/>
  <c r="R762" i="17" s="1"/>
  <c r="O762" i="17"/>
  <c r="N762" i="17"/>
  <c r="T725" i="16"/>
  <c r="L725" i="16"/>
  <c r="Y725" i="16" l="1"/>
  <c r="W725" i="16"/>
  <c r="Q762" i="17"/>
  <c r="S762" i="17" s="1"/>
  <c r="J762" i="17"/>
  <c r="U762" i="17"/>
  <c r="F726" i="16"/>
  <c r="M726" i="16"/>
  <c r="X725" i="16"/>
  <c r="V725" i="16"/>
  <c r="T762" i="17" l="1"/>
  <c r="L762" i="17"/>
  <c r="W762" i="17" s="1"/>
  <c r="N726" i="16"/>
  <c r="P726" i="16"/>
  <c r="R726" i="16" s="1"/>
  <c r="O726" i="16"/>
  <c r="I726" i="16"/>
  <c r="K726" i="16" s="1"/>
  <c r="H726" i="16"/>
  <c r="G726" i="16"/>
  <c r="F763" i="17" l="1"/>
  <c r="M763" i="17"/>
  <c r="X762" i="17"/>
  <c r="Y762" i="17"/>
  <c r="V762" i="17"/>
  <c r="J726" i="16"/>
  <c r="L726" i="16" s="1"/>
  <c r="Q726" i="16"/>
  <c r="U726" i="16"/>
  <c r="N763" i="17" l="1"/>
  <c r="P763" i="17"/>
  <c r="R763" i="17" s="1"/>
  <c r="O763" i="17"/>
  <c r="G763" i="17"/>
  <c r="H763" i="17"/>
  <c r="I763" i="17"/>
  <c r="K763" i="17" s="1"/>
  <c r="T726" i="16"/>
  <c r="V726" i="16" s="1"/>
  <c r="S726" i="16"/>
  <c r="M727" i="16" s="1"/>
  <c r="Q763" i="17" l="1"/>
  <c r="W726" i="16"/>
  <c r="F727" i="16"/>
  <c r="H727" i="16" s="1"/>
  <c r="Y726" i="16"/>
  <c r="U763" i="17"/>
  <c r="X726" i="16"/>
  <c r="J763" i="17"/>
  <c r="T763" i="17" s="1"/>
  <c r="S763" i="17"/>
  <c r="P727" i="16"/>
  <c r="R727" i="16" s="1"/>
  <c r="O727" i="16"/>
  <c r="N727" i="16"/>
  <c r="G727" i="16" l="1"/>
  <c r="I727" i="16"/>
  <c r="K727" i="16" s="1"/>
  <c r="U727" i="16" s="1"/>
  <c r="L763" i="17"/>
  <c r="W763" i="17" s="1"/>
  <c r="Q727" i="16"/>
  <c r="X763" i="17" l="1"/>
  <c r="J727" i="16"/>
  <c r="L727" i="16" s="1"/>
  <c r="F764" i="17"/>
  <c r="Y763" i="17"/>
  <c r="M764" i="17"/>
  <c r="V763" i="17"/>
  <c r="S727" i="16"/>
  <c r="Y727" i="16" l="1"/>
  <c r="T727" i="16"/>
  <c r="W727" i="16"/>
  <c r="O764" i="17"/>
  <c r="N764" i="17"/>
  <c r="P764" i="17"/>
  <c r="R764" i="17" s="1"/>
  <c r="H764" i="17"/>
  <c r="G764" i="17"/>
  <c r="I764" i="17"/>
  <c r="K764" i="17" s="1"/>
  <c r="M728" i="16"/>
  <c r="X727" i="16"/>
  <c r="V727" i="16"/>
  <c r="F728" i="16"/>
  <c r="U764" i="17" l="1"/>
  <c r="Q764" i="17"/>
  <c r="S764" i="17" s="1"/>
  <c r="J764" i="17"/>
  <c r="L764" i="17" s="1"/>
  <c r="W764" i="17" s="1"/>
  <c r="H728" i="16"/>
  <c r="G728" i="16"/>
  <c r="I728" i="16"/>
  <c r="K728" i="16" s="1"/>
  <c r="P728" i="16"/>
  <c r="R728" i="16" s="1"/>
  <c r="O728" i="16"/>
  <c r="N728" i="16"/>
  <c r="T764" i="17" l="1"/>
  <c r="V764" i="17"/>
  <c r="F765" i="17"/>
  <c r="X764" i="17"/>
  <c r="M765" i="17"/>
  <c r="Y764" i="17"/>
  <c r="Q728" i="16"/>
  <c r="S728" i="16" s="1"/>
  <c r="U728" i="16"/>
  <c r="J728" i="16"/>
  <c r="I765" i="17" l="1"/>
  <c r="K765" i="17" s="1"/>
  <c r="H765" i="17"/>
  <c r="G765" i="17"/>
  <c r="P765" i="17"/>
  <c r="R765" i="17" s="1"/>
  <c r="N765" i="17"/>
  <c r="O765" i="17"/>
  <c r="T728" i="16"/>
  <c r="L728" i="16"/>
  <c r="J765" i="17" l="1"/>
  <c r="L765" i="17" s="1"/>
  <c r="Y728" i="16"/>
  <c r="W728" i="16"/>
  <c r="Q765" i="17"/>
  <c r="S765" i="17" s="1"/>
  <c r="U765" i="17"/>
  <c r="X728" i="16"/>
  <c r="F729" i="16"/>
  <c r="M729" i="16"/>
  <c r="V728" i="16"/>
  <c r="W765" i="17" l="1"/>
  <c r="F766" i="17"/>
  <c r="H766" i="17" s="1"/>
  <c r="Y765" i="17"/>
  <c r="M766" i="17"/>
  <c r="N766" i="17" s="1"/>
  <c r="X765" i="17"/>
  <c r="T765" i="17"/>
  <c r="V765" i="17" s="1"/>
  <c r="G766" i="17"/>
  <c r="O729" i="16"/>
  <c r="N729" i="16"/>
  <c r="P729" i="16"/>
  <c r="R729" i="16" s="1"/>
  <c r="G729" i="16"/>
  <c r="I729" i="16"/>
  <c r="K729" i="16" s="1"/>
  <c r="H729" i="16"/>
  <c r="P766" i="17" l="1"/>
  <c r="R766" i="17" s="1"/>
  <c r="I766" i="17"/>
  <c r="K766" i="17" s="1"/>
  <c r="O766" i="17"/>
  <c r="Q766" i="17" s="1"/>
  <c r="S766" i="17" s="1"/>
  <c r="U729" i="16"/>
  <c r="J729" i="16"/>
  <c r="Q729" i="16"/>
  <c r="S729" i="16" s="1"/>
  <c r="U766" i="17" l="1"/>
  <c r="J766" i="17"/>
  <c r="T766" i="17" s="1"/>
  <c r="T729" i="16"/>
  <c r="L729" i="16"/>
  <c r="L766" i="17" l="1"/>
  <c r="W766" i="17" s="1"/>
  <c r="Y729" i="16"/>
  <c r="W729" i="16"/>
  <c r="V766" i="17"/>
  <c r="F730" i="16"/>
  <c r="M730" i="16"/>
  <c r="X729" i="16"/>
  <c r="V729" i="16"/>
  <c r="Y766" i="17" l="1"/>
  <c r="M767" i="17"/>
  <c r="N767" i="17" s="1"/>
  <c r="X766" i="17"/>
  <c r="F767" i="17"/>
  <c r="G767" i="17" s="1"/>
  <c r="N730" i="16"/>
  <c r="P730" i="16"/>
  <c r="R730" i="16" s="1"/>
  <c r="O730" i="16"/>
  <c r="I730" i="16"/>
  <c r="K730" i="16" s="1"/>
  <c r="H730" i="16"/>
  <c r="G730" i="16"/>
  <c r="I767" i="17" l="1"/>
  <c r="K767" i="17" s="1"/>
  <c r="O767" i="17"/>
  <c r="H767" i="17"/>
  <c r="J767" i="17" s="1"/>
  <c r="P767" i="17"/>
  <c r="R767" i="17" s="1"/>
  <c r="J730" i="16"/>
  <c r="L730" i="16" s="1"/>
  <c r="U730" i="16"/>
  <c r="Q730" i="16"/>
  <c r="U767" i="17" l="1"/>
  <c r="Q767" i="17"/>
  <c r="S767" i="17" s="1"/>
  <c r="L767" i="17"/>
  <c r="W767" i="17" s="1"/>
  <c r="T730" i="16"/>
  <c r="S730" i="16"/>
  <c r="M731" i="16" s="1"/>
  <c r="T767" i="17" l="1"/>
  <c r="Y730" i="16"/>
  <c r="V730" i="16"/>
  <c r="F731" i="16"/>
  <c r="G731" i="16" s="1"/>
  <c r="W730" i="16"/>
  <c r="X767" i="17"/>
  <c r="F768" i="17"/>
  <c r="M768" i="17"/>
  <c r="Y767" i="17"/>
  <c r="V767" i="17"/>
  <c r="X730" i="16"/>
  <c r="I731" i="16"/>
  <c r="K731" i="16" s="1"/>
  <c r="H731" i="16"/>
  <c r="P731" i="16"/>
  <c r="R731" i="16" s="1"/>
  <c r="O731" i="16"/>
  <c r="N731" i="16"/>
  <c r="O768" i="17" l="1"/>
  <c r="P768" i="17"/>
  <c r="R768" i="17" s="1"/>
  <c r="N768" i="17"/>
  <c r="H768" i="17"/>
  <c r="I768" i="17"/>
  <c r="K768" i="17" s="1"/>
  <c r="G768" i="17"/>
  <c r="U731" i="16"/>
  <c r="Q731" i="16"/>
  <c r="S731" i="16" s="1"/>
  <c r="J731" i="16"/>
  <c r="L731" i="16" s="1"/>
  <c r="Q768" i="17" l="1"/>
  <c r="Y731" i="16"/>
  <c r="W731" i="16"/>
  <c r="U768" i="17"/>
  <c r="J768" i="17"/>
  <c r="T768" i="17" s="1"/>
  <c r="S768" i="17"/>
  <c r="X731" i="16"/>
  <c r="F732" i="16"/>
  <c r="M732" i="16"/>
  <c r="T731" i="16"/>
  <c r="V731" i="16" s="1"/>
  <c r="L768" i="17" l="1"/>
  <c r="W768" i="17" s="1"/>
  <c r="P732" i="16"/>
  <c r="R732" i="16" s="1"/>
  <c r="O732" i="16"/>
  <c r="N732" i="16"/>
  <c r="H732" i="16"/>
  <c r="G732" i="16"/>
  <c r="I732" i="16"/>
  <c r="K732" i="16" s="1"/>
  <c r="U732" i="16" l="1"/>
  <c r="X768" i="17"/>
  <c r="M769" i="17"/>
  <c r="Y768" i="17"/>
  <c r="F769" i="17"/>
  <c r="V768" i="17"/>
  <c r="J732" i="16"/>
  <c r="Q732" i="16"/>
  <c r="S732" i="16" s="1"/>
  <c r="I769" i="17" l="1"/>
  <c r="K769" i="17" s="1"/>
  <c r="G769" i="17"/>
  <c r="H769" i="17"/>
  <c r="N769" i="17"/>
  <c r="P769" i="17"/>
  <c r="R769" i="17" s="1"/>
  <c r="O769" i="17"/>
  <c r="T732" i="16"/>
  <c r="L732" i="16"/>
  <c r="Y732" i="16" l="1"/>
  <c r="W732" i="16"/>
  <c r="J769" i="17"/>
  <c r="L769" i="17" s="1"/>
  <c r="Q769" i="17"/>
  <c r="S769" i="17" s="1"/>
  <c r="U769" i="17"/>
  <c r="X732" i="16"/>
  <c r="F733" i="16"/>
  <c r="M733" i="16"/>
  <c r="V732" i="16"/>
  <c r="W769" i="17" l="1"/>
  <c r="T769" i="17"/>
  <c r="V769" i="17" s="1"/>
  <c r="X769" i="17"/>
  <c r="M770" i="17"/>
  <c r="Y769" i="17"/>
  <c r="F770" i="17"/>
  <c r="O733" i="16"/>
  <c r="N733" i="16"/>
  <c r="P733" i="16"/>
  <c r="R733" i="16" s="1"/>
  <c r="G733" i="16"/>
  <c r="I733" i="16"/>
  <c r="K733" i="16" s="1"/>
  <c r="H733" i="16"/>
  <c r="G770" i="17" l="1"/>
  <c r="H770" i="17"/>
  <c r="I770" i="17"/>
  <c r="K770" i="17" s="1"/>
  <c r="N770" i="17"/>
  <c r="P770" i="17"/>
  <c r="R770" i="17" s="1"/>
  <c r="O770" i="17"/>
  <c r="U733" i="16"/>
  <c r="J733" i="16"/>
  <c r="Q733" i="16"/>
  <c r="S733" i="16" s="1"/>
  <c r="J770" i="17" l="1"/>
  <c r="L770" i="17" s="1"/>
  <c r="W770" i="17" s="1"/>
  <c r="Q770" i="17"/>
  <c r="S770" i="17" s="1"/>
  <c r="U770" i="17"/>
  <c r="T733" i="16"/>
  <c r="L733" i="16"/>
  <c r="Y733" i="16" l="1"/>
  <c r="W733" i="16"/>
  <c r="T770" i="17"/>
  <c r="V770" i="17" s="1"/>
  <c r="Y770" i="17"/>
  <c r="F771" i="17"/>
  <c r="I771" i="17" s="1"/>
  <c r="K771" i="17" s="1"/>
  <c r="X770" i="17"/>
  <c r="M771" i="17"/>
  <c r="F734" i="16"/>
  <c r="M734" i="16"/>
  <c r="X733" i="16"/>
  <c r="V733" i="16"/>
  <c r="H771" i="17" l="1"/>
  <c r="G771" i="17"/>
  <c r="N771" i="17"/>
  <c r="P771" i="17"/>
  <c r="R771" i="17" s="1"/>
  <c r="U771" i="17" s="1"/>
  <c r="O771" i="17"/>
  <c r="N734" i="16"/>
  <c r="P734" i="16"/>
  <c r="R734" i="16" s="1"/>
  <c r="O734" i="16"/>
  <c r="I734" i="16"/>
  <c r="K734" i="16" s="1"/>
  <c r="H734" i="16"/>
  <c r="G734" i="16"/>
  <c r="J771" i="17" l="1"/>
  <c r="L771" i="17" s="1"/>
  <c r="Q771" i="17"/>
  <c r="J734" i="16"/>
  <c r="L734" i="16" s="1"/>
  <c r="Q734" i="16"/>
  <c r="U734" i="16"/>
  <c r="W771" i="17" l="1"/>
  <c r="T771" i="17"/>
  <c r="W734" i="16"/>
  <c r="S771" i="17"/>
  <c r="M772" i="17" s="1"/>
  <c r="T734" i="16"/>
  <c r="S734" i="16"/>
  <c r="V734" i="16" l="1"/>
  <c r="F772" i="17"/>
  <c r="H772" i="17" s="1"/>
  <c r="V771" i="17"/>
  <c r="Y771" i="17"/>
  <c r="X771" i="17"/>
  <c r="M735" i="16"/>
  <c r="P735" i="16" s="1"/>
  <c r="R735" i="16" s="1"/>
  <c r="F735" i="16"/>
  <c r="G735" i="16" s="1"/>
  <c r="O772" i="17"/>
  <c r="P772" i="17"/>
  <c r="R772" i="17" s="1"/>
  <c r="N772" i="17"/>
  <c r="Y734" i="16"/>
  <c r="I772" i="17"/>
  <c r="K772" i="17" s="1"/>
  <c r="X734" i="16"/>
  <c r="G772" i="17" l="1"/>
  <c r="J772" i="17" s="1"/>
  <c r="L772" i="17" s="1"/>
  <c r="W772" i="17" s="1"/>
  <c r="H735" i="16"/>
  <c r="N735" i="16"/>
  <c r="O735" i="16"/>
  <c r="I735" i="16"/>
  <c r="K735" i="16" s="1"/>
  <c r="U735" i="16" s="1"/>
  <c r="Q772" i="17"/>
  <c r="S772" i="17" s="1"/>
  <c r="U772" i="17"/>
  <c r="J735" i="16" l="1"/>
  <c r="L735" i="16" s="1"/>
  <c r="Q735" i="16"/>
  <c r="S735" i="16" s="1"/>
  <c r="T772" i="17"/>
  <c r="M773" i="17"/>
  <c r="O773" i="17" s="1"/>
  <c r="X772" i="17"/>
  <c r="Y772" i="17"/>
  <c r="V772" i="17"/>
  <c r="F773" i="17"/>
  <c r="G773" i="17" s="1"/>
  <c r="T735" i="16" l="1"/>
  <c r="Y735" i="16"/>
  <c r="W735" i="16"/>
  <c r="P773" i="17"/>
  <c r="R773" i="17" s="1"/>
  <c r="N773" i="17"/>
  <c r="I773" i="17"/>
  <c r="K773" i="17" s="1"/>
  <c r="H773" i="17"/>
  <c r="X735" i="16"/>
  <c r="F736" i="16"/>
  <c r="M736" i="16"/>
  <c r="V735" i="16"/>
  <c r="U773" i="17" l="1"/>
  <c r="Q773" i="17"/>
  <c r="S773" i="17" s="1"/>
  <c r="J773" i="17"/>
  <c r="L773" i="17" s="1"/>
  <c r="W773" i="17" s="1"/>
  <c r="P736" i="16"/>
  <c r="R736" i="16" s="1"/>
  <c r="O736" i="16"/>
  <c r="N736" i="16"/>
  <c r="H736" i="16"/>
  <c r="G736" i="16"/>
  <c r="I736" i="16"/>
  <c r="K736" i="16" s="1"/>
  <c r="T773" i="17" l="1"/>
  <c r="Y773" i="17"/>
  <c r="M774" i="17"/>
  <c r="F774" i="17"/>
  <c r="X773" i="17"/>
  <c r="V773" i="17"/>
  <c r="U736" i="16"/>
  <c r="J736" i="16"/>
  <c r="L736" i="16" s="1"/>
  <c r="W736" i="16" s="1"/>
  <c r="Q736" i="16"/>
  <c r="S736" i="16" s="1"/>
  <c r="H774" i="17" l="1"/>
  <c r="I774" i="17"/>
  <c r="K774" i="17" s="1"/>
  <c r="G774" i="17"/>
  <c r="O774" i="17"/>
  <c r="P774" i="17"/>
  <c r="R774" i="17" s="1"/>
  <c r="N774" i="17"/>
  <c r="Y736" i="16"/>
  <c r="T736" i="16"/>
  <c r="V736" i="16" s="1"/>
  <c r="X736" i="16"/>
  <c r="F737" i="16"/>
  <c r="M737" i="16"/>
  <c r="J774" i="17" l="1"/>
  <c r="L774" i="17" s="1"/>
  <c r="W774" i="17" s="1"/>
  <c r="Q774" i="17"/>
  <c r="S774" i="17" s="1"/>
  <c r="U774" i="17"/>
  <c r="G737" i="16"/>
  <c r="I737" i="16"/>
  <c r="K737" i="16" s="1"/>
  <c r="H737" i="16"/>
  <c r="O737" i="16"/>
  <c r="N737" i="16"/>
  <c r="P737" i="16"/>
  <c r="R737" i="16" s="1"/>
  <c r="T774" i="17" l="1"/>
  <c r="Y774" i="17"/>
  <c r="X774" i="17"/>
  <c r="M775" i="17"/>
  <c r="F775" i="17"/>
  <c r="V774" i="17"/>
  <c r="J737" i="16"/>
  <c r="L737" i="16" s="1"/>
  <c r="W737" i="16" s="1"/>
  <c r="U737" i="16"/>
  <c r="Q737" i="16"/>
  <c r="S737" i="16" s="1"/>
  <c r="Y737" i="16" l="1"/>
  <c r="G775" i="17"/>
  <c r="I775" i="17"/>
  <c r="K775" i="17" s="1"/>
  <c r="H775" i="17"/>
  <c r="O775" i="17"/>
  <c r="N775" i="17"/>
  <c r="P775" i="17"/>
  <c r="R775" i="17" s="1"/>
  <c r="T737" i="16"/>
  <c r="F738" i="16"/>
  <c r="M738" i="16"/>
  <c r="X737" i="16"/>
  <c r="V737" i="16"/>
  <c r="Q775" i="17" l="1"/>
  <c r="S775" i="17" s="1"/>
  <c r="U775" i="17"/>
  <c r="J775" i="17"/>
  <c r="N738" i="16"/>
  <c r="P738" i="16"/>
  <c r="R738" i="16" s="1"/>
  <c r="O738" i="16"/>
  <c r="I738" i="16"/>
  <c r="K738" i="16" s="1"/>
  <c r="H738" i="16"/>
  <c r="G738" i="16"/>
  <c r="U738" i="16" l="1"/>
  <c r="T775" i="17"/>
  <c r="L775" i="17"/>
  <c r="W775" i="17" s="1"/>
  <c r="J738" i="16"/>
  <c r="L738" i="16" s="1"/>
  <c r="Q738" i="16"/>
  <c r="F776" i="17" l="1"/>
  <c r="H776" i="17" s="1"/>
  <c r="Y775" i="17"/>
  <c r="M776" i="17"/>
  <c r="X775" i="17"/>
  <c r="V775" i="17"/>
  <c r="G776" i="17"/>
  <c r="T738" i="16"/>
  <c r="S738" i="16"/>
  <c r="W738" i="16" s="1"/>
  <c r="I776" i="17" l="1"/>
  <c r="K776" i="17" s="1"/>
  <c r="V738" i="16"/>
  <c r="F739" i="16"/>
  <c r="H739" i="16" s="1"/>
  <c r="O776" i="17"/>
  <c r="P776" i="17"/>
  <c r="R776" i="17" s="1"/>
  <c r="U776" i="17" s="1"/>
  <c r="N776" i="17"/>
  <c r="M739" i="16"/>
  <c r="P739" i="16" s="1"/>
  <c r="R739" i="16" s="1"/>
  <c r="Y738" i="16"/>
  <c r="X738" i="16"/>
  <c r="J776" i="17" l="1"/>
  <c r="L776" i="17" s="1"/>
  <c r="G739" i="16"/>
  <c r="I739" i="16"/>
  <c r="K739" i="16" s="1"/>
  <c r="U739" i="16" s="1"/>
  <c r="Q776" i="17"/>
  <c r="N739" i="16"/>
  <c r="O739" i="16"/>
  <c r="W776" i="17" l="1"/>
  <c r="T776" i="17"/>
  <c r="J739" i="16"/>
  <c r="L739" i="16" s="1"/>
  <c r="Q739" i="16"/>
  <c r="S776" i="17"/>
  <c r="T739" i="16" l="1"/>
  <c r="S739" i="16"/>
  <c r="Y739" i="16" s="1"/>
  <c r="X776" i="17"/>
  <c r="M777" i="17"/>
  <c r="F777" i="17"/>
  <c r="V776" i="17"/>
  <c r="Y776" i="17"/>
  <c r="M740" i="16"/>
  <c r="V739" i="16" l="1"/>
  <c r="F740" i="16"/>
  <c r="H740" i="16" s="1"/>
  <c r="X739" i="16"/>
  <c r="W739" i="16"/>
  <c r="I777" i="17"/>
  <c r="K777" i="17" s="1"/>
  <c r="G777" i="17"/>
  <c r="H777" i="17"/>
  <c r="N777" i="17"/>
  <c r="P777" i="17"/>
  <c r="R777" i="17" s="1"/>
  <c r="O777" i="17"/>
  <c r="P740" i="16"/>
  <c r="R740" i="16" s="1"/>
  <c r="O740" i="16"/>
  <c r="N740" i="16"/>
  <c r="I740" i="16" l="1"/>
  <c r="K740" i="16" s="1"/>
  <c r="U740" i="16" s="1"/>
  <c r="G740" i="16"/>
  <c r="U777" i="17"/>
  <c r="Q777" i="17"/>
  <c r="S777" i="17" s="1"/>
  <c r="J777" i="17"/>
  <c r="Q740" i="16"/>
  <c r="S740" i="16" s="1"/>
  <c r="J740" i="16" l="1"/>
  <c r="T740" i="16" s="1"/>
  <c r="T777" i="17"/>
  <c r="L777" i="17"/>
  <c r="W777" i="17" s="1"/>
  <c r="L740" i="16" l="1"/>
  <c r="Y740" i="16" s="1"/>
  <c r="F778" i="17"/>
  <c r="M778" i="17"/>
  <c r="X777" i="17"/>
  <c r="Y777" i="17"/>
  <c r="V777" i="17"/>
  <c r="X740" i="16" l="1"/>
  <c r="M741" i="16"/>
  <c r="N741" i="16" s="1"/>
  <c r="V740" i="16"/>
  <c r="W740" i="16"/>
  <c r="F741" i="16"/>
  <c r="G741" i="16" s="1"/>
  <c r="O778" i="17"/>
  <c r="P778" i="17"/>
  <c r="R778" i="17" s="1"/>
  <c r="N778" i="17"/>
  <c r="H778" i="17"/>
  <c r="I778" i="17"/>
  <c r="K778" i="17" s="1"/>
  <c r="G778" i="17"/>
  <c r="O741" i="16" l="1"/>
  <c r="P741" i="16"/>
  <c r="R741" i="16" s="1"/>
  <c r="H741" i="16"/>
  <c r="I741" i="16"/>
  <c r="K741" i="16" s="1"/>
  <c r="U741" i="16" s="1"/>
  <c r="Q778" i="17"/>
  <c r="S778" i="17" s="1"/>
  <c r="J778" i="17"/>
  <c r="U778" i="17"/>
  <c r="Q741" i="16"/>
  <c r="S741" i="16" s="1"/>
  <c r="J741" i="16" l="1"/>
  <c r="T741" i="16" s="1"/>
  <c r="T778" i="17"/>
  <c r="L778" i="17"/>
  <c r="W778" i="17" s="1"/>
  <c r="L741" i="16" l="1"/>
  <c r="Y741" i="16"/>
  <c r="W741" i="16"/>
  <c r="X778" i="17"/>
  <c r="F779" i="17"/>
  <c r="Y778" i="17"/>
  <c r="M779" i="17"/>
  <c r="V778" i="17"/>
  <c r="M742" i="16"/>
  <c r="F742" i="16"/>
  <c r="X741" i="16"/>
  <c r="V741" i="16"/>
  <c r="G779" i="17" l="1"/>
  <c r="I779" i="17"/>
  <c r="K779" i="17" s="1"/>
  <c r="H779" i="17"/>
  <c r="P779" i="17"/>
  <c r="R779" i="17" s="1"/>
  <c r="O779" i="17"/>
  <c r="N779" i="17"/>
  <c r="I742" i="16"/>
  <c r="K742" i="16" s="1"/>
  <c r="H742" i="16"/>
  <c r="G742" i="16"/>
  <c r="P742" i="16"/>
  <c r="R742" i="16" s="1"/>
  <c r="O742" i="16"/>
  <c r="N742" i="16"/>
  <c r="J779" i="17" l="1"/>
  <c r="L779" i="17" s="1"/>
  <c r="W779" i="17" s="1"/>
  <c r="J742" i="16"/>
  <c r="L742" i="16" s="1"/>
  <c r="U779" i="17"/>
  <c r="Q779" i="17"/>
  <c r="S779" i="17" s="1"/>
  <c r="Q742" i="16"/>
  <c r="T742" i="16" s="1"/>
  <c r="U742" i="16"/>
  <c r="M780" i="17" l="1"/>
  <c r="X779" i="17"/>
  <c r="Y779" i="17"/>
  <c r="F780" i="17"/>
  <c r="T779" i="17"/>
  <c r="V779" i="17" s="1"/>
  <c r="S742" i="16"/>
  <c r="Y742" i="16" s="1"/>
  <c r="M743" i="16"/>
  <c r="W742" i="16" l="1"/>
  <c r="F743" i="16"/>
  <c r="H743" i="16" s="1"/>
  <c r="V742" i="16"/>
  <c r="I780" i="17"/>
  <c r="K780" i="17" s="1"/>
  <c r="H780" i="17"/>
  <c r="G780" i="17"/>
  <c r="N780" i="17"/>
  <c r="O780" i="17"/>
  <c r="P780" i="17"/>
  <c r="R780" i="17" s="1"/>
  <c r="X742" i="16"/>
  <c r="N743" i="16"/>
  <c r="P743" i="16"/>
  <c r="R743" i="16" s="1"/>
  <c r="O743" i="16"/>
  <c r="I743" i="16"/>
  <c r="K743" i="16" s="1"/>
  <c r="G743" i="16" l="1"/>
  <c r="J743" i="16" s="1"/>
  <c r="L743" i="16" s="1"/>
  <c r="J780" i="17"/>
  <c r="L780" i="17" s="1"/>
  <c r="W780" i="17" s="1"/>
  <c r="Q780" i="17"/>
  <c r="S780" i="17" s="1"/>
  <c r="U780" i="17"/>
  <c r="U743" i="16"/>
  <c r="Q743" i="16"/>
  <c r="S743" i="16" s="1"/>
  <c r="Y743" i="16" l="1"/>
  <c r="W743" i="16"/>
  <c r="T780" i="17"/>
  <c r="V780" i="17" s="1"/>
  <c r="Y780" i="17"/>
  <c r="F781" i="17"/>
  <c r="M781" i="17"/>
  <c r="X780" i="17"/>
  <c r="T743" i="16"/>
  <c r="M744" i="16"/>
  <c r="X743" i="16"/>
  <c r="F744" i="16"/>
  <c r="V743" i="16"/>
  <c r="N781" i="17" l="1"/>
  <c r="O781" i="17"/>
  <c r="P781" i="17"/>
  <c r="R781" i="17" s="1"/>
  <c r="G781" i="17"/>
  <c r="H781" i="17"/>
  <c r="I781" i="17"/>
  <c r="K781" i="17" s="1"/>
  <c r="I744" i="16"/>
  <c r="K744" i="16" s="1"/>
  <c r="G744" i="16"/>
  <c r="H744" i="16"/>
  <c r="O744" i="16"/>
  <c r="P744" i="16"/>
  <c r="R744" i="16" s="1"/>
  <c r="N744" i="16"/>
  <c r="J781" i="17" l="1"/>
  <c r="L781" i="17" s="1"/>
  <c r="W781" i="17" s="1"/>
  <c r="U781" i="17"/>
  <c r="Q781" i="17"/>
  <c r="S781" i="17" s="1"/>
  <c r="J744" i="16"/>
  <c r="L744" i="16" s="1"/>
  <c r="Q744" i="16"/>
  <c r="U744" i="16"/>
  <c r="T744" i="16" l="1"/>
  <c r="T781" i="17"/>
  <c r="V781" i="17" s="1"/>
  <c r="F782" i="17"/>
  <c r="X781" i="17"/>
  <c r="Y781" i="17"/>
  <c r="M782" i="17"/>
  <c r="S744" i="16"/>
  <c r="V744" i="16" s="1"/>
  <c r="W744" i="16" l="1"/>
  <c r="M745" i="16"/>
  <c r="X744" i="16"/>
  <c r="Y744" i="16"/>
  <c r="G782" i="17"/>
  <c r="H782" i="17"/>
  <c r="I782" i="17"/>
  <c r="K782" i="17" s="1"/>
  <c r="P782" i="17"/>
  <c r="R782" i="17" s="1"/>
  <c r="N782" i="17"/>
  <c r="O782" i="17"/>
  <c r="F745" i="16"/>
  <c r="P745" i="16"/>
  <c r="R745" i="16" s="1"/>
  <c r="N745" i="16"/>
  <c r="O745" i="16"/>
  <c r="J782" i="17" l="1"/>
  <c r="L782" i="17" s="1"/>
  <c r="W782" i="17" s="1"/>
  <c r="U782" i="17"/>
  <c r="Q782" i="17"/>
  <c r="S782" i="17" s="1"/>
  <c r="Q745" i="16"/>
  <c r="S745" i="16" s="1"/>
  <c r="H745" i="16"/>
  <c r="G745" i="16"/>
  <c r="I745" i="16"/>
  <c r="K745" i="16" s="1"/>
  <c r="U745" i="16" s="1"/>
  <c r="Y782" i="17" l="1"/>
  <c r="T782" i="17"/>
  <c r="V782" i="17" s="1"/>
  <c r="F783" i="17"/>
  <c r="X782" i="17"/>
  <c r="M783" i="17"/>
  <c r="J745" i="16"/>
  <c r="T745" i="16" s="1"/>
  <c r="H783" i="17" l="1"/>
  <c r="I783" i="17"/>
  <c r="K783" i="17" s="1"/>
  <c r="G783" i="17"/>
  <c r="P783" i="17"/>
  <c r="R783" i="17" s="1"/>
  <c r="N783" i="17"/>
  <c r="O783" i="17"/>
  <c r="L745" i="16"/>
  <c r="Y745" i="16" l="1"/>
  <c r="W745" i="16"/>
  <c r="U783" i="17"/>
  <c r="Q783" i="17"/>
  <c r="S783" i="17" s="1"/>
  <c r="J783" i="17"/>
  <c r="L783" i="17" s="1"/>
  <c r="W783" i="17" s="1"/>
  <c r="X745" i="16"/>
  <c r="M746" i="16"/>
  <c r="F746" i="16"/>
  <c r="V745" i="16"/>
  <c r="T783" i="17" l="1"/>
  <c r="V783" i="17" s="1"/>
  <c r="F784" i="17"/>
  <c r="X783" i="17"/>
  <c r="M784" i="17"/>
  <c r="Y783" i="17"/>
  <c r="G746" i="16"/>
  <c r="I746" i="16"/>
  <c r="K746" i="16" s="1"/>
  <c r="H746" i="16"/>
  <c r="O746" i="16"/>
  <c r="P746" i="16"/>
  <c r="R746" i="16" s="1"/>
  <c r="N746" i="16"/>
  <c r="P784" i="17" l="1"/>
  <c r="R784" i="17" s="1"/>
  <c r="N784" i="17"/>
  <c r="O784" i="17"/>
  <c r="J746" i="16"/>
  <c r="L746" i="16" s="1"/>
  <c r="G784" i="17"/>
  <c r="I784" i="17"/>
  <c r="K784" i="17" s="1"/>
  <c r="H784" i="17"/>
  <c r="Q746" i="16"/>
  <c r="T746" i="16" s="1"/>
  <c r="U746" i="16"/>
  <c r="J784" i="17" l="1"/>
  <c r="L784" i="17" s="1"/>
  <c r="U784" i="17"/>
  <c r="Q784" i="17"/>
  <c r="S746" i="16"/>
  <c r="V746" i="16" s="1"/>
  <c r="M747" i="16" l="1"/>
  <c r="T784" i="17"/>
  <c r="W746" i="16"/>
  <c r="F747" i="16"/>
  <c r="I747" i="16" s="1"/>
  <c r="K747" i="16" s="1"/>
  <c r="S784" i="17"/>
  <c r="Y784" i="17" s="1"/>
  <c r="Y746" i="16"/>
  <c r="X746" i="16"/>
  <c r="N747" i="16"/>
  <c r="P747" i="16"/>
  <c r="R747" i="16" s="1"/>
  <c r="O747" i="16"/>
  <c r="W784" i="17" l="1"/>
  <c r="H747" i="16"/>
  <c r="G747" i="16"/>
  <c r="J747" i="16" s="1"/>
  <c r="F785" i="17"/>
  <c r="V784" i="17"/>
  <c r="M785" i="17"/>
  <c r="X784" i="17"/>
  <c r="U747" i="16"/>
  <c r="Q747" i="16"/>
  <c r="S747" i="16" s="1"/>
  <c r="T747" i="16" l="1"/>
  <c r="O785" i="17"/>
  <c r="P785" i="17"/>
  <c r="R785" i="17" s="1"/>
  <c r="N785" i="17"/>
  <c r="G785" i="17"/>
  <c r="I785" i="17"/>
  <c r="K785" i="17" s="1"/>
  <c r="H785" i="17"/>
  <c r="L747" i="16"/>
  <c r="Q785" i="17" l="1"/>
  <c r="S785" i="17" s="1"/>
  <c r="Y747" i="16"/>
  <c r="W747" i="16"/>
  <c r="U785" i="17"/>
  <c r="J785" i="17"/>
  <c r="T785" i="17" s="1"/>
  <c r="M748" i="16"/>
  <c r="X747" i="16"/>
  <c r="F748" i="16"/>
  <c r="V747" i="16"/>
  <c r="L785" i="17" l="1"/>
  <c r="W785" i="17" s="1"/>
  <c r="I748" i="16"/>
  <c r="K748" i="16" s="1"/>
  <c r="G748" i="16"/>
  <c r="H748" i="16"/>
  <c r="O748" i="16"/>
  <c r="P748" i="16"/>
  <c r="R748" i="16" s="1"/>
  <c r="N748" i="16"/>
  <c r="V785" i="17" l="1"/>
  <c r="J748" i="16"/>
  <c r="L748" i="16" s="1"/>
  <c r="Y785" i="17"/>
  <c r="M786" i="17"/>
  <c r="O786" i="17" s="1"/>
  <c r="X785" i="17"/>
  <c r="F786" i="17"/>
  <c r="H786" i="17" s="1"/>
  <c r="U748" i="16"/>
  <c r="Q748" i="16"/>
  <c r="T748" i="16" l="1"/>
  <c r="N786" i="17"/>
  <c r="G786" i="17"/>
  <c r="P786" i="17"/>
  <c r="R786" i="17" s="1"/>
  <c r="I786" i="17"/>
  <c r="K786" i="17" s="1"/>
  <c r="S748" i="16"/>
  <c r="V748" i="16" s="1"/>
  <c r="M749" i="16" l="1"/>
  <c r="W748" i="16"/>
  <c r="Q786" i="17"/>
  <c r="S786" i="17" s="1"/>
  <c r="U786" i="17"/>
  <c r="J786" i="17"/>
  <c r="L786" i="17" s="1"/>
  <c r="W786" i="17" s="1"/>
  <c r="X748" i="16"/>
  <c r="F749" i="16"/>
  <c r="G749" i="16" s="1"/>
  <c r="Y748" i="16"/>
  <c r="P749" i="16"/>
  <c r="R749" i="16" s="1"/>
  <c r="N749" i="16"/>
  <c r="O749" i="16"/>
  <c r="X786" i="17" l="1"/>
  <c r="Y786" i="17"/>
  <c r="F787" i="17"/>
  <c r="I787" i="17" s="1"/>
  <c r="K787" i="17" s="1"/>
  <c r="M787" i="17"/>
  <c r="N787" i="17" s="1"/>
  <c r="H749" i="16"/>
  <c r="T786" i="17"/>
  <c r="V786" i="17" s="1"/>
  <c r="Q749" i="16"/>
  <c r="S749" i="16" s="1"/>
  <c r="I749" i="16"/>
  <c r="K749" i="16" s="1"/>
  <c r="U749" i="16" s="1"/>
  <c r="O787" i="17" l="1"/>
  <c r="G787" i="17"/>
  <c r="H787" i="17"/>
  <c r="P787" i="17"/>
  <c r="R787" i="17" s="1"/>
  <c r="U787" i="17" s="1"/>
  <c r="J749" i="16"/>
  <c r="T749" i="16" s="1"/>
  <c r="J787" i="17" l="1"/>
  <c r="L787" i="17" s="1"/>
  <c r="W787" i="17" s="1"/>
  <c r="Q787" i="17"/>
  <c r="S787" i="17" s="1"/>
  <c r="L749" i="16"/>
  <c r="Y749" i="16" s="1"/>
  <c r="F788" i="17" l="1"/>
  <c r="V749" i="16"/>
  <c r="M750" i="16"/>
  <c r="O750" i="16" s="1"/>
  <c r="F750" i="16"/>
  <c r="H750" i="16" s="1"/>
  <c r="W749" i="16"/>
  <c r="X749" i="16"/>
  <c r="Y787" i="17"/>
  <c r="X787" i="17"/>
  <c r="T787" i="17"/>
  <c r="V787" i="17" s="1"/>
  <c r="M788" i="17"/>
  <c r="P788" i="17" s="1"/>
  <c r="R788" i="17" s="1"/>
  <c r="G788" i="17"/>
  <c r="H788" i="17"/>
  <c r="I788" i="17"/>
  <c r="K788" i="17" s="1"/>
  <c r="N788" i="17"/>
  <c r="P750" i="16"/>
  <c r="R750" i="16" s="1"/>
  <c r="N750" i="16"/>
  <c r="G750" i="16" l="1"/>
  <c r="I750" i="16"/>
  <c r="K750" i="16" s="1"/>
  <c r="U750" i="16" s="1"/>
  <c r="O788" i="17"/>
  <c r="U788" i="17"/>
  <c r="Q788" i="17"/>
  <c r="S788" i="17" s="1"/>
  <c r="J788" i="17"/>
  <c r="J750" i="16"/>
  <c r="Q750" i="16"/>
  <c r="L750" i="16" l="1"/>
  <c r="T750" i="16"/>
  <c r="T788" i="17"/>
  <c r="L788" i="17"/>
  <c r="W788" i="17" s="1"/>
  <c r="S750" i="16"/>
  <c r="F751" i="16" s="1"/>
  <c r="M751" i="16"/>
  <c r="Y750" i="16" l="1"/>
  <c r="X750" i="16"/>
  <c r="W750" i="16"/>
  <c r="V750" i="16"/>
  <c r="F789" i="17"/>
  <c r="M789" i="17"/>
  <c r="Y788" i="17"/>
  <c r="X788" i="17"/>
  <c r="V788" i="17"/>
  <c r="N751" i="16"/>
  <c r="P751" i="16"/>
  <c r="R751" i="16" s="1"/>
  <c r="O751" i="16"/>
  <c r="H751" i="16"/>
  <c r="I751" i="16"/>
  <c r="K751" i="16" s="1"/>
  <c r="G751" i="16"/>
  <c r="J751" i="16" s="1"/>
  <c r="P789" i="17" l="1"/>
  <c r="R789" i="17" s="1"/>
  <c r="O789" i="17"/>
  <c r="N789" i="17"/>
  <c r="G789" i="17"/>
  <c r="H789" i="17"/>
  <c r="I789" i="17"/>
  <c r="K789" i="17" s="1"/>
  <c r="Q751" i="16"/>
  <c r="S751" i="16" s="1"/>
  <c r="U751" i="16"/>
  <c r="L751" i="16"/>
  <c r="W751" i="16" s="1"/>
  <c r="U789" i="17" l="1"/>
  <c r="Q789" i="17"/>
  <c r="S789" i="17" s="1"/>
  <c r="J789" i="17"/>
  <c r="Y751" i="16"/>
  <c r="T751" i="16"/>
  <c r="V751" i="16" s="1"/>
  <c r="M752" i="16"/>
  <c r="X751" i="16"/>
  <c r="F752" i="16"/>
  <c r="T789" i="17" l="1"/>
  <c r="L789" i="17"/>
  <c r="W789" i="17" s="1"/>
  <c r="I752" i="16"/>
  <c r="K752" i="16" s="1"/>
  <c r="G752" i="16"/>
  <c r="H752" i="16"/>
  <c r="O752" i="16"/>
  <c r="P752" i="16"/>
  <c r="R752" i="16" s="1"/>
  <c r="N752" i="16"/>
  <c r="J752" i="16" l="1"/>
  <c r="L752" i="16" s="1"/>
  <c r="X789" i="17"/>
  <c r="F790" i="17"/>
  <c r="M790" i="17"/>
  <c r="V789" i="17"/>
  <c r="Y789" i="17"/>
  <c r="U752" i="16"/>
  <c r="Q752" i="16"/>
  <c r="T752" i="16" l="1"/>
  <c r="N790" i="17"/>
  <c r="O790" i="17"/>
  <c r="P790" i="17"/>
  <c r="R790" i="17" s="1"/>
  <c r="H790" i="17"/>
  <c r="G790" i="17"/>
  <c r="I790" i="17"/>
  <c r="K790" i="17" s="1"/>
  <c r="S752" i="16"/>
  <c r="V752" i="16" s="1"/>
  <c r="W752" i="16" l="1"/>
  <c r="M753" i="16"/>
  <c r="P753" i="16" s="1"/>
  <c r="R753" i="16" s="1"/>
  <c r="J790" i="17"/>
  <c r="L790" i="17" s="1"/>
  <c r="W790" i="17" s="1"/>
  <c r="U790" i="17"/>
  <c r="Q790" i="17"/>
  <c r="S790" i="17" s="1"/>
  <c r="X752" i="16"/>
  <c r="Y752" i="16"/>
  <c r="F753" i="16"/>
  <c r="O753" i="16" l="1"/>
  <c r="N753" i="16"/>
  <c r="Y790" i="17"/>
  <c r="M791" i="17"/>
  <c r="N791" i="17" s="1"/>
  <c r="X790" i="17"/>
  <c r="F791" i="17"/>
  <c r="H791" i="17" s="1"/>
  <c r="T790" i="17"/>
  <c r="V790" i="17" s="1"/>
  <c r="H753" i="16"/>
  <c r="G753" i="16"/>
  <c r="I753" i="16"/>
  <c r="K753" i="16" s="1"/>
  <c r="U753" i="16" s="1"/>
  <c r="Q753" i="16"/>
  <c r="S753" i="16" s="1"/>
  <c r="O791" i="17" l="1"/>
  <c r="P791" i="17"/>
  <c r="R791" i="17" s="1"/>
  <c r="I791" i="17"/>
  <c r="K791" i="17" s="1"/>
  <c r="G791" i="17"/>
  <c r="J753" i="16"/>
  <c r="T753" i="16" s="1"/>
  <c r="U791" i="17" l="1"/>
  <c r="Q791" i="17"/>
  <c r="S791" i="17" s="1"/>
  <c r="J791" i="17"/>
  <c r="L753" i="16"/>
  <c r="T791" i="17" l="1"/>
  <c r="Y753" i="16"/>
  <c r="W753" i="16"/>
  <c r="L791" i="17"/>
  <c r="W791" i="17" s="1"/>
  <c r="X753" i="16"/>
  <c r="M754" i="16"/>
  <c r="F754" i="16"/>
  <c r="V753" i="16"/>
  <c r="M792" i="17" l="1"/>
  <c r="P792" i="17" s="1"/>
  <c r="R792" i="17" s="1"/>
  <c r="X791" i="17"/>
  <c r="F792" i="17"/>
  <c r="H792" i="17" s="1"/>
  <c r="V791" i="17"/>
  <c r="Y791" i="17"/>
  <c r="G754" i="16"/>
  <c r="I754" i="16"/>
  <c r="K754" i="16" s="1"/>
  <c r="H754" i="16"/>
  <c r="O754" i="16"/>
  <c r="P754" i="16"/>
  <c r="R754" i="16" s="1"/>
  <c r="N754" i="16"/>
  <c r="O792" i="17" l="1"/>
  <c r="G792" i="17"/>
  <c r="N792" i="17"/>
  <c r="I792" i="17"/>
  <c r="K792" i="17" s="1"/>
  <c r="U792" i="17" s="1"/>
  <c r="Q754" i="16"/>
  <c r="S754" i="16" s="1"/>
  <c r="U754" i="16"/>
  <c r="J754" i="16"/>
  <c r="Q792" i="17" l="1"/>
  <c r="S792" i="17" s="1"/>
  <c r="J792" i="17"/>
  <c r="L792" i="17" s="1"/>
  <c r="W792" i="17" s="1"/>
  <c r="T754" i="16"/>
  <c r="L754" i="16"/>
  <c r="Y792" i="17" l="1"/>
  <c r="X792" i="17"/>
  <c r="M793" i="17"/>
  <c r="O793" i="17" s="1"/>
  <c r="T792" i="17"/>
  <c r="V792" i="17" s="1"/>
  <c r="F793" i="17"/>
  <c r="I793" i="17" s="1"/>
  <c r="K793" i="17" s="1"/>
  <c r="Y754" i="16"/>
  <c r="W754" i="16"/>
  <c r="F755" i="16"/>
  <c r="X754" i="16"/>
  <c r="M755" i="16"/>
  <c r="V754" i="16"/>
  <c r="P793" i="17" l="1"/>
  <c r="R793" i="17" s="1"/>
  <c r="U793" i="17" s="1"/>
  <c r="N793" i="17"/>
  <c r="G793" i="17"/>
  <c r="H793" i="17"/>
  <c r="N755" i="16"/>
  <c r="P755" i="16"/>
  <c r="R755" i="16" s="1"/>
  <c r="O755" i="16"/>
  <c r="H755" i="16"/>
  <c r="I755" i="16"/>
  <c r="K755" i="16" s="1"/>
  <c r="G755" i="16"/>
  <c r="Q793" i="17" l="1"/>
  <c r="S793" i="17" s="1"/>
  <c r="J793" i="17"/>
  <c r="L793" i="17" s="1"/>
  <c r="W793" i="17" s="1"/>
  <c r="Q755" i="16"/>
  <c r="S755" i="16" s="1"/>
  <c r="J755" i="16"/>
  <c r="U755" i="16"/>
  <c r="Y793" i="17" l="1"/>
  <c r="F794" i="17"/>
  <c r="G794" i="17" s="1"/>
  <c r="M794" i="17"/>
  <c r="P794" i="17" s="1"/>
  <c r="R794" i="17" s="1"/>
  <c r="X793" i="17"/>
  <c r="T793" i="17"/>
  <c r="V793" i="17" s="1"/>
  <c r="T755" i="16"/>
  <c r="L755" i="16"/>
  <c r="H794" i="17" l="1"/>
  <c r="N794" i="17"/>
  <c r="O794" i="17"/>
  <c r="I794" i="17"/>
  <c r="K794" i="17" s="1"/>
  <c r="U794" i="17" s="1"/>
  <c r="Y755" i="16"/>
  <c r="W755" i="16"/>
  <c r="M756" i="16"/>
  <c r="X755" i="16"/>
  <c r="F756" i="16"/>
  <c r="V755" i="16"/>
  <c r="Q794" i="17" l="1"/>
  <c r="S794" i="17" s="1"/>
  <c r="J794" i="17"/>
  <c r="I756" i="16"/>
  <c r="K756" i="16" s="1"/>
  <c r="G756" i="16"/>
  <c r="H756" i="16"/>
  <c r="O756" i="16"/>
  <c r="P756" i="16"/>
  <c r="R756" i="16" s="1"/>
  <c r="N756" i="16"/>
  <c r="T794" i="17" l="1"/>
  <c r="L794" i="17"/>
  <c r="W794" i="17" s="1"/>
  <c r="J756" i="16"/>
  <c r="L756" i="16" s="1"/>
  <c r="U756" i="16"/>
  <c r="Q756" i="16"/>
  <c r="S756" i="16" s="1"/>
  <c r="V794" i="17" l="1"/>
  <c r="F795" i="17"/>
  <c r="H795" i="17" s="1"/>
  <c r="M795" i="17"/>
  <c r="P795" i="17" s="1"/>
  <c r="R795" i="17" s="1"/>
  <c r="Y794" i="17"/>
  <c r="X794" i="17"/>
  <c r="W756" i="16"/>
  <c r="Y756" i="16"/>
  <c r="I795" i="17"/>
  <c r="K795" i="17" s="1"/>
  <c r="F757" i="16"/>
  <c r="X756" i="16"/>
  <c r="M757" i="16"/>
  <c r="T756" i="16"/>
  <c r="V756" i="16" s="1"/>
  <c r="G795" i="17" l="1"/>
  <c r="J795" i="17" s="1"/>
  <c r="L795" i="17" s="1"/>
  <c r="O795" i="17"/>
  <c r="N795" i="17"/>
  <c r="U795" i="17"/>
  <c r="H757" i="16"/>
  <c r="G757" i="16"/>
  <c r="I757" i="16"/>
  <c r="K757" i="16" s="1"/>
  <c r="P757" i="16"/>
  <c r="R757" i="16" s="1"/>
  <c r="O757" i="16"/>
  <c r="N757" i="16"/>
  <c r="Q795" i="17" l="1"/>
  <c r="S795" i="17" s="1"/>
  <c r="W795" i="17" s="1"/>
  <c r="Q757" i="16"/>
  <c r="S757" i="16" s="1"/>
  <c r="U757" i="16"/>
  <c r="J757" i="16"/>
  <c r="Y795" i="17" l="1"/>
  <c r="X795" i="17"/>
  <c r="F796" i="17"/>
  <c r="H796" i="17" s="1"/>
  <c r="M796" i="17"/>
  <c r="O796" i="17" s="1"/>
  <c r="T795" i="17"/>
  <c r="V795" i="17" s="1"/>
  <c r="T757" i="16"/>
  <c r="L757" i="16"/>
  <c r="G796" i="17" l="1"/>
  <c r="I796" i="17"/>
  <c r="K796" i="17" s="1"/>
  <c r="N796" i="17"/>
  <c r="P796" i="17"/>
  <c r="R796" i="17" s="1"/>
  <c r="Y757" i="16"/>
  <c r="W757" i="16"/>
  <c r="X757" i="16"/>
  <c r="F758" i="16"/>
  <c r="M758" i="16"/>
  <c r="V757" i="16"/>
  <c r="Q796" i="17" l="1"/>
  <c r="S796" i="17" s="1"/>
  <c r="U796" i="17"/>
  <c r="J796" i="17"/>
  <c r="L796" i="17" s="1"/>
  <c r="O758" i="16"/>
  <c r="N758" i="16"/>
  <c r="P758" i="16"/>
  <c r="R758" i="16" s="1"/>
  <c r="G758" i="16"/>
  <c r="I758" i="16"/>
  <c r="K758" i="16" s="1"/>
  <c r="H758" i="16"/>
  <c r="F797" i="17" l="1"/>
  <c r="G797" i="17" s="1"/>
  <c r="Y796" i="17"/>
  <c r="W796" i="17"/>
  <c r="X796" i="17"/>
  <c r="M797" i="17"/>
  <c r="N797" i="17" s="1"/>
  <c r="T796" i="17"/>
  <c r="V796" i="17" s="1"/>
  <c r="H797" i="17"/>
  <c r="U758" i="16"/>
  <c r="J758" i="16"/>
  <c r="Q758" i="16"/>
  <c r="S758" i="16" s="1"/>
  <c r="I797" i="17" l="1"/>
  <c r="O797" i="17"/>
  <c r="P797" i="17"/>
  <c r="R797" i="17" s="1"/>
  <c r="K797" i="17"/>
  <c r="J797" i="17"/>
  <c r="T758" i="16"/>
  <c r="L758" i="16"/>
  <c r="U797" i="17" l="1"/>
  <c r="Q797" i="17"/>
  <c r="S797" i="17" s="1"/>
  <c r="F798" i="17" s="1"/>
  <c r="L797" i="17"/>
  <c r="W797" i="17" s="1"/>
  <c r="Y758" i="16"/>
  <c r="W758" i="16"/>
  <c r="F759" i="16"/>
  <c r="M759" i="16"/>
  <c r="X758" i="16"/>
  <c r="V758" i="16"/>
  <c r="I798" i="17" l="1"/>
  <c r="K798" i="17" s="1"/>
  <c r="H798" i="17"/>
  <c r="T797" i="17"/>
  <c r="V797" i="17" s="1"/>
  <c r="M798" i="17"/>
  <c r="O798" i="17" s="1"/>
  <c r="Y797" i="17"/>
  <c r="X797" i="17"/>
  <c r="G798" i="17"/>
  <c r="J798" i="17" s="1"/>
  <c r="N759" i="16"/>
  <c r="P759" i="16"/>
  <c r="R759" i="16" s="1"/>
  <c r="O759" i="16"/>
  <c r="I759" i="16"/>
  <c r="K759" i="16" s="1"/>
  <c r="H759" i="16"/>
  <c r="G759" i="16"/>
  <c r="P798" i="17" l="1"/>
  <c r="R798" i="17" s="1"/>
  <c r="U798" i="17" s="1"/>
  <c r="N798" i="17"/>
  <c r="Q798" i="17" s="1"/>
  <c r="U759" i="16"/>
  <c r="L798" i="17"/>
  <c r="J759" i="16"/>
  <c r="Q759" i="16"/>
  <c r="S759" i="16" s="1"/>
  <c r="S798" i="17" l="1"/>
  <c r="F799" i="17" s="1"/>
  <c r="T798" i="17"/>
  <c r="W798" i="17"/>
  <c r="X798" i="17"/>
  <c r="M799" i="17"/>
  <c r="T759" i="16"/>
  <c r="L759" i="16"/>
  <c r="V798" i="17" l="1"/>
  <c r="Y798" i="17"/>
  <c r="Y759" i="16"/>
  <c r="W759" i="16"/>
  <c r="H799" i="17"/>
  <c r="G799" i="17"/>
  <c r="I799" i="17"/>
  <c r="K799" i="17" s="1"/>
  <c r="O799" i="17"/>
  <c r="N799" i="17"/>
  <c r="P799" i="17"/>
  <c r="R799" i="17" s="1"/>
  <c r="M760" i="16"/>
  <c r="X759" i="16"/>
  <c r="F760" i="16"/>
  <c r="V759" i="16"/>
  <c r="U799" i="17" l="1"/>
  <c r="Q799" i="17"/>
  <c r="S799" i="17" s="1"/>
  <c r="J799" i="17"/>
  <c r="I760" i="16"/>
  <c r="K760" i="16" s="1"/>
  <c r="H760" i="16"/>
  <c r="G760" i="16"/>
  <c r="P760" i="16"/>
  <c r="R760" i="16" s="1"/>
  <c r="O760" i="16"/>
  <c r="N760" i="16"/>
  <c r="T799" i="17" l="1"/>
  <c r="Q760" i="16"/>
  <c r="S760" i="16" s="1"/>
  <c r="L799" i="17"/>
  <c r="W799" i="17" s="1"/>
  <c r="J760" i="16"/>
  <c r="L760" i="16" s="1"/>
  <c r="W760" i="16" s="1"/>
  <c r="U760" i="16"/>
  <c r="Y760" i="16" l="1"/>
  <c r="X799" i="17"/>
  <c r="M800" i="17"/>
  <c r="F800" i="17"/>
  <c r="Y799" i="17"/>
  <c r="V799" i="17"/>
  <c r="M761" i="16"/>
  <c r="N761" i="16" s="1"/>
  <c r="F761" i="16"/>
  <c r="G761" i="16" s="1"/>
  <c r="X760" i="16"/>
  <c r="T760" i="16"/>
  <c r="V760" i="16" s="1"/>
  <c r="P761" i="16" l="1"/>
  <c r="R761" i="16" s="1"/>
  <c r="O761" i="16"/>
  <c r="G800" i="17"/>
  <c r="I800" i="17"/>
  <c r="K800" i="17" s="1"/>
  <c r="H800" i="17"/>
  <c r="P800" i="17"/>
  <c r="R800" i="17" s="1"/>
  <c r="N800" i="17"/>
  <c r="O800" i="17"/>
  <c r="H761" i="16"/>
  <c r="I761" i="16"/>
  <c r="K761" i="16" s="1"/>
  <c r="Q761" i="16" l="1"/>
  <c r="S761" i="16" s="1"/>
  <c r="J800" i="17"/>
  <c r="L800" i="17" s="1"/>
  <c r="W800" i="17" s="1"/>
  <c r="U761" i="16"/>
  <c r="Q800" i="17"/>
  <c r="S800" i="17" s="1"/>
  <c r="U800" i="17"/>
  <c r="J761" i="16"/>
  <c r="T761" i="16" s="1"/>
  <c r="T800" i="17" l="1"/>
  <c r="V800" i="17" s="1"/>
  <c r="F801" i="17"/>
  <c r="Y800" i="17"/>
  <c r="M801" i="17"/>
  <c r="X800" i="17"/>
  <c r="L761" i="16"/>
  <c r="F762" i="16" l="1"/>
  <c r="W761" i="16"/>
  <c r="V761" i="16"/>
  <c r="H801" i="17"/>
  <c r="G801" i="17"/>
  <c r="I801" i="17"/>
  <c r="K801" i="17" s="1"/>
  <c r="N801" i="17"/>
  <c r="O801" i="17"/>
  <c r="P801" i="17"/>
  <c r="R801" i="17" s="1"/>
  <c r="M762" i="16"/>
  <c r="N762" i="16" s="1"/>
  <c r="X761" i="16"/>
  <c r="Y761" i="16"/>
  <c r="G762" i="16"/>
  <c r="I762" i="16"/>
  <c r="K762" i="16" s="1"/>
  <c r="H762" i="16"/>
  <c r="O762" i="16" l="1"/>
  <c r="U801" i="17"/>
  <c r="J801" i="17"/>
  <c r="Q801" i="17"/>
  <c r="S801" i="17" s="1"/>
  <c r="P762" i="16"/>
  <c r="R762" i="16" s="1"/>
  <c r="U762" i="16" s="1"/>
  <c r="J762" i="16"/>
  <c r="Q762" i="16" l="1"/>
  <c r="S762" i="16" s="1"/>
  <c r="T801" i="17"/>
  <c r="L801" i="17"/>
  <c r="W801" i="17" s="1"/>
  <c r="L762" i="16"/>
  <c r="W762" i="16" l="1"/>
  <c r="T762" i="16"/>
  <c r="Y762" i="16"/>
  <c r="M802" i="17"/>
  <c r="Y801" i="17"/>
  <c r="X801" i="17"/>
  <c r="F802" i="17"/>
  <c r="V801" i="17"/>
  <c r="F763" i="16"/>
  <c r="M763" i="16"/>
  <c r="X762" i="16"/>
  <c r="V762" i="16"/>
  <c r="O802" i="17" l="1"/>
  <c r="P802" i="17"/>
  <c r="R802" i="17" s="1"/>
  <c r="N802" i="17"/>
  <c r="H802" i="17"/>
  <c r="I802" i="17"/>
  <c r="K802" i="17" s="1"/>
  <c r="G802" i="17"/>
  <c r="N763" i="16"/>
  <c r="P763" i="16"/>
  <c r="R763" i="16" s="1"/>
  <c r="O763" i="16"/>
  <c r="I763" i="16"/>
  <c r="K763" i="16" s="1"/>
  <c r="H763" i="16"/>
  <c r="G763" i="16"/>
  <c r="J802" i="17" l="1"/>
  <c r="L802" i="17" s="1"/>
  <c r="Q802" i="17"/>
  <c r="U802" i="17"/>
  <c r="U763" i="16"/>
  <c r="Q763" i="16"/>
  <c r="S763" i="16" s="1"/>
  <c r="J763" i="16"/>
  <c r="W802" i="17" l="1"/>
  <c r="T802" i="17"/>
  <c r="S802" i="17"/>
  <c r="V802" i="17" s="1"/>
  <c r="T763" i="16"/>
  <c r="L763" i="16"/>
  <c r="Y763" i="16" l="1"/>
  <c r="W763" i="16"/>
  <c r="M803" i="17"/>
  <c r="P803" i="17" s="1"/>
  <c r="R803" i="17" s="1"/>
  <c r="F803" i="17"/>
  <c r="I803" i="17" s="1"/>
  <c r="K803" i="17" s="1"/>
  <c r="X802" i="17"/>
  <c r="Y802" i="17"/>
  <c r="N803" i="17"/>
  <c r="M764" i="16"/>
  <c r="X763" i="16"/>
  <c r="F764" i="16"/>
  <c r="V763" i="16"/>
  <c r="O803" i="17" l="1"/>
  <c r="Q803" i="17" s="1"/>
  <c r="S803" i="17" s="1"/>
  <c r="H803" i="17"/>
  <c r="G803" i="17"/>
  <c r="U803" i="17"/>
  <c r="I764" i="16"/>
  <c r="K764" i="16" s="1"/>
  <c r="H764" i="16"/>
  <c r="G764" i="16"/>
  <c r="P764" i="16"/>
  <c r="R764" i="16" s="1"/>
  <c r="O764" i="16"/>
  <c r="N764" i="16"/>
  <c r="J803" i="17" l="1"/>
  <c r="L803" i="17" s="1"/>
  <c r="W803" i="17" s="1"/>
  <c r="Q764" i="16"/>
  <c r="S764" i="16" s="1"/>
  <c r="J764" i="16"/>
  <c r="L764" i="16" s="1"/>
  <c r="U764" i="16"/>
  <c r="T803" i="17" l="1"/>
  <c r="M804" i="17"/>
  <c r="P804" i="17" s="1"/>
  <c r="R804" i="17" s="1"/>
  <c r="Y803" i="17"/>
  <c r="F804" i="17"/>
  <c r="I804" i="17" s="1"/>
  <c r="K804" i="17" s="1"/>
  <c r="X803" i="17"/>
  <c r="W764" i="16"/>
  <c r="O804" i="17"/>
  <c r="N804" i="17"/>
  <c r="V803" i="17"/>
  <c r="G804" i="17"/>
  <c r="H804" i="17"/>
  <c r="Y764" i="16"/>
  <c r="T764" i="16"/>
  <c r="V764" i="16" s="1"/>
  <c r="M765" i="16"/>
  <c r="P765" i="16" s="1"/>
  <c r="R765" i="16" s="1"/>
  <c r="F765" i="16"/>
  <c r="X764" i="16"/>
  <c r="U804" i="17" l="1"/>
  <c r="Q804" i="17"/>
  <c r="S804" i="17" s="1"/>
  <c r="J804" i="17"/>
  <c r="N765" i="16"/>
  <c r="O765" i="16"/>
  <c r="H765" i="16"/>
  <c r="G765" i="16"/>
  <c r="I765" i="16"/>
  <c r="K765" i="16" s="1"/>
  <c r="U765" i="16" s="1"/>
  <c r="T804" i="17" l="1"/>
  <c r="L804" i="17"/>
  <c r="W804" i="17" s="1"/>
  <c r="Q765" i="16"/>
  <c r="S765" i="16" s="1"/>
  <c r="J765" i="16"/>
  <c r="T765" i="16" l="1"/>
  <c r="Y804" i="17"/>
  <c r="M805" i="17"/>
  <c r="X804" i="17"/>
  <c r="F805" i="17"/>
  <c r="V804" i="17"/>
  <c r="L765" i="16"/>
  <c r="Y765" i="16" l="1"/>
  <c r="W765" i="16"/>
  <c r="I805" i="17"/>
  <c r="K805" i="17" s="1"/>
  <c r="G805" i="17"/>
  <c r="H805" i="17"/>
  <c r="P805" i="17"/>
  <c r="R805" i="17" s="1"/>
  <c r="N805" i="17"/>
  <c r="O805" i="17"/>
  <c r="X765" i="16"/>
  <c r="F766" i="16"/>
  <c r="M766" i="16"/>
  <c r="V765" i="16"/>
  <c r="Q805" i="17" l="1"/>
  <c r="S805" i="17" s="1"/>
  <c r="J805" i="17"/>
  <c r="U805" i="17"/>
  <c r="G766" i="16"/>
  <c r="I766" i="16"/>
  <c r="K766" i="16" s="1"/>
  <c r="H766" i="16"/>
  <c r="O766" i="16"/>
  <c r="N766" i="16"/>
  <c r="P766" i="16"/>
  <c r="R766" i="16" s="1"/>
  <c r="T805" i="17" l="1"/>
  <c r="L805" i="17"/>
  <c r="W805" i="17" s="1"/>
  <c r="J766" i="16"/>
  <c r="L766" i="16" s="1"/>
  <c r="U766" i="16"/>
  <c r="Q766" i="16"/>
  <c r="S766" i="16" s="1"/>
  <c r="Y766" i="16" l="1"/>
  <c r="W766" i="16"/>
  <c r="M806" i="17"/>
  <c r="X805" i="17"/>
  <c r="Y805" i="17"/>
  <c r="F806" i="17"/>
  <c r="V805" i="17"/>
  <c r="T766" i="16"/>
  <c r="V766" i="16" s="1"/>
  <c r="F767" i="16"/>
  <c r="M767" i="16"/>
  <c r="X766" i="16"/>
  <c r="O806" i="17" l="1"/>
  <c r="N806" i="17"/>
  <c r="P806" i="17"/>
  <c r="R806" i="17" s="1"/>
  <c r="I806" i="17"/>
  <c r="K806" i="17" s="1"/>
  <c r="H806" i="17"/>
  <c r="G806" i="17"/>
  <c r="I767" i="16"/>
  <c r="K767" i="16" s="1"/>
  <c r="H767" i="16"/>
  <c r="G767" i="16"/>
  <c r="N767" i="16"/>
  <c r="P767" i="16"/>
  <c r="R767" i="16" s="1"/>
  <c r="O767" i="16"/>
  <c r="J806" i="17" l="1"/>
  <c r="L806" i="17" s="1"/>
  <c r="W806" i="17" s="1"/>
  <c r="Q806" i="17"/>
  <c r="S806" i="17" s="1"/>
  <c r="U806" i="17"/>
  <c r="Q767" i="16"/>
  <c r="S767" i="16" s="1"/>
  <c r="U767" i="16"/>
  <c r="J767" i="16"/>
  <c r="T806" i="17" l="1"/>
  <c r="V806" i="17" s="1"/>
  <c r="Y806" i="17"/>
  <c r="F807" i="17"/>
  <c r="M807" i="17"/>
  <c r="X806" i="17"/>
  <c r="T767" i="16"/>
  <c r="L767" i="16"/>
  <c r="Y767" i="16" l="1"/>
  <c r="W767" i="16"/>
  <c r="P807" i="17"/>
  <c r="R807" i="17" s="1"/>
  <c r="N807" i="17"/>
  <c r="O807" i="17"/>
  <c r="G807" i="17"/>
  <c r="H807" i="17"/>
  <c r="I807" i="17"/>
  <c r="K807" i="17" s="1"/>
  <c r="M768" i="16"/>
  <c r="X767" i="16"/>
  <c r="F768" i="16"/>
  <c r="V767" i="16"/>
  <c r="U807" i="17" l="1"/>
  <c r="Q807" i="17"/>
  <c r="S807" i="17" s="1"/>
  <c r="J807" i="17"/>
  <c r="I768" i="16"/>
  <c r="K768" i="16" s="1"/>
  <c r="H768" i="16"/>
  <c r="G768" i="16"/>
  <c r="P768" i="16"/>
  <c r="R768" i="16" s="1"/>
  <c r="O768" i="16"/>
  <c r="N768" i="16"/>
  <c r="T807" i="17" l="1"/>
  <c r="Q768" i="16"/>
  <c r="S768" i="16" s="1"/>
  <c r="L807" i="17"/>
  <c r="W807" i="17" s="1"/>
  <c r="U768" i="16"/>
  <c r="J768" i="16"/>
  <c r="F808" i="17" l="1"/>
  <c r="I808" i="17" s="1"/>
  <c r="K808" i="17" s="1"/>
  <c r="T768" i="16"/>
  <c r="M808" i="17"/>
  <c r="Y807" i="17"/>
  <c r="X807" i="17"/>
  <c r="V807" i="17"/>
  <c r="L768" i="16"/>
  <c r="H808" i="17" l="1"/>
  <c r="G808" i="17"/>
  <c r="Y768" i="16"/>
  <c r="W768" i="16"/>
  <c r="O808" i="17"/>
  <c r="P808" i="17"/>
  <c r="R808" i="17" s="1"/>
  <c r="U808" i="17" s="1"/>
  <c r="N808" i="17"/>
  <c r="X768" i="16"/>
  <c r="F769" i="16"/>
  <c r="M769" i="16"/>
  <c r="V768" i="16"/>
  <c r="J808" i="17" l="1"/>
  <c r="L808" i="17" s="1"/>
  <c r="W808" i="17" s="1"/>
  <c r="Q808" i="17"/>
  <c r="S808" i="17" s="1"/>
  <c r="H769" i="16"/>
  <c r="G769" i="16"/>
  <c r="I769" i="16"/>
  <c r="K769" i="16" s="1"/>
  <c r="P769" i="16"/>
  <c r="R769" i="16" s="1"/>
  <c r="O769" i="16"/>
  <c r="N769" i="16"/>
  <c r="T808" i="17" l="1"/>
  <c r="V808" i="17" s="1"/>
  <c r="F809" i="17"/>
  <c r="I809" i="17" s="1"/>
  <c r="K809" i="17" s="1"/>
  <c r="X808" i="17"/>
  <c r="Y808" i="17"/>
  <c r="M809" i="17"/>
  <c r="O809" i="17" s="1"/>
  <c r="Q769" i="16"/>
  <c r="S769" i="16" s="1"/>
  <c r="U769" i="16"/>
  <c r="J769" i="16"/>
  <c r="H809" i="17" l="1"/>
  <c r="G809" i="17"/>
  <c r="N809" i="17"/>
  <c r="P809" i="17"/>
  <c r="R809" i="17" s="1"/>
  <c r="U809" i="17" s="1"/>
  <c r="T769" i="16"/>
  <c r="L769" i="16"/>
  <c r="J809" i="17" l="1"/>
  <c r="Y769" i="16"/>
  <c r="W769" i="16"/>
  <c r="Q809" i="17"/>
  <c r="S809" i="17" s="1"/>
  <c r="L809" i="17"/>
  <c r="W809" i="17" s="1"/>
  <c r="X769" i="16"/>
  <c r="F770" i="16"/>
  <c r="M770" i="16"/>
  <c r="V769" i="16"/>
  <c r="T809" i="17" l="1"/>
  <c r="V809" i="17" s="1"/>
  <c r="X809" i="17"/>
  <c r="F810" i="17"/>
  <c r="M810" i="17"/>
  <c r="Y809" i="17"/>
  <c r="G770" i="16"/>
  <c r="I770" i="16"/>
  <c r="K770" i="16" s="1"/>
  <c r="H770" i="16"/>
  <c r="O770" i="16"/>
  <c r="N770" i="16"/>
  <c r="P770" i="16"/>
  <c r="R770" i="16" s="1"/>
  <c r="P810" i="17" l="1"/>
  <c r="R810" i="17" s="1"/>
  <c r="O810" i="17"/>
  <c r="N810" i="17"/>
  <c r="I810" i="17"/>
  <c r="K810" i="17" s="1"/>
  <c r="H810" i="17"/>
  <c r="G810" i="17"/>
  <c r="J770" i="16"/>
  <c r="L770" i="16" s="1"/>
  <c r="U770" i="16"/>
  <c r="Q770" i="16"/>
  <c r="S770" i="16" s="1"/>
  <c r="Y770" i="16" l="1"/>
  <c r="W770" i="16"/>
  <c r="Q810" i="17"/>
  <c r="S810" i="17" s="1"/>
  <c r="U810" i="17"/>
  <c r="J810" i="17"/>
  <c r="T810" i="17" s="1"/>
  <c r="T770" i="16"/>
  <c r="V770" i="16" s="1"/>
  <c r="F771" i="16"/>
  <c r="M771" i="16"/>
  <c r="X770" i="16"/>
  <c r="L810" i="17" l="1"/>
  <c r="W810" i="17" s="1"/>
  <c r="I771" i="16"/>
  <c r="K771" i="16" s="1"/>
  <c r="H771" i="16"/>
  <c r="G771" i="16"/>
  <c r="N771" i="16"/>
  <c r="P771" i="16"/>
  <c r="R771" i="16" s="1"/>
  <c r="O771" i="16"/>
  <c r="F811" i="17" l="1"/>
  <c r="Y810" i="17"/>
  <c r="X810" i="17"/>
  <c r="M811" i="17"/>
  <c r="V810" i="17"/>
  <c r="Q771" i="16"/>
  <c r="S771" i="16" s="1"/>
  <c r="U771" i="16"/>
  <c r="J771" i="16"/>
  <c r="O811" i="17" l="1"/>
  <c r="P811" i="17"/>
  <c r="R811" i="17" s="1"/>
  <c r="N811" i="17"/>
  <c r="G811" i="17"/>
  <c r="I811" i="17"/>
  <c r="K811" i="17" s="1"/>
  <c r="H811" i="17"/>
  <c r="T771" i="16"/>
  <c r="L771" i="16"/>
  <c r="F772" i="16" s="1"/>
  <c r="Q811" i="17" l="1"/>
  <c r="X771" i="16"/>
  <c r="W771" i="16"/>
  <c r="M772" i="16"/>
  <c r="P772" i="16" s="1"/>
  <c r="R772" i="16" s="1"/>
  <c r="U811" i="17"/>
  <c r="J811" i="17"/>
  <c r="S811" i="17"/>
  <c r="V771" i="16"/>
  <c r="Y771" i="16"/>
  <c r="I772" i="16"/>
  <c r="K772" i="16" s="1"/>
  <c r="H772" i="16"/>
  <c r="G772" i="16"/>
  <c r="O772" i="16" l="1"/>
  <c r="N772" i="16"/>
  <c r="T811" i="17"/>
  <c r="L811" i="17"/>
  <c r="W811" i="17" s="1"/>
  <c r="U772" i="16"/>
  <c r="Q772" i="16"/>
  <c r="S772" i="16" s="1"/>
  <c r="J772" i="16"/>
  <c r="X811" i="17" l="1"/>
  <c r="M812" i="17"/>
  <c r="Y811" i="17"/>
  <c r="F812" i="17"/>
  <c r="V811" i="17"/>
  <c r="T772" i="16"/>
  <c r="L772" i="16"/>
  <c r="Y772" i="16" l="1"/>
  <c r="W772" i="16"/>
  <c r="M773" i="16"/>
  <c r="P773" i="16" s="1"/>
  <c r="R773" i="16" s="1"/>
  <c r="V772" i="16"/>
  <c r="G812" i="17"/>
  <c r="I812" i="17"/>
  <c r="K812" i="17" s="1"/>
  <c r="H812" i="17"/>
  <c r="O812" i="17"/>
  <c r="N812" i="17"/>
  <c r="P812" i="17"/>
  <c r="R812" i="17" s="1"/>
  <c r="F773" i="16"/>
  <c r="H773" i="16" s="1"/>
  <c r="X772" i="16"/>
  <c r="N773" i="16" l="1"/>
  <c r="O773" i="16"/>
  <c r="G773" i="16"/>
  <c r="I773" i="16"/>
  <c r="K773" i="16" s="1"/>
  <c r="U773" i="16" s="1"/>
  <c r="Q812" i="17"/>
  <c r="S812" i="17" s="1"/>
  <c r="U812" i="17"/>
  <c r="J812" i="17"/>
  <c r="Q773" i="16" l="1"/>
  <c r="S773" i="16" s="1"/>
  <c r="T812" i="17"/>
  <c r="L812" i="17"/>
  <c r="W812" i="17" s="1"/>
  <c r="J773" i="16"/>
  <c r="L773" i="16" l="1"/>
  <c r="W773" i="16" s="1"/>
  <c r="T773" i="16"/>
  <c r="X812" i="17"/>
  <c r="Y812" i="17"/>
  <c r="F813" i="17"/>
  <c r="M813" i="17"/>
  <c r="V812" i="17"/>
  <c r="N813" i="17" l="1"/>
  <c r="O813" i="17"/>
  <c r="P813" i="17"/>
  <c r="R813" i="17" s="1"/>
  <c r="G813" i="17"/>
  <c r="I813" i="17"/>
  <c r="K813" i="17" s="1"/>
  <c r="H813" i="17"/>
  <c r="V773" i="16"/>
  <c r="Y773" i="16"/>
  <c r="M774" i="16"/>
  <c r="X773" i="16"/>
  <c r="F774" i="16"/>
  <c r="U813" i="17" l="1"/>
  <c r="J813" i="17"/>
  <c r="L813" i="17" s="1"/>
  <c r="W813" i="17" s="1"/>
  <c r="Q813" i="17"/>
  <c r="S813" i="17" s="1"/>
  <c r="H774" i="16"/>
  <c r="G774" i="16"/>
  <c r="I774" i="16"/>
  <c r="K774" i="16" s="1"/>
  <c r="P774" i="16"/>
  <c r="R774" i="16" s="1"/>
  <c r="O774" i="16"/>
  <c r="N774" i="16"/>
  <c r="U774" i="16" l="1"/>
  <c r="T813" i="17"/>
  <c r="V813" i="17" s="1"/>
  <c r="J774" i="16"/>
  <c r="L774" i="16" s="1"/>
  <c r="M814" i="17"/>
  <c r="Y813" i="17"/>
  <c r="F814" i="17"/>
  <c r="X813" i="17"/>
  <c r="Q774" i="16"/>
  <c r="T774" i="16" l="1"/>
  <c r="S774" i="16"/>
  <c r="M775" i="16" s="1"/>
  <c r="O775" i="16" s="1"/>
  <c r="O814" i="17"/>
  <c r="P814" i="17"/>
  <c r="R814" i="17" s="1"/>
  <c r="N814" i="17"/>
  <c r="Y774" i="16"/>
  <c r="I814" i="17"/>
  <c r="K814" i="17" s="1"/>
  <c r="G814" i="17"/>
  <c r="H814" i="17"/>
  <c r="N775" i="16" l="1"/>
  <c r="W774" i="16"/>
  <c r="U814" i="17"/>
  <c r="P775" i="16"/>
  <c r="R775" i="16" s="1"/>
  <c r="X774" i="16"/>
  <c r="F775" i="16"/>
  <c r="I775" i="16" s="1"/>
  <c r="K775" i="16" s="1"/>
  <c r="V774" i="16"/>
  <c r="J814" i="17"/>
  <c r="L814" i="17" s="1"/>
  <c r="W814" i="17" s="1"/>
  <c r="Q814" i="17"/>
  <c r="S814" i="17" s="1"/>
  <c r="Q775" i="16"/>
  <c r="S775" i="16" s="1"/>
  <c r="U775" i="16" l="1"/>
  <c r="H775" i="16"/>
  <c r="G775" i="16"/>
  <c r="F815" i="17"/>
  <c r="G815" i="17" s="1"/>
  <c r="T814" i="17"/>
  <c r="V814" i="17" s="1"/>
  <c r="X814" i="17"/>
  <c r="Y814" i="17"/>
  <c r="M815" i="17"/>
  <c r="J775" i="16" l="1"/>
  <c r="T775" i="16" s="1"/>
  <c r="H815" i="17"/>
  <c r="I815" i="17"/>
  <c r="K815" i="17" s="1"/>
  <c r="O815" i="17"/>
  <c r="N815" i="17"/>
  <c r="P815" i="17"/>
  <c r="R815" i="17" s="1"/>
  <c r="L775" i="16" l="1"/>
  <c r="X775" i="16" s="1"/>
  <c r="U815" i="17"/>
  <c r="J815" i="17"/>
  <c r="L815" i="17" s="1"/>
  <c r="Q815" i="17"/>
  <c r="W775" i="16" l="1"/>
  <c r="M776" i="16"/>
  <c r="P776" i="16" s="1"/>
  <c r="R776" i="16" s="1"/>
  <c r="Y775" i="16"/>
  <c r="V775" i="16"/>
  <c r="F776" i="16"/>
  <c r="O776" i="16"/>
  <c r="N776" i="16"/>
  <c r="T815" i="17"/>
  <c r="S815" i="17"/>
  <c r="V815" i="17" s="1"/>
  <c r="W815" i="17" l="1"/>
  <c r="Q776" i="16"/>
  <c r="S776" i="16" s="1"/>
  <c r="H776" i="16"/>
  <c r="I776" i="16"/>
  <c r="K776" i="16" s="1"/>
  <c r="U776" i="16" s="1"/>
  <c r="G776" i="16"/>
  <c r="Y815" i="17"/>
  <c r="M816" i="17"/>
  <c r="N816" i="17" s="1"/>
  <c r="F816" i="17"/>
  <c r="I816" i="17" s="1"/>
  <c r="K816" i="17" s="1"/>
  <c r="X815" i="17"/>
  <c r="J776" i="16" l="1"/>
  <c r="H816" i="17"/>
  <c r="O816" i="17"/>
  <c r="G816" i="17"/>
  <c r="J816" i="17" s="1"/>
  <c r="P816" i="17"/>
  <c r="R816" i="17" s="1"/>
  <c r="U816" i="17" s="1"/>
  <c r="T776" i="16" l="1"/>
  <c r="L776" i="16"/>
  <c r="Q816" i="17"/>
  <c r="S816" i="17" s="1"/>
  <c r="M817" i="17" s="1"/>
  <c r="L816" i="17"/>
  <c r="W816" i="17" s="1"/>
  <c r="Y776" i="16" l="1"/>
  <c r="F777" i="16"/>
  <c r="W776" i="16"/>
  <c r="V776" i="16"/>
  <c r="M777" i="16"/>
  <c r="X776" i="16"/>
  <c r="Y816" i="17"/>
  <c r="T816" i="17"/>
  <c r="V816" i="17" s="1"/>
  <c r="F817" i="17"/>
  <c r="I817" i="17" s="1"/>
  <c r="K817" i="17" s="1"/>
  <c r="X816" i="17"/>
  <c r="N817" i="17"/>
  <c r="P817" i="17"/>
  <c r="R817" i="17" s="1"/>
  <c r="O817" i="17"/>
  <c r="I777" i="16" l="1"/>
  <c r="K777" i="16" s="1"/>
  <c r="H777" i="16"/>
  <c r="G777" i="16"/>
  <c r="N777" i="16"/>
  <c r="P777" i="16"/>
  <c r="R777" i="16" s="1"/>
  <c r="O777" i="16"/>
  <c r="H817" i="17"/>
  <c r="G817" i="17"/>
  <c r="U817" i="17"/>
  <c r="Q817" i="17"/>
  <c r="S817" i="17" s="1"/>
  <c r="Q777" i="16" l="1"/>
  <c r="S777" i="16" s="1"/>
  <c r="J777" i="16"/>
  <c r="L777" i="16" s="1"/>
  <c r="U777" i="16"/>
  <c r="J817" i="17"/>
  <c r="T817" i="17" s="1"/>
  <c r="M778" i="16" l="1"/>
  <c r="O778" i="16" s="1"/>
  <c r="Y777" i="16"/>
  <c r="T777" i="16"/>
  <c r="W777" i="16"/>
  <c r="V777" i="16"/>
  <c r="X777" i="16"/>
  <c r="F778" i="16"/>
  <c r="G778" i="16" s="1"/>
  <c r="L817" i="17"/>
  <c r="W817" i="17" s="1"/>
  <c r="P778" i="16" l="1"/>
  <c r="R778" i="16" s="1"/>
  <c r="N778" i="16"/>
  <c r="H778" i="16"/>
  <c r="F818" i="17"/>
  <c r="G818" i="17" s="1"/>
  <c r="V817" i="17"/>
  <c r="X817" i="17"/>
  <c r="I778" i="16"/>
  <c r="K778" i="16" s="1"/>
  <c r="U778" i="16" s="1"/>
  <c r="Y817" i="17"/>
  <c r="M818" i="17"/>
  <c r="O818" i="17" s="1"/>
  <c r="J778" i="16"/>
  <c r="Q778" i="16" l="1"/>
  <c r="S778" i="16" s="1"/>
  <c r="H818" i="17"/>
  <c r="I818" i="17"/>
  <c r="K818" i="17" s="1"/>
  <c r="N818" i="17"/>
  <c r="P818" i="17"/>
  <c r="R818" i="17" s="1"/>
  <c r="L778" i="16"/>
  <c r="T778" i="16" l="1"/>
  <c r="U818" i="17"/>
  <c r="J818" i="17"/>
  <c r="L818" i="17" s="1"/>
  <c r="Q818" i="17"/>
  <c r="Y778" i="16"/>
  <c r="W778" i="16"/>
  <c r="X778" i="16"/>
  <c r="F779" i="16"/>
  <c r="M779" i="16"/>
  <c r="V778" i="16"/>
  <c r="T818" i="17" l="1"/>
  <c r="S818" i="17"/>
  <c r="W818" i="17" s="1"/>
  <c r="Y818" i="17"/>
  <c r="M819" i="17"/>
  <c r="P819" i="17" s="1"/>
  <c r="R819" i="17" s="1"/>
  <c r="G779" i="16"/>
  <c r="I779" i="16"/>
  <c r="K779" i="16" s="1"/>
  <c r="H779" i="16"/>
  <c r="O779" i="16"/>
  <c r="N779" i="16"/>
  <c r="P779" i="16"/>
  <c r="R779" i="16" s="1"/>
  <c r="F819" i="17" l="1"/>
  <c r="I819" i="17" s="1"/>
  <c r="K819" i="17" s="1"/>
  <c r="U819" i="17" s="1"/>
  <c r="X818" i="17"/>
  <c r="V818" i="17"/>
  <c r="O819" i="17"/>
  <c r="N819" i="17"/>
  <c r="U779" i="16"/>
  <c r="Q779" i="16"/>
  <c r="S779" i="16" s="1"/>
  <c r="J779" i="16"/>
  <c r="G819" i="17" l="1"/>
  <c r="H819" i="17"/>
  <c r="Q819" i="17"/>
  <c r="S819" i="17" s="1"/>
  <c r="T779" i="16"/>
  <c r="L779" i="16"/>
  <c r="J819" i="17" l="1"/>
  <c r="L819" i="17" s="1"/>
  <c r="W819" i="17" s="1"/>
  <c r="Y779" i="16"/>
  <c r="W779" i="16"/>
  <c r="F780" i="16"/>
  <c r="M780" i="16"/>
  <c r="X779" i="16"/>
  <c r="V779" i="16"/>
  <c r="F820" i="17" l="1"/>
  <c r="G820" i="17" s="1"/>
  <c r="T819" i="17"/>
  <c r="V819" i="17" s="1"/>
  <c r="M820" i="17"/>
  <c r="P820" i="17" s="1"/>
  <c r="R820" i="17" s="1"/>
  <c r="X819" i="17"/>
  <c r="Y819" i="17"/>
  <c r="I820" i="17"/>
  <c r="K820" i="17" s="1"/>
  <c r="U820" i="17" s="1"/>
  <c r="N780" i="16"/>
  <c r="P780" i="16"/>
  <c r="R780" i="16" s="1"/>
  <c r="O780" i="16"/>
  <c r="I780" i="16"/>
  <c r="K780" i="16" s="1"/>
  <c r="H780" i="16"/>
  <c r="G780" i="16"/>
  <c r="H820" i="17" l="1"/>
  <c r="N820" i="17"/>
  <c r="O820" i="17"/>
  <c r="Q820" i="17" s="1"/>
  <c r="S820" i="17" s="1"/>
  <c r="J820" i="17"/>
  <c r="L820" i="17" s="1"/>
  <c r="Q780" i="16"/>
  <c r="S780" i="16" s="1"/>
  <c r="J780" i="16"/>
  <c r="U780" i="16"/>
  <c r="W820" i="17" l="1"/>
  <c r="T820" i="17"/>
  <c r="V820" i="17" s="1"/>
  <c r="T780" i="16"/>
  <c r="F821" i="17"/>
  <c r="X820" i="17"/>
  <c r="Y820" i="17"/>
  <c r="M821" i="17"/>
  <c r="L780" i="16"/>
  <c r="W780" i="16" s="1"/>
  <c r="P821" i="17" l="1"/>
  <c r="R821" i="17" s="1"/>
  <c r="O821" i="17"/>
  <c r="N821" i="17"/>
  <c r="H821" i="17"/>
  <c r="G821" i="17"/>
  <c r="I821" i="17"/>
  <c r="K821" i="17" s="1"/>
  <c r="M781" i="16"/>
  <c r="N781" i="16" s="1"/>
  <c r="Y780" i="16"/>
  <c r="X780" i="16"/>
  <c r="V780" i="16"/>
  <c r="F781" i="16"/>
  <c r="Q821" i="17" l="1"/>
  <c r="S821" i="17" s="1"/>
  <c r="U821" i="17"/>
  <c r="J821" i="17"/>
  <c r="T821" i="17" s="1"/>
  <c r="P781" i="16"/>
  <c r="R781" i="16" s="1"/>
  <c r="O781" i="16"/>
  <c r="I781" i="16"/>
  <c r="K781" i="16" s="1"/>
  <c r="G781" i="16"/>
  <c r="H781" i="16"/>
  <c r="Q781" i="16" l="1"/>
  <c r="S781" i="16" s="1"/>
  <c r="U781" i="16"/>
  <c r="L821" i="17"/>
  <c r="W821" i="17" s="1"/>
  <c r="J781" i="16"/>
  <c r="T781" i="16" l="1"/>
  <c r="Y821" i="17"/>
  <c r="F822" i="17"/>
  <c r="M822" i="17"/>
  <c r="X821" i="17"/>
  <c r="V821" i="17"/>
  <c r="L781" i="16"/>
  <c r="Y781" i="16" l="1"/>
  <c r="W781" i="16"/>
  <c r="N822" i="17"/>
  <c r="P822" i="17"/>
  <c r="R822" i="17" s="1"/>
  <c r="O822" i="17"/>
  <c r="I822" i="17"/>
  <c r="K822" i="17" s="1"/>
  <c r="U822" i="17" s="1"/>
  <c r="H822" i="17"/>
  <c r="G822" i="17"/>
  <c r="X781" i="16"/>
  <c r="F782" i="16"/>
  <c r="M782" i="16"/>
  <c r="V781" i="16"/>
  <c r="J822" i="17" l="1"/>
  <c r="L822" i="17" s="1"/>
  <c r="W822" i="17" s="1"/>
  <c r="Q822" i="17"/>
  <c r="S822" i="17" s="1"/>
  <c r="G782" i="16"/>
  <c r="I782" i="16"/>
  <c r="K782" i="16" s="1"/>
  <c r="H782" i="16"/>
  <c r="N782" i="16"/>
  <c r="P782" i="16"/>
  <c r="R782" i="16" s="1"/>
  <c r="O782" i="16"/>
  <c r="Q782" i="16" l="1"/>
  <c r="S782" i="16" s="1"/>
  <c r="F823" i="17"/>
  <c r="M823" i="17"/>
  <c r="X822" i="17"/>
  <c r="Y822" i="17"/>
  <c r="T822" i="17"/>
  <c r="J782" i="16"/>
  <c r="U782" i="16"/>
  <c r="T782" i="16" l="1"/>
  <c r="O823" i="17"/>
  <c r="N823" i="17"/>
  <c r="P823" i="17"/>
  <c r="R823" i="17" s="1"/>
  <c r="I823" i="17"/>
  <c r="K823" i="17" s="1"/>
  <c r="G823" i="17"/>
  <c r="H823" i="17"/>
  <c r="V822" i="17"/>
  <c r="L782" i="16"/>
  <c r="Y782" i="16" l="1"/>
  <c r="W782" i="16"/>
  <c r="Q823" i="17"/>
  <c r="S823" i="17" s="1"/>
  <c r="U823" i="17"/>
  <c r="J823" i="17"/>
  <c r="F783" i="16"/>
  <c r="G783" i="16" s="1"/>
  <c r="M783" i="16"/>
  <c r="O783" i="16" s="1"/>
  <c r="V782" i="16"/>
  <c r="X782" i="16"/>
  <c r="T823" i="17" l="1"/>
  <c r="H783" i="16"/>
  <c r="I783" i="16"/>
  <c r="K783" i="16" s="1"/>
  <c r="L823" i="17"/>
  <c r="W823" i="17" s="1"/>
  <c r="P783" i="16"/>
  <c r="R783" i="16" s="1"/>
  <c r="N783" i="16"/>
  <c r="J783" i="16" l="1"/>
  <c r="L783" i="16" s="1"/>
  <c r="U783" i="16"/>
  <c r="Q783" i="16"/>
  <c r="M824" i="17"/>
  <c r="X823" i="17"/>
  <c r="F824" i="17"/>
  <c r="Y823" i="17"/>
  <c r="V823" i="17"/>
  <c r="T783" i="16" l="1"/>
  <c r="S783" i="16"/>
  <c r="I824" i="17"/>
  <c r="K824" i="17" s="1"/>
  <c r="G824" i="17"/>
  <c r="H824" i="17"/>
  <c r="P824" i="17"/>
  <c r="R824" i="17" s="1"/>
  <c r="O824" i="17"/>
  <c r="N824" i="17"/>
  <c r="F784" i="16"/>
  <c r="M784" i="16"/>
  <c r="V783" i="16"/>
  <c r="X783" i="16" l="1"/>
  <c r="W783" i="16"/>
  <c r="Y783" i="16"/>
  <c r="J824" i="17"/>
  <c r="L824" i="17" s="1"/>
  <c r="Q824" i="17"/>
  <c r="S824" i="17" s="1"/>
  <c r="U824" i="17"/>
  <c r="P784" i="16"/>
  <c r="R784" i="16" s="1"/>
  <c r="O784" i="16"/>
  <c r="N784" i="16"/>
  <c r="I784" i="16"/>
  <c r="K784" i="16" s="1"/>
  <c r="H784" i="16"/>
  <c r="G784" i="16"/>
  <c r="W824" i="17" l="1"/>
  <c r="Q784" i="16"/>
  <c r="S784" i="16" s="1"/>
  <c r="T824" i="17"/>
  <c r="V824" i="17" s="1"/>
  <c r="F825" i="17"/>
  <c r="M825" i="17"/>
  <c r="Y824" i="17"/>
  <c r="X824" i="17"/>
  <c r="J784" i="16"/>
  <c r="T784" i="16" s="1"/>
  <c r="U784" i="16"/>
  <c r="P825" i="17" l="1"/>
  <c r="R825" i="17" s="1"/>
  <c r="O825" i="17"/>
  <c r="N825" i="17"/>
  <c r="G825" i="17"/>
  <c r="I825" i="17"/>
  <c r="K825" i="17" s="1"/>
  <c r="H825" i="17"/>
  <c r="L784" i="16"/>
  <c r="V784" i="16" l="1"/>
  <c r="W784" i="16"/>
  <c r="U825" i="17"/>
  <c r="Q825" i="17"/>
  <c r="S825" i="17" s="1"/>
  <c r="J825" i="17"/>
  <c r="Y784" i="16"/>
  <c r="M785" i="16"/>
  <c r="F785" i="16"/>
  <c r="X784" i="16"/>
  <c r="T825" i="17" l="1"/>
  <c r="L825" i="17"/>
  <c r="W825" i="17" s="1"/>
  <c r="H785" i="16"/>
  <c r="I785" i="16"/>
  <c r="K785" i="16" s="1"/>
  <c r="G785" i="16"/>
  <c r="P785" i="16"/>
  <c r="R785" i="16" s="1"/>
  <c r="N785" i="16"/>
  <c r="O785" i="16"/>
  <c r="F826" i="17" l="1"/>
  <c r="M826" i="17"/>
  <c r="Y825" i="17"/>
  <c r="X825" i="17"/>
  <c r="V825" i="17"/>
  <c r="U785" i="16"/>
  <c r="Q785" i="16"/>
  <c r="S785" i="16" s="1"/>
  <c r="J785" i="16"/>
  <c r="O826" i="17" l="1"/>
  <c r="N826" i="17"/>
  <c r="P826" i="17"/>
  <c r="R826" i="17" s="1"/>
  <c r="G826" i="17"/>
  <c r="I826" i="17"/>
  <c r="K826" i="17" s="1"/>
  <c r="H826" i="17"/>
  <c r="T785" i="16"/>
  <c r="L785" i="16"/>
  <c r="W785" i="16" s="1"/>
  <c r="U826" i="17" l="1"/>
  <c r="Q826" i="17"/>
  <c r="S826" i="17" s="1"/>
  <c r="J826" i="17"/>
  <c r="Y785" i="16"/>
  <c r="X785" i="16"/>
  <c r="F786" i="16"/>
  <c r="M786" i="16"/>
  <c r="V785" i="16"/>
  <c r="T826" i="17" l="1"/>
  <c r="L826" i="17"/>
  <c r="W826" i="17" s="1"/>
  <c r="O786" i="16"/>
  <c r="N786" i="16"/>
  <c r="P786" i="16"/>
  <c r="R786" i="16" s="1"/>
  <c r="H786" i="16"/>
  <c r="I786" i="16"/>
  <c r="K786" i="16" s="1"/>
  <c r="G786" i="16"/>
  <c r="Q786" i="16" l="1"/>
  <c r="S786" i="16" s="1"/>
  <c r="F827" i="17"/>
  <c r="Y826" i="17"/>
  <c r="M827" i="17"/>
  <c r="X826" i="17"/>
  <c r="V826" i="17"/>
  <c r="U786" i="16"/>
  <c r="J786" i="16"/>
  <c r="T786" i="16" l="1"/>
  <c r="P827" i="17"/>
  <c r="R827" i="17" s="1"/>
  <c r="O827" i="17"/>
  <c r="N827" i="17"/>
  <c r="H827" i="17"/>
  <c r="G827" i="17"/>
  <c r="I827" i="17"/>
  <c r="K827" i="17" s="1"/>
  <c r="L786" i="16"/>
  <c r="W786" i="16" s="1"/>
  <c r="Q827" i="17" l="1"/>
  <c r="S827" i="17" s="1"/>
  <c r="U827" i="17"/>
  <c r="J827" i="17"/>
  <c r="Y786" i="16"/>
  <c r="M787" i="16"/>
  <c r="X786" i="16"/>
  <c r="F787" i="16"/>
  <c r="V786" i="16"/>
  <c r="T827" i="17" l="1"/>
  <c r="L827" i="17"/>
  <c r="W827" i="17" s="1"/>
  <c r="I787" i="16"/>
  <c r="K787" i="16" s="1"/>
  <c r="H787" i="16"/>
  <c r="G787" i="16"/>
  <c r="O787" i="16"/>
  <c r="N787" i="16"/>
  <c r="P787" i="16"/>
  <c r="R787" i="16" s="1"/>
  <c r="Q787" i="16" l="1"/>
  <c r="S787" i="16" s="1"/>
  <c r="J787" i="16"/>
  <c r="L787" i="16" s="1"/>
  <c r="W787" i="16" s="1"/>
  <c r="M828" i="17"/>
  <c r="F828" i="17"/>
  <c r="Y827" i="17"/>
  <c r="X827" i="17"/>
  <c r="V827" i="17"/>
  <c r="U787" i="16"/>
  <c r="T787" i="16" l="1"/>
  <c r="V787" i="16"/>
  <c r="I828" i="17"/>
  <c r="K828" i="17" s="1"/>
  <c r="H828" i="17"/>
  <c r="G828" i="17"/>
  <c r="N828" i="17"/>
  <c r="O828" i="17"/>
  <c r="P828" i="17"/>
  <c r="R828" i="17" s="1"/>
  <c r="Y787" i="16"/>
  <c r="X787" i="16"/>
  <c r="F788" i="16"/>
  <c r="M788" i="16"/>
  <c r="Q828" i="17" l="1"/>
  <c r="S828" i="17" s="1"/>
  <c r="J828" i="17"/>
  <c r="U828" i="17"/>
  <c r="N788" i="16"/>
  <c r="P788" i="16"/>
  <c r="R788" i="16" s="1"/>
  <c r="O788" i="16"/>
  <c r="H788" i="16"/>
  <c r="G788" i="16"/>
  <c r="I788" i="16"/>
  <c r="K788" i="16" s="1"/>
  <c r="L828" i="17" l="1"/>
  <c r="W828" i="17" s="1"/>
  <c r="T828" i="17"/>
  <c r="U788" i="16"/>
  <c r="Q788" i="16"/>
  <c r="S788" i="16" s="1"/>
  <c r="J788" i="16"/>
  <c r="T788" i="16" l="1"/>
  <c r="Y828" i="17"/>
  <c r="X828" i="17"/>
  <c r="M829" i="17"/>
  <c r="F829" i="17"/>
  <c r="V828" i="17"/>
  <c r="L788" i="16"/>
  <c r="W788" i="16" s="1"/>
  <c r="H829" i="17" l="1"/>
  <c r="G829" i="17"/>
  <c r="I829" i="17"/>
  <c r="K829" i="17" s="1"/>
  <c r="P829" i="17"/>
  <c r="R829" i="17" s="1"/>
  <c r="N829" i="17"/>
  <c r="O829" i="17"/>
  <c r="Y788" i="16"/>
  <c r="M789" i="16"/>
  <c r="X788" i="16"/>
  <c r="F789" i="16"/>
  <c r="V788" i="16"/>
  <c r="Q829" i="17" l="1"/>
  <c r="S829" i="17" s="1"/>
  <c r="U829" i="17"/>
  <c r="J829" i="17"/>
  <c r="T829" i="17" s="1"/>
  <c r="N789" i="16"/>
  <c r="O789" i="16"/>
  <c r="P789" i="16"/>
  <c r="R789" i="16" s="1"/>
  <c r="G789" i="16"/>
  <c r="I789" i="16"/>
  <c r="K789" i="16" s="1"/>
  <c r="H789" i="16"/>
  <c r="L829" i="17" l="1"/>
  <c r="W829" i="17" s="1"/>
  <c r="Q789" i="16"/>
  <c r="S789" i="16" s="1"/>
  <c r="J789" i="16"/>
  <c r="U789" i="16"/>
  <c r="X829" i="17" l="1"/>
  <c r="M830" i="17"/>
  <c r="F830" i="17"/>
  <c r="Y829" i="17"/>
  <c r="V829" i="17"/>
  <c r="T789" i="16"/>
  <c r="L789" i="16"/>
  <c r="W789" i="16" s="1"/>
  <c r="Y789" i="16" l="1"/>
  <c r="F790" i="16"/>
  <c r="G790" i="16" s="1"/>
  <c r="X789" i="16"/>
  <c r="M790" i="16"/>
  <c r="P790" i="16" s="1"/>
  <c r="R790" i="16" s="1"/>
  <c r="V789" i="16"/>
  <c r="H830" i="17"/>
  <c r="G830" i="17"/>
  <c r="I830" i="17"/>
  <c r="K830" i="17" s="1"/>
  <c r="P830" i="17"/>
  <c r="R830" i="17" s="1"/>
  <c r="O830" i="17"/>
  <c r="N830" i="17"/>
  <c r="O790" i="16" l="1"/>
  <c r="I790" i="16"/>
  <c r="K790" i="16" s="1"/>
  <c r="U790" i="16" s="1"/>
  <c r="H790" i="16"/>
  <c r="N790" i="16"/>
  <c r="U830" i="17"/>
  <c r="Q830" i="17"/>
  <c r="S830" i="17" s="1"/>
  <c r="J830" i="17"/>
  <c r="J790" i="16" l="1"/>
  <c r="L790" i="16" s="1"/>
  <c r="Q790" i="16"/>
  <c r="S790" i="16" s="1"/>
  <c r="T830" i="17"/>
  <c r="L830" i="17"/>
  <c r="W830" i="17" s="1"/>
  <c r="T790" i="16" l="1"/>
  <c r="V790" i="16" s="1"/>
  <c r="X790" i="16"/>
  <c r="W790" i="16"/>
  <c r="F791" i="16"/>
  <c r="I791" i="16" s="1"/>
  <c r="K791" i="16" s="1"/>
  <c r="M791" i="16"/>
  <c r="P791" i="16" s="1"/>
  <c r="R791" i="16" s="1"/>
  <c r="Y790" i="16"/>
  <c r="X830" i="17"/>
  <c r="M831" i="17"/>
  <c r="F831" i="17"/>
  <c r="Y830" i="17"/>
  <c r="V830" i="17"/>
  <c r="U791" i="16" l="1"/>
  <c r="H791" i="16"/>
  <c r="G791" i="16"/>
  <c r="O791" i="16"/>
  <c r="N791" i="16"/>
  <c r="G831" i="17"/>
  <c r="H831" i="17"/>
  <c r="I831" i="17"/>
  <c r="K831" i="17" s="1"/>
  <c r="P831" i="17"/>
  <c r="R831" i="17" s="1"/>
  <c r="O831" i="17"/>
  <c r="N831" i="17"/>
  <c r="J791" i="16" l="1"/>
  <c r="L791" i="16" s="1"/>
  <c r="M792" i="16" s="1"/>
  <c r="Q791" i="16"/>
  <c r="S791" i="16" s="1"/>
  <c r="J831" i="17"/>
  <c r="L831" i="17" s="1"/>
  <c r="Q831" i="17"/>
  <c r="U831" i="17"/>
  <c r="Y791" i="16" l="1"/>
  <c r="W791" i="16"/>
  <c r="T831" i="17"/>
  <c r="F792" i="16"/>
  <c r="I792" i="16" s="1"/>
  <c r="K792" i="16" s="1"/>
  <c r="X791" i="16"/>
  <c r="S831" i="17"/>
  <c r="V831" i="17" s="1"/>
  <c r="T791" i="16"/>
  <c r="V791" i="16" s="1"/>
  <c r="N792" i="16"/>
  <c r="P792" i="16"/>
  <c r="R792" i="16" s="1"/>
  <c r="O792" i="16"/>
  <c r="W831" i="17" l="1"/>
  <c r="Y831" i="17"/>
  <c r="H792" i="16"/>
  <c r="G792" i="16"/>
  <c r="F832" i="17"/>
  <c r="M832" i="17"/>
  <c r="X831" i="17"/>
  <c r="U792" i="16"/>
  <c r="Q792" i="16"/>
  <c r="S792" i="16" s="1"/>
  <c r="J792" i="16" l="1"/>
  <c r="T792" i="16" s="1"/>
  <c r="O832" i="17"/>
  <c r="P832" i="17"/>
  <c r="R832" i="17" s="1"/>
  <c r="N832" i="17"/>
  <c r="H832" i="17"/>
  <c r="I832" i="17"/>
  <c r="K832" i="17" s="1"/>
  <c r="G832" i="17"/>
  <c r="L792" i="16" l="1"/>
  <c r="W792" i="16" s="1"/>
  <c r="J832" i="17"/>
  <c r="L832" i="17" s="1"/>
  <c r="Y792" i="16"/>
  <c r="U832" i="17"/>
  <c r="Q832" i="17"/>
  <c r="T832" i="17" s="1"/>
  <c r="V792" i="16"/>
  <c r="F793" i="16" l="1"/>
  <c r="I793" i="16" s="1"/>
  <c r="K793" i="16" s="1"/>
  <c r="X792" i="16"/>
  <c r="M793" i="16"/>
  <c r="O793" i="16" s="1"/>
  <c r="S832" i="17"/>
  <c r="W832" i="17" s="1"/>
  <c r="P793" i="16" l="1"/>
  <c r="R793" i="16" s="1"/>
  <c r="U793" i="16" s="1"/>
  <c r="G793" i="16"/>
  <c r="N793" i="16"/>
  <c r="Q793" i="16" s="1"/>
  <c r="S793" i="16" s="1"/>
  <c r="H793" i="16"/>
  <c r="J793" i="16" s="1"/>
  <c r="Y832" i="17"/>
  <c r="M833" i="17"/>
  <c r="V832" i="17"/>
  <c r="X832" i="17"/>
  <c r="F833" i="17"/>
  <c r="H833" i="17" l="1"/>
  <c r="G833" i="17"/>
  <c r="I833" i="17"/>
  <c r="K833" i="17" s="1"/>
  <c r="O833" i="17"/>
  <c r="P833" i="17"/>
  <c r="R833" i="17" s="1"/>
  <c r="N833" i="17"/>
  <c r="T793" i="16"/>
  <c r="L793" i="16"/>
  <c r="Q833" i="17" l="1"/>
  <c r="S833" i="17" s="1"/>
  <c r="Y793" i="16"/>
  <c r="W793" i="16"/>
  <c r="U833" i="17"/>
  <c r="J833" i="17"/>
  <c r="X793" i="16"/>
  <c r="F794" i="16"/>
  <c r="M794" i="16"/>
  <c r="V793" i="16"/>
  <c r="L833" i="17" l="1"/>
  <c r="W833" i="17" s="1"/>
  <c r="T833" i="17"/>
  <c r="H794" i="16"/>
  <c r="G794" i="16"/>
  <c r="I794" i="16"/>
  <c r="K794" i="16" s="1"/>
  <c r="P794" i="16"/>
  <c r="R794" i="16" s="1"/>
  <c r="O794" i="16"/>
  <c r="N794" i="16"/>
  <c r="V833" i="17" l="1"/>
  <c r="Y833" i="17"/>
  <c r="M834" i="17"/>
  <c r="F834" i="17"/>
  <c r="X833" i="17"/>
  <c r="Q794" i="16"/>
  <c r="S794" i="16" s="1"/>
  <c r="U794" i="16"/>
  <c r="J794" i="16"/>
  <c r="I834" i="17" l="1"/>
  <c r="K834" i="17" s="1"/>
  <c r="G834" i="17"/>
  <c r="H834" i="17"/>
  <c r="O834" i="17"/>
  <c r="P834" i="17"/>
  <c r="R834" i="17" s="1"/>
  <c r="N834" i="17"/>
  <c r="T794" i="16"/>
  <c r="L794" i="16"/>
  <c r="J834" i="17" l="1"/>
  <c r="L834" i="17" s="1"/>
  <c r="Y794" i="16"/>
  <c r="W794" i="16"/>
  <c r="Q834" i="17"/>
  <c r="U834" i="17"/>
  <c r="X794" i="16"/>
  <c r="F795" i="16"/>
  <c r="M795" i="16"/>
  <c r="V794" i="16"/>
  <c r="W834" i="17" l="1"/>
  <c r="T834" i="17"/>
  <c r="S834" i="17"/>
  <c r="G795" i="16"/>
  <c r="I795" i="16"/>
  <c r="K795" i="16" s="1"/>
  <c r="H795" i="16"/>
  <c r="O795" i="16"/>
  <c r="N795" i="16"/>
  <c r="P795" i="16"/>
  <c r="R795" i="16" s="1"/>
  <c r="M835" i="17" l="1"/>
  <c r="Y834" i="17"/>
  <c r="X834" i="17"/>
  <c r="F835" i="17"/>
  <c r="V834" i="17"/>
  <c r="Q795" i="16"/>
  <c r="S795" i="16" s="1"/>
  <c r="U795" i="16"/>
  <c r="J795" i="16"/>
  <c r="H835" i="17" l="1"/>
  <c r="G835" i="17"/>
  <c r="I835" i="17"/>
  <c r="K835" i="17" s="1"/>
  <c r="N835" i="17"/>
  <c r="P835" i="17"/>
  <c r="R835" i="17" s="1"/>
  <c r="O835" i="17"/>
  <c r="T795" i="16"/>
  <c r="L795" i="16"/>
  <c r="Q835" i="17" l="1"/>
  <c r="S835" i="17" s="1"/>
  <c r="Y795" i="16"/>
  <c r="W795" i="16"/>
  <c r="J835" i="17"/>
  <c r="U835" i="17"/>
  <c r="F796" i="16"/>
  <c r="M796" i="16"/>
  <c r="X795" i="16"/>
  <c r="V795" i="16"/>
  <c r="T835" i="17" l="1"/>
  <c r="L835" i="17"/>
  <c r="W835" i="17" s="1"/>
  <c r="N796" i="16"/>
  <c r="P796" i="16"/>
  <c r="R796" i="16" s="1"/>
  <c r="O796" i="16"/>
  <c r="I796" i="16"/>
  <c r="K796" i="16" s="1"/>
  <c r="H796" i="16"/>
  <c r="G796" i="16"/>
  <c r="V835" i="17" l="1"/>
  <c r="F836" i="17"/>
  <c r="I836" i="17" s="1"/>
  <c r="K836" i="17" s="1"/>
  <c r="Y835" i="17"/>
  <c r="M836" i="17"/>
  <c r="N836" i="17" s="1"/>
  <c r="X835" i="17"/>
  <c r="H836" i="17"/>
  <c r="U796" i="16"/>
  <c r="J796" i="16"/>
  <c r="Q796" i="16"/>
  <c r="S796" i="16" s="1"/>
  <c r="G836" i="17" l="1"/>
  <c r="J836" i="17" s="1"/>
  <c r="O836" i="17"/>
  <c r="P836" i="17"/>
  <c r="R836" i="17" s="1"/>
  <c r="U836" i="17" s="1"/>
  <c r="T796" i="16"/>
  <c r="L796" i="16"/>
  <c r="Q836" i="17" l="1"/>
  <c r="S836" i="17" s="1"/>
  <c r="Y796" i="16"/>
  <c r="W796" i="16"/>
  <c r="L836" i="17"/>
  <c r="W836" i="17" s="1"/>
  <c r="M797" i="16"/>
  <c r="X796" i="16"/>
  <c r="F797" i="16"/>
  <c r="V796" i="16"/>
  <c r="T836" i="17" l="1"/>
  <c r="M837" i="17"/>
  <c r="V836" i="17"/>
  <c r="F837" i="17"/>
  <c r="X836" i="17"/>
  <c r="Y836" i="17"/>
  <c r="G797" i="16"/>
  <c r="I797" i="16"/>
  <c r="K797" i="16" s="1"/>
  <c r="H797" i="16"/>
  <c r="O797" i="16"/>
  <c r="N797" i="16"/>
  <c r="P797" i="16"/>
  <c r="R797" i="16" s="1"/>
  <c r="I837" i="17" l="1"/>
  <c r="K837" i="17" s="1"/>
  <c r="G837" i="17"/>
  <c r="H837" i="17"/>
  <c r="P837" i="17"/>
  <c r="R837" i="17" s="1"/>
  <c r="O837" i="17"/>
  <c r="N837" i="17"/>
  <c r="Q797" i="16"/>
  <c r="S797" i="16" s="1"/>
  <c r="U797" i="16"/>
  <c r="J797" i="16"/>
  <c r="Q837" i="17" l="1"/>
  <c r="S837" i="17" s="1"/>
  <c r="J837" i="17"/>
  <c r="U837" i="17"/>
  <c r="T797" i="16"/>
  <c r="L797" i="16"/>
  <c r="Y797" i="16" l="1"/>
  <c r="W797" i="16"/>
  <c r="T837" i="17"/>
  <c r="L837" i="17"/>
  <c r="W837" i="17" s="1"/>
  <c r="F798" i="16"/>
  <c r="M798" i="16"/>
  <c r="X797" i="16"/>
  <c r="V797" i="16"/>
  <c r="F838" i="17" l="1"/>
  <c r="Y837" i="17"/>
  <c r="X837" i="17"/>
  <c r="M838" i="17"/>
  <c r="V837" i="17"/>
  <c r="N798" i="16"/>
  <c r="P798" i="16"/>
  <c r="R798" i="16" s="1"/>
  <c r="O798" i="16"/>
  <c r="I798" i="16"/>
  <c r="K798" i="16" s="1"/>
  <c r="H798" i="16"/>
  <c r="G798" i="16"/>
  <c r="O838" i="17" l="1"/>
  <c r="N838" i="17"/>
  <c r="P838" i="17"/>
  <c r="R838" i="17" s="1"/>
  <c r="I838" i="17"/>
  <c r="K838" i="17" s="1"/>
  <c r="H838" i="17"/>
  <c r="G838" i="17"/>
  <c r="Q798" i="16"/>
  <c r="S798" i="16" s="1"/>
  <c r="U798" i="16"/>
  <c r="J798" i="16"/>
  <c r="Q838" i="17" l="1"/>
  <c r="S838" i="17" s="1"/>
  <c r="J838" i="17"/>
  <c r="U838" i="17"/>
  <c r="T798" i="16"/>
  <c r="L798" i="16"/>
  <c r="T838" i="17" l="1"/>
  <c r="Y798" i="16"/>
  <c r="W798" i="16"/>
  <c r="L838" i="17"/>
  <c r="W838" i="17" s="1"/>
  <c r="M799" i="16"/>
  <c r="X798" i="16"/>
  <c r="F799" i="16"/>
  <c r="V798" i="16"/>
  <c r="M839" i="17" l="1"/>
  <c r="F839" i="17"/>
  <c r="X838" i="17"/>
  <c r="Y838" i="17"/>
  <c r="V838" i="17"/>
  <c r="I799" i="16"/>
  <c r="K799" i="16" s="1"/>
  <c r="H799" i="16"/>
  <c r="G799" i="16"/>
  <c r="P799" i="16"/>
  <c r="R799" i="16" s="1"/>
  <c r="O799" i="16"/>
  <c r="N799" i="16"/>
  <c r="H839" i="17" l="1"/>
  <c r="I839" i="17"/>
  <c r="K839" i="17" s="1"/>
  <c r="G839" i="17"/>
  <c r="N839" i="17"/>
  <c r="P839" i="17"/>
  <c r="R839" i="17" s="1"/>
  <c r="O839" i="17"/>
  <c r="U799" i="16"/>
  <c r="Q799" i="16"/>
  <c r="S799" i="16" s="1"/>
  <c r="J799" i="16"/>
  <c r="J839" i="17" l="1"/>
  <c r="L839" i="17" s="1"/>
  <c r="W839" i="17" s="1"/>
  <c r="Q839" i="17"/>
  <c r="S839" i="17" s="1"/>
  <c r="U839" i="17"/>
  <c r="T799" i="16"/>
  <c r="L799" i="16"/>
  <c r="W841" i="17" l="1"/>
  <c r="D15" i="3" s="1"/>
  <c r="Y799" i="16"/>
  <c r="W799" i="16"/>
  <c r="X839" i="17"/>
  <c r="X841" i="17" s="1"/>
  <c r="T839" i="17"/>
  <c r="V839" i="17" s="1"/>
  <c r="Y839" i="17"/>
  <c r="Y841" i="17" s="1"/>
  <c r="E15" i="3" s="1"/>
  <c r="X799" i="16"/>
  <c r="F800" i="16"/>
  <c r="M800" i="16"/>
  <c r="V799" i="16"/>
  <c r="P800" i="16" l="1"/>
  <c r="R800" i="16" s="1"/>
  <c r="O800" i="16"/>
  <c r="N800" i="16"/>
  <c r="H800" i="16"/>
  <c r="G800" i="16"/>
  <c r="I800" i="16"/>
  <c r="K800" i="16" s="1"/>
  <c r="U800" i="16" l="1"/>
  <c r="J800" i="16"/>
  <c r="L800" i="16" s="1"/>
  <c r="Q800" i="16"/>
  <c r="S800" i="16" s="1"/>
  <c r="Y800" i="16" l="1"/>
  <c r="W800" i="16"/>
  <c r="X800" i="16"/>
  <c r="F801" i="16"/>
  <c r="M801" i="16"/>
  <c r="T800" i="16"/>
  <c r="V800" i="16" s="1"/>
  <c r="G801" i="16" l="1"/>
  <c r="I801" i="16"/>
  <c r="K801" i="16" s="1"/>
  <c r="H801" i="16"/>
  <c r="O801" i="16"/>
  <c r="N801" i="16"/>
  <c r="P801" i="16"/>
  <c r="R801" i="16" s="1"/>
  <c r="Q801" i="16" l="1"/>
  <c r="S801" i="16" s="1"/>
  <c r="U801" i="16"/>
  <c r="J801" i="16"/>
  <c r="T801" i="16" l="1"/>
  <c r="L801" i="16"/>
  <c r="Y801" i="16" l="1"/>
  <c r="W801" i="16"/>
  <c r="F802" i="16"/>
  <c r="M802" i="16"/>
  <c r="X801" i="16"/>
  <c r="V801" i="16"/>
  <c r="N802" i="16" l="1"/>
  <c r="P802" i="16"/>
  <c r="R802" i="16" s="1"/>
  <c r="O802" i="16"/>
  <c r="I802" i="16"/>
  <c r="K802" i="16" s="1"/>
  <c r="H802" i="16"/>
  <c r="G802" i="16"/>
  <c r="U802" i="16" l="1"/>
  <c r="Q802" i="16"/>
  <c r="S802" i="16" s="1"/>
  <c r="J802" i="16"/>
  <c r="T802" i="16" l="1"/>
  <c r="L802" i="16"/>
  <c r="Y802" i="16" l="1"/>
  <c r="W802" i="16"/>
  <c r="M803" i="16"/>
  <c r="X802" i="16"/>
  <c r="F803" i="16"/>
  <c r="V802" i="16"/>
  <c r="I803" i="16" l="1"/>
  <c r="K803" i="16" s="1"/>
  <c r="H803" i="16"/>
  <c r="G803" i="16"/>
  <c r="P803" i="16"/>
  <c r="R803" i="16" s="1"/>
  <c r="O803" i="16"/>
  <c r="N803" i="16"/>
  <c r="U803" i="16" l="1"/>
  <c r="Q803" i="16"/>
  <c r="S803" i="16" s="1"/>
  <c r="J803" i="16"/>
  <c r="T803" i="16" l="1"/>
  <c r="L803" i="16"/>
  <c r="Y803" i="16" l="1"/>
  <c r="W803" i="16"/>
  <c r="X803" i="16"/>
  <c r="F804" i="16"/>
  <c r="M804" i="16"/>
  <c r="V803" i="16"/>
  <c r="H804" i="16" l="1"/>
  <c r="G804" i="16"/>
  <c r="I804" i="16"/>
  <c r="K804" i="16" s="1"/>
  <c r="P804" i="16"/>
  <c r="R804" i="16" s="1"/>
  <c r="O804" i="16"/>
  <c r="N804" i="16"/>
  <c r="Q804" i="16" l="1"/>
  <c r="S804" i="16" s="1"/>
  <c r="U804" i="16"/>
  <c r="J804" i="16"/>
  <c r="T804" i="16" l="1"/>
  <c r="L804" i="16"/>
  <c r="Y804" i="16" l="1"/>
  <c r="W804" i="16"/>
  <c r="X804" i="16"/>
  <c r="F805" i="16"/>
  <c r="M805" i="16"/>
  <c r="V804" i="16"/>
  <c r="G805" i="16" l="1"/>
  <c r="I805" i="16"/>
  <c r="K805" i="16" s="1"/>
  <c r="H805" i="16"/>
  <c r="O805" i="16"/>
  <c r="N805" i="16"/>
  <c r="P805" i="16"/>
  <c r="R805" i="16" s="1"/>
  <c r="U805" i="16" l="1"/>
  <c r="Q805" i="16"/>
  <c r="S805" i="16" s="1"/>
  <c r="J805" i="16"/>
  <c r="L805" i="16" s="1"/>
  <c r="Y805" i="16" l="1"/>
  <c r="W805" i="16"/>
  <c r="F806" i="16"/>
  <c r="M806" i="16"/>
  <c r="X805" i="16"/>
  <c r="T805" i="16"/>
  <c r="V805" i="16" s="1"/>
  <c r="N806" i="16" l="1"/>
  <c r="P806" i="16"/>
  <c r="R806" i="16" s="1"/>
  <c r="O806" i="16"/>
  <c r="I806" i="16"/>
  <c r="K806" i="16" s="1"/>
  <c r="H806" i="16"/>
  <c r="G806" i="16"/>
  <c r="U806" i="16" l="1"/>
  <c r="Q806" i="16"/>
  <c r="S806" i="16" s="1"/>
  <c r="J806" i="16"/>
  <c r="T806" i="16" l="1"/>
  <c r="L806" i="16"/>
  <c r="Y806" i="16" l="1"/>
  <c r="W806" i="16"/>
  <c r="M807" i="16"/>
  <c r="X806" i="16"/>
  <c r="F807" i="16"/>
  <c r="V806" i="16"/>
  <c r="I807" i="16" l="1"/>
  <c r="K807" i="16" s="1"/>
  <c r="H807" i="16"/>
  <c r="G807" i="16"/>
  <c r="P807" i="16"/>
  <c r="R807" i="16" s="1"/>
  <c r="O807" i="16"/>
  <c r="N807" i="16"/>
  <c r="U807" i="16" l="1"/>
  <c r="Q807" i="16"/>
  <c r="S807" i="16" s="1"/>
  <c r="J807" i="16"/>
  <c r="L807" i="16" s="1"/>
  <c r="Y807" i="16" l="1"/>
  <c r="W807" i="16"/>
  <c r="X807" i="16"/>
  <c r="F808" i="16"/>
  <c r="M808" i="16"/>
  <c r="T807" i="16"/>
  <c r="V807" i="16" s="1"/>
  <c r="H808" i="16" l="1"/>
  <c r="G808" i="16"/>
  <c r="I808" i="16"/>
  <c r="K808" i="16" s="1"/>
  <c r="P808" i="16"/>
  <c r="R808" i="16" s="1"/>
  <c r="O808" i="16"/>
  <c r="N808" i="16"/>
  <c r="Q808" i="16" l="1"/>
  <c r="S808" i="16" s="1"/>
  <c r="U808" i="16"/>
  <c r="J808" i="16"/>
  <c r="T808" i="16" l="1"/>
  <c r="L808" i="16"/>
  <c r="W808" i="16" s="1"/>
  <c r="F809" i="16"/>
  <c r="M809" i="16" l="1"/>
  <c r="N809" i="16" s="1"/>
  <c r="V808" i="16"/>
  <c r="Y808" i="16"/>
  <c r="X808" i="16"/>
  <c r="G809" i="16"/>
  <c r="I809" i="16"/>
  <c r="K809" i="16" s="1"/>
  <c r="H809" i="16"/>
  <c r="O809" i="16" l="1"/>
  <c r="P809" i="16"/>
  <c r="R809" i="16" s="1"/>
  <c r="U809" i="16" s="1"/>
  <c r="J809" i="16"/>
  <c r="Q809" i="16" l="1"/>
  <c r="S809" i="16" s="1"/>
  <c r="L809" i="16"/>
  <c r="T809" i="16" l="1"/>
  <c r="Y809" i="16"/>
  <c r="W809" i="16"/>
  <c r="F810" i="16"/>
  <c r="M810" i="16"/>
  <c r="X809" i="16"/>
  <c r="V809" i="16"/>
  <c r="N810" i="16" l="1"/>
  <c r="P810" i="16"/>
  <c r="R810" i="16" s="1"/>
  <c r="O810" i="16"/>
  <c r="I810" i="16"/>
  <c r="K810" i="16" s="1"/>
  <c r="H810" i="16"/>
  <c r="G810" i="16"/>
  <c r="U810" i="16" l="1"/>
  <c r="J810" i="16"/>
  <c r="Q810" i="16"/>
  <c r="S810" i="16" s="1"/>
  <c r="T810" i="16" l="1"/>
  <c r="L810" i="16"/>
  <c r="Y810" i="16" l="1"/>
  <c r="W810" i="16"/>
  <c r="M811" i="16"/>
  <c r="X810" i="16"/>
  <c r="F811" i="16"/>
  <c r="V810" i="16"/>
  <c r="I811" i="16" l="1"/>
  <c r="K811" i="16" s="1"/>
  <c r="H811" i="16"/>
  <c r="G811" i="16"/>
  <c r="P811" i="16"/>
  <c r="R811" i="16" s="1"/>
  <c r="O811" i="16"/>
  <c r="N811" i="16"/>
  <c r="U811" i="16" l="1"/>
  <c r="Q811" i="16"/>
  <c r="S811" i="16" s="1"/>
  <c r="J811" i="16"/>
  <c r="T811" i="16" l="1"/>
  <c r="L811" i="16"/>
  <c r="Y811" i="16" l="1"/>
  <c r="W811" i="16"/>
  <c r="F812" i="16"/>
  <c r="X811" i="16"/>
  <c r="M812" i="16"/>
  <c r="V811" i="16"/>
  <c r="P812" i="16" l="1"/>
  <c r="R812" i="16" s="1"/>
  <c r="N812" i="16"/>
  <c r="O812" i="16"/>
  <c r="H812" i="16"/>
  <c r="I812" i="16"/>
  <c r="K812" i="16" s="1"/>
  <c r="G812" i="16"/>
  <c r="Q812" i="16" l="1"/>
  <c r="S812" i="16" s="1"/>
  <c r="U812" i="16"/>
  <c r="J812" i="16"/>
  <c r="T812" i="16" l="1"/>
  <c r="L812" i="16"/>
  <c r="Y812" i="16" l="1"/>
  <c r="W812" i="16"/>
  <c r="X812" i="16"/>
  <c r="M813" i="16"/>
  <c r="F813" i="16"/>
  <c r="V812" i="16"/>
  <c r="O813" i="16" l="1"/>
  <c r="P813" i="16"/>
  <c r="R813" i="16" s="1"/>
  <c r="N813" i="16"/>
  <c r="G813" i="16"/>
  <c r="I813" i="16"/>
  <c r="K813" i="16" s="1"/>
  <c r="H813" i="16"/>
  <c r="Q813" i="16" l="1"/>
  <c r="S813" i="16" s="1"/>
  <c r="U813" i="16"/>
  <c r="J813" i="16"/>
  <c r="T813" i="16" l="1"/>
  <c r="L813" i="16"/>
  <c r="Y813" i="16" l="1"/>
  <c r="W813" i="16"/>
  <c r="F814" i="16"/>
  <c r="M814" i="16"/>
  <c r="X813" i="16"/>
  <c r="V813" i="16"/>
  <c r="N814" i="16" l="1"/>
  <c r="P814" i="16"/>
  <c r="R814" i="16" s="1"/>
  <c r="O814" i="16"/>
  <c r="I814" i="16"/>
  <c r="K814" i="16" s="1"/>
  <c r="H814" i="16"/>
  <c r="G814" i="16"/>
  <c r="Q814" i="16" l="1"/>
  <c r="S814" i="16" s="1"/>
  <c r="U814" i="16"/>
  <c r="J814" i="16"/>
  <c r="L814" i="16" s="1"/>
  <c r="W814" i="16" s="1"/>
  <c r="Y814" i="16" l="1"/>
  <c r="M815" i="16"/>
  <c r="X814" i="16"/>
  <c r="F815" i="16"/>
  <c r="T814" i="16"/>
  <c r="V814" i="16" s="1"/>
  <c r="I815" i="16" l="1"/>
  <c r="K815" i="16" s="1"/>
  <c r="H815" i="16"/>
  <c r="G815" i="16"/>
  <c r="P815" i="16"/>
  <c r="R815" i="16" s="1"/>
  <c r="O815" i="16"/>
  <c r="N815" i="16"/>
  <c r="J815" i="16" l="1"/>
  <c r="L815" i="16" s="1"/>
  <c r="U815" i="16"/>
  <c r="Q815" i="16"/>
  <c r="S815" i="16" s="1"/>
  <c r="W815" i="16" l="1"/>
  <c r="Y815" i="16"/>
  <c r="M816" i="16"/>
  <c r="X815" i="16"/>
  <c r="F816" i="16"/>
  <c r="T815" i="16"/>
  <c r="V815" i="16" s="1"/>
  <c r="P816" i="16" l="1"/>
  <c r="R816" i="16" s="1"/>
  <c r="O816" i="16"/>
  <c r="N816" i="16"/>
  <c r="H816" i="16"/>
  <c r="G816" i="16"/>
  <c r="I816" i="16"/>
  <c r="K816" i="16" s="1"/>
  <c r="U816" i="16" l="1"/>
  <c r="J816" i="16"/>
  <c r="Q816" i="16"/>
  <c r="S816" i="16" s="1"/>
  <c r="T816" i="16" l="1"/>
  <c r="L816" i="16"/>
  <c r="Y816" i="16" l="1"/>
  <c r="W816" i="16"/>
  <c r="X816" i="16"/>
  <c r="F817" i="16"/>
  <c r="M817" i="16"/>
  <c r="V816" i="16"/>
  <c r="O817" i="16" l="1"/>
  <c r="N817" i="16"/>
  <c r="P817" i="16"/>
  <c r="R817" i="16" s="1"/>
  <c r="G817" i="16"/>
  <c r="I817" i="16"/>
  <c r="K817" i="16" s="1"/>
  <c r="H817" i="16"/>
  <c r="U817" i="16" l="1"/>
  <c r="J817" i="16"/>
  <c r="Q817" i="16"/>
  <c r="S817" i="16" s="1"/>
  <c r="T817" i="16" l="1"/>
  <c r="L817" i="16"/>
  <c r="Y817" i="16" l="1"/>
  <c r="W817" i="16"/>
  <c r="F818" i="16"/>
  <c r="M818" i="16"/>
  <c r="X817" i="16"/>
  <c r="V817" i="16"/>
  <c r="N818" i="16" l="1"/>
  <c r="P818" i="16"/>
  <c r="R818" i="16" s="1"/>
  <c r="O818" i="16"/>
  <c r="I818" i="16"/>
  <c r="K818" i="16" s="1"/>
  <c r="H818" i="16"/>
  <c r="G818" i="16"/>
  <c r="U818" i="16" l="1"/>
  <c r="J818" i="16"/>
  <c r="Q818" i="16"/>
  <c r="S818" i="16" s="1"/>
  <c r="T818" i="16" l="1"/>
  <c r="L818" i="16"/>
  <c r="Y818" i="16" l="1"/>
  <c r="W818" i="16"/>
  <c r="M819" i="16"/>
  <c r="X818" i="16"/>
  <c r="F819" i="16"/>
  <c r="V818" i="16"/>
  <c r="I819" i="16" l="1"/>
  <c r="K819" i="16" s="1"/>
  <c r="H819" i="16"/>
  <c r="G819" i="16"/>
  <c r="P819" i="16"/>
  <c r="R819" i="16" s="1"/>
  <c r="O819" i="16"/>
  <c r="N819" i="16"/>
  <c r="Q819" i="16" l="1"/>
  <c r="S819" i="16" s="1"/>
  <c r="U819" i="16"/>
  <c r="J819" i="16"/>
  <c r="T819" i="16" l="1"/>
  <c r="L819" i="16"/>
  <c r="Y819" i="16" l="1"/>
  <c r="W819" i="16"/>
  <c r="X819" i="16"/>
  <c r="F820" i="16"/>
  <c r="M820" i="16"/>
  <c r="V819" i="16"/>
  <c r="H820" i="16" l="1"/>
  <c r="G820" i="16"/>
  <c r="I820" i="16"/>
  <c r="K820" i="16" s="1"/>
  <c r="P820" i="16"/>
  <c r="R820" i="16" s="1"/>
  <c r="O820" i="16"/>
  <c r="N820" i="16"/>
  <c r="Q820" i="16" l="1"/>
  <c r="S820" i="16" s="1"/>
  <c r="U820" i="16"/>
  <c r="J820" i="16"/>
  <c r="T820" i="16" l="1"/>
  <c r="L820" i="16"/>
  <c r="Y820" i="16" l="1"/>
  <c r="W820" i="16"/>
  <c r="X820" i="16"/>
  <c r="F821" i="16"/>
  <c r="M821" i="16"/>
  <c r="V820" i="16"/>
  <c r="G821" i="16" l="1"/>
  <c r="I821" i="16"/>
  <c r="K821" i="16" s="1"/>
  <c r="H821" i="16"/>
  <c r="O821" i="16"/>
  <c r="N821" i="16"/>
  <c r="P821" i="16"/>
  <c r="R821" i="16" s="1"/>
  <c r="Q821" i="16" l="1"/>
  <c r="S821" i="16" s="1"/>
  <c r="U821" i="16"/>
  <c r="J821" i="16"/>
  <c r="T821" i="16" l="1"/>
  <c r="L821" i="16"/>
  <c r="Y821" i="16" l="1"/>
  <c r="W821" i="16"/>
  <c r="F822" i="16"/>
  <c r="M822" i="16"/>
  <c r="X821" i="16"/>
  <c r="V821" i="16"/>
  <c r="N822" i="16" l="1"/>
  <c r="P822" i="16"/>
  <c r="R822" i="16" s="1"/>
  <c r="O822" i="16"/>
  <c r="I822" i="16"/>
  <c r="K822" i="16" s="1"/>
  <c r="H822" i="16"/>
  <c r="G822" i="16"/>
  <c r="Q822" i="16" l="1"/>
  <c r="S822" i="16" s="1"/>
  <c r="U822" i="16"/>
  <c r="J822" i="16"/>
  <c r="L822" i="16" s="1"/>
  <c r="Y822" i="16" l="1"/>
  <c r="W822" i="16"/>
  <c r="M823" i="16"/>
  <c r="X822" i="16"/>
  <c r="F823" i="16"/>
  <c r="T822" i="16"/>
  <c r="V822" i="16" s="1"/>
  <c r="I823" i="16" l="1"/>
  <c r="K823" i="16" s="1"/>
  <c r="H823" i="16"/>
  <c r="G823" i="16"/>
  <c r="O823" i="16"/>
  <c r="N823" i="16"/>
  <c r="P823" i="16"/>
  <c r="R823" i="16" s="1"/>
  <c r="J823" i="16" l="1"/>
  <c r="L823" i="16" s="1"/>
  <c r="U823" i="16"/>
  <c r="Q823" i="16"/>
  <c r="S823" i="16" s="1"/>
  <c r="W823" i="16" l="1"/>
  <c r="Y823" i="16"/>
  <c r="T823" i="16"/>
  <c r="V823" i="16" s="1"/>
  <c r="F824" i="16"/>
  <c r="M824" i="16"/>
  <c r="X823" i="16"/>
  <c r="I824" i="16" l="1"/>
  <c r="K824" i="16" s="1"/>
  <c r="G824" i="16"/>
  <c r="H824" i="16"/>
  <c r="N824" i="16"/>
  <c r="O824" i="16"/>
  <c r="P824" i="16"/>
  <c r="R824" i="16" s="1"/>
  <c r="Q824" i="16" l="1"/>
  <c r="S824" i="16" s="1"/>
  <c r="U824" i="16"/>
  <c r="J824" i="16"/>
  <c r="T824" i="16" l="1"/>
  <c r="L824" i="16"/>
  <c r="Y824" i="16" l="1"/>
  <c r="W824" i="16"/>
  <c r="M825" i="16"/>
  <c r="F825" i="16"/>
  <c r="X824" i="16"/>
  <c r="V824" i="16"/>
  <c r="I825" i="16" l="1"/>
  <c r="K825" i="16" s="1"/>
  <c r="H825" i="16"/>
  <c r="G825" i="16"/>
  <c r="P825" i="16"/>
  <c r="R825" i="16" s="1"/>
  <c r="O825" i="16"/>
  <c r="N825" i="16"/>
  <c r="Q825" i="16" l="1"/>
  <c r="S825" i="16" s="1"/>
  <c r="J825" i="16"/>
  <c r="U825" i="16"/>
  <c r="T825" i="16" l="1"/>
  <c r="L825" i="16"/>
  <c r="Y825" i="16" l="1"/>
  <c r="W825" i="16"/>
  <c r="M826" i="16"/>
  <c r="X825" i="16"/>
  <c r="F826" i="16"/>
  <c r="V825" i="16"/>
  <c r="I826" i="16" l="1"/>
  <c r="K826" i="16" s="1"/>
  <c r="H826" i="16"/>
  <c r="G826" i="16"/>
  <c r="P826" i="16"/>
  <c r="R826" i="16" s="1"/>
  <c r="O826" i="16"/>
  <c r="N826" i="16"/>
  <c r="J826" i="16" l="1"/>
  <c r="U826" i="16"/>
  <c r="Q826" i="16"/>
  <c r="S826" i="16" s="1"/>
  <c r="T826" i="16" l="1"/>
  <c r="L826" i="16"/>
  <c r="Y826" i="16" l="1"/>
  <c r="W826" i="16"/>
  <c r="X826" i="16"/>
  <c r="F827" i="16"/>
  <c r="M827" i="16"/>
  <c r="V826" i="16"/>
  <c r="H827" i="16" l="1"/>
  <c r="G827" i="16"/>
  <c r="I827" i="16"/>
  <c r="K827" i="16" s="1"/>
  <c r="P827" i="16"/>
  <c r="R827" i="16" s="1"/>
  <c r="O827" i="16"/>
  <c r="N827" i="16"/>
  <c r="Q827" i="16" l="1"/>
  <c r="S827" i="16" s="1"/>
  <c r="U827" i="16"/>
  <c r="J827" i="16"/>
  <c r="T827" i="16" l="1"/>
  <c r="L827" i="16"/>
  <c r="Y827" i="16" l="1"/>
  <c r="W827" i="16"/>
  <c r="X827" i="16"/>
  <c r="F828" i="16"/>
  <c r="M828" i="16"/>
  <c r="V827" i="16"/>
  <c r="G828" i="16" l="1"/>
  <c r="I828" i="16"/>
  <c r="K828" i="16" s="1"/>
  <c r="H828" i="16"/>
  <c r="O828" i="16"/>
  <c r="N828" i="16"/>
  <c r="P828" i="16"/>
  <c r="R828" i="16" s="1"/>
  <c r="U828" i="16" l="1"/>
  <c r="Q828" i="16"/>
  <c r="S828" i="16" s="1"/>
  <c r="J828" i="16"/>
  <c r="T828" i="16" l="1"/>
  <c r="L828" i="16"/>
  <c r="Y828" i="16" l="1"/>
  <c r="W828" i="16"/>
  <c r="F829" i="16"/>
  <c r="M829" i="16"/>
  <c r="X828" i="16"/>
  <c r="V828" i="16"/>
  <c r="N829" i="16" l="1"/>
  <c r="P829" i="16"/>
  <c r="R829" i="16" s="1"/>
  <c r="O829" i="16"/>
  <c r="I829" i="16"/>
  <c r="K829" i="16" s="1"/>
  <c r="H829" i="16"/>
  <c r="G829" i="16"/>
  <c r="Q829" i="16" l="1"/>
  <c r="S829" i="16" s="1"/>
  <c r="U829" i="16"/>
  <c r="J829" i="16"/>
  <c r="L829" i="16" s="1"/>
  <c r="Y829" i="16" l="1"/>
  <c r="W829" i="16"/>
  <c r="M830" i="16"/>
  <c r="X829" i="16"/>
  <c r="F830" i="16"/>
  <c r="T829" i="16"/>
  <c r="V829" i="16" s="1"/>
  <c r="I830" i="16" l="1"/>
  <c r="K830" i="16" s="1"/>
  <c r="H830" i="16"/>
  <c r="G830" i="16"/>
  <c r="P830" i="16"/>
  <c r="R830" i="16" s="1"/>
  <c r="O830" i="16"/>
  <c r="N830" i="16"/>
  <c r="J830" i="16" l="1"/>
  <c r="L830" i="16" s="1"/>
  <c r="W830" i="16" s="1"/>
  <c r="U830" i="16"/>
  <c r="Q830" i="16"/>
  <c r="S830" i="16" s="1"/>
  <c r="Y830" i="16" l="1"/>
  <c r="T830" i="16"/>
  <c r="V830" i="16" s="1"/>
  <c r="X830" i="16"/>
  <c r="F831" i="16"/>
  <c r="M831" i="16"/>
  <c r="H831" i="16" l="1"/>
  <c r="G831" i="16"/>
  <c r="I831" i="16"/>
  <c r="K831" i="16" s="1"/>
  <c r="P831" i="16"/>
  <c r="R831" i="16" s="1"/>
  <c r="O831" i="16"/>
  <c r="N831" i="16"/>
  <c r="Q831" i="16" l="1"/>
  <c r="S831" i="16" s="1"/>
  <c r="U831" i="16"/>
  <c r="J831" i="16"/>
  <c r="T831" i="16" l="1"/>
  <c r="L831" i="16"/>
  <c r="Y831" i="16" l="1"/>
  <c r="W831" i="16"/>
  <c r="X831" i="16"/>
  <c r="F832" i="16"/>
  <c r="M832" i="16"/>
  <c r="V831" i="16"/>
  <c r="G832" i="16" l="1"/>
  <c r="I832" i="16"/>
  <c r="K832" i="16" s="1"/>
  <c r="H832" i="16"/>
  <c r="O832" i="16"/>
  <c r="N832" i="16"/>
  <c r="P832" i="16"/>
  <c r="R832" i="16" s="1"/>
  <c r="Q832" i="16" l="1"/>
  <c r="S832" i="16" s="1"/>
  <c r="U832" i="16"/>
  <c r="J832" i="16"/>
  <c r="T832" i="16" l="1"/>
  <c r="L832" i="16"/>
  <c r="Y832" i="16" l="1"/>
  <c r="W832" i="16"/>
  <c r="F833" i="16"/>
  <c r="M833" i="16"/>
  <c r="X832" i="16"/>
  <c r="V832" i="16"/>
  <c r="N833" i="16" l="1"/>
  <c r="P833" i="16"/>
  <c r="R833" i="16" s="1"/>
  <c r="O833" i="16"/>
  <c r="I833" i="16"/>
  <c r="K833" i="16" s="1"/>
  <c r="H833" i="16"/>
  <c r="G833" i="16"/>
  <c r="J833" i="16" l="1"/>
  <c r="L833" i="16" s="1"/>
  <c r="U833" i="16"/>
  <c r="Q833" i="16"/>
  <c r="T833" i="16" s="1"/>
  <c r="S833" i="16" l="1"/>
  <c r="V833" i="16" s="1"/>
  <c r="W833" i="16" l="1"/>
  <c r="Y833" i="16"/>
  <c r="X833" i="16"/>
  <c r="F834" i="16"/>
  <c r="M834" i="16"/>
  <c r="P834" i="16" l="1"/>
  <c r="R834" i="16" s="1"/>
  <c r="O834" i="16"/>
  <c r="N834" i="16"/>
  <c r="I834" i="16"/>
  <c r="K834" i="16" s="1"/>
  <c r="H834" i="16"/>
  <c r="G834" i="16"/>
  <c r="Q834" i="16" l="1"/>
  <c r="S834" i="16" s="1"/>
  <c r="J834" i="16"/>
  <c r="U834" i="16"/>
  <c r="T834" i="16" l="1"/>
  <c r="L834" i="16"/>
  <c r="F835" i="16" s="1"/>
  <c r="Y834" i="16"/>
  <c r="V834" i="16" l="1"/>
  <c r="M835" i="16"/>
  <c r="O835" i="16" s="1"/>
  <c r="X834" i="16"/>
  <c r="W834" i="16"/>
  <c r="H835" i="16"/>
  <c r="G835" i="16"/>
  <c r="I835" i="16"/>
  <c r="K835" i="16" s="1"/>
  <c r="P835" i="16" l="1"/>
  <c r="R835" i="16" s="1"/>
  <c r="U835" i="16" s="1"/>
  <c r="N835" i="16"/>
  <c r="J835" i="16"/>
  <c r="Q835" i="16" l="1"/>
  <c r="S835" i="16" s="1"/>
  <c r="L835" i="16"/>
  <c r="T835" i="16" l="1"/>
  <c r="V835" i="16" s="1"/>
  <c r="Y835" i="16"/>
  <c r="W835" i="16"/>
  <c r="X835" i="16"/>
  <c r="F836" i="16"/>
  <c r="M836" i="16"/>
  <c r="G836" i="16" l="1"/>
  <c r="I836" i="16"/>
  <c r="K836" i="16" s="1"/>
  <c r="H836" i="16"/>
  <c r="O836" i="16"/>
  <c r="N836" i="16"/>
  <c r="P836" i="16"/>
  <c r="R836" i="16" s="1"/>
  <c r="U836" i="16" l="1"/>
  <c r="Q836" i="16"/>
  <c r="S836" i="16" s="1"/>
  <c r="J836" i="16"/>
  <c r="L836" i="16" s="1"/>
  <c r="Y836" i="16" l="1"/>
  <c r="W836" i="16"/>
  <c r="F837" i="16"/>
  <c r="M837" i="16"/>
  <c r="X836" i="16"/>
  <c r="T836" i="16"/>
  <c r="V836" i="16" s="1"/>
  <c r="N837" i="16" l="1"/>
  <c r="P837" i="16"/>
  <c r="R837" i="16" s="1"/>
  <c r="O837" i="16"/>
  <c r="I837" i="16"/>
  <c r="K837" i="16" s="1"/>
  <c r="H837" i="16"/>
  <c r="G837" i="16"/>
  <c r="U837" i="16" l="1"/>
  <c r="J837" i="16"/>
  <c r="Q837" i="16"/>
  <c r="S837" i="16" s="1"/>
  <c r="T837" i="16" l="1"/>
  <c r="L837" i="16"/>
  <c r="Y837" i="16" l="1"/>
  <c r="W837" i="16"/>
  <c r="M838" i="16"/>
  <c r="X837" i="16"/>
  <c r="F838" i="16"/>
  <c r="V837" i="16"/>
  <c r="I838" i="16" l="1"/>
  <c r="K838" i="16" s="1"/>
  <c r="H838" i="16"/>
  <c r="G838" i="16"/>
  <c r="P838" i="16"/>
  <c r="R838" i="16" s="1"/>
  <c r="O838" i="16"/>
  <c r="N838" i="16"/>
  <c r="J838" i="16" l="1"/>
  <c r="L838" i="16" s="1"/>
  <c r="W838" i="16" s="1"/>
  <c r="Q838" i="16"/>
  <c r="S838" i="16" s="1"/>
  <c r="U838" i="16"/>
  <c r="Y838" i="16" l="1"/>
  <c r="T838" i="16"/>
  <c r="V838" i="16" s="1"/>
  <c r="X838" i="16"/>
  <c r="F839" i="16"/>
  <c r="M839" i="16"/>
  <c r="P839" i="16" l="1"/>
  <c r="R839" i="16" s="1"/>
  <c r="O839" i="16"/>
  <c r="N839" i="16"/>
  <c r="H839" i="16"/>
  <c r="G839" i="16"/>
  <c r="I839" i="16"/>
  <c r="K839" i="16" s="1"/>
  <c r="U839" i="16" l="1"/>
  <c r="J839" i="16"/>
  <c r="L839" i="16" s="1"/>
  <c r="W839" i="16" s="1"/>
  <c r="Q839" i="16"/>
  <c r="S839" i="16" s="1"/>
  <c r="Y839" i="16" l="1"/>
  <c r="Y841" i="16" s="1"/>
  <c r="E14" i="3" s="1"/>
  <c r="E16" i="3" s="1"/>
  <c r="X839" i="16"/>
  <c r="X841" i="16" s="1"/>
  <c r="W841" i="16"/>
  <c r="D14" i="3" s="1"/>
  <c r="D16" i="3" s="1"/>
  <c r="T839" i="16"/>
  <c r="V839" i="16" s="1"/>
  <c r="D23" i="3" l="1"/>
  <c r="D19" i="3"/>
</calcChain>
</file>

<file path=xl/comments1.xml><?xml version="1.0" encoding="utf-8"?>
<comments xmlns="http://schemas.openxmlformats.org/spreadsheetml/2006/main">
  <authors>
    <author>Andrew Briggs</author>
  </authors>
  <commentList>
    <comment ref="B3" authorId="0" shapeId="0">
      <text>
        <r>
          <rPr>
            <sz val="8"/>
            <color indexed="81"/>
            <rFont val="Tahoma"/>
            <family val="2"/>
          </rPr>
          <t xml:space="preserve">Note that this is the cell that is linked to the 'form' on the &lt;Analysis&gt; sheet where male (returns value 1) or female (returns value 2) is chosen
</t>
        </r>
      </text>
    </comment>
    <comment ref="B37" authorId="0" shapeId="0">
      <text>
        <r>
          <rPr>
            <sz val="8"/>
            <color indexed="81"/>
            <rFont val="Tahoma"/>
            <family val="2"/>
          </rPr>
          <t>Note that the cost of the primary procedure is excluded: since both arms have this procedure it is assumed to net out of the incremental analysis.  However, if the model was to be used to estimate lifetime costs of THR it would be important to include.</t>
        </r>
      </text>
    </comment>
    <comment ref="B39" authorId="0" shapeId="0">
      <text>
        <r>
          <rPr>
            <sz val="8"/>
            <color indexed="81"/>
            <rFont val="Tahoma"/>
            <family val="2"/>
          </rPr>
          <t>There are assumed to be no ongoing monitoring costs for successful THR.  However, this parameter is included in case users want to change this assumption.</t>
        </r>
      </text>
    </comment>
  </commentList>
</comments>
</file>

<file path=xl/comments2.xml><?xml version="1.0" encoding="utf-8"?>
<comments xmlns="http://schemas.openxmlformats.org/spreadsheetml/2006/main">
  <authors>
    <author>Andrew Briggs</author>
  </authors>
  <commentList>
    <comment ref="G1" authorId="0" shapeId="0">
      <text>
        <r>
          <rPr>
            <sz val="8"/>
            <color indexed="81"/>
            <rFont val="Tahoma"/>
            <family val="2"/>
          </rPr>
          <t>Taken from "Health Statistics Quarterly 09", published Spring 1999 by the Office of National Statistics (www.statistics.gov.uk)</t>
        </r>
      </text>
    </comment>
  </commentList>
</comments>
</file>

<file path=xl/sharedStrings.xml><?xml version="1.0" encoding="utf-8"?>
<sst xmlns="http://schemas.openxmlformats.org/spreadsheetml/2006/main" count="268" uniqueCount="179">
  <si>
    <t>States of the model in the represented by the ovals, transitions between states represented by the arrows</t>
  </si>
  <si>
    <r>
      <t xml:space="preserve">State utility variables shown in </t>
    </r>
    <r>
      <rPr>
        <b/>
        <sz val="10"/>
        <color indexed="17"/>
        <rFont val="Arial"/>
        <family val="2"/>
      </rPr>
      <t>green</t>
    </r>
  </si>
  <si>
    <r>
      <t xml:space="preserve">See </t>
    </r>
    <r>
      <rPr>
        <b/>
        <i/>
        <sz val="10"/>
        <rFont val="Arial"/>
        <family val="2"/>
      </rPr>
      <t>&lt;Parameters&gt;</t>
    </r>
    <r>
      <rPr>
        <sz val="10"/>
        <rFont val="Arial"/>
        <family val="2"/>
      </rPr>
      <t xml:space="preserve"> page for definitions</t>
    </r>
  </si>
  <si>
    <r>
      <t xml:space="preserve">All transisition probability variables shown in </t>
    </r>
    <r>
      <rPr>
        <b/>
        <sz val="10"/>
        <color indexed="56"/>
        <rFont val="Arial"/>
        <family val="2"/>
      </rPr>
      <t xml:space="preserve">blue </t>
    </r>
    <r>
      <rPr>
        <b/>
        <sz val="10"/>
        <rFont val="Arial"/>
        <family val="2"/>
      </rPr>
      <t>and</t>
    </r>
    <r>
      <rPr>
        <b/>
        <sz val="10"/>
        <color indexed="56"/>
        <rFont val="Arial"/>
        <family val="2"/>
      </rPr>
      <t xml:space="preserve"> </t>
    </r>
    <r>
      <rPr>
        <b/>
        <sz val="10"/>
        <color rgb="FFFF0000"/>
        <rFont val="Arial"/>
        <family val="2"/>
      </rPr>
      <t>red</t>
    </r>
  </si>
  <si>
    <r>
      <t xml:space="preserve">State cost variables shown in </t>
    </r>
    <r>
      <rPr>
        <sz val="11"/>
        <color theme="5"/>
        <rFont val="Calibri"/>
        <family val="2"/>
        <scheme val="minor"/>
      </rPr>
      <t>orange</t>
    </r>
  </si>
  <si>
    <t>per QALY</t>
  </si>
  <si>
    <t>WTP</t>
  </si>
  <si>
    <t>INMB:</t>
  </si>
  <si>
    <t>ICERs:</t>
  </si>
  <si>
    <t>difference</t>
  </si>
  <si>
    <t>QALYs</t>
  </si>
  <si>
    <t>Cost</t>
  </si>
  <si>
    <t>Prosthesis</t>
  </si>
  <si>
    <t>Results</t>
  </si>
  <si>
    <t>(enter value between 40 and 90 years)</t>
  </si>
  <si>
    <t>Patient age</t>
  </si>
  <si>
    <t>Step 2: Enter age of patient</t>
  </si>
  <si>
    <t>Step 1: Choose male or female</t>
  </si>
  <si>
    <t>Life-years</t>
  </si>
  <si>
    <t>Check</t>
  </si>
  <si>
    <t>Death risk</t>
  </si>
  <si>
    <t>Cycle</t>
  </si>
  <si>
    <t>Model for Usual Care</t>
  </si>
  <si>
    <t>age</t>
  </si>
  <si>
    <t>male</t>
  </si>
  <si>
    <t>Parameters</t>
  </si>
  <si>
    <t>Name</t>
  </si>
  <si>
    <t>Value</t>
  </si>
  <si>
    <t>Description</t>
  </si>
  <si>
    <t>Average age of all patients at receipt of primary implant</t>
  </si>
  <si>
    <t>Sex indicator (0 for female, 1 for male)</t>
  </si>
  <si>
    <t>cDR</t>
  </si>
  <si>
    <t>Cost discount rate</t>
  </si>
  <si>
    <t>oDR</t>
  </si>
  <si>
    <t>Outcome discount rate</t>
  </si>
  <si>
    <t>Resource cost parameters</t>
  </si>
  <si>
    <t>Utility of Markov states per cycle</t>
  </si>
  <si>
    <t>UC</t>
  </si>
  <si>
    <t>PH+UC</t>
  </si>
  <si>
    <t>PH+UCvUC</t>
  </si>
  <si>
    <t>Female</t>
  </si>
  <si>
    <t>Death Probability from Social Security</t>
  </si>
  <si>
    <t>AGE</t>
  </si>
  <si>
    <t>MALE</t>
  </si>
  <si>
    <t>Death Prob</t>
  </si>
  <si>
    <t># of lives</t>
  </si>
  <si>
    <t>Life Exp</t>
  </si>
  <si>
    <t>Death prob</t>
  </si>
  <si>
    <t>Life exp</t>
  </si>
  <si>
    <t>Source</t>
  </si>
  <si>
    <t>https://www.ssa.gov/oact/STATS/table4c6.html</t>
  </si>
  <si>
    <t>OC Burst</t>
  </si>
  <si>
    <t>OC Death</t>
  </si>
  <si>
    <t>Asthma Death</t>
  </si>
  <si>
    <t>amrHOEX</t>
  </si>
  <si>
    <t>Outcome</t>
  </si>
  <si>
    <t>ER ex</t>
  </si>
  <si>
    <t>HO ex</t>
  </si>
  <si>
    <t>prob 1 yr</t>
  </si>
  <si>
    <t>Rate p-wk</t>
  </si>
  <si>
    <t>2wk prob</t>
  </si>
  <si>
    <t>year</t>
  </si>
  <si>
    <t>wks</t>
  </si>
  <si>
    <t>Probability of OC Burst per 2 week</t>
  </si>
  <si>
    <t>Probability of Emergency Room Visit per 2 week</t>
  </si>
  <si>
    <t>Probability of Asthma Hospitalization per 2 week</t>
  </si>
  <si>
    <t>Modelling the Probabilities for Asthma Exacerbation Events</t>
  </si>
  <si>
    <t>30 day prob</t>
  </si>
  <si>
    <t>Transition time</t>
  </si>
  <si>
    <t>Weeks</t>
  </si>
  <si>
    <t>amr</t>
  </si>
  <si>
    <t>Rate per person-year</t>
  </si>
  <si>
    <t>Asthma Related Mortality Rate per 100 person year</t>
  </si>
  <si>
    <t>Reference</t>
  </si>
  <si>
    <t>de Vries et al. 2010</t>
  </si>
  <si>
    <t>amrrate</t>
  </si>
  <si>
    <t>Additional risk of death given asthma hospitalization</t>
  </si>
  <si>
    <t>Additional risk of death given emergency department visit</t>
  </si>
  <si>
    <t>Additional risk of death given OC burst</t>
  </si>
  <si>
    <t>Mortality</t>
  </si>
  <si>
    <t>Exacerbations</t>
  </si>
  <si>
    <r>
      <t>Transition probability variables</t>
    </r>
    <r>
      <rPr>
        <sz val="11"/>
        <color indexed="18"/>
        <rFont val="Arial"/>
        <family val="2"/>
      </rPr>
      <t xml:space="preserve"> (see diagram on page </t>
    </r>
    <r>
      <rPr>
        <b/>
        <i/>
        <sz val="11"/>
        <color indexed="18"/>
        <rFont val="Arial"/>
        <family val="2"/>
      </rPr>
      <t>&lt;Model Figure&gt;</t>
    </r>
    <r>
      <rPr>
        <sz val="11"/>
        <color indexed="18"/>
        <rFont val="Arial"/>
        <family val="2"/>
      </rPr>
      <t xml:space="preserve"> for details)</t>
    </r>
  </si>
  <si>
    <t>cNES</t>
  </si>
  <si>
    <t>uNES</t>
  </si>
  <si>
    <t xml:space="preserve">Utility score for Non Exacerbation State (Chronic Asthma) </t>
  </si>
  <si>
    <t>Humbert et al.</t>
  </si>
  <si>
    <t>uOCEX</t>
  </si>
  <si>
    <t>uEREX</t>
  </si>
  <si>
    <t>Utility score for OC Burst</t>
  </si>
  <si>
    <t>Utility score for ER visit</t>
  </si>
  <si>
    <t>uHOEX</t>
  </si>
  <si>
    <t>Utility score for Hospitalization</t>
  </si>
  <si>
    <t>SE</t>
  </si>
  <si>
    <t>cOSEX</t>
  </si>
  <si>
    <t>cEREX</t>
  </si>
  <si>
    <t>cHOEX</t>
  </si>
  <si>
    <t>Mild exacerbation unit cost</t>
  </si>
  <si>
    <t>Emergency room unit cost</t>
  </si>
  <si>
    <t>Hospitalization stay unit cost</t>
  </si>
  <si>
    <t>One time cost of PH system registration</t>
  </si>
  <si>
    <t>cPH1</t>
  </si>
  <si>
    <t>cPHr</t>
  </si>
  <si>
    <t>Cost of PH system per 2 weeks (recurrent)</t>
  </si>
  <si>
    <t>Price et al.</t>
  </si>
  <si>
    <t>UC Denver Source</t>
  </si>
  <si>
    <t>Ayres et al.</t>
  </si>
  <si>
    <t>MarketScan</t>
  </si>
  <si>
    <t>UCcost</t>
  </si>
  <si>
    <t>UClys</t>
  </si>
  <si>
    <t>UCqalys</t>
  </si>
  <si>
    <t>Uncontrolled Asthma Probability</t>
  </si>
  <si>
    <t>Controlled Asthma Probability</t>
  </si>
  <si>
    <t>rrOSEXuc</t>
  </si>
  <si>
    <t>rrEREXuc</t>
  </si>
  <si>
    <t>rrHOEXuc</t>
  </si>
  <si>
    <t>rrOSEXc</t>
  </si>
  <si>
    <t>rrEREXc</t>
  </si>
  <si>
    <t>rrHOEXc</t>
  </si>
  <si>
    <t>Unadj Mean per 4 month</t>
  </si>
  <si>
    <t>month</t>
  </si>
  <si>
    <t>Decision Tree Portion</t>
  </si>
  <si>
    <t>Unadj Mean/Rate per 4 month</t>
  </si>
  <si>
    <t>PH + UC</t>
  </si>
  <si>
    <t>Uncontrolled Dr. Campbell Source 2009</t>
  </si>
  <si>
    <t>Uncontrolled 2014 source</t>
  </si>
  <si>
    <t>Controlled 2014 source Kaiser</t>
  </si>
  <si>
    <t>Probability of OC Burst per 2 week for controlled asthma</t>
  </si>
  <si>
    <t xml:space="preserve">Probability of Emergency Room Visit per 2 week for controlled asthma </t>
  </si>
  <si>
    <t>Probability of Asthma Hospitalization per 2 week for controlled asthma</t>
  </si>
  <si>
    <t>Sullivan et al 2014</t>
  </si>
  <si>
    <t>Decision Tree Probabilities</t>
  </si>
  <si>
    <t>pCAPH</t>
  </si>
  <si>
    <t>pCAUC</t>
  </si>
  <si>
    <t>Initially Uncontrolled</t>
  </si>
  <si>
    <t>Controlled</t>
  </si>
  <si>
    <t>Uncontrolled</t>
  </si>
  <si>
    <t>Model for Level 2 Markov Chain</t>
  </si>
  <si>
    <t>Diagrammatic representation of the 2 Level Markov Model</t>
  </si>
  <si>
    <t>pUAPH</t>
  </si>
  <si>
    <t>pUAUC</t>
  </si>
  <si>
    <t>Merchant et al.</t>
  </si>
  <si>
    <t>Usual Care Control and Uncontrolled Level 2 Markov Chain</t>
  </si>
  <si>
    <t>PH System Control and Uncontrolled Level 2 Markov Chain</t>
  </si>
  <si>
    <t>in cont UC</t>
  </si>
  <si>
    <t>in cont PH</t>
  </si>
  <si>
    <t>Usual Care</t>
  </si>
  <si>
    <t>Rate per py</t>
  </si>
  <si>
    <t>pEXUC</t>
  </si>
  <si>
    <t>UC OC</t>
  </si>
  <si>
    <t>UC ER</t>
  </si>
  <si>
    <t>UC HO</t>
  </si>
  <si>
    <t>C OC</t>
  </si>
  <si>
    <t>C ER</t>
  </si>
  <si>
    <t xml:space="preserve"> C HO</t>
  </si>
  <si>
    <t>UC NE</t>
  </si>
  <si>
    <t>amrc</t>
  </si>
  <si>
    <t>Probability of Asthma-related Mortality for 2 weeks for Controlled Patients</t>
  </si>
  <si>
    <t>Probability of Asthma-related Mortality for 2 weeks for Uncontrolled Patients</t>
  </si>
  <si>
    <t>Probability of Controlled Asthma using PH system at 2 wks</t>
  </si>
  <si>
    <t>Probability of Controlled Asthma under Usual Care at 2 wks</t>
  </si>
  <si>
    <t>Probability of Uncontrolled Asthma using PH system at  2 wks as initially controlled</t>
  </si>
  <si>
    <t>Probability of Uncontrolled Asthma under Usual Care at 2 wks as initially controlled</t>
  </si>
  <si>
    <t>Male</t>
  </si>
  <si>
    <t>Death rate 1 yr</t>
  </si>
  <si>
    <t>DR 1 wk</t>
  </si>
  <si>
    <t>DP 2 wks</t>
  </si>
  <si>
    <t>UC OC Death</t>
  </si>
  <si>
    <t>UC A death</t>
  </si>
  <si>
    <t>C NE</t>
  </si>
  <si>
    <t>C A death</t>
  </si>
  <si>
    <t>C OC Death</t>
  </si>
  <si>
    <t>yrs</t>
  </si>
  <si>
    <t>Propeller Health</t>
  </si>
  <si>
    <t>Level 2</t>
  </si>
  <si>
    <t>Level 1</t>
  </si>
  <si>
    <t>weeks</t>
  </si>
  <si>
    <t>2 weeks</t>
  </si>
  <si>
    <t>Cost-effectiveness of Propeller Health System</t>
  </si>
  <si>
    <t>Usual care pharmacotherapy per 2 weeks</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</si>
</sst>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3" formatCode="_(* #,##0.00_);_(* \(#,##0.00\);_(* &quot;-&quot;??_);_(@_)"/>
    <numFmt numFmtId="164" formatCode="_-&quot;£&quot;* #,##0.00_-;\-&quot;£&quot;* #,##0.00_-;_-&quot;£&quot;* &quot;-&quot;??_-;_-@_-"/>
    <numFmt numFmtId="165" formatCode="_-* #,##0.00_-;\-* #,##0.00_-;_-* &quot;-&quot;??_-;_-@_-"/>
    <numFmt numFmtId="166" formatCode="0.000"/>
    <numFmt numFmtId="167" formatCode="0.00000"/>
    <numFmt numFmtId="168" formatCode="0.0000"/>
    <numFmt numFmtId="169" formatCode="_-* #,##0_-;\-* #,##0_-;_-* &quot;-&quot;??_-;_-@_-"/>
    <numFmt numFmtId="170" formatCode="_-&quot;£&quot;* #,##0_-;\-&quot;£&quot;* #,##0_-;_-&quot;£&quot;* &quot;-&quot;??_-;_-@_-"/>
    <numFmt numFmtId="171" formatCode="0.0%"/>
    <numFmt numFmtId="172" formatCode="&quot;£&quot;#,##0"/>
    <numFmt numFmtId="173" formatCode="&quot;$&quot;#,##0"/>
    <numFmt numFmtId="174" formatCode="&quot;$&quot;#,##0.00"/>
    <numFmt numFmtId="175" formatCode="0.0000%"/>
    <numFmt numFmtId="176" formatCode="#,##0.00000"/>
  </numFmts>
  <fonts count="32" x14ac:knownFonts="1">
    <font>
      <sz val="11"/>
      <color theme="1"/>
      <name val="Calibri"/>
      <family val="2"/>
      <scheme val="minor"/>
    </font>
    <font>
      <sz val="10"/>
      <name val="Arial"/>
      <family val="2"/>
    </font>
    <font>
      <b/>
      <i/>
      <sz val="10"/>
      <name val="Arial"/>
      <family val="2"/>
    </font>
    <font>
      <b/>
      <sz val="12"/>
      <color indexed="18"/>
      <name val="Arial"/>
      <family val="2"/>
    </font>
    <font>
      <i/>
      <sz val="10"/>
      <color indexed="18"/>
      <name val="Arial"/>
      <family val="2"/>
    </font>
    <font>
      <b/>
      <sz val="10"/>
      <color indexed="17"/>
      <name val="Arial"/>
      <family val="2"/>
    </font>
    <font>
      <b/>
      <sz val="12"/>
      <color indexed="32"/>
      <name val="Arial"/>
      <family val="2"/>
    </font>
    <font>
      <b/>
      <sz val="10"/>
      <color indexed="56"/>
      <name val="Arial"/>
      <family val="2"/>
    </font>
    <font>
      <b/>
      <sz val="10"/>
      <name val="Arial"/>
      <family val="2"/>
    </font>
    <font>
      <b/>
      <sz val="12"/>
      <name val="Arial"/>
      <family val="2"/>
    </font>
    <font>
      <b/>
      <sz val="10"/>
      <color indexed="9"/>
      <name val="Arial"/>
      <family val="2"/>
    </font>
    <font>
      <sz val="10"/>
      <name val="Arial"/>
      <family val="2"/>
    </font>
    <font>
      <sz val="8"/>
      <name val="Arial"/>
      <family val="2"/>
    </font>
    <font>
      <i/>
      <sz val="8"/>
      <name val="Arial"/>
      <family val="2"/>
    </font>
    <font>
      <sz val="8"/>
      <color indexed="81"/>
      <name val="Tahoma"/>
      <family val="2"/>
    </font>
    <font>
      <b/>
      <sz val="10"/>
      <color rgb="FFFF0000"/>
      <name val="Arial"/>
      <family val="2"/>
    </font>
    <font>
      <sz val="11"/>
      <color theme="5"/>
      <name val="Calibri"/>
      <family val="2"/>
      <scheme val="minor"/>
    </font>
    <font>
      <sz val="10"/>
      <color indexed="9"/>
      <name val="Arial"/>
      <family val="2"/>
    </font>
    <font>
      <sz val="8"/>
      <color rgb="FF000000"/>
      <name val="Tahoma"/>
      <family val="2"/>
    </font>
    <font>
      <b/>
      <sz val="10"/>
      <color indexed="32"/>
      <name val="Arial"/>
      <family val="2"/>
    </font>
    <font>
      <sz val="10"/>
      <color indexed="8"/>
      <name val="Arial"/>
      <family val="2"/>
    </font>
    <font>
      <b/>
      <sz val="10"/>
      <color indexed="18"/>
      <name val="Arial"/>
      <family val="2"/>
    </font>
    <font>
      <sz val="10"/>
      <color indexed="19"/>
      <name val="Arial"/>
      <family val="2"/>
    </font>
    <font>
      <sz val="10"/>
      <color indexed="16"/>
      <name val="Arial"/>
      <family val="2"/>
    </font>
    <font>
      <sz val="10"/>
      <color indexed="10"/>
      <name val="Arial"/>
      <family val="2"/>
    </font>
    <font>
      <sz val="14"/>
      <color rgb="FF212121"/>
      <name val="Segoe UI"/>
      <family val="2"/>
    </font>
    <font>
      <sz val="10"/>
      <color rgb="FF0070C0"/>
      <name val="Arial"/>
      <family val="2"/>
    </font>
    <font>
      <sz val="10"/>
      <color rgb="FF00B050"/>
      <name val="Arial"/>
      <family val="2"/>
    </font>
    <font>
      <b/>
      <sz val="11"/>
      <color indexed="18"/>
      <name val="Arial"/>
      <family val="2"/>
    </font>
    <font>
      <sz val="11"/>
      <color indexed="18"/>
      <name val="Arial"/>
      <family val="2"/>
    </font>
    <font>
      <b/>
      <i/>
      <sz val="11"/>
      <color indexed="18"/>
      <name val="Arial"/>
      <family val="2"/>
    </font>
    <font>
      <b/>
      <sz val="11"/>
      <color theme="1"/>
      <name val="Calibri"/>
      <family val="2"/>
      <scheme val="minor"/>
    </font>
  </fonts>
  <fills count="12">
    <fill>
      <patternFill patternType="none"/>
    </fill>
    <fill>
      <patternFill patternType="gray125"/>
    </fill>
    <fill>
      <patternFill patternType="solid">
        <fgColor indexed="45"/>
        <bgColor indexed="64"/>
      </patternFill>
    </fill>
    <fill>
      <patternFill patternType="solid">
        <fgColor indexed="17"/>
        <bgColor indexed="64"/>
      </patternFill>
    </fill>
    <fill>
      <patternFill patternType="solid">
        <fgColor indexed="42"/>
        <bgColor indexed="64"/>
      </patternFill>
    </fill>
    <fill>
      <patternFill patternType="solid">
        <fgColor indexed="9"/>
        <bgColor indexed="64"/>
      </patternFill>
    </fill>
    <fill>
      <patternFill patternType="solid">
        <fgColor indexed="16"/>
        <bgColor indexed="64"/>
      </patternFill>
    </fill>
    <fill>
      <patternFill patternType="solid">
        <fgColor indexed="18"/>
        <bgColor indexed="64"/>
      </patternFill>
    </fill>
    <fill>
      <patternFill patternType="solid">
        <fgColor indexed="44"/>
        <bgColor indexed="64"/>
      </patternFill>
    </fill>
    <fill>
      <patternFill patternType="solid">
        <fgColor indexed="43"/>
        <bgColor indexed="64"/>
      </patternFill>
    </fill>
    <fill>
      <patternFill patternType="solid">
        <fgColor rgb="FFFFFFFF"/>
        <bgColor indexed="64"/>
      </patternFill>
    </fill>
    <fill>
      <patternFill patternType="solid">
        <fgColor rgb="FFEEEFEF"/>
        <bgColor indexed="64"/>
      </patternFill>
    </fill>
  </fills>
  <borders count="4">
    <border>
      <left/>
      <right/>
      <top/>
      <bottom/>
      <diagonal/>
    </border>
    <border>
      <left/>
      <right/>
      <top/>
      <bottom style="thin">
        <color indexed="64"/>
      </bottom>
      <diagonal/>
    </border>
    <border>
      <left style="thin">
        <color indexed="17"/>
      </left>
      <right style="thin">
        <color indexed="17"/>
      </right>
      <top style="thin">
        <color indexed="17"/>
      </top>
      <bottom style="thin">
        <color indexed="17"/>
      </bottom>
      <diagonal/>
    </border>
    <border>
      <left style="thin">
        <color indexed="22"/>
      </left>
      <right style="thin">
        <color indexed="22"/>
      </right>
      <top style="thin">
        <color indexed="22"/>
      </top>
      <bottom style="thin">
        <color indexed="22"/>
      </bottom>
      <diagonal/>
    </border>
  </borders>
  <cellStyleXfs count="11">
    <xf numFmtId="0" fontId="0" fillId="0" borderId="0"/>
    <xf numFmtId="0" fontId="1" fillId="0" borderId="0"/>
    <xf numFmtId="165" fontId="1" fillId="0" borderId="0" applyFont="0" applyFill="0" applyBorder="0" applyAlignment="0" applyProtection="0"/>
    <xf numFmtId="164" fontId="1" fillId="0" borderId="0" applyFont="0" applyFill="0" applyBorder="0" applyAlignment="0" applyProtection="0"/>
    <xf numFmtId="2" fontId="1" fillId="0" borderId="0" applyFont="0" applyFill="0" applyBorder="0" applyAlignment="0" applyProtection="0"/>
    <xf numFmtId="9" fontId="1" fillId="0" borderId="0" applyFont="0" applyFill="0" applyBorder="0" applyAlignment="0" applyProtection="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43" fontId="1" fillId="0" borderId="0" applyFont="0" applyFill="0" applyBorder="0" applyAlignment="0" applyProtection="0"/>
  </cellStyleXfs>
  <cellXfs count="115">
    <xf numFmtId="0" fontId="0" fillId="0" borderId="0" xfId="0"/>
    <xf numFmtId="0" fontId="3" fillId="0" borderId="0" xfId="1" applyFont="1"/>
    <xf numFmtId="0" fontId="4" fillId="0" borderId="0" xfId="1" applyFont="1"/>
    <xf numFmtId="0" fontId="1" fillId="0" borderId="0" xfId="0" applyFont="1"/>
    <xf numFmtId="0" fontId="11" fillId="0" borderId="0" xfId="6"/>
    <xf numFmtId="0" fontId="11" fillId="8" borderId="0" xfId="6" applyFill="1" applyBorder="1"/>
    <xf numFmtId="170" fontId="0" fillId="8" borderId="0" xfId="7" applyNumberFormat="1" applyFont="1" applyFill="1" applyBorder="1"/>
    <xf numFmtId="0" fontId="11" fillId="8" borderId="0" xfId="6" applyFill="1" applyBorder="1" applyAlignment="1">
      <alignment horizontal="right"/>
    </xf>
    <xf numFmtId="2" fontId="11" fillId="8" borderId="0" xfId="6" applyNumberFormat="1" applyFill="1" applyBorder="1" applyAlignment="1">
      <alignment horizontal="right"/>
    </xf>
    <xf numFmtId="170" fontId="0" fillId="8" borderId="0" xfId="7" applyNumberFormat="1" applyFont="1" applyFill="1" applyBorder="1" applyAlignment="1">
      <alignment horizontal="right"/>
    </xf>
    <xf numFmtId="2" fontId="11" fillId="8" borderId="0" xfId="6" applyNumberFormat="1" applyFill="1" applyBorder="1"/>
    <xf numFmtId="2" fontId="11" fillId="9" borderId="3" xfId="6" applyNumberFormat="1" applyFill="1" applyBorder="1" applyAlignment="1">
      <alignment horizontal="right"/>
    </xf>
    <xf numFmtId="0" fontId="11" fillId="7" borderId="0" xfId="6" applyFill="1" applyBorder="1"/>
    <xf numFmtId="0" fontId="10" fillId="7" borderId="0" xfId="6" applyFont="1" applyFill="1" applyBorder="1"/>
    <xf numFmtId="0" fontId="11" fillId="4" borderId="0" xfId="6" applyFill="1" applyBorder="1"/>
    <xf numFmtId="0" fontId="11" fillId="2" borderId="0" xfId="6" applyFill="1" applyBorder="1"/>
    <xf numFmtId="0" fontId="13" fillId="4" borderId="0" xfId="6" applyFont="1" applyFill="1" applyBorder="1"/>
    <xf numFmtId="0" fontId="12" fillId="4" borderId="0" xfId="6" applyFont="1" applyFill="1" applyBorder="1"/>
    <xf numFmtId="0" fontId="11" fillId="5" borderId="2" xfId="6" applyFill="1" applyBorder="1"/>
    <xf numFmtId="0" fontId="11" fillId="3" borderId="0" xfId="6" applyFill="1" applyBorder="1"/>
    <xf numFmtId="0" fontId="10" fillId="3" borderId="0" xfId="6" applyFont="1" applyFill="1" applyBorder="1"/>
    <xf numFmtId="0" fontId="10" fillId="6" borderId="0" xfId="6" applyFont="1" applyFill="1" applyBorder="1"/>
    <xf numFmtId="0" fontId="9" fillId="0" borderId="0" xfId="6" applyFont="1"/>
    <xf numFmtId="0" fontId="8" fillId="0" borderId="0" xfId="6" applyFont="1"/>
    <xf numFmtId="167" fontId="11" fillId="0" borderId="0" xfId="6" applyNumberFormat="1"/>
    <xf numFmtId="0" fontId="8" fillId="0" borderId="0" xfId="6" applyFont="1" applyAlignment="1">
      <alignment horizontal="left"/>
    </xf>
    <xf numFmtId="0" fontId="17" fillId="0" borderId="0" xfId="6" applyFont="1" applyFill="1" applyBorder="1"/>
    <xf numFmtId="0" fontId="8" fillId="0" borderId="0" xfId="6" applyFont="1" applyAlignment="1">
      <alignment horizontal="right"/>
    </xf>
    <xf numFmtId="0" fontId="8" fillId="0" borderId="0" xfId="6" applyFont="1" applyAlignment="1">
      <alignment horizontal="center"/>
    </xf>
    <xf numFmtId="10" fontId="0" fillId="0" borderId="0" xfId="8" applyNumberFormat="1" applyFont="1"/>
    <xf numFmtId="169" fontId="11" fillId="0" borderId="0" xfId="6" applyNumberFormat="1"/>
    <xf numFmtId="165" fontId="11" fillId="9" borderId="3" xfId="6" applyNumberFormat="1" applyFill="1" applyBorder="1" applyAlignment="1">
      <alignment horizontal="right"/>
    </xf>
    <xf numFmtId="1" fontId="11" fillId="9" borderId="3" xfId="6" applyNumberFormat="1" applyFill="1" applyBorder="1"/>
    <xf numFmtId="169" fontId="0" fillId="9" borderId="3" xfId="9" applyNumberFormat="1" applyFont="1" applyFill="1" applyBorder="1"/>
    <xf numFmtId="169" fontId="0" fillId="0" borderId="0" xfId="9" applyNumberFormat="1" applyFont="1"/>
    <xf numFmtId="1" fontId="11" fillId="0" borderId="0" xfId="6" applyNumberFormat="1"/>
    <xf numFmtId="10" fontId="11" fillId="0" borderId="0" xfId="6" applyNumberFormat="1"/>
    <xf numFmtId="10" fontId="8" fillId="0" borderId="0" xfId="8" applyNumberFormat="1" applyFont="1"/>
    <xf numFmtId="0" fontId="11" fillId="0" borderId="1" xfId="6" applyBorder="1" applyAlignment="1">
      <alignment horizontal="centerContinuous"/>
    </xf>
    <xf numFmtId="0" fontId="8" fillId="0" borderId="1" xfId="6" applyFont="1" applyBorder="1" applyAlignment="1">
      <alignment horizontal="centerContinuous"/>
    </xf>
    <xf numFmtId="10" fontId="0" fillId="0" borderId="0" xfId="8" applyNumberFormat="1" applyFont="1" applyBorder="1"/>
    <xf numFmtId="0" fontId="6" fillId="0" borderId="0" xfId="6" applyFont="1"/>
    <xf numFmtId="0" fontId="9" fillId="0" borderId="0" xfId="1" applyFont="1"/>
    <xf numFmtId="168" fontId="9" fillId="0" borderId="0" xfId="1" applyNumberFormat="1" applyFont="1"/>
    <xf numFmtId="0" fontId="1" fillId="0" borderId="0" xfId="1" applyFont="1"/>
    <xf numFmtId="0" fontId="8" fillId="0" borderId="0" xfId="1" applyFont="1"/>
    <xf numFmtId="168" fontId="8" fillId="0" borderId="0" xfId="1" applyNumberFormat="1" applyFont="1"/>
    <xf numFmtId="0" fontId="1" fillId="0" borderId="0" xfId="1"/>
    <xf numFmtId="168" fontId="1" fillId="0" borderId="0" xfId="1" applyNumberFormat="1"/>
    <xf numFmtId="0" fontId="6" fillId="0" borderId="0" xfId="1" applyFont="1"/>
    <xf numFmtId="0" fontId="19" fillId="0" borderId="0" xfId="1" applyFont="1"/>
    <xf numFmtId="1" fontId="20" fillId="0" borderId="0" xfId="2" applyNumberFormat="1" applyFont="1"/>
    <xf numFmtId="0" fontId="19" fillId="0" borderId="0" xfId="1" applyFont="1" applyAlignment="1">
      <alignment horizontal="center"/>
    </xf>
    <xf numFmtId="0" fontId="21" fillId="0" borderId="0" xfId="1" applyFont="1"/>
    <xf numFmtId="0" fontId="17" fillId="0" borderId="0" xfId="1" applyFont="1" applyFill="1" applyBorder="1"/>
    <xf numFmtId="0" fontId="1" fillId="0" borderId="0" xfId="1" applyFill="1"/>
    <xf numFmtId="0" fontId="20" fillId="0" borderId="0" xfId="1" applyFont="1"/>
    <xf numFmtId="0" fontId="17" fillId="0" borderId="0" xfId="1" applyFont="1" applyFill="1" applyBorder="1" applyAlignment="1">
      <alignment horizontal="center"/>
    </xf>
    <xf numFmtId="171" fontId="0" fillId="0" borderId="0" xfId="5" applyNumberFormat="1" applyFont="1"/>
    <xf numFmtId="0" fontId="22" fillId="0" borderId="0" xfId="1" applyFont="1"/>
    <xf numFmtId="0" fontId="23" fillId="0" borderId="0" xfId="1" applyFont="1" applyFill="1" applyBorder="1"/>
    <xf numFmtId="0" fontId="23" fillId="0" borderId="0" xfId="1" applyFont="1" applyFill="1"/>
    <xf numFmtId="0" fontId="23" fillId="0" borderId="0" xfId="1" applyFont="1"/>
    <xf numFmtId="10" fontId="1" fillId="0" borderId="0" xfId="5" applyNumberFormat="1" applyFont="1"/>
    <xf numFmtId="2" fontId="1" fillId="9" borderId="3" xfId="1" applyNumberFormat="1" applyFont="1" applyFill="1" applyBorder="1" applyAlignment="1">
      <alignment horizontal="right"/>
    </xf>
    <xf numFmtId="0" fontId="1" fillId="0" borderId="0" xfId="1" applyFont="1" applyFill="1" applyBorder="1"/>
    <xf numFmtId="0" fontId="1" fillId="0" borderId="0" xfId="1" applyFont="1" applyFill="1" applyBorder="1" applyAlignment="1">
      <alignment horizontal="center"/>
    </xf>
    <xf numFmtId="0" fontId="1" fillId="0" borderId="0" xfId="1" applyFont="1" applyBorder="1" applyAlignment="1">
      <alignment horizontal="centerContinuous"/>
    </xf>
    <xf numFmtId="0" fontId="1" fillId="0" borderId="0" xfId="1" applyFont="1" applyFill="1" applyBorder="1" applyAlignment="1">
      <alignment horizontal="centerContinuous"/>
    </xf>
    <xf numFmtId="0" fontId="1" fillId="0" borderId="0" xfId="1" applyFill="1" applyBorder="1"/>
    <xf numFmtId="0" fontId="1" fillId="0" borderId="0" xfId="1" applyBorder="1"/>
    <xf numFmtId="170" fontId="0" fillId="0" borderId="0" xfId="3" applyNumberFormat="1" applyFont="1"/>
    <xf numFmtId="172" fontId="1" fillId="0" borderId="0" xfId="1" applyNumberFormat="1"/>
    <xf numFmtId="170" fontId="24" fillId="0" borderId="0" xfId="1" applyNumberFormat="1" applyFont="1" applyFill="1" applyBorder="1"/>
    <xf numFmtId="0" fontId="23" fillId="0" borderId="0" xfId="1" applyFont="1" applyBorder="1" applyAlignment="1">
      <alignment horizontal="centerContinuous"/>
    </xf>
    <xf numFmtId="0" fontId="23" fillId="0" borderId="0" xfId="1" applyFont="1" applyFill="1" applyBorder="1" applyAlignment="1">
      <alignment horizontal="centerContinuous"/>
    </xf>
    <xf numFmtId="170" fontId="1" fillId="0" borderId="0" xfId="3" applyNumberFormat="1" applyFont="1"/>
    <xf numFmtId="0" fontId="22" fillId="0" borderId="0" xfId="1" applyFont="1" applyBorder="1" applyAlignment="1">
      <alignment horizontal="centerContinuous"/>
    </xf>
    <xf numFmtId="0" fontId="1" fillId="0" borderId="0" xfId="1" applyFill="1" applyBorder="1" applyAlignment="1">
      <alignment horizontal="centerContinuous"/>
    </xf>
    <xf numFmtId="0" fontId="1" fillId="0" borderId="0" xfId="1" applyBorder="1" applyAlignment="1">
      <alignment horizontal="centerContinuous"/>
    </xf>
    <xf numFmtId="0" fontId="1" fillId="8" borderId="0" xfId="6" applyFont="1" applyFill="1" applyBorder="1"/>
    <xf numFmtId="0" fontId="1" fillId="0" borderId="0" xfId="6" applyFont="1"/>
    <xf numFmtId="0" fontId="25" fillId="11" borderId="0" xfId="0" applyFont="1" applyFill="1" applyAlignment="1">
      <alignment horizontal="center" vertical="center" wrapText="1"/>
    </xf>
    <xf numFmtId="0" fontId="25" fillId="11" borderId="0" xfId="0" applyFont="1" applyFill="1" applyAlignment="1">
      <alignment horizontal="right" vertical="center" wrapText="1"/>
    </xf>
    <xf numFmtId="3" fontId="25" fillId="11" borderId="0" xfId="0" applyNumberFormat="1" applyFont="1" applyFill="1" applyAlignment="1">
      <alignment horizontal="right" vertical="center" wrapText="1"/>
    </xf>
    <xf numFmtId="0" fontId="25" fillId="10" borderId="0" xfId="0" applyFont="1" applyFill="1" applyAlignment="1">
      <alignment horizontal="center" vertical="center" wrapText="1"/>
    </xf>
    <xf numFmtId="0" fontId="25" fillId="10" borderId="0" xfId="0" applyFont="1" applyFill="1" applyAlignment="1">
      <alignment horizontal="right" vertical="center" wrapText="1"/>
    </xf>
    <xf numFmtId="3" fontId="25" fillId="10" borderId="0" xfId="0" applyNumberFormat="1" applyFont="1" applyFill="1" applyAlignment="1">
      <alignment horizontal="right" vertical="center" wrapText="1"/>
    </xf>
    <xf numFmtId="166" fontId="26" fillId="0" borderId="0" xfId="1" applyNumberFormat="1" applyFont="1"/>
    <xf numFmtId="0" fontId="27" fillId="0" borderId="0" xfId="1" applyFont="1"/>
    <xf numFmtId="168" fontId="1" fillId="9" borderId="3" xfId="1" applyNumberFormat="1" applyFont="1" applyFill="1" applyBorder="1" applyAlignment="1">
      <alignment horizontal="right"/>
    </xf>
    <xf numFmtId="168" fontId="1" fillId="9" borderId="0" xfId="1" applyNumberFormat="1" applyFont="1" applyFill="1" applyBorder="1" applyAlignment="1">
      <alignment horizontal="right"/>
    </xf>
    <xf numFmtId="0" fontId="28" fillId="0" borderId="0" xfId="1" applyFont="1"/>
    <xf numFmtId="2" fontId="1" fillId="9" borderId="0" xfId="1" applyNumberFormat="1" applyFont="1" applyFill="1" applyBorder="1" applyAlignment="1">
      <alignment horizontal="right"/>
    </xf>
    <xf numFmtId="173" fontId="1" fillId="0" borderId="0" xfId="5" applyNumberFormat="1" applyFont="1"/>
    <xf numFmtId="173" fontId="1" fillId="9" borderId="3" xfId="1" applyNumberFormat="1" applyFont="1" applyFill="1" applyBorder="1" applyAlignment="1">
      <alignment horizontal="right"/>
    </xf>
    <xf numFmtId="173" fontId="1" fillId="0" borderId="0" xfId="3" applyNumberFormat="1" applyFont="1"/>
    <xf numFmtId="0" fontId="1" fillId="0" borderId="0" xfId="1" applyFont="1" applyBorder="1" applyAlignment="1">
      <alignment horizontal="left"/>
    </xf>
    <xf numFmtId="0" fontId="1" fillId="0" borderId="0" xfId="1" applyFont="1" applyBorder="1" applyAlignment="1"/>
    <xf numFmtId="0" fontId="1" fillId="0" borderId="0" xfId="1" applyBorder="1" applyAlignment="1">
      <alignment horizontal="left"/>
    </xf>
    <xf numFmtId="43" fontId="0" fillId="0" borderId="0" xfId="9" applyNumberFormat="1" applyFont="1"/>
    <xf numFmtId="43" fontId="0" fillId="9" borderId="3" xfId="9" applyNumberFormat="1" applyFont="1" applyFill="1" applyBorder="1"/>
    <xf numFmtId="0" fontId="1" fillId="0" borderId="0" xfId="6" applyNumberFormat="1" applyFont="1"/>
    <xf numFmtId="0" fontId="1" fillId="0" borderId="0" xfId="6" applyFont="1" applyAlignment="1">
      <alignment horizontal="right"/>
    </xf>
    <xf numFmtId="2" fontId="1" fillId="0" borderId="0" xfId="1" applyNumberFormat="1"/>
    <xf numFmtId="174" fontId="0" fillId="9" borderId="3" xfId="7" applyNumberFormat="1" applyFont="1" applyFill="1" applyBorder="1"/>
    <xf numFmtId="174" fontId="1" fillId="0" borderId="0" xfId="6" applyNumberFormat="1" applyFont="1" applyAlignment="1">
      <alignment horizontal="right"/>
    </xf>
    <xf numFmtId="174" fontId="11" fillId="9" borderId="3" xfId="6" applyNumberFormat="1" applyFill="1" applyBorder="1" applyAlignment="1">
      <alignment horizontal="right"/>
    </xf>
    <xf numFmtId="43" fontId="11" fillId="0" borderId="0" xfId="6" applyNumberFormat="1"/>
    <xf numFmtId="2" fontId="1" fillId="0" borderId="0" xfId="6" applyNumberFormat="1" applyFont="1"/>
    <xf numFmtId="175" fontId="0" fillId="9" borderId="3" xfId="8" applyNumberFormat="1" applyFont="1" applyFill="1" applyBorder="1"/>
    <xf numFmtId="43" fontId="1" fillId="0" borderId="0" xfId="6" applyNumberFormat="1" applyFont="1"/>
    <xf numFmtId="176" fontId="11" fillId="9" borderId="3" xfId="6" applyNumberFormat="1" applyFill="1" applyBorder="1"/>
    <xf numFmtId="16" fontId="31" fillId="0" borderId="0" xfId="0" applyNumberFormat="1" applyFont="1"/>
    <xf numFmtId="173" fontId="0" fillId="9" borderId="3" xfId="7" applyNumberFormat="1" applyFont="1" applyFill="1" applyBorder="1" applyAlignment="1">
      <alignment horizontal="right"/>
    </xf>
  </cellXfs>
  <cellStyles count="11">
    <cellStyle name="Comma 2" xfId="2"/>
    <cellStyle name="Comma 3" xfId="9"/>
    <cellStyle name="Comma 4" xfId="10"/>
    <cellStyle name="Currency 2" xfId="3"/>
    <cellStyle name="Currency 3" xfId="7"/>
    <cellStyle name="Fixed" xfId="4"/>
    <cellStyle name="Normal" xfId="0" builtinId="0"/>
    <cellStyle name="Normal 2" xfId="1"/>
    <cellStyle name="Normal 3" xfId="6"/>
    <cellStyle name="Percent 2" xfId="5"/>
    <cellStyle name="Percent 3" xf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2]Parameters!$B$3" lockText="1" noThreeD="1"/>
</file>

<file path=xl/ctrlProps/ctrlProp3.xml><?xml version="1.0" encoding="utf-8"?>
<formControlPr xmlns="http://schemas.microsoft.com/office/spreadsheetml/2009/9/main" objectType="Radio" lockText="1" noThreeD="1"/>
</file>

<file path=xl/drawings/drawing1.xml><?xml version="1.0" encoding="utf-8"?>
<xdr:wsDr xmlns:xdr="http://schemas.openxmlformats.org/drawingml/2006/spreadsheetDrawing" xmlns:a="http://schemas.openxmlformats.org/drawingml/2006/main">
  <xdr:twoCellAnchor>
    <xdr:from>
      <xdr:col>0</xdr:col>
      <xdr:colOff>0</xdr:colOff>
      <xdr:row>4</xdr:row>
      <xdr:rowOff>133349</xdr:rowOff>
    </xdr:from>
    <xdr:to>
      <xdr:col>14</xdr:col>
      <xdr:colOff>62231</xdr:colOff>
      <xdr:row>14</xdr:row>
      <xdr:rowOff>22804</xdr:rowOff>
    </xdr:to>
    <xdr:grpSp>
      <xdr:nvGrpSpPr>
        <xdr:cNvPr id="120" name="Group 119"/>
        <xdr:cNvGrpSpPr/>
      </xdr:nvGrpSpPr>
      <xdr:grpSpPr>
        <a:xfrm>
          <a:off x="0" y="903632"/>
          <a:ext cx="8643014" cy="1794455"/>
          <a:chOff x="233051" y="1873171"/>
          <a:chExt cx="11958949" cy="2635909"/>
        </a:xfrm>
      </xdr:grpSpPr>
      <xdr:grpSp>
        <xdr:nvGrpSpPr>
          <xdr:cNvPr id="121" name="Group 120"/>
          <xdr:cNvGrpSpPr/>
        </xdr:nvGrpSpPr>
        <xdr:grpSpPr>
          <a:xfrm rot="10800000">
            <a:off x="4444545" y="3116360"/>
            <a:ext cx="637819" cy="414438"/>
            <a:chOff x="5468432" y="5743907"/>
            <a:chExt cx="800794" cy="738966"/>
          </a:xfrm>
        </xdr:grpSpPr>
        <xdr:sp macro="" textlink="">
          <xdr:nvSpPr>
            <xdr:cNvPr id="168" name="Oval 167"/>
            <xdr:cNvSpPr/>
          </xdr:nvSpPr>
          <xdr:spPr>
            <a:xfrm>
              <a:off x="5468432" y="5743907"/>
              <a:ext cx="800794" cy="738966"/>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p>
          </xdr:txBody>
        </xdr:sp>
        <xdr:cxnSp macro="">
          <xdr:nvCxnSpPr>
            <xdr:cNvPr id="169" name="Straight Arrow Connector 168"/>
            <xdr:cNvCxnSpPr/>
          </xdr:nvCxnSpPr>
          <xdr:spPr>
            <a:xfrm rot="10800000" flipH="1">
              <a:off x="5577689" y="5764169"/>
              <a:ext cx="74645" cy="1026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70" name="Rectangle 169"/>
            <xdr:cNvSpPr/>
          </xdr:nvSpPr>
          <xdr:spPr>
            <a:xfrm>
              <a:off x="5652334" y="5743907"/>
              <a:ext cx="468548" cy="19969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p>
          </xdr:txBody>
        </xdr:sp>
      </xdr:grpSp>
      <xdr:grpSp>
        <xdr:nvGrpSpPr>
          <xdr:cNvPr id="122" name="Group 121"/>
          <xdr:cNvGrpSpPr/>
        </xdr:nvGrpSpPr>
        <xdr:grpSpPr>
          <a:xfrm rot="10800000">
            <a:off x="949043" y="3127725"/>
            <a:ext cx="637819" cy="414438"/>
            <a:chOff x="5468432" y="5743907"/>
            <a:chExt cx="800794" cy="738966"/>
          </a:xfrm>
        </xdr:grpSpPr>
        <xdr:sp macro="" textlink="">
          <xdr:nvSpPr>
            <xdr:cNvPr id="165" name="Oval 164"/>
            <xdr:cNvSpPr/>
          </xdr:nvSpPr>
          <xdr:spPr>
            <a:xfrm>
              <a:off x="5468432" y="5743907"/>
              <a:ext cx="800794" cy="738966"/>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p>
          </xdr:txBody>
        </xdr:sp>
        <xdr:cxnSp macro="">
          <xdr:nvCxnSpPr>
            <xdr:cNvPr id="166" name="Straight Arrow Connector 165"/>
            <xdr:cNvCxnSpPr/>
          </xdr:nvCxnSpPr>
          <xdr:spPr>
            <a:xfrm rot="10800000" flipH="1">
              <a:off x="5577689" y="5764169"/>
              <a:ext cx="74645" cy="1026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7" name="Rectangle 166"/>
            <xdr:cNvSpPr/>
          </xdr:nvSpPr>
          <xdr:spPr>
            <a:xfrm>
              <a:off x="5652334" y="5743907"/>
              <a:ext cx="468548" cy="19969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p>
          </xdr:txBody>
        </xdr:sp>
      </xdr:grpSp>
      <xdr:sp macro="" textlink="">
        <xdr:nvSpPr>
          <xdr:cNvPr id="123" name="Oval 122"/>
          <xdr:cNvSpPr/>
        </xdr:nvSpPr>
        <xdr:spPr>
          <a:xfrm>
            <a:off x="3757271" y="3512213"/>
            <a:ext cx="2012366" cy="996867"/>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tx1"/>
                </a:solidFill>
              </a:rPr>
              <a:t>Controlled</a:t>
            </a:r>
          </a:p>
        </xdr:txBody>
      </xdr:sp>
      <xdr:sp macro="" textlink="">
        <xdr:nvSpPr>
          <xdr:cNvPr id="124" name="Oval 123"/>
          <xdr:cNvSpPr/>
        </xdr:nvSpPr>
        <xdr:spPr>
          <a:xfrm>
            <a:off x="262471" y="3530798"/>
            <a:ext cx="1982515" cy="959698"/>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tx1"/>
                </a:solidFill>
              </a:rPr>
              <a:t>Uncontrolled</a:t>
            </a:r>
          </a:p>
        </xdr:txBody>
      </xdr:sp>
      <xdr:sp macro="" textlink="">
        <xdr:nvSpPr>
          <xdr:cNvPr id="125" name="Rectangle 124"/>
          <xdr:cNvSpPr/>
        </xdr:nvSpPr>
        <xdr:spPr>
          <a:xfrm>
            <a:off x="2469345" y="1873171"/>
            <a:ext cx="1128584" cy="9631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tx1"/>
                </a:solidFill>
              </a:rPr>
              <a:t>PH + UC</a:t>
            </a:r>
          </a:p>
        </xdr:txBody>
      </xdr:sp>
      <xdr:cxnSp macro="">
        <xdr:nvCxnSpPr>
          <xdr:cNvPr id="126" name="Straight Arrow Connector 125"/>
          <xdr:cNvCxnSpPr>
            <a:stCxn id="125" idx="2"/>
          </xdr:cNvCxnSpPr>
        </xdr:nvCxnSpPr>
        <xdr:spPr>
          <a:xfrm flipH="1">
            <a:off x="1253729" y="2836296"/>
            <a:ext cx="1779909" cy="69450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27" name="Straight Arrow Connector 126"/>
          <xdr:cNvCxnSpPr>
            <a:stCxn id="125" idx="2"/>
            <a:endCxn id="123" idx="0"/>
          </xdr:cNvCxnSpPr>
        </xdr:nvCxnSpPr>
        <xdr:spPr>
          <a:xfrm>
            <a:off x="3033638" y="2836296"/>
            <a:ext cx="1729817" cy="67591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28" name="Straight Arrow Connector 127"/>
          <xdr:cNvCxnSpPr>
            <a:stCxn id="123" idx="2"/>
          </xdr:cNvCxnSpPr>
        </xdr:nvCxnSpPr>
        <xdr:spPr>
          <a:xfrm flipH="1">
            <a:off x="2244987" y="4010646"/>
            <a:ext cx="1512284"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grpSp>
        <xdr:nvGrpSpPr>
          <xdr:cNvPr id="129" name="Group 128"/>
          <xdr:cNvGrpSpPr/>
        </xdr:nvGrpSpPr>
        <xdr:grpSpPr>
          <a:xfrm rot="10800000">
            <a:off x="10675345" y="3116360"/>
            <a:ext cx="637819" cy="414438"/>
            <a:chOff x="5468432" y="5743907"/>
            <a:chExt cx="800794" cy="738966"/>
          </a:xfrm>
        </xdr:grpSpPr>
        <xdr:sp macro="" textlink="">
          <xdr:nvSpPr>
            <xdr:cNvPr id="162" name="Oval 161"/>
            <xdr:cNvSpPr/>
          </xdr:nvSpPr>
          <xdr:spPr>
            <a:xfrm>
              <a:off x="5468432" y="5743907"/>
              <a:ext cx="800794" cy="738966"/>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p>
          </xdr:txBody>
        </xdr:sp>
        <xdr:cxnSp macro="">
          <xdr:nvCxnSpPr>
            <xdr:cNvPr id="163" name="Straight Arrow Connector 162"/>
            <xdr:cNvCxnSpPr/>
          </xdr:nvCxnSpPr>
          <xdr:spPr>
            <a:xfrm rot="10800000" flipH="1">
              <a:off x="5577689" y="5764169"/>
              <a:ext cx="74645" cy="1026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4" name="Rectangle 163"/>
            <xdr:cNvSpPr/>
          </xdr:nvSpPr>
          <xdr:spPr>
            <a:xfrm>
              <a:off x="5652334" y="5743907"/>
              <a:ext cx="468548" cy="19969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p>
          </xdr:txBody>
        </xdr:sp>
      </xdr:grpSp>
      <xdr:grpSp>
        <xdr:nvGrpSpPr>
          <xdr:cNvPr id="132" name="Group 131"/>
          <xdr:cNvGrpSpPr/>
        </xdr:nvGrpSpPr>
        <xdr:grpSpPr>
          <a:xfrm rot="10800000">
            <a:off x="7179843" y="3127725"/>
            <a:ext cx="637819" cy="414438"/>
            <a:chOff x="5468432" y="5743907"/>
            <a:chExt cx="800794" cy="738966"/>
          </a:xfrm>
        </xdr:grpSpPr>
        <xdr:sp macro="" textlink="">
          <xdr:nvSpPr>
            <xdr:cNvPr id="159" name="Oval 158"/>
            <xdr:cNvSpPr/>
          </xdr:nvSpPr>
          <xdr:spPr>
            <a:xfrm>
              <a:off x="5468432" y="5743907"/>
              <a:ext cx="800794" cy="738966"/>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p>
          </xdr:txBody>
        </xdr:sp>
        <xdr:cxnSp macro="">
          <xdr:nvCxnSpPr>
            <xdr:cNvPr id="160" name="Straight Arrow Connector 159"/>
            <xdr:cNvCxnSpPr/>
          </xdr:nvCxnSpPr>
          <xdr:spPr>
            <a:xfrm rot="10800000" flipH="1">
              <a:off x="5577689" y="5764169"/>
              <a:ext cx="74645" cy="1026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1" name="Rectangle 160"/>
            <xdr:cNvSpPr/>
          </xdr:nvSpPr>
          <xdr:spPr>
            <a:xfrm>
              <a:off x="5652334" y="5743907"/>
              <a:ext cx="468548" cy="19969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p>
          </xdr:txBody>
        </xdr:sp>
      </xdr:grpSp>
      <xdr:sp macro="" textlink="">
        <xdr:nvSpPr>
          <xdr:cNvPr id="133" name="Oval 132"/>
          <xdr:cNvSpPr/>
        </xdr:nvSpPr>
        <xdr:spPr>
          <a:xfrm>
            <a:off x="9988071" y="3512213"/>
            <a:ext cx="2012366" cy="996867"/>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tx1"/>
                </a:solidFill>
              </a:rPr>
              <a:t>Controlled</a:t>
            </a:r>
          </a:p>
        </xdr:txBody>
      </xdr:sp>
      <xdr:sp macro="" textlink="">
        <xdr:nvSpPr>
          <xdr:cNvPr id="134" name="Oval 133"/>
          <xdr:cNvSpPr/>
        </xdr:nvSpPr>
        <xdr:spPr>
          <a:xfrm>
            <a:off x="6493271" y="3530798"/>
            <a:ext cx="1982515" cy="959698"/>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tx1"/>
                </a:solidFill>
              </a:rPr>
              <a:t>Uncontrolled</a:t>
            </a:r>
          </a:p>
        </xdr:txBody>
      </xdr:sp>
      <xdr:sp macro="" textlink="">
        <xdr:nvSpPr>
          <xdr:cNvPr id="135" name="Rectangle 134"/>
          <xdr:cNvSpPr/>
        </xdr:nvSpPr>
        <xdr:spPr>
          <a:xfrm>
            <a:off x="8700145" y="1873171"/>
            <a:ext cx="1128584" cy="9631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tx1"/>
                </a:solidFill>
              </a:rPr>
              <a:t>UC</a:t>
            </a:r>
          </a:p>
        </xdr:txBody>
      </xdr:sp>
      <xdr:cxnSp macro="">
        <xdr:nvCxnSpPr>
          <xdr:cNvPr id="136" name="Straight Arrow Connector 135"/>
          <xdr:cNvCxnSpPr>
            <a:stCxn id="135" idx="2"/>
            <a:endCxn id="134" idx="0"/>
          </xdr:cNvCxnSpPr>
        </xdr:nvCxnSpPr>
        <xdr:spPr>
          <a:xfrm flipH="1">
            <a:off x="7484529" y="2836296"/>
            <a:ext cx="1779908" cy="69450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7" name="Straight Arrow Connector 136"/>
          <xdr:cNvCxnSpPr>
            <a:stCxn id="135" idx="2"/>
            <a:endCxn id="133" idx="0"/>
          </xdr:cNvCxnSpPr>
        </xdr:nvCxnSpPr>
        <xdr:spPr>
          <a:xfrm>
            <a:off x="9264437" y="2836296"/>
            <a:ext cx="1729818" cy="67591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8" name="Straight Arrow Connector 137"/>
          <xdr:cNvCxnSpPr>
            <a:stCxn id="133" idx="2"/>
            <a:endCxn id="134" idx="6"/>
          </xdr:cNvCxnSpPr>
        </xdr:nvCxnSpPr>
        <xdr:spPr>
          <a:xfrm flipH="1">
            <a:off x="8475786" y="4010646"/>
            <a:ext cx="1512286"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9" name="Text 42"/>
          <xdr:cNvSpPr txBox="1">
            <a:spLocks noChangeArrowheads="1"/>
          </xdr:cNvSpPr>
        </xdr:nvSpPr>
        <xdr:spPr bwMode="auto">
          <a:xfrm>
            <a:off x="3757271" y="2930031"/>
            <a:ext cx="522879" cy="162816"/>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pCAPH</a:t>
            </a:r>
          </a:p>
        </xdr:txBody>
      </xdr:sp>
      <xdr:sp macro="" textlink="">
        <xdr:nvSpPr>
          <xdr:cNvPr id="140" name="Text 42"/>
          <xdr:cNvSpPr txBox="1">
            <a:spLocks noChangeArrowheads="1"/>
          </xdr:cNvSpPr>
        </xdr:nvSpPr>
        <xdr:spPr bwMode="auto">
          <a:xfrm>
            <a:off x="9988071" y="2930031"/>
            <a:ext cx="522879" cy="162816"/>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pCAUC</a:t>
            </a:r>
          </a:p>
        </xdr:txBody>
      </xdr:sp>
      <xdr:sp macro="" textlink="">
        <xdr:nvSpPr>
          <xdr:cNvPr id="141" name="Text 42"/>
          <xdr:cNvSpPr txBox="1">
            <a:spLocks noChangeArrowheads="1"/>
          </xdr:cNvSpPr>
        </xdr:nvSpPr>
        <xdr:spPr bwMode="auto">
          <a:xfrm>
            <a:off x="1721298" y="2930031"/>
            <a:ext cx="522879" cy="162816"/>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1-pCAPH</a:t>
            </a:r>
          </a:p>
        </xdr:txBody>
      </xdr:sp>
      <xdr:sp macro="" textlink="">
        <xdr:nvSpPr>
          <xdr:cNvPr id="142" name="Text 42"/>
          <xdr:cNvSpPr txBox="1">
            <a:spLocks noChangeArrowheads="1"/>
          </xdr:cNvSpPr>
        </xdr:nvSpPr>
        <xdr:spPr bwMode="auto">
          <a:xfrm>
            <a:off x="8113044" y="2930031"/>
            <a:ext cx="522879" cy="162816"/>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1-pCAUC</a:t>
            </a:r>
          </a:p>
        </xdr:txBody>
      </xdr:sp>
      <xdr:sp macro="" textlink="">
        <xdr:nvSpPr>
          <xdr:cNvPr id="143" name="Text 42"/>
          <xdr:cNvSpPr txBox="1">
            <a:spLocks noChangeArrowheads="1"/>
          </xdr:cNvSpPr>
        </xdr:nvSpPr>
        <xdr:spPr bwMode="auto">
          <a:xfrm>
            <a:off x="8438705" y="4143892"/>
            <a:ext cx="522879" cy="162816"/>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pCAUC</a:t>
            </a:r>
          </a:p>
        </xdr:txBody>
      </xdr:sp>
      <xdr:sp macro="" textlink="">
        <xdr:nvSpPr>
          <xdr:cNvPr id="144" name="Text 42"/>
          <xdr:cNvSpPr txBox="1">
            <a:spLocks noChangeArrowheads="1"/>
          </xdr:cNvSpPr>
        </xdr:nvSpPr>
        <xdr:spPr bwMode="auto">
          <a:xfrm>
            <a:off x="2205771" y="4174753"/>
            <a:ext cx="522879" cy="162816"/>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pCAPH</a:t>
            </a:r>
          </a:p>
        </xdr:txBody>
      </xdr:sp>
      <xdr:sp macro="" textlink="">
        <xdr:nvSpPr>
          <xdr:cNvPr id="145" name="Text 42"/>
          <xdr:cNvSpPr txBox="1">
            <a:spLocks noChangeArrowheads="1"/>
          </xdr:cNvSpPr>
        </xdr:nvSpPr>
        <xdr:spPr bwMode="auto">
          <a:xfrm>
            <a:off x="842651" y="2917704"/>
            <a:ext cx="657189" cy="178492"/>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1-pCAPH</a:t>
            </a:r>
          </a:p>
        </xdr:txBody>
      </xdr:sp>
      <xdr:sp macro="" textlink="">
        <xdr:nvSpPr>
          <xdr:cNvPr id="146" name="Text 42"/>
          <xdr:cNvSpPr txBox="1">
            <a:spLocks noChangeArrowheads="1"/>
          </xdr:cNvSpPr>
        </xdr:nvSpPr>
        <xdr:spPr bwMode="auto">
          <a:xfrm>
            <a:off x="7121388" y="2896650"/>
            <a:ext cx="766457" cy="196197"/>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1-pCAUC</a:t>
            </a:r>
          </a:p>
        </xdr:txBody>
      </xdr:sp>
      <xdr:sp macro="" textlink="">
        <xdr:nvSpPr>
          <xdr:cNvPr id="147" name="Text 42"/>
          <xdr:cNvSpPr txBox="1">
            <a:spLocks noChangeArrowheads="1"/>
          </xdr:cNvSpPr>
        </xdr:nvSpPr>
        <xdr:spPr bwMode="auto">
          <a:xfrm>
            <a:off x="9465192" y="3832595"/>
            <a:ext cx="522879" cy="162816"/>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pUAUC</a:t>
            </a:r>
          </a:p>
        </xdr:txBody>
      </xdr:sp>
      <xdr:sp macro="" textlink="">
        <xdr:nvSpPr>
          <xdr:cNvPr id="148" name="Text 42"/>
          <xdr:cNvSpPr txBox="1">
            <a:spLocks noChangeArrowheads="1"/>
          </xdr:cNvSpPr>
        </xdr:nvSpPr>
        <xdr:spPr bwMode="auto">
          <a:xfrm>
            <a:off x="10457243" y="2817711"/>
            <a:ext cx="1734757" cy="165389"/>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1-pUAUC</a:t>
            </a:r>
          </a:p>
        </xdr:txBody>
      </xdr:sp>
      <xdr:sp macro="" textlink="">
        <xdr:nvSpPr>
          <xdr:cNvPr id="149" name="Text 42"/>
          <xdr:cNvSpPr txBox="1">
            <a:spLocks noChangeArrowheads="1"/>
          </xdr:cNvSpPr>
        </xdr:nvSpPr>
        <xdr:spPr bwMode="auto">
          <a:xfrm>
            <a:off x="4401565" y="2925541"/>
            <a:ext cx="695458" cy="16486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1-pUAPH</a:t>
            </a:r>
          </a:p>
        </xdr:txBody>
      </xdr:sp>
      <xdr:sp macro="" textlink="">
        <xdr:nvSpPr>
          <xdr:cNvPr id="150" name="Text 42"/>
          <xdr:cNvSpPr txBox="1">
            <a:spLocks noChangeArrowheads="1"/>
          </xdr:cNvSpPr>
        </xdr:nvSpPr>
        <xdr:spPr bwMode="auto">
          <a:xfrm>
            <a:off x="3061813" y="3832595"/>
            <a:ext cx="695458" cy="16486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1-pUAPH</a:t>
            </a:r>
          </a:p>
        </xdr:txBody>
      </xdr:sp>
      <xdr:sp macro="" textlink="">
        <xdr:nvSpPr>
          <xdr:cNvPr id="151" name="Text 51"/>
          <xdr:cNvSpPr txBox="1">
            <a:spLocks noChangeArrowheads="1"/>
          </xdr:cNvSpPr>
        </xdr:nvSpPr>
        <xdr:spPr bwMode="auto">
          <a:xfrm>
            <a:off x="5406078" y="3178520"/>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b="0" i="0" u="none" strike="noStrike" baseline="0">
                <a:solidFill>
                  <a:schemeClr val="accent2"/>
                </a:solidFill>
                <a:latin typeface="Arial"/>
                <a:cs typeface="Arial"/>
              </a:rPr>
              <a:t>cCA</a:t>
            </a:r>
          </a:p>
        </xdr:txBody>
      </xdr:sp>
      <xdr:sp macro="" textlink="">
        <xdr:nvSpPr>
          <xdr:cNvPr id="152" name="Text 51"/>
          <xdr:cNvSpPr txBox="1">
            <a:spLocks noChangeArrowheads="1"/>
          </xdr:cNvSpPr>
        </xdr:nvSpPr>
        <xdr:spPr bwMode="auto">
          <a:xfrm>
            <a:off x="5406078" y="3338364"/>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a:solidFill>
                  <a:schemeClr val="accent6"/>
                </a:solidFill>
                <a:latin typeface="Arial"/>
                <a:cs typeface="Arial"/>
              </a:rPr>
              <a:t>uCA</a:t>
            </a:r>
            <a:endParaRPr lang="en-US" sz="500" b="0" i="0" u="none" strike="noStrike" baseline="0">
              <a:solidFill>
                <a:schemeClr val="accent6"/>
              </a:solidFill>
              <a:latin typeface="Arial"/>
              <a:cs typeface="Arial"/>
            </a:endParaRPr>
          </a:p>
        </xdr:txBody>
      </xdr:sp>
      <xdr:sp macro="" textlink="">
        <xdr:nvSpPr>
          <xdr:cNvPr id="153" name="Text 51"/>
          <xdr:cNvSpPr txBox="1">
            <a:spLocks noChangeArrowheads="1"/>
          </xdr:cNvSpPr>
        </xdr:nvSpPr>
        <xdr:spPr bwMode="auto">
          <a:xfrm>
            <a:off x="233051" y="3219122"/>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b="0" i="0" u="none" strike="noStrike" baseline="0">
                <a:solidFill>
                  <a:schemeClr val="accent2"/>
                </a:solidFill>
                <a:latin typeface="Arial"/>
                <a:cs typeface="Arial"/>
              </a:rPr>
              <a:t>cUCA</a:t>
            </a:r>
          </a:p>
        </xdr:txBody>
      </xdr:sp>
      <xdr:sp macro="" textlink="">
        <xdr:nvSpPr>
          <xdr:cNvPr id="154" name="Text 51"/>
          <xdr:cNvSpPr txBox="1">
            <a:spLocks noChangeArrowheads="1"/>
          </xdr:cNvSpPr>
        </xdr:nvSpPr>
        <xdr:spPr bwMode="auto">
          <a:xfrm>
            <a:off x="233051" y="3378966"/>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a:solidFill>
                  <a:schemeClr val="accent6"/>
                </a:solidFill>
                <a:latin typeface="Arial"/>
                <a:cs typeface="Arial"/>
              </a:rPr>
              <a:t>uUCA</a:t>
            </a:r>
            <a:endParaRPr lang="en-US" sz="500" b="0" i="0" u="none" strike="noStrike" baseline="0">
              <a:solidFill>
                <a:schemeClr val="accent6"/>
              </a:solidFill>
              <a:latin typeface="Arial"/>
              <a:cs typeface="Arial"/>
            </a:endParaRPr>
          </a:p>
        </xdr:txBody>
      </xdr:sp>
      <xdr:sp macro="" textlink="">
        <xdr:nvSpPr>
          <xdr:cNvPr id="155" name="Text 51"/>
          <xdr:cNvSpPr txBox="1">
            <a:spLocks noChangeArrowheads="1"/>
          </xdr:cNvSpPr>
        </xdr:nvSpPr>
        <xdr:spPr bwMode="auto">
          <a:xfrm>
            <a:off x="11437065" y="3171835"/>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b="0" i="0" u="none" strike="noStrike" baseline="0">
                <a:solidFill>
                  <a:schemeClr val="accent2"/>
                </a:solidFill>
                <a:latin typeface="Arial"/>
                <a:cs typeface="Arial"/>
              </a:rPr>
              <a:t>cCA</a:t>
            </a:r>
          </a:p>
        </xdr:txBody>
      </xdr:sp>
      <xdr:sp macro="" textlink="">
        <xdr:nvSpPr>
          <xdr:cNvPr id="156" name="Text 51"/>
          <xdr:cNvSpPr txBox="1">
            <a:spLocks noChangeArrowheads="1"/>
          </xdr:cNvSpPr>
        </xdr:nvSpPr>
        <xdr:spPr bwMode="auto">
          <a:xfrm>
            <a:off x="11437065" y="3331679"/>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a:solidFill>
                  <a:schemeClr val="accent6"/>
                </a:solidFill>
                <a:latin typeface="Arial"/>
                <a:cs typeface="Arial"/>
              </a:rPr>
              <a:t>uCA</a:t>
            </a:r>
            <a:endParaRPr lang="en-US" sz="500" b="0" i="0" u="none" strike="noStrike" baseline="0">
              <a:solidFill>
                <a:schemeClr val="accent6"/>
              </a:solidFill>
              <a:latin typeface="Arial"/>
              <a:cs typeface="Arial"/>
            </a:endParaRPr>
          </a:p>
        </xdr:txBody>
      </xdr:sp>
      <xdr:sp macro="" textlink="">
        <xdr:nvSpPr>
          <xdr:cNvPr id="157" name="Text 51"/>
          <xdr:cNvSpPr txBox="1">
            <a:spLocks noChangeArrowheads="1"/>
          </xdr:cNvSpPr>
        </xdr:nvSpPr>
        <xdr:spPr bwMode="auto">
          <a:xfrm>
            <a:off x="6492456" y="3164391"/>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b="0" i="0" u="none" strike="noStrike" baseline="0">
                <a:solidFill>
                  <a:schemeClr val="accent2"/>
                </a:solidFill>
                <a:latin typeface="Arial"/>
                <a:cs typeface="Arial"/>
              </a:rPr>
              <a:t>cUCA</a:t>
            </a:r>
          </a:p>
        </xdr:txBody>
      </xdr:sp>
      <xdr:sp macro="" textlink="">
        <xdr:nvSpPr>
          <xdr:cNvPr id="158" name="Text 51"/>
          <xdr:cNvSpPr txBox="1">
            <a:spLocks noChangeArrowheads="1"/>
          </xdr:cNvSpPr>
        </xdr:nvSpPr>
        <xdr:spPr bwMode="auto">
          <a:xfrm>
            <a:off x="6492456" y="3324235"/>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a:solidFill>
                  <a:schemeClr val="accent6"/>
                </a:solidFill>
                <a:latin typeface="Arial"/>
                <a:cs typeface="Arial"/>
              </a:rPr>
              <a:t>uUCA</a:t>
            </a:r>
            <a:endParaRPr lang="en-US" sz="500" b="0" i="0" u="none" strike="noStrike" baseline="0">
              <a:solidFill>
                <a:schemeClr val="accent6"/>
              </a:solidFill>
              <a:latin typeface="Arial"/>
              <a:cs typeface="Arial"/>
            </a:endParaRPr>
          </a:p>
        </xdr:txBody>
      </xdr:sp>
    </xdr:grpSp>
    <xdr:clientData/>
  </xdr:twoCellAnchor>
  <xdr:twoCellAnchor>
    <xdr:from>
      <xdr:col>0</xdr:col>
      <xdr:colOff>0</xdr:colOff>
      <xdr:row>15</xdr:row>
      <xdr:rowOff>161925</xdr:rowOff>
    </xdr:from>
    <xdr:to>
      <xdr:col>11</xdr:col>
      <xdr:colOff>582777</xdr:colOff>
      <xdr:row>35</xdr:row>
      <xdr:rowOff>140539</xdr:rowOff>
    </xdr:to>
    <xdr:grpSp>
      <xdr:nvGrpSpPr>
        <xdr:cNvPr id="171" name="Group 170"/>
        <xdr:cNvGrpSpPr/>
      </xdr:nvGrpSpPr>
      <xdr:grpSpPr>
        <a:xfrm>
          <a:off x="0" y="3027708"/>
          <a:ext cx="7324820" cy="3788614"/>
          <a:chOff x="845975" y="386145"/>
          <a:chExt cx="10447402" cy="5564642"/>
        </a:xfrm>
      </xdr:grpSpPr>
      <xdr:sp macro="" textlink="">
        <xdr:nvSpPr>
          <xdr:cNvPr id="172" name="Oval 171"/>
          <xdr:cNvSpPr/>
        </xdr:nvSpPr>
        <xdr:spPr>
          <a:xfrm>
            <a:off x="7237702" y="4715112"/>
            <a:ext cx="2051222" cy="12356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tx1"/>
                </a:solidFill>
              </a:rPr>
              <a:t>Asthma-Related mortality </a:t>
            </a:r>
          </a:p>
        </xdr:txBody>
      </xdr:sp>
      <xdr:sp macro="" textlink="">
        <xdr:nvSpPr>
          <xdr:cNvPr id="173" name="Oval 172"/>
          <xdr:cNvSpPr/>
        </xdr:nvSpPr>
        <xdr:spPr>
          <a:xfrm>
            <a:off x="4470052" y="4715112"/>
            <a:ext cx="2051222" cy="12356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tx1"/>
                </a:solidFill>
              </a:rPr>
              <a:t>Other-Cause mortality </a:t>
            </a:r>
          </a:p>
        </xdr:txBody>
      </xdr:sp>
      <xdr:sp macro="" textlink="">
        <xdr:nvSpPr>
          <xdr:cNvPr id="174" name="Oval 173"/>
          <xdr:cNvSpPr/>
        </xdr:nvSpPr>
        <xdr:spPr>
          <a:xfrm>
            <a:off x="845975" y="3290620"/>
            <a:ext cx="2051222" cy="12356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tx1"/>
                </a:solidFill>
              </a:rPr>
              <a:t>Control or</a:t>
            </a:r>
          </a:p>
          <a:p>
            <a:pPr algn="ctr"/>
            <a:r>
              <a:rPr lang="en-US" sz="1200">
                <a:solidFill>
                  <a:schemeClr val="tx1"/>
                </a:solidFill>
              </a:rPr>
              <a:t>Uncontrolled</a:t>
            </a:r>
          </a:p>
        </xdr:txBody>
      </xdr:sp>
      <xdr:cxnSp macro="">
        <xdr:nvCxnSpPr>
          <xdr:cNvPr id="175" name="Straight Arrow Connector 174"/>
          <xdr:cNvCxnSpPr>
            <a:stCxn id="174" idx="7"/>
            <a:endCxn id="230" idx="3"/>
          </xdr:cNvCxnSpPr>
        </xdr:nvCxnSpPr>
        <xdr:spPr>
          <a:xfrm flipV="1">
            <a:off x="2596802" y="1680133"/>
            <a:ext cx="785602" cy="179144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3" name="Straight Arrow Connector 222"/>
          <xdr:cNvCxnSpPr>
            <a:stCxn id="174" idx="7"/>
            <a:endCxn id="231" idx="3"/>
          </xdr:cNvCxnSpPr>
        </xdr:nvCxnSpPr>
        <xdr:spPr>
          <a:xfrm flipV="1">
            <a:off x="2596802" y="1680133"/>
            <a:ext cx="3835457" cy="179144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4" name="Straight Arrow Connector 223"/>
          <xdr:cNvCxnSpPr>
            <a:stCxn id="174" idx="7"/>
            <a:endCxn id="232" idx="3"/>
          </xdr:cNvCxnSpPr>
        </xdr:nvCxnSpPr>
        <xdr:spPr>
          <a:xfrm flipV="1">
            <a:off x="2596802" y="1687395"/>
            <a:ext cx="6985668" cy="178418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5" name="Straight Arrow Connector 224"/>
          <xdr:cNvCxnSpPr>
            <a:stCxn id="230" idx="4"/>
            <a:endCxn id="173" idx="0"/>
          </xdr:cNvCxnSpPr>
        </xdr:nvCxnSpPr>
        <xdr:spPr>
          <a:xfrm>
            <a:off x="4046231" y="1840320"/>
            <a:ext cx="1449433" cy="287479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6" name="Straight Arrow Connector 225"/>
          <xdr:cNvCxnSpPr>
            <a:stCxn id="231" idx="4"/>
            <a:endCxn id="173" idx="0"/>
          </xdr:cNvCxnSpPr>
        </xdr:nvCxnSpPr>
        <xdr:spPr>
          <a:xfrm flipH="1">
            <a:off x="5495664" y="1840320"/>
            <a:ext cx="1617902" cy="287479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7" name="Straight Arrow Connector 226"/>
          <xdr:cNvCxnSpPr>
            <a:stCxn id="232" idx="4"/>
            <a:endCxn id="173" idx="0"/>
          </xdr:cNvCxnSpPr>
        </xdr:nvCxnSpPr>
        <xdr:spPr>
          <a:xfrm flipH="1">
            <a:off x="5495664" y="1841855"/>
            <a:ext cx="4795486" cy="287325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8" name="Straight Arrow Connector 227"/>
          <xdr:cNvCxnSpPr>
            <a:stCxn id="232" idx="4"/>
            <a:endCxn id="172" idx="0"/>
          </xdr:cNvCxnSpPr>
        </xdr:nvCxnSpPr>
        <xdr:spPr>
          <a:xfrm flipH="1">
            <a:off x="8263314" y="1841855"/>
            <a:ext cx="2027836" cy="287325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9" name="Straight Arrow Connector 228"/>
          <xdr:cNvCxnSpPr>
            <a:stCxn id="174" idx="5"/>
            <a:endCxn id="173" idx="0"/>
          </xdr:cNvCxnSpPr>
        </xdr:nvCxnSpPr>
        <xdr:spPr>
          <a:xfrm>
            <a:off x="2596802" y="4345334"/>
            <a:ext cx="2898862" cy="36977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0" name="Oval 229"/>
          <xdr:cNvSpPr/>
        </xdr:nvSpPr>
        <xdr:spPr>
          <a:xfrm>
            <a:off x="3107437" y="746497"/>
            <a:ext cx="1877589" cy="1093823"/>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100">
                <a:solidFill>
                  <a:schemeClr val="tx1"/>
                </a:solidFill>
              </a:rPr>
              <a:t>Oral Steroid Burst Exacerbation</a:t>
            </a:r>
          </a:p>
        </xdr:txBody>
      </xdr:sp>
      <xdr:sp macro="" textlink="">
        <xdr:nvSpPr>
          <xdr:cNvPr id="231" name="Oval 230"/>
          <xdr:cNvSpPr/>
        </xdr:nvSpPr>
        <xdr:spPr>
          <a:xfrm>
            <a:off x="6150054" y="746497"/>
            <a:ext cx="1927025" cy="1093823"/>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100">
                <a:solidFill>
                  <a:schemeClr val="tx1"/>
                </a:solidFill>
              </a:rPr>
              <a:t>Emergency Room Exacerbation</a:t>
            </a:r>
          </a:p>
        </xdr:txBody>
      </xdr:sp>
      <xdr:sp macro="" textlink="">
        <xdr:nvSpPr>
          <xdr:cNvPr id="232" name="Oval 231"/>
          <xdr:cNvSpPr/>
        </xdr:nvSpPr>
        <xdr:spPr>
          <a:xfrm>
            <a:off x="9288924" y="787140"/>
            <a:ext cx="2004453" cy="105471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100">
                <a:solidFill>
                  <a:schemeClr val="tx1"/>
                </a:solidFill>
              </a:rPr>
              <a:t>Hospitalization Exacerbation</a:t>
            </a:r>
          </a:p>
        </xdr:txBody>
      </xdr:sp>
      <xdr:cxnSp macro="">
        <xdr:nvCxnSpPr>
          <xdr:cNvPr id="233" name="Straight Arrow Connector 232"/>
          <xdr:cNvCxnSpPr>
            <a:stCxn id="230" idx="3"/>
            <a:endCxn id="174" idx="7"/>
          </xdr:cNvCxnSpPr>
        </xdr:nvCxnSpPr>
        <xdr:spPr>
          <a:xfrm flipH="1">
            <a:off x="2596802" y="1680133"/>
            <a:ext cx="785602" cy="1791448"/>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4" name="Straight Arrow Connector 233"/>
          <xdr:cNvCxnSpPr>
            <a:stCxn id="231" idx="3"/>
            <a:endCxn id="174" idx="7"/>
          </xdr:cNvCxnSpPr>
        </xdr:nvCxnSpPr>
        <xdr:spPr>
          <a:xfrm flipH="1">
            <a:off x="2596802" y="1680133"/>
            <a:ext cx="3835457" cy="1791448"/>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5" name="Straight Arrow Connector 234"/>
          <xdr:cNvCxnSpPr>
            <a:stCxn id="232" idx="3"/>
            <a:endCxn id="174" idx="7"/>
          </xdr:cNvCxnSpPr>
        </xdr:nvCxnSpPr>
        <xdr:spPr>
          <a:xfrm flipH="1">
            <a:off x="2596802" y="1687395"/>
            <a:ext cx="6985668" cy="1784186"/>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6" name="Text 42"/>
          <xdr:cNvSpPr txBox="1">
            <a:spLocks noChangeArrowheads="1"/>
          </xdr:cNvSpPr>
        </xdr:nvSpPr>
        <xdr:spPr bwMode="auto">
          <a:xfrm>
            <a:off x="3614938" y="4584104"/>
            <a:ext cx="519685"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mr[age]</a:t>
            </a:r>
          </a:p>
        </xdr:txBody>
      </xdr:sp>
      <xdr:sp macro="" textlink="">
        <xdr:nvSpPr>
          <xdr:cNvPr id="237" name="Text 42"/>
          <xdr:cNvSpPr txBox="1">
            <a:spLocks noChangeArrowheads="1"/>
          </xdr:cNvSpPr>
        </xdr:nvSpPr>
        <xdr:spPr bwMode="auto">
          <a:xfrm>
            <a:off x="9093366" y="3631915"/>
            <a:ext cx="1140294" cy="15301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a:solidFill>
                  <a:srgbClr val="3333CC"/>
                </a:solidFill>
                <a:latin typeface="Arial"/>
                <a:cs typeface="Arial"/>
              </a:rPr>
              <a:t>amrHOEX</a:t>
            </a:r>
            <a:endParaRPr lang="en-US" sz="500" b="0" i="0" u="none" strike="noStrike" baseline="0">
              <a:solidFill>
                <a:srgbClr val="3333CC"/>
              </a:solidFill>
              <a:latin typeface="Arial"/>
              <a:cs typeface="Arial"/>
            </a:endParaRPr>
          </a:p>
        </xdr:txBody>
      </xdr:sp>
      <xdr:sp macro="" textlink="">
        <xdr:nvSpPr>
          <xdr:cNvPr id="238" name="Text 42"/>
          <xdr:cNvSpPr txBox="1">
            <a:spLocks noChangeArrowheads="1"/>
          </xdr:cNvSpPr>
        </xdr:nvSpPr>
        <xdr:spPr bwMode="auto">
          <a:xfrm>
            <a:off x="2670431" y="1820532"/>
            <a:ext cx="519685"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a:solidFill>
                  <a:srgbClr val="3333CC"/>
                </a:solidFill>
                <a:latin typeface="Arial"/>
                <a:cs typeface="Arial"/>
              </a:rPr>
              <a:t>rrOSEX</a:t>
            </a:r>
            <a:endParaRPr lang="en-US" sz="500" b="0" i="0" u="none" strike="noStrike" baseline="0">
              <a:solidFill>
                <a:srgbClr val="3333CC"/>
              </a:solidFill>
              <a:latin typeface="Arial"/>
              <a:cs typeface="Arial"/>
            </a:endParaRPr>
          </a:p>
        </xdr:txBody>
      </xdr:sp>
      <xdr:sp macro="" textlink="">
        <xdr:nvSpPr>
          <xdr:cNvPr id="239" name="Text 42"/>
          <xdr:cNvSpPr txBox="1">
            <a:spLocks noChangeArrowheads="1"/>
          </xdr:cNvSpPr>
        </xdr:nvSpPr>
        <xdr:spPr bwMode="auto">
          <a:xfrm>
            <a:off x="5666015" y="2084249"/>
            <a:ext cx="519685"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a:solidFill>
                  <a:srgbClr val="3333CC"/>
                </a:solidFill>
                <a:latin typeface="Arial"/>
                <a:cs typeface="Arial"/>
              </a:rPr>
              <a:t>rrEREX</a:t>
            </a:r>
            <a:endParaRPr lang="en-US" sz="500" b="0" i="0" u="none" strike="noStrike" baseline="0">
              <a:solidFill>
                <a:srgbClr val="3333CC"/>
              </a:solidFill>
              <a:latin typeface="Arial"/>
              <a:cs typeface="Arial"/>
            </a:endParaRPr>
          </a:p>
        </xdr:txBody>
      </xdr:sp>
      <xdr:sp macro="" textlink="">
        <xdr:nvSpPr>
          <xdr:cNvPr id="240" name="Text 42"/>
          <xdr:cNvSpPr txBox="1">
            <a:spLocks noChangeArrowheads="1"/>
          </xdr:cNvSpPr>
        </xdr:nvSpPr>
        <xdr:spPr bwMode="auto">
          <a:xfrm>
            <a:off x="8347774" y="1680133"/>
            <a:ext cx="519685"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a:solidFill>
                  <a:srgbClr val="3333CC"/>
                </a:solidFill>
                <a:latin typeface="Arial"/>
                <a:cs typeface="Arial"/>
              </a:rPr>
              <a:t>rrHOEX</a:t>
            </a:r>
            <a:endParaRPr lang="en-US" sz="500" b="0" i="0" u="none" strike="noStrike" baseline="0">
              <a:solidFill>
                <a:srgbClr val="3333CC"/>
              </a:solidFill>
              <a:latin typeface="Arial"/>
              <a:cs typeface="Arial"/>
            </a:endParaRPr>
          </a:p>
        </xdr:txBody>
      </xdr:sp>
      <xdr:sp macro="" textlink="">
        <xdr:nvSpPr>
          <xdr:cNvPr id="241" name="Text 42"/>
          <xdr:cNvSpPr txBox="1">
            <a:spLocks noChangeArrowheads="1"/>
          </xdr:cNvSpPr>
        </xdr:nvSpPr>
        <xdr:spPr bwMode="auto">
          <a:xfrm>
            <a:off x="3199002" y="2181925"/>
            <a:ext cx="564506" cy="218797"/>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a:solidFill>
                  <a:srgbClr val="FF0000"/>
                </a:solidFill>
                <a:latin typeface="Arial"/>
                <a:cs typeface="Arial"/>
              </a:rPr>
              <a:t>1-mr[age]</a:t>
            </a:r>
            <a:endParaRPr lang="en-US" sz="500" b="0" i="0" u="none" strike="noStrike" baseline="0">
              <a:solidFill>
                <a:srgbClr val="FF0000"/>
              </a:solidFill>
              <a:latin typeface="Arial"/>
              <a:cs typeface="Arial"/>
            </a:endParaRPr>
          </a:p>
        </xdr:txBody>
      </xdr:sp>
      <xdr:sp macro="" textlink="">
        <xdr:nvSpPr>
          <xdr:cNvPr id="242" name="Text 51"/>
          <xdr:cNvSpPr txBox="1">
            <a:spLocks noChangeArrowheads="1"/>
          </xdr:cNvSpPr>
        </xdr:nvSpPr>
        <xdr:spPr bwMode="auto">
          <a:xfrm>
            <a:off x="1573186" y="4609939"/>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b="0" i="0" u="none" strike="noStrike" baseline="0">
                <a:solidFill>
                  <a:schemeClr val="accent2"/>
                </a:solidFill>
                <a:latin typeface="Arial"/>
                <a:cs typeface="Arial"/>
              </a:rPr>
              <a:t>cNES</a:t>
            </a:r>
          </a:p>
        </xdr:txBody>
      </xdr:sp>
      <xdr:sp macro="" textlink="">
        <xdr:nvSpPr>
          <xdr:cNvPr id="243" name="Text 51"/>
          <xdr:cNvSpPr txBox="1">
            <a:spLocks noChangeArrowheads="1"/>
          </xdr:cNvSpPr>
        </xdr:nvSpPr>
        <xdr:spPr bwMode="auto">
          <a:xfrm>
            <a:off x="3829823" y="528445"/>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b="0" i="0" u="none" strike="noStrike" baseline="0">
                <a:solidFill>
                  <a:schemeClr val="accent2"/>
                </a:solidFill>
                <a:latin typeface="Arial"/>
                <a:cs typeface="Arial"/>
              </a:rPr>
              <a:t>cOSEX</a:t>
            </a:r>
          </a:p>
        </xdr:txBody>
      </xdr:sp>
      <xdr:sp macro="" textlink="">
        <xdr:nvSpPr>
          <xdr:cNvPr id="244" name="Text 51"/>
          <xdr:cNvSpPr txBox="1">
            <a:spLocks noChangeArrowheads="1"/>
          </xdr:cNvSpPr>
        </xdr:nvSpPr>
        <xdr:spPr bwMode="auto">
          <a:xfrm>
            <a:off x="6808766" y="528445"/>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b="0" i="0" u="none" strike="noStrike" baseline="0">
                <a:solidFill>
                  <a:schemeClr val="accent2"/>
                </a:solidFill>
                <a:latin typeface="Arial"/>
                <a:cs typeface="Arial"/>
              </a:rPr>
              <a:t>cEREX</a:t>
            </a:r>
          </a:p>
        </xdr:txBody>
      </xdr:sp>
      <xdr:sp macro="" textlink="">
        <xdr:nvSpPr>
          <xdr:cNvPr id="245" name="Text 51"/>
          <xdr:cNvSpPr txBox="1">
            <a:spLocks noChangeArrowheads="1"/>
          </xdr:cNvSpPr>
        </xdr:nvSpPr>
        <xdr:spPr bwMode="auto">
          <a:xfrm>
            <a:off x="9986350" y="528445"/>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b="0" i="0" u="none" strike="noStrike" baseline="0">
                <a:solidFill>
                  <a:schemeClr val="accent2"/>
                </a:solidFill>
                <a:latin typeface="Arial"/>
                <a:cs typeface="Arial"/>
              </a:rPr>
              <a:t>cHOEX</a:t>
            </a:r>
          </a:p>
        </xdr:txBody>
      </xdr:sp>
      <xdr:sp macro="" textlink="">
        <xdr:nvSpPr>
          <xdr:cNvPr id="246" name="Text 51"/>
          <xdr:cNvSpPr txBox="1">
            <a:spLocks noChangeArrowheads="1"/>
          </xdr:cNvSpPr>
        </xdr:nvSpPr>
        <xdr:spPr bwMode="auto">
          <a:xfrm>
            <a:off x="1573186" y="4769783"/>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a:solidFill>
                  <a:schemeClr val="accent6"/>
                </a:solidFill>
                <a:latin typeface="Arial"/>
                <a:cs typeface="Arial"/>
              </a:rPr>
              <a:t>u</a:t>
            </a:r>
            <a:r>
              <a:rPr lang="en-US" sz="500" b="0" i="0" u="none" strike="noStrike" baseline="0">
                <a:solidFill>
                  <a:schemeClr val="accent6"/>
                </a:solidFill>
                <a:latin typeface="Arial"/>
                <a:cs typeface="Arial"/>
              </a:rPr>
              <a:t>NES</a:t>
            </a:r>
          </a:p>
        </xdr:txBody>
      </xdr:sp>
      <xdr:sp macro="" textlink="">
        <xdr:nvSpPr>
          <xdr:cNvPr id="247" name="Text 51"/>
          <xdr:cNvSpPr txBox="1">
            <a:spLocks noChangeArrowheads="1"/>
          </xdr:cNvSpPr>
        </xdr:nvSpPr>
        <xdr:spPr bwMode="auto">
          <a:xfrm>
            <a:off x="3829823" y="386145"/>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a:solidFill>
                  <a:schemeClr val="accent6"/>
                </a:solidFill>
                <a:latin typeface="Arial"/>
                <a:cs typeface="Arial"/>
              </a:rPr>
              <a:t>uOS</a:t>
            </a:r>
            <a:r>
              <a:rPr lang="en-US" sz="500" b="0" i="0" u="none" strike="noStrike" baseline="0">
                <a:solidFill>
                  <a:schemeClr val="accent6"/>
                </a:solidFill>
                <a:latin typeface="Arial"/>
                <a:cs typeface="Arial"/>
              </a:rPr>
              <a:t>EX</a:t>
            </a:r>
          </a:p>
        </xdr:txBody>
      </xdr:sp>
      <xdr:sp macro="" textlink="">
        <xdr:nvSpPr>
          <xdr:cNvPr id="248" name="Text 51"/>
          <xdr:cNvSpPr txBox="1">
            <a:spLocks noChangeArrowheads="1"/>
          </xdr:cNvSpPr>
        </xdr:nvSpPr>
        <xdr:spPr bwMode="auto">
          <a:xfrm>
            <a:off x="6808766" y="386145"/>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a:solidFill>
                  <a:schemeClr val="accent6"/>
                </a:solidFill>
                <a:latin typeface="Arial"/>
                <a:cs typeface="Arial"/>
              </a:rPr>
              <a:t>uER</a:t>
            </a:r>
            <a:r>
              <a:rPr lang="en-US" sz="500" b="0" i="0" u="none" strike="noStrike" baseline="0">
                <a:solidFill>
                  <a:schemeClr val="accent6"/>
                </a:solidFill>
                <a:latin typeface="Arial"/>
                <a:cs typeface="Arial"/>
              </a:rPr>
              <a:t>EX</a:t>
            </a:r>
          </a:p>
        </xdr:txBody>
      </xdr:sp>
      <xdr:sp macro="" textlink="">
        <xdr:nvSpPr>
          <xdr:cNvPr id="249" name="Text 51"/>
          <xdr:cNvSpPr txBox="1">
            <a:spLocks noChangeArrowheads="1"/>
          </xdr:cNvSpPr>
        </xdr:nvSpPr>
        <xdr:spPr bwMode="auto">
          <a:xfrm>
            <a:off x="9986350" y="386145"/>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a:solidFill>
                  <a:schemeClr val="accent6"/>
                </a:solidFill>
                <a:latin typeface="Arial"/>
                <a:cs typeface="Arial"/>
              </a:rPr>
              <a:t>uHO</a:t>
            </a:r>
            <a:r>
              <a:rPr lang="en-US" sz="500" b="0" i="0" u="none" strike="noStrike" baseline="0">
                <a:solidFill>
                  <a:schemeClr val="accent6"/>
                </a:solidFill>
                <a:latin typeface="Arial"/>
                <a:cs typeface="Arial"/>
              </a:rPr>
              <a:t>EX</a:t>
            </a:r>
          </a:p>
        </xdr:txBody>
      </xdr:sp>
      <xdr:sp macro="" textlink="">
        <xdr:nvSpPr>
          <xdr:cNvPr id="250" name="Text 42"/>
          <xdr:cNvSpPr txBox="1">
            <a:spLocks noChangeArrowheads="1"/>
          </xdr:cNvSpPr>
        </xdr:nvSpPr>
        <xdr:spPr bwMode="auto">
          <a:xfrm>
            <a:off x="4353463" y="3632533"/>
            <a:ext cx="519685"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mr[age]</a:t>
            </a:r>
          </a:p>
        </xdr:txBody>
      </xdr:sp>
      <xdr:sp macro="" textlink="">
        <xdr:nvSpPr>
          <xdr:cNvPr id="251" name="Text 42"/>
          <xdr:cNvSpPr txBox="1">
            <a:spLocks noChangeArrowheads="1"/>
          </xdr:cNvSpPr>
        </xdr:nvSpPr>
        <xdr:spPr bwMode="auto">
          <a:xfrm>
            <a:off x="5639806" y="3177548"/>
            <a:ext cx="519685"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mr[age]</a:t>
            </a:r>
          </a:p>
        </xdr:txBody>
      </xdr:sp>
      <xdr:sp macro="" textlink="">
        <xdr:nvSpPr>
          <xdr:cNvPr id="252" name="Text 42"/>
          <xdr:cNvSpPr txBox="1">
            <a:spLocks noChangeArrowheads="1"/>
          </xdr:cNvSpPr>
        </xdr:nvSpPr>
        <xdr:spPr bwMode="auto">
          <a:xfrm>
            <a:off x="6970980" y="3329948"/>
            <a:ext cx="519685"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mr[age]</a:t>
            </a:r>
          </a:p>
        </xdr:txBody>
      </xdr:sp>
      <xdr:sp macro="" textlink="">
        <xdr:nvSpPr>
          <xdr:cNvPr id="253" name="Text 42"/>
          <xdr:cNvSpPr txBox="1">
            <a:spLocks noChangeArrowheads="1"/>
          </xdr:cNvSpPr>
        </xdr:nvSpPr>
        <xdr:spPr bwMode="auto">
          <a:xfrm>
            <a:off x="5223777" y="1730921"/>
            <a:ext cx="564506" cy="218797"/>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a:solidFill>
                  <a:srgbClr val="FF0000"/>
                </a:solidFill>
                <a:latin typeface="Arial"/>
                <a:cs typeface="Arial"/>
              </a:rPr>
              <a:t>1-mr[age]</a:t>
            </a:r>
            <a:endParaRPr lang="en-US" sz="500" b="0" i="0" u="none" strike="noStrike" baseline="0">
              <a:solidFill>
                <a:srgbClr val="FF0000"/>
              </a:solidFill>
              <a:latin typeface="Arial"/>
              <a:cs typeface="Arial"/>
            </a:endParaRPr>
          </a:p>
        </xdr:txBody>
      </xdr:sp>
      <xdr:sp macro="" textlink="">
        <xdr:nvSpPr>
          <xdr:cNvPr id="254" name="Text 42"/>
          <xdr:cNvSpPr txBox="1">
            <a:spLocks noChangeArrowheads="1"/>
          </xdr:cNvSpPr>
        </xdr:nvSpPr>
        <xdr:spPr bwMode="auto">
          <a:xfrm flipV="1">
            <a:off x="8183085" y="2096331"/>
            <a:ext cx="1105837" cy="19308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a:solidFill>
                  <a:srgbClr val="FF0000"/>
                </a:solidFill>
                <a:latin typeface="Arial"/>
                <a:cs typeface="Arial"/>
              </a:rPr>
              <a:t>1-mr[age]-(amrHOEX)</a:t>
            </a:r>
            <a:endParaRPr lang="en-US" sz="500" b="0" i="0" u="none" strike="noStrike" baseline="0">
              <a:solidFill>
                <a:srgbClr val="FF0000"/>
              </a:solidFill>
              <a:latin typeface="Arial"/>
              <a:cs typeface="Arial"/>
            </a:endParaRPr>
          </a:p>
        </xdr:txBody>
      </xdr:sp>
      <xdr:cxnSp macro="">
        <xdr:nvCxnSpPr>
          <xdr:cNvPr id="255" name="Straight Arrow Connector 254"/>
          <xdr:cNvCxnSpPr>
            <a:stCxn id="174" idx="5"/>
            <a:endCxn id="172" idx="1"/>
          </xdr:cNvCxnSpPr>
        </xdr:nvCxnSpPr>
        <xdr:spPr>
          <a:xfrm>
            <a:off x="2596802" y="4345334"/>
            <a:ext cx="4941295" cy="55074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6" name="Text 42"/>
          <xdr:cNvSpPr txBox="1">
            <a:spLocks noChangeArrowheads="1"/>
          </xdr:cNvSpPr>
        </xdr:nvSpPr>
        <xdr:spPr bwMode="auto">
          <a:xfrm>
            <a:off x="6489411" y="4526295"/>
            <a:ext cx="871427" cy="22671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a:solidFill>
                  <a:srgbClr val="3333CC"/>
                </a:solidFill>
                <a:latin typeface="Arial"/>
                <a:cs typeface="Arial"/>
              </a:rPr>
              <a:t>amr/amrc</a:t>
            </a:r>
          </a:p>
          <a:p>
            <a:pPr algn="ctr" rtl="0">
              <a:defRPr sz="1000"/>
            </a:pPr>
            <a:endParaRPr lang="en-US" sz="500" b="0" i="0" u="none" strike="noStrike" baseline="0">
              <a:solidFill>
                <a:srgbClr val="3333CC"/>
              </a:solidFill>
              <a:latin typeface="Arial"/>
              <a:cs typeface="Arial"/>
            </a:endParaRP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371475</xdr:colOff>
          <xdr:row>4</xdr:row>
          <xdr:rowOff>28575</xdr:rowOff>
        </xdr:from>
        <xdr:to>
          <xdr:col>4</xdr:col>
          <xdr:colOff>219075</xdr:colOff>
          <xdr:row>7</xdr:row>
          <xdr:rowOff>85725</xdr:rowOff>
        </xdr:to>
        <xdr:sp macro="" textlink="">
          <xdr:nvSpPr>
            <xdr:cNvPr id="2049" name="Group Box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495300</xdr:colOff>
          <xdr:row>4</xdr:row>
          <xdr:rowOff>66675</xdr:rowOff>
        </xdr:from>
        <xdr:to>
          <xdr:col>3</xdr:col>
          <xdr:colOff>295275</xdr:colOff>
          <xdr:row>5</xdr:row>
          <xdr:rowOff>114300</xdr:rowOff>
        </xdr:to>
        <xdr:sp macro="" textlink="">
          <xdr:nvSpPr>
            <xdr:cNvPr id="2050" name="Option Button 2" hidden="1">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495300</xdr:colOff>
          <xdr:row>5</xdr:row>
          <xdr:rowOff>142875</xdr:rowOff>
        </xdr:from>
        <xdr:to>
          <xdr:col>3</xdr:col>
          <xdr:colOff>295275</xdr:colOff>
          <xdr:row>7</xdr:row>
          <xdr:rowOff>28575</xdr:rowOff>
        </xdr:to>
        <xdr:sp macro="" textlink="">
          <xdr:nvSpPr>
            <xdr:cNvPr id="2051" name="Option Button 3" hidden="1">
              <a:extLst>
                <a:ext uri="{63B3BB69-23CF-44E3-9099-C40C66FF867C}">
                  <a14:compatExt spid="_x0000_s2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Female</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ERD_briggs_student.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od2_Example_3.5f.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Parameters"/>
      <sheetName val="Results"/>
      <sheetName val="CE plane"/>
      <sheetName val="CEA curves"/>
      <sheetName val="MC Results"/>
      <sheetName val="A - PPI Heal &amp; Wait"/>
      <sheetName val="B - PPI Heal &amp; Maintain"/>
      <sheetName val="C - H2 Heal &amp; Maintain"/>
      <sheetName val="D - PA Heal &amp; Maintain PA"/>
      <sheetName val="E - PPI Heal &amp; Maintain H2"/>
      <sheetName val="F - PPI Heal &amp; Maintain LDPPI"/>
    </sheetNames>
    <sheetDataSet>
      <sheetData sheetId="0"/>
      <sheetData sheetId="1">
        <row r="3">
          <cell r="B3">
            <v>0</v>
          </cell>
        </row>
        <row r="18">
          <cell r="B18">
            <v>0.41737747957049187</v>
          </cell>
        </row>
        <row r="19">
          <cell r="B19">
            <v>0.41783866594397834</v>
          </cell>
        </row>
        <row r="20">
          <cell r="B20">
            <v>0.51569905341114508</v>
          </cell>
        </row>
        <row r="21">
          <cell r="B21">
            <v>0.8202464765668569</v>
          </cell>
        </row>
        <row r="22">
          <cell r="B22">
            <v>0.81143070731215539</v>
          </cell>
        </row>
        <row r="25">
          <cell r="B25">
            <v>0.66548042704626331</v>
          </cell>
        </row>
        <row r="26">
          <cell r="B26">
            <v>0.23076923076923078</v>
          </cell>
        </row>
        <row r="27">
          <cell r="B27">
            <v>0.38082191780821917</v>
          </cell>
        </row>
        <row r="28">
          <cell r="B28">
            <v>0.1245944192083063</v>
          </cell>
        </row>
        <row r="29">
          <cell r="B29">
            <v>0.25440528634361231</v>
          </cell>
        </row>
        <row r="30">
          <cell r="B30">
            <v>0.1245944192083063</v>
          </cell>
        </row>
        <row r="31">
          <cell r="B31">
            <v>0.23414634146341465</v>
          </cell>
        </row>
        <row r="32">
          <cell r="B32">
            <v>0.13397129186602871</v>
          </cell>
        </row>
        <row r="33">
          <cell r="B33">
            <v>0.17788461538461539</v>
          </cell>
        </row>
        <row r="34">
          <cell r="B34">
            <v>7.8008298755186722E-2</v>
          </cell>
        </row>
        <row r="35">
          <cell r="B35">
            <v>0.13050570962479607</v>
          </cell>
        </row>
        <row r="38">
          <cell r="B38">
            <v>2.2798800907753947</v>
          </cell>
        </row>
        <row r="41">
          <cell r="B41">
            <v>2.3855888533626253</v>
          </cell>
        </row>
        <row r="42">
          <cell r="B42">
            <v>2.3825237524627134</v>
          </cell>
        </row>
        <row r="43">
          <cell r="B43">
            <v>0.5</v>
          </cell>
        </row>
        <row r="44">
          <cell r="B44">
            <v>12</v>
          </cell>
        </row>
        <row r="45">
          <cell r="B45">
            <v>8</v>
          </cell>
        </row>
        <row r="46">
          <cell r="B46">
            <v>9.2713503359294922</v>
          </cell>
        </row>
        <row r="47">
          <cell r="B47">
            <v>6.1786727874549392</v>
          </cell>
        </row>
        <row r="48">
          <cell r="B48">
            <v>5.6900895076349727</v>
          </cell>
        </row>
        <row r="49">
          <cell r="B49">
            <v>3.8236170408277701</v>
          </cell>
        </row>
        <row r="50">
          <cell r="B50">
            <v>3.8910780939654703</v>
          </cell>
        </row>
        <row r="53">
          <cell r="B53">
            <v>4.1100000000000003</v>
          </cell>
        </row>
        <row r="54">
          <cell r="B54">
            <v>0.44</v>
          </cell>
        </row>
        <row r="55">
          <cell r="B55">
            <v>0.61</v>
          </cell>
        </row>
        <row r="56">
          <cell r="B56">
            <v>2.42</v>
          </cell>
        </row>
        <row r="57">
          <cell r="B57">
            <v>1.93</v>
          </cell>
        </row>
        <row r="58">
          <cell r="B58">
            <v>48.2</v>
          </cell>
        </row>
        <row r="59">
          <cell r="B59">
            <v>28.1</v>
          </cell>
        </row>
        <row r="60">
          <cell r="B60">
            <v>16.25</v>
          </cell>
        </row>
        <row r="61">
          <cell r="B61">
            <v>38.65</v>
          </cell>
        </row>
        <row r="62">
          <cell r="B62">
            <v>23.1</v>
          </cell>
        </row>
        <row r="63">
          <cell r="B63">
            <v>118.22</v>
          </cell>
        </row>
        <row r="64">
          <cell r="B64">
            <v>141.43</v>
          </cell>
        </row>
        <row r="65">
          <cell r="B65">
            <v>84.81</v>
          </cell>
        </row>
        <row r="66">
          <cell r="B66">
            <v>42.77</v>
          </cell>
        </row>
        <row r="67">
          <cell r="B67">
            <v>135.1</v>
          </cell>
        </row>
        <row r="68">
          <cell r="B68">
            <v>2462.6</v>
          </cell>
        </row>
        <row r="76">
          <cell r="B76">
            <v>3.5000000000000003E-2</v>
          </cell>
        </row>
        <row r="77">
          <cell r="B77">
            <v>0.1</v>
          </cell>
        </row>
        <row r="78">
          <cell r="B78">
            <v>7.0000000000000007E-2</v>
          </cell>
        </row>
        <row r="79">
          <cell r="B79">
            <v>2.5</v>
          </cell>
        </row>
        <row r="80">
          <cell r="B80">
            <v>1.5</v>
          </cell>
        </row>
        <row r="82">
          <cell r="B82">
            <v>0.01</v>
          </cell>
        </row>
        <row r="83">
          <cell r="B83">
            <v>0.01</v>
          </cell>
        </row>
        <row r="84">
          <cell r="B84">
            <v>0.6</v>
          </cell>
        </row>
        <row r="85">
          <cell r="B85">
            <v>0.08</v>
          </cell>
        </row>
        <row r="89">
          <cell r="B89">
            <v>0.85799999999999998</v>
          </cell>
        </row>
        <row r="92">
          <cell r="B92">
            <v>116.223</v>
          </cell>
        </row>
        <row r="93">
          <cell r="B93">
            <v>167.55799999999999</v>
          </cell>
        </row>
        <row r="96">
          <cell r="B96">
            <v>139.63</v>
          </cell>
        </row>
        <row r="97">
          <cell r="B97">
            <v>174.33199999999999</v>
          </cell>
        </row>
        <row r="98">
          <cell r="B98">
            <v>313.55100000000004</v>
          </cell>
        </row>
        <row r="99">
          <cell r="B99">
            <v>452.77</v>
          </cell>
        </row>
        <row r="100">
          <cell r="B100">
            <v>251.81099999999998</v>
          </cell>
        </row>
        <row r="101">
          <cell r="B101">
            <v>363.59</v>
          </cell>
        </row>
        <row r="102">
          <cell r="B102">
            <v>275.14999999999998</v>
          </cell>
        </row>
        <row r="103">
          <cell r="B103">
            <v>52.884</v>
          </cell>
        </row>
        <row r="105">
          <cell r="B105">
            <v>209.07000000000002</v>
          </cell>
        </row>
        <row r="106">
          <cell r="B106">
            <v>123.67</v>
          </cell>
        </row>
        <row r="107">
          <cell r="B107">
            <v>159.06299999999999</v>
          </cell>
        </row>
        <row r="108">
          <cell r="B108">
            <v>229.43799999999999</v>
          </cell>
        </row>
        <row r="109">
          <cell r="B109">
            <v>102.675</v>
          </cell>
        </row>
        <row r="110">
          <cell r="B110">
            <v>102.675</v>
          </cell>
        </row>
        <row r="111">
          <cell r="B111">
            <v>138.3194</v>
          </cell>
        </row>
        <row r="112">
          <cell r="B112">
            <v>186.19719999999998</v>
          </cell>
        </row>
      </sheetData>
      <sheetData sheetId="2"/>
      <sheetData sheetId="3" refreshError="1"/>
      <sheetData sheetId="4" refreshError="1"/>
      <sheetData sheetId="5">
        <row r="2">
          <cell r="U2">
            <v>5000</v>
          </cell>
        </row>
      </sheetData>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Figure"/>
      <sheetName val="Analysis"/>
      <sheetName val="Parameters"/>
      <sheetName val="Life tables"/>
      <sheetName val="Hazard function"/>
      <sheetName val="Standard"/>
      <sheetName val="NP1"/>
      <sheetName val="Macros"/>
    </sheetNames>
    <sheetDataSet>
      <sheetData sheetId="0" refreshError="1"/>
      <sheetData sheetId="1" refreshError="1"/>
      <sheetData sheetId="2">
        <row r="16">
          <cell r="B16">
            <v>0.02</v>
          </cell>
        </row>
        <row r="17">
          <cell r="B17">
            <v>0.02</v>
          </cell>
        </row>
        <row r="18">
          <cell r="B18">
            <v>0.04</v>
          </cell>
        </row>
        <row r="22">
          <cell r="B22">
            <v>-5.4909350000000003</v>
          </cell>
        </row>
        <row r="23">
          <cell r="B23">
            <v>-3.6702199999999997E-2</v>
          </cell>
        </row>
        <row r="24">
          <cell r="B24">
            <v>0.768536</v>
          </cell>
        </row>
      </sheetData>
      <sheetData sheetId="3" refreshError="1"/>
      <sheetData sheetId="4" refreshError="1"/>
      <sheetData sheetId="5">
        <row r="7">
          <cell r="C7">
            <v>4.5587359988585874E-4</v>
          </cell>
        </row>
        <row r="8">
          <cell r="C8">
            <v>7.9265538125916635E-4</v>
          </cell>
        </row>
        <row r="9">
          <cell r="C9">
            <v>1.0023202487118299E-3</v>
          </cell>
        </row>
        <row r="10">
          <cell r="C10">
            <v>1.1684809383689654E-3</v>
          </cell>
        </row>
        <row r="11">
          <cell r="C11">
            <v>1.309944799567142E-3</v>
          </cell>
        </row>
        <row r="12">
          <cell r="C12">
            <v>1.4349523261396602E-3</v>
          </cell>
        </row>
        <row r="13">
          <cell r="C13">
            <v>1.5479957647099862E-3</v>
          </cell>
        </row>
        <row r="14">
          <cell r="C14">
            <v>1.6518431162551028E-3</v>
          </cell>
        </row>
        <row r="15">
          <cell r="C15">
            <v>1.7483419148011103E-3</v>
          </cell>
        </row>
        <row r="16">
          <cell r="C16">
            <v>1.8387973086411158E-3</v>
          </cell>
        </row>
        <row r="17">
          <cell r="C17">
            <v>1.9241713306532571E-3</v>
          </cell>
        </row>
        <row r="18">
          <cell r="C18">
            <v>2.0051969719669938E-3</v>
          </cell>
        </row>
        <row r="19">
          <cell r="C19">
            <v>2.0824477370303685E-3</v>
          </cell>
        </row>
        <row r="20">
          <cell r="C20">
            <v>2.1563822245680431E-3</v>
          </cell>
        </row>
        <row r="21">
          <cell r="C21">
            <v>2.2273738841613877E-3</v>
          </cell>
        </row>
        <row r="22">
          <cell r="C22">
            <v>2.295731557633518E-3</v>
          </cell>
        </row>
        <row r="23">
          <cell r="C23">
            <v>2.361714067431353E-3</v>
          </cell>
        </row>
        <row r="24">
          <cell r="C24">
            <v>2.425540832006079E-3</v>
          </cell>
        </row>
        <row r="25">
          <cell r="C25">
            <v>2.4873997543983783E-3</v>
          </cell>
        </row>
        <row r="26">
          <cell r="C26">
            <v>2.5474531933036282E-3</v>
          </cell>
        </row>
        <row r="27">
          <cell r="C27">
            <v>2.6058425566612975E-3</v>
          </cell>
        </row>
        <row r="28">
          <cell r="C28">
            <v>2.6626918868932758E-3</v>
          </cell>
        </row>
        <row r="29">
          <cell r="C29">
            <v>2.7181106954937695E-3</v>
          </cell>
        </row>
        <row r="30">
          <cell r="C30">
            <v>2.7721962303374204E-3</v>
          </cell>
        </row>
        <row r="31">
          <cell r="C31">
            <v>2.8250353084126045E-3</v>
          </cell>
        </row>
        <row r="32">
          <cell r="C32">
            <v>2.8767058115199973E-3</v>
          </cell>
        </row>
        <row r="33">
          <cell r="C33">
            <v>2.9272779176283681E-3</v>
          </cell>
        </row>
        <row r="34">
          <cell r="C34">
            <v>2.9768151227684836E-3</v>
          </cell>
        </row>
        <row r="35">
          <cell r="C35">
            <v>3.0253750953738168E-3</v>
          </cell>
        </row>
        <row r="36">
          <cell r="C36">
            <v>3.0730103954259569E-3</v>
          </cell>
        </row>
        <row r="37">
          <cell r="C37">
            <v>3.1197690836320957E-3</v>
          </cell>
        </row>
        <row r="38">
          <cell r="C38">
            <v>3.1656952404857108E-3</v>
          </cell>
        </row>
        <row r="39">
          <cell r="C39">
            <v>3.2108294109639557E-3</v>
          </cell>
        </row>
        <row r="40">
          <cell r="C40">
            <v>3.2552089874650081E-3</v>
          </cell>
        </row>
        <row r="41">
          <cell r="C41">
            <v>3.2988685411393659E-3</v>
          </cell>
        </row>
        <row r="42">
          <cell r="C42">
            <v>3.3418401098594952E-3</v>
          </cell>
        </row>
        <row r="43">
          <cell r="C43">
            <v>3.3841534495534509E-3</v>
          </cell>
        </row>
        <row r="44">
          <cell r="C44">
            <v>3.4258362544402621E-3</v>
          </cell>
        </row>
        <row r="45">
          <cell r="C45">
            <v>3.4669143507320976E-3</v>
          </cell>
        </row>
        <row r="46">
          <cell r="C46">
            <v>3.5074118676067245E-3</v>
          </cell>
        </row>
        <row r="47">
          <cell r="C47">
            <v>3.5473513886211672E-3</v>
          </cell>
        </row>
        <row r="48">
          <cell r="C48">
            <v>3.5867540862291047E-3</v>
          </cell>
        </row>
        <row r="49">
          <cell r="C49">
            <v>3.6256398416483204E-3</v>
          </cell>
        </row>
        <row r="50">
          <cell r="C50">
            <v>3.6640273519783495E-3</v>
          </cell>
        </row>
        <row r="51">
          <cell r="C51">
            <v>3.701934226185033E-3</v>
          </cell>
        </row>
        <row r="52">
          <cell r="C52">
            <v>3.7393770713346486E-3</v>
          </cell>
        </row>
        <row r="53">
          <cell r="C53">
            <v>3.7763715702551215E-3</v>
          </cell>
        </row>
        <row r="54">
          <cell r="C54">
            <v>3.8129325516462753E-3</v>
          </cell>
        </row>
        <row r="55">
          <cell r="C55">
            <v>3.8490740535132018E-3</v>
          </cell>
        </row>
        <row r="56">
          <cell r="C56">
            <v>3.8848093806849171E-3</v>
          </cell>
        </row>
        <row r="57">
          <cell r="C57">
            <v>3.9201511570746694E-3</v>
          </cell>
        </row>
        <row r="58">
          <cell r="C58">
            <v>3.9551113732601006E-3</v>
          </cell>
        </row>
        <row r="59">
          <cell r="C59">
            <v>3.9897014298826416E-3</v>
          </cell>
        </row>
        <row r="60">
          <cell r="C60">
            <v>4.0239321773068992E-3</v>
          </cell>
        </row>
        <row r="61">
          <cell r="C61">
            <v>4.0578139519237277E-3</v>
          </cell>
        </row>
        <row r="62">
          <cell r="C62">
            <v>4.0913566094415987E-3</v>
          </cell>
        </row>
        <row r="63">
          <cell r="C63">
            <v>4.1245695554602557E-3</v>
          </cell>
        </row>
        <row r="64">
          <cell r="C64">
            <v>4.1574617735983255E-3</v>
          </cell>
        </row>
        <row r="65">
          <cell r="C65">
            <v>4.1900418514030369E-3</v>
          </cell>
        </row>
        <row r="66">
          <cell r="C66">
            <v>4.2223180042564312E-3</v>
          </cell>
        </row>
      </sheetData>
      <sheetData sheetId="6" refreshError="1"/>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41"/>
  <sheetViews>
    <sheetView topLeftCell="A13" zoomScale="115" zoomScaleNormal="115" workbookViewId="0">
      <selection activeCell="R24" sqref="R24"/>
    </sheetView>
  </sheetViews>
  <sheetFormatPr defaultRowHeight="15" x14ac:dyDescent="0.25"/>
  <sheetData>
    <row r="1" spans="1:1" ht="15.75" x14ac:dyDescent="0.25">
      <c r="A1" s="1" t="s">
        <v>137</v>
      </c>
    </row>
    <row r="2" spans="1:1" x14ac:dyDescent="0.25">
      <c r="A2" s="2" t="s">
        <v>0</v>
      </c>
    </row>
    <row r="4" spans="1:1" x14ac:dyDescent="0.25">
      <c r="A4" s="2" t="s">
        <v>173</v>
      </c>
    </row>
    <row r="17" spans="1:1" x14ac:dyDescent="0.25">
      <c r="A17" s="2" t="s">
        <v>174</v>
      </c>
    </row>
    <row r="38" spans="1:1" x14ac:dyDescent="0.25">
      <c r="A38" t="s">
        <v>3</v>
      </c>
    </row>
    <row r="39" spans="1:1" x14ac:dyDescent="0.25">
      <c r="A39" t="s">
        <v>4</v>
      </c>
    </row>
    <row r="40" spans="1:1" x14ac:dyDescent="0.25">
      <c r="A40" t="s">
        <v>1</v>
      </c>
    </row>
    <row r="41" spans="1:1" x14ac:dyDescent="0.25">
      <c r="A41" s="3" t="s">
        <v>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L24"/>
  <sheetViews>
    <sheetView workbookViewId="0">
      <selection activeCell="I7" sqref="I7"/>
    </sheetView>
  </sheetViews>
  <sheetFormatPr defaultRowHeight="12.75" x14ac:dyDescent="0.2"/>
  <cols>
    <col min="1" max="1" width="5.85546875" style="4" customWidth="1"/>
    <col min="2" max="2" width="4.7109375" style="4" customWidth="1"/>
    <col min="3" max="3" width="10.5703125" style="4" bestFit="1" customWidth="1"/>
    <col min="4" max="4" width="9.7109375" style="4" bestFit="1" customWidth="1"/>
    <col min="5" max="5" width="9.140625" style="4"/>
    <col min="6" max="6" width="4" style="4" customWidth="1"/>
    <col min="7" max="7" width="5" style="4" customWidth="1"/>
    <col min="8" max="8" width="5.28515625" style="4" customWidth="1"/>
    <col min="9" max="11" width="9.140625" style="4"/>
    <col min="12" max="12" width="5.140625" style="4" customWidth="1"/>
    <col min="13" max="16384" width="9.140625" style="4"/>
  </cols>
  <sheetData>
    <row r="1" spans="1:12" ht="15.75" x14ac:dyDescent="0.25">
      <c r="A1" s="22" t="s">
        <v>177</v>
      </c>
    </row>
    <row r="4" spans="1:12" x14ac:dyDescent="0.2">
      <c r="B4" s="21" t="s">
        <v>17</v>
      </c>
      <c r="C4" s="21"/>
      <c r="D4" s="21"/>
      <c r="E4" s="21"/>
      <c r="F4" s="21"/>
      <c r="H4" s="20" t="s">
        <v>16</v>
      </c>
      <c r="I4" s="19"/>
      <c r="J4" s="19"/>
      <c r="K4" s="19"/>
      <c r="L4" s="19"/>
    </row>
    <row r="5" spans="1:12" x14ac:dyDescent="0.2">
      <c r="B5" s="15"/>
      <c r="C5" s="15"/>
      <c r="D5" s="15"/>
      <c r="E5" s="15"/>
      <c r="F5" s="15"/>
      <c r="H5" s="14"/>
      <c r="I5" s="14"/>
      <c r="J5" s="14"/>
      <c r="K5" s="14"/>
      <c r="L5" s="14"/>
    </row>
    <row r="6" spans="1:12" x14ac:dyDescent="0.2">
      <c r="B6" s="15"/>
      <c r="C6" s="15"/>
      <c r="D6" s="15"/>
      <c r="E6" s="15"/>
      <c r="F6" s="15"/>
      <c r="H6" s="14"/>
      <c r="I6" s="18">
        <v>40</v>
      </c>
      <c r="J6" s="17" t="s">
        <v>15</v>
      </c>
      <c r="K6" s="17"/>
      <c r="L6" s="14"/>
    </row>
    <row r="7" spans="1:12" x14ac:dyDescent="0.2">
      <c r="B7" s="15"/>
      <c r="C7" s="15"/>
      <c r="D7" s="15"/>
      <c r="E7" s="15"/>
      <c r="F7" s="15"/>
      <c r="H7" s="14"/>
      <c r="I7" s="16" t="s">
        <v>14</v>
      </c>
      <c r="J7" s="14"/>
      <c r="K7" s="14"/>
      <c r="L7" s="14"/>
    </row>
    <row r="8" spans="1:12" x14ac:dyDescent="0.2">
      <c r="B8" s="15"/>
      <c r="C8" s="15"/>
      <c r="D8" s="15"/>
      <c r="E8" s="15"/>
      <c r="F8" s="15"/>
      <c r="H8" s="14"/>
      <c r="I8" s="14"/>
      <c r="J8" s="14"/>
      <c r="K8" s="14"/>
      <c r="L8" s="14"/>
    </row>
    <row r="10" spans="1:12" x14ac:dyDescent="0.2">
      <c r="B10" s="13" t="s">
        <v>13</v>
      </c>
      <c r="C10" s="12"/>
      <c r="D10" s="12"/>
      <c r="E10" s="12"/>
      <c r="F10" s="12"/>
    </row>
    <row r="11" spans="1:12" x14ac:dyDescent="0.2">
      <c r="B11" s="5"/>
      <c r="C11" s="5"/>
      <c r="D11" s="5"/>
      <c r="E11" s="5"/>
      <c r="F11" s="5"/>
    </row>
    <row r="12" spans="1:12" x14ac:dyDescent="0.2">
      <c r="B12" s="5"/>
      <c r="C12" s="7" t="s">
        <v>12</v>
      </c>
      <c r="D12" s="7" t="s">
        <v>11</v>
      </c>
      <c r="E12" s="7" t="s">
        <v>10</v>
      </c>
      <c r="F12" s="5"/>
    </row>
    <row r="13" spans="1:12" x14ac:dyDescent="0.2">
      <c r="B13" s="5"/>
      <c r="C13" s="5"/>
      <c r="D13" s="5"/>
      <c r="E13" s="5"/>
      <c r="F13" s="5"/>
    </row>
    <row r="14" spans="1:12" ht="15" x14ac:dyDescent="0.25">
      <c r="B14" s="5"/>
      <c r="C14" s="80" t="s">
        <v>37</v>
      </c>
      <c r="D14" s="114">
        <f>'UC '!W841</f>
        <v>3293.2216600262072</v>
      </c>
      <c r="E14" s="11">
        <f>'UC '!Y841</f>
        <v>21.811831150834614</v>
      </c>
      <c r="F14" s="10"/>
    </row>
    <row r="15" spans="1:12" ht="15" x14ac:dyDescent="0.25">
      <c r="B15" s="5"/>
      <c r="C15" s="80" t="s">
        <v>38</v>
      </c>
      <c r="D15" s="114">
        <f>'PH + UC'!W841</f>
        <v>3320.8151160606171</v>
      </c>
      <c r="E15" s="11">
        <f>'PH + UC'!Y841</f>
        <v>21.873327757399995</v>
      </c>
      <c r="F15" s="10"/>
    </row>
    <row r="16" spans="1:12" ht="15" x14ac:dyDescent="0.25">
      <c r="B16" s="5"/>
      <c r="C16" s="5" t="s">
        <v>9</v>
      </c>
      <c r="D16" s="114">
        <f>D15-D14</f>
        <v>27.593456034409883</v>
      </c>
      <c r="E16" s="11">
        <f>E15-E14</f>
        <v>6.1496606565381029E-2</v>
      </c>
      <c r="F16" s="10"/>
    </row>
    <row r="17" spans="2:6" ht="15" x14ac:dyDescent="0.25">
      <c r="B17" s="5"/>
      <c r="C17" s="5"/>
      <c r="D17" s="9"/>
      <c r="E17" s="8"/>
      <c r="F17" s="10"/>
    </row>
    <row r="18" spans="2:6" ht="15" x14ac:dyDescent="0.25">
      <c r="B18" s="5"/>
      <c r="C18" s="5" t="s">
        <v>8</v>
      </c>
      <c r="D18" s="9"/>
      <c r="E18" s="8"/>
      <c r="F18" s="10"/>
    </row>
    <row r="19" spans="2:6" ht="15" x14ac:dyDescent="0.25">
      <c r="B19" s="5"/>
      <c r="C19" s="80" t="s">
        <v>39</v>
      </c>
      <c r="D19" s="114">
        <f>D16/E16</f>
        <v>448.69884007459001</v>
      </c>
      <c r="E19" s="7" t="s">
        <v>5</v>
      </c>
      <c r="F19" s="5"/>
    </row>
    <row r="20" spans="2:6" ht="15" x14ac:dyDescent="0.25">
      <c r="B20" s="5"/>
      <c r="C20" s="5"/>
      <c r="D20" s="6"/>
      <c r="E20" s="5"/>
      <c r="F20" s="5"/>
    </row>
    <row r="21" spans="2:6" ht="15" x14ac:dyDescent="0.25">
      <c r="B21" s="5"/>
      <c r="C21" s="5" t="s">
        <v>7</v>
      </c>
      <c r="D21" s="9"/>
      <c r="E21" s="8"/>
      <c r="F21" s="5"/>
    </row>
    <row r="22" spans="2:6" ht="15" x14ac:dyDescent="0.25">
      <c r="B22" s="5"/>
      <c r="C22" s="5" t="s">
        <v>6</v>
      </c>
      <c r="D22" s="114">
        <v>50000</v>
      </c>
      <c r="E22" s="7" t="s">
        <v>5</v>
      </c>
      <c r="F22" s="5"/>
    </row>
    <row r="23" spans="2:6" ht="15" x14ac:dyDescent="0.25">
      <c r="B23" s="5"/>
      <c r="C23" s="80" t="s">
        <v>39</v>
      </c>
      <c r="D23" s="114">
        <f>D22*E16-D16</f>
        <v>3047.2368722346414</v>
      </c>
      <c r="E23" s="7" t="s">
        <v>5</v>
      </c>
      <c r="F23" s="5"/>
    </row>
    <row r="24" spans="2:6" ht="15" x14ac:dyDescent="0.25">
      <c r="B24" s="5"/>
      <c r="C24" s="5"/>
      <c r="D24" s="6"/>
      <c r="E24" s="5"/>
      <c r="F24" s="5"/>
    </row>
  </sheetData>
  <conditionalFormatting sqref="I6">
    <cfRule type="cellIs" priority="1" stopIfTrue="1" operator="between">
      <formula>40</formula>
      <formula>90</formula>
    </cfRule>
  </conditionalFormatting>
  <dataValidations count="1">
    <dataValidation type="whole" allowBlank="1" showInputMessage="1" showErrorMessage="1" sqref="I6 JE6 TA6 ACW6 AMS6 AWO6 BGK6 BQG6 CAC6 CJY6 CTU6 DDQ6 DNM6 DXI6 EHE6 ERA6 FAW6 FKS6 FUO6 GEK6 GOG6 GYC6 HHY6 HRU6 IBQ6 ILM6 IVI6 JFE6 JPA6 JYW6 KIS6 KSO6 LCK6 LMG6 LWC6 MFY6 MPU6 MZQ6 NJM6 NTI6 ODE6 ONA6 OWW6 PGS6 PQO6 QAK6 QKG6 QUC6 RDY6 RNU6 RXQ6 SHM6 SRI6 TBE6 TLA6 TUW6 UES6 UOO6 UYK6 VIG6 VSC6 WBY6 WLU6 WVQ6 I65542 JE65542 TA65542 ACW65542 AMS65542 AWO65542 BGK65542 BQG65542 CAC65542 CJY65542 CTU65542 DDQ65542 DNM65542 DXI65542 EHE65542 ERA65542 FAW65542 FKS65542 FUO65542 GEK65542 GOG65542 GYC65542 HHY65542 HRU65542 IBQ65542 ILM65542 IVI65542 JFE65542 JPA65542 JYW65542 KIS65542 KSO65542 LCK65542 LMG65542 LWC65542 MFY65542 MPU65542 MZQ65542 NJM65542 NTI65542 ODE65542 ONA65542 OWW65542 PGS65542 PQO65542 QAK65542 QKG65542 QUC65542 RDY65542 RNU65542 RXQ65542 SHM65542 SRI65542 TBE65542 TLA65542 TUW65542 UES65542 UOO65542 UYK65542 VIG65542 VSC65542 WBY65542 WLU65542 WVQ65542 I131078 JE131078 TA131078 ACW131078 AMS131078 AWO131078 BGK131078 BQG131078 CAC131078 CJY131078 CTU131078 DDQ131078 DNM131078 DXI131078 EHE131078 ERA131078 FAW131078 FKS131078 FUO131078 GEK131078 GOG131078 GYC131078 HHY131078 HRU131078 IBQ131078 ILM131078 IVI131078 JFE131078 JPA131078 JYW131078 KIS131078 KSO131078 LCK131078 LMG131078 LWC131078 MFY131078 MPU131078 MZQ131078 NJM131078 NTI131078 ODE131078 ONA131078 OWW131078 PGS131078 PQO131078 QAK131078 QKG131078 QUC131078 RDY131078 RNU131078 RXQ131078 SHM131078 SRI131078 TBE131078 TLA131078 TUW131078 UES131078 UOO131078 UYK131078 VIG131078 VSC131078 WBY131078 WLU131078 WVQ131078 I196614 JE196614 TA196614 ACW196614 AMS196614 AWO196614 BGK196614 BQG196614 CAC196614 CJY196614 CTU196614 DDQ196614 DNM196614 DXI196614 EHE196614 ERA196614 FAW196614 FKS196614 FUO196614 GEK196614 GOG196614 GYC196614 HHY196614 HRU196614 IBQ196614 ILM196614 IVI196614 JFE196614 JPA196614 JYW196614 KIS196614 KSO196614 LCK196614 LMG196614 LWC196614 MFY196614 MPU196614 MZQ196614 NJM196614 NTI196614 ODE196614 ONA196614 OWW196614 PGS196614 PQO196614 QAK196614 QKG196614 QUC196614 RDY196614 RNU196614 RXQ196614 SHM196614 SRI196614 TBE196614 TLA196614 TUW196614 UES196614 UOO196614 UYK196614 VIG196614 VSC196614 WBY196614 WLU196614 WVQ196614 I262150 JE262150 TA262150 ACW262150 AMS262150 AWO262150 BGK262150 BQG262150 CAC262150 CJY262150 CTU262150 DDQ262150 DNM262150 DXI262150 EHE262150 ERA262150 FAW262150 FKS262150 FUO262150 GEK262150 GOG262150 GYC262150 HHY262150 HRU262150 IBQ262150 ILM262150 IVI262150 JFE262150 JPA262150 JYW262150 KIS262150 KSO262150 LCK262150 LMG262150 LWC262150 MFY262150 MPU262150 MZQ262150 NJM262150 NTI262150 ODE262150 ONA262150 OWW262150 PGS262150 PQO262150 QAK262150 QKG262150 QUC262150 RDY262150 RNU262150 RXQ262150 SHM262150 SRI262150 TBE262150 TLA262150 TUW262150 UES262150 UOO262150 UYK262150 VIG262150 VSC262150 WBY262150 WLU262150 WVQ262150 I327686 JE327686 TA327686 ACW327686 AMS327686 AWO327686 BGK327686 BQG327686 CAC327686 CJY327686 CTU327686 DDQ327686 DNM327686 DXI327686 EHE327686 ERA327686 FAW327686 FKS327686 FUO327686 GEK327686 GOG327686 GYC327686 HHY327686 HRU327686 IBQ327686 ILM327686 IVI327686 JFE327686 JPA327686 JYW327686 KIS327686 KSO327686 LCK327686 LMG327686 LWC327686 MFY327686 MPU327686 MZQ327686 NJM327686 NTI327686 ODE327686 ONA327686 OWW327686 PGS327686 PQO327686 QAK327686 QKG327686 QUC327686 RDY327686 RNU327686 RXQ327686 SHM327686 SRI327686 TBE327686 TLA327686 TUW327686 UES327686 UOO327686 UYK327686 VIG327686 VSC327686 WBY327686 WLU327686 WVQ327686 I393222 JE393222 TA393222 ACW393222 AMS393222 AWO393222 BGK393222 BQG393222 CAC393222 CJY393222 CTU393222 DDQ393222 DNM393222 DXI393222 EHE393222 ERA393222 FAW393222 FKS393222 FUO393222 GEK393222 GOG393222 GYC393222 HHY393222 HRU393222 IBQ393222 ILM393222 IVI393222 JFE393222 JPA393222 JYW393222 KIS393222 KSO393222 LCK393222 LMG393222 LWC393222 MFY393222 MPU393222 MZQ393222 NJM393222 NTI393222 ODE393222 ONA393222 OWW393222 PGS393222 PQO393222 QAK393222 QKG393222 QUC393222 RDY393222 RNU393222 RXQ393222 SHM393222 SRI393222 TBE393222 TLA393222 TUW393222 UES393222 UOO393222 UYK393222 VIG393222 VSC393222 WBY393222 WLU393222 WVQ393222 I458758 JE458758 TA458758 ACW458758 AMS458758 AWO458758 BGK458758 BQG458758 CAC458758 CJY458758 CTU458758 DDQ458758 DNM458758 DXI458758 EHE458758 ERA458758 FAW458758 FKS458758 FUO458758 GEK458758 GOG458758 GYC458758 HHY458758 HRU458758 IBQ458758 ILM458758 IVI458758 JFE458758 JPA458758 JYW458758 KIS458758 KSO458758 LCK458758 LMG458758 LWC458758 MFY458758 MPU458758 MZQ458758 NJM458758 NTI458758 ODE458758 ONA458758 OWW458758 PGS458758 PQO458758 QAK458758 QKG458758 QUC458758 RDY458758 RNU458758 RXQ458758 SHM458758 SRI458758 TBE458758 TLA458758 TUW458758 UES458758 UOO458758 UYK458758 VIG458758 VSC458758 WBY458758 WLU458758 WVQ458758 I524294 JE524294 TA524294 ACW524294 AMS524294 AWO524294 BGK524294 BQG524294 CAC524294 CJY524294 CTU524294 DDQ524294 DNM524294 DXI524294 EHE524294 ERA524294 FAW524294 FKS524294 FUO524294 GEK524294 GOG524294 GYC524294 HHY524294 HRU524294 IBQ524294 ILM524294 IVI524294 JFE524294 JPA524294 JYW524294 KIS524294 KSO524294 LCK524294 LMG524294 LWC524294 MFY524294 MPU524294 MZQ524294 NJM524294 NTI524294 ODE524294 ONA524294 OWW524294 PGS524294 PQO524294 QAK524294 QKG524294 QUC524294 RDY524294 RNU524294 RXQ524294 SHM524294 SRI524294 TBE524294 TLA524294 TUW524294 UES524294 UOO524294 UYK524294 VIG524294 VSC524294 WBY524294 WLU524294 WVQ524294 I589830 JE589830 TA589830 ACW589830 AMS589830 AWO589830 BGK589830 BQG589830 CAC589830 CJY589830 CTU589830 DDQ589830 DNM589830 DXI589830 EHE589830 ERA589830 FAW589830 FKS589830 FUO589830 GEK589830 GOG589830 GYC589830 HHY589830 HRU589830 IBQ589830 ILM589830 IVI589830 JFE589830 JPA589830 JYW589830 KIS589830 KSO589830 LCK589830 LMG589830 LWC589830 MFY589830 MPU589830 MZQ589830 NJM589830 NTI589830 ODE589830 ONA589830 OWW589830 PGS589830 PQO589830 QAK589830 QKG589830 QUC589830 RDY589830 RNU589830 RXQ589830 SHM589830 SRI589830 TBE589830 TLA589830 TUW589830 UES589830 UOO589830 UYK589830 VIG589830 VSC589830 WBY589830 WLU589830 WVQ589830 I655366 JE655366 TA655366 ACW655366 AMS655366 AWO655366 BGK655366 BQG655366 CAC655366 CJY655366 CTU655366 DDQ655366 DNM655366 DXI655366 EHE655366 ERA655366 FAW655366 FKS655366 FUO655366 GEK655366 GOG655366 GYC655366 HHY655366 HRU655366 IBQ655366 ILM655366 IVI655366 JFE655366 JPA655366 JYW655366 KIS655366 KSO655366 LCK655366 LMG655366 LWC655366 MFY655366 MPU655366 MZQ655366 NJM655366 NTI655366 ODE655366 ONA655366 OWW655366 PGS655366 PQO655366 QAK655366 QKG655366 QUC655366 RDY655366 RNU655366 RXQ655366 SHM655366 SRI655366 TBE655366 TLA655366 TUW655366 UES655366 UOO655366 UYK655366 VIG655366 VSC655366 WBY655366 WLU655366 WVQ655366 I720902 JE720902 TA720902 ACW720902 AMS720902 AWO720902 BGK720902 BQG720902 CAC720902 CJY720902 CTU720902 DDQ720902 DNM720902 DXI720902 EHE720902 ERA720902 FAW720902 FKS720902 FUO720902 GEK720902 GOG720902 GYC720902 HHY720902 HRU720902 IBQ720902 ILM720902 IVI720902 JFE720902 JPA720902 JYW720902 KIS720902 KSO720902 LCK720902 LMG720902 LWC720902 MFY720902 MPU720902 MZQ720902 NJM720902 NTI720902 ODE720902 ONA720902 OWW720902 PGS720902 PQO720902 QAK720902 QKG720902 QUC720902 RDY720902 RNU720902 RXQ720902 SHM720902 SRI720902 TBE720902 TLA720902 TUW720902 UES720902 UOO720902 UYK720902 VIG720902 VSC720902 WBY720902 WLU720902 WVQ720902 I786438 JE786438 TA786438 ACW786438 AMS786438 AWO786438 BGK786438 BQG786438 CAC786438 CJY786438 CTU786438 DDQ786438 DNM786438 DXI786438 EHE786438 ERA786438 FAW786438 FKS786438 FUO786438 GEK786438 GOG786438 GYC786438 HHY786438 HRU786438 IBQ786438 ILM786438 IVI786438 JFE786438 JPA786438 JYW786438 KIS786438 KSO786438 LCK786438 LMG786438 LWC786438 MFY786438 MPU786438 MZQ786438 NJM786438 NTI786438 ODE786438 ONA786438 OWW786438 PGS786438 PQO786438 QAK786438 QKG786438 QUC786438 RDY786438 RNU786438 RXQ786438 SHM786438 SRI786438 TBE786438 TLA786438 TUW786438 UES786438 UOO786438 UYK786438 VIG786438 VSC786438 WBY786438 WLU786438 WVQ786438 I851974 JE851974 TA851974 ACW851974 AMS851974 AWO851974 BGK851974 BQG851974 CAC851974 CJY851974 CTU851974 DDQ851974 DNM851974 DXI851974 EHE851974 ERA851974 FAW851974 FKS851974 FUO851974 GEK851974 GOG851974 GYC851974 HHY851974 HRU851974 IBQ851974 ILM851974 IVI851974 JFE851974 JPA851974 JYW851974 KIS851974 KSO851974 LCK851974 LMG851974 LWC851974 MFY851974 MPU851974 MZQ851974 NJM851974 NTI851974 ODE851974 ONA851974 OWW851974 PGS851974 PQO851974 QAK851974 QKG851974 QUC851974 RDY851974 RNU851974 RXQ851974 SHM851974 SRI851974 TBE851974 TLA851974 TUW851974 UES851974 UOO851974 UYK851974 VIG851974 VSC851974 WBY851974 WLU851974 WVQ851974 I917510 JE917510 TA917510 ACW917510 AMS917510 AWO917510 BGK917510 BQG917510 CAC917510 CJY917510 CTU917510 DDQ917510 DNM917510 DXI917510 EHE917510 ERA917510 FAW917510 FKS917510 FUO917510 GEK917510 GOG917510 GYC917510 HHY917510 HRU917510 IBQ917510 ILM917510 IVI917510 JFE917510 JPA917510 JYW917510 KIS917510 KSO917510 LCK917510 LMG917510 LWC917510 MFY917510 MPU917510 MZQ917510 NJM917510 NTI917510 ODE917510 ONA917510 OWW917510 PGS917510 PQO917510 QAK917510 QKG917510 QUC917510 RDY917510 RNU917510 RXQ917510 SHM917510 SRI917510 TBE917510 TLA917510 TUW917510 UES917510 UOO917510 UYK917510 VIG917510 VSC917510 WBY917510 WLU917510 WVQ917510 I983046 JE983046 TA983046 ACW983046 AMS983046 AWO983046 BGK983046 BQG983046 CAC983046 CJY983046 CTU983046 DDQ983046 DNM983046 DXI983046 EHE983046 ERA983046 FAW983046 FKS983046 FUO983046 GEK983046 GOG983046 GYC983046 HHY983046 HRU983046 IBQ983046 ILM983046 IVI983046 JFE983046 JPA983046 JYW983046 KIS983046 KSO983046 LCK983046 LMG983046 LWC983046 MFY983046 MPU983046 MZQ983046 NJM983046 NTI983046 ODE983046 ONA983046 OWW983046 PGS983046 PQO983046 QAK983046 QKG983046 QUC983046 RDY983046 RNU983046 RXQ983046 SHM983046 SRI983046 TBE983046 TLA983046 TUW983046 UES983046 UOO983046 UYK983046 VIG983046 VSC983046 WBY983046 WLU983046 WVQ983046">
      <formula1>40</formula1>
      <formula2>90</formula2>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Group Box 1">
              <controlPr defaultSize="0" autoFill="0" autoPict="0">
                <anchor moveWithCells="1">
                  <from>
                    <xdr:col>1</xdr:col>
                    <xdr:colOff>371475</xdr:colOff>
                    <xdr:row>4</xdr:row>
                    <xdr:rowOff>28575</xdr:rowOff>
                  </from>
                  <to>
                    <xdr:col>4</xdr:col>
                    <xdr:colOff>219075</xdr:colOff>
                    <xdr:row>7</xdr:row>
                    <xdr:rowOff>85725</xdr:rowOff>
                  </to>
                </anchor>
              </controlPr>
            </control>
          </mc:Choice>
        </mc:AlternateContent>
        <mc:AlternateContent xmlns:mc="http://schemas.openxmlformats.org/markup-compatibility/2006">
          <mc:Choice Requires="x14">
            <control shapeId="2050" r:id="rId5" name="Option Button 2">
              <controlPr defaultSize="0" autoFill="0" autoLine="0" autoPict="0" macro="[0]!OptionButton2_Click">
                <anchor moveWithCells="1">
                  <from>
                    <xdr:col>1</xdr:col>
                    <xdr:colOff>495300</xdr:colOff>
                    <xdr:row>4</xdr:row>
                    <xdr:rowOff>66675</xdr:rowOff>
                  </from>
                  <to>
                    <xdr:col>3</xdr:col>
                    <xdr:colOff>295275</xdr:colOff>
                    <xdr:row>5</xdr:row>
                    <xdr:rowOff>114300</xdr:rowOff>
                  </to>
                </anchor>
              </controlPr>
            </control>
          </mc:Choice>
        </mc:AlternateContent>
        <mc:AlternateContent xmlns:mc="http://schemas.openxmlformats.org/markup-compatibility/2006">
          <mc:Choice Requires="x14">
            <control shapeId="2051" r:id="rId6" name="Option Button 3">
              <controlPr defaultSize="0" autoFill="0" autoLine="0" autoPict="0" macro="[0]!OptionButton3_Click">
                <anchor moveWithCells="1">
                  <from>
                    <xdr:col>1</xdr:col>
                    <xdr:colOff>495300</xdr:colOff>
                    <xdr:row>5</xdr:row>
                    <xdr:rowOff>142875</xdr:rowOff>
                  </from>
                  <to>
                    <xdr:col>3</xdr:col>
                    <xdr:colOff>295275</xdr:colOff>
                    <xdr:row>7</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M57"/>
  <sheetViews>
    <sheetView workbookViewId="0">
      <pane ySplit="6" topLeftCell="A33" activePane="bottomLeft" state="frozen"/>
      <selection pane="bottomLeft" activeCell="B41" sqref="B41"/>
    </sheetView>
  </sheetViews>
  <sheetFormatPr defaultRowHeight="12.75" x14ac:dyDescent="0.2"/>
  <cols>
    <col min="1" max="1" width="14.140625" style="47" customWidth="1"/>
    <col min="2" max="2" width="11" style="47" customWidth="1"/>
    <col min="3" max="3" width="9.5703125" style="47" customWidth="1"/>
    <col min="4" max="4" width="9.140625" style="47"/>
    <col min="5" max="5" width="10.85546875" style="47" customWidth="1"/>
    <col min="6" max="6" width="9.140625" style="47"/>
    <col min="7" max="7" width="9.28515625" style="47" customWidth="1"/>
    <col min="8" max="8" width="11.42578125" style="47" bestFit="1" customWidth="1"/>
    <col min="9" max="9" width="9.140625" style="47"/>
    <col min="10" max="10" width="2.28515625" style="47" customWidth="1"/>
    <col min="11" max="11" width="13.85546875" style="47" customWidth="1"/>
    <col min="12" max="12" width="9.7109375" style="47" customWidth="1"/>
    <col min="13" max="13" width="10.42578125" style="47" bestFit="1" customWidth="1"/>
    <col min="14" max="256" width="9.140625" style="47"/>
    <col min="257" max="257" width="14.140625" style="47" customWidth="1"/>
    <col min="258" max="258" width="11" style="47" customWidth="1"/>
    <col min="259" max="259" width="9.5703125" style="47" customWidth="1"/>
    <col min="260" max="260" width="9.140625" style="47"/>
    <col min="261" max="261" width="10.85546875" style="47" customWidth="1"/>
    <col min="262" max="262" width="9.140625" style="47"/>
    <col min="263" max="263" width="9.28515625" style="47" customWidth="1"/>
    <col min="264" max="264" width="11.42578125" style="47" bestFit="1" customWidth="1"/>
    <col min="265" max="265" width="9.140625" style="47"/>
    <col min="266" max="266" width="2.28515625" style="47" customWidth="1"/>
    <col min="267" max="267" width="9.140625" style="47"/>
    <col min="268" max="268" width="9.7109375" style="47" customWidth="1"/>
    <col min="269" max="269" width="10.42578125" style="47" bestFit="1" customWidth="1"/>
    <col min="270" max="512" width="9.140625" style="47"/>
    <col min="513" max="513" width="14.140625" style="47" customWidth="1"/>
    <col min="514" max="514" width="11" style="47" customWidth="1"/>
    <col min="515" max="515" width="9.5703125" style="47" customWidth="1"/>
    <col min="516" max="516" width="9.140625" style="47"/>
    <col min="517" max="517" width="10.85546875" style="47" customWidth="1"/>
    <col min="518" max="518" width="9.140625" style="47"/>
    <col min="519" max="519" width="9.28515625" style="47" customWidth="1"/>
    <col min="520" max="520" width="11.42578125" style="47" bestFit="1" customWidth="1"/>
    <col min="521" max="521" width="9.140625" style="47"/>
    <col min="522" max="522" width="2.28515625" style="47" customWidth="1"/>
    <col min="523" max="523" width="9.140625" style="47"/>
    <col min="524" max="524" width="9.7109375" style="47" customWidth="1"/>
    <col min="525" max="525" width="10.42578125" style="47" bestFit="1" customWidth="1"/>
    <col min="526" max="768" width="9.140625" style="47"/>
    <col min="769" max="769" width="14.140625" style="47" customWidth="1"/>
    <col min="770" max="770" width="11" style="47" customWidth="1"/>
    <col min="771" max="771" width="9.5703125" style="47" customWidth="1"/>
    <col min="772" max="772" width="9.140625" style="47"/>
    <col min="773" max="773" width="10.85546875" style="47" customWidth="1"/>
    <col min="774" max="774" width="9.140625" style="47"/>
    <col min="775" max="775" width="9.28515625" style="47" customWidth="1"/>
    <col min="776" max="776" width="11.42578125" style="47" bestFit="1" customWidth="1"/>
    <col min="777" max="777" width="9.140625" style="47"/>
    <col min="778" max="778" width="2.28515625" style="47" customWidth="1"/>
    <col min="779" max="779" width="9.140625" style="47"/>
    <col min="780" max="780" width="9.7109375" style="47" customWidth="1"/>
    <col min="781" max="781" width="10.42578125" style="47" bestFit="1" customWidth="1"/>
    <col min="782" max="1024" width="9.140625" style="47"/>
    <col min="1025" max="1025" width="14.140625" style="47" customWidth="1"/>
    <col min="1026" max="1026" width="11" style="47" customWidth="1"/>
    <col min="1027" max="1027" width="9.5703125" style="47" customWidth="1"/>
    <col min="1028" max="1028" width="9.140625" style="47"/>
    <col min="1029" max="1029" width="10.85546875" style="47" customWidth="1"/>
    <col min="1030" max="1030" width="9.140625" style="47"/>
    <col min="1031" max="1031" width="9.28515625" style="47" customWidth="1"/>
    <col min="1032" max="1032" width="11.42578125" style="47" bestFit="1" customWidth="1"/>
    <col min="1033" max="1033" width="9.140625" style="47"/>
    <col min="1034" max="1034" width="2.28515625" style="47" customWidth="1"/>
    <col min="1035" max="1035" width="9.140625" style="47"/>
    <col min="1036" max="1036" width="9.7109375" style="47" customWidth="1"/>
    <col min="1037" max="1037" width="10.42578125" style="47" bestFit="1" customWidth="1"/>
    <col min="1038" max="1280" width="9.140625" style="47"/>
    <col min="1281" max="1281" width="14.140625" style="47" customWidth="1"/>
    <col min="1282" max="1282" width="11" style="47" customWidth="1"/>
    <col min="1283" max="1283" width="9.5703125" style="47" customWidth="1"/>
    <col min="1284" max="1284" width="9.140625" style="47"/>
    <col min="1285" max="1285" width="10.85546875" style="47" customWidth="1"/>
    <col min="1286" max="1286" width="9.140625" style="47"/>
    <col min="1287" max="1287" width="9.28515625" style="47" customWidth="1"/>
    <col min="1288" max="1288" width="11.42578125" style="47" bestFit="1" customWidth="1"/>
    <col min="1289" max="1289" width="9.140625" style="47"/>
    <col min="1290" max="1290" width="2.28515625" style="47" customWidth="1"/>
    <col min="1291" max="1291" width="9.140625" style="47"/>
    <col min="1292" max="1292" width="9.7109375" style="47" customWidth="1"/>
    <col min="1293" max="1293" width="10.42578125" style="47" bestFit="1" customWidth="1"/>
    <col min="1294" max="1536" width="9.140625" style="47"/>
    <col min="1537" max="1537" width="14.140625" style="47" customWidth="1"/>
    <col min="1538" max="1538" width="11" style="47" customWidth="1"/>
    <col min="1539" max="1539" width="9.5703125" style="47" customWidth="1"/>
    <col min="1540" max="1540" width="9.140625" style="47"/>
    <col min="1541" max="1541" width="10.85546875" style="47" customWidth="1"/>
    <col min="1542" max="1542" width="9.140625" style="47"/>
    <col min="1543" max="1543" width="9.28515625" style="47" customWidth="1"/>
    <col min="1544" max="1544" width="11.42578125" style="47" bestFit="1" customWidth="1"/>
    <col min="1545" max="1545" width="9.140625" style="47"/>
    <col min="1546" max="1546" width="2.28515625" style="47" customWidth="1"/>
    <col min="1547" max="1547" width="9.140625" style="47"/>
    <col min="1548" max="1548" width="9.7109375" style="47" customWidth="1"/>
    <col min="1549" max="1549" width="10.42578125" style="47" bestFit="1" customWidth="1"/>
    <col min="1550" max="1792" width="9.140625" style="47"/>
    <col min="1793" max="1793" width="14.140625" style="47" customWidth="1"/>
    <col min="1794" max="1794" width="11" style="47" customWidth="1"/>
    <col min="1795" max="1795" width="9.5703125" style="47" customWidth="1"/>
    <col min="1796" max="1796" width="9.140625" style="47"/>
    <col min="1797" max="1797" width="10.85546875" style="47" customWidth="1"/>
    <col min="1798" max="1798" width="9.140625" style="47"/>
    <col min="1799" max="1799" width="9.28515625" style="47" customWidth="1"/>
    <col min="1800" max="1800" width="11.42578125" style="47" bestFit="1" customWidth="1"/>
    <col min="1801" max="1801" width="9.140625" style="47"/>
    <col min="1802" max="1802" width="2.28515625" style="47" customWidth="1"/>
    <col min="1803" max="1803" width="9.140625" style="47"/>
    <col min="1804" max="1804" width="9.7109375" style="47" customWidth="1"/>
    <col min="1805" max="1805" width="10.42578125" style="47" bestFit="1" customWidth="1"/>
    <col min="1806" max="2048" width="9.140625" style="47"/>
    <col min="2049" max="2049" width="14.140625" style="47" customWidth="1"/>
    <col min="2050" max="2050" width="11" style="47" customWidth="1"/>
    <col min="2051" max="2051" width="9.5703125" style="47" customWidth="1"/>
    <col min="2052" max="2052" width="9.140625" style="47"/>
    <col min="2053" max="2053" width="10.85546875" style="47" customWidth="1"/>
    <col min="2054" max="2054" width="9.140625" style="47"/>
    <col min="2055" max="2055" width="9.28515625" style="47" customWidth="1"/>
    <col min="2056" max="2056" width="11.42578125" style="47" bestFit="1" customWidth="1"/>
    <col min="2057" max="2057" width="9.140625" style="47"/>
    <col min="2058" max="2058" width="2.28515625" style="47" customWidth="1"/>
    <col min="2059" max="2059" width="9.140625" style="47"/>
    <col min="2060" max="2060" width="9.7109375" style="47" customWidth="1"/>
    <col min="2061" max="2061" width="10.42578125" style="47" bestFit="1" customWidth="1"/>
    <col min="2062" max="2304" width="9.140625" style="47"/>
    <col min="2305" max="2305" width="14.140625" style="47" customWidth="1"/>
    <col min="2306" max="2306" width="11" style="47" customWidth="1"/>
    <col min="2307" max="2307" width="9.5703125" style="47" customWidth="1"/>
    <col min="2308" max="2308" width="9.140625" style="47"/>
    <col min="2309" max="2309" width="10.85546875" style="47" customWidth="1"/>
    <col min="2310" max="2310" width="9.140625" style="47"/>
    <col min="2311" max="2311" width="9.28515625" style="47" customWidth="1"/>
    <col min="2312" max="2312" width="11.42578125" style="47" bestFit="1" customWidth="1"/>
    <col min="2313" max="2313" width="9.140625" style="47"/>
    <col min="2314" max="2314" width="2.28515625" style="47" customWidth="1"/>
    <col min="2315" max="2315" width="9.140625" style="47"/>
    <col min="2316" max="2316" width="9.7109375" style="47" customWidth="1"/>
    <col min="2317" max="2317" width="10.42578125" style="47" bestFit="1" customWidth="1"/>
    <col min="2318" max="2560" width="9.140625" style="47"/>
    <col min="2561" max="2561" width="14.140625" style="47" customWidth="1"/>
    <col min="2562" max="2562" width="11" style="47" customWidth="1"/>
    <col min="2563" max="2563" width="9.5703125" style="47" customWidth="1"/>
    <col min="2564" max="2564" width="9.140625" style="47"/>
    <col min="2565" max="2565" width="10.85546875" style="47" customWidth="1"/>
    <col min="2566" max="2566" width="9.140625" style="47"/>
    <col min="2567" max="2567" width="9.28515625" style="47" customWidth="1"/>
    <col min="2568" max="2568" width="11.42578125" style="47" bestFit="1" customWidth="1"/>
    <col min="2569" max="2569" width="9.140625" style="47"/>
    <col min="2570" max="2570" width="2.28515625" style="47" customWidth="1"/>
    <col min="2571" max="2571" width="9.140625" style="47"/>
    <col min="2572" max="2572" width="9.7109375" style="47" customWidth="1"/>
    <col min="2573" max="2573" width="10.42578125" style="47" bestFit="1" customWidth="1"/>
    <col min="2574" max="2816" width="9.140625" style="47"/>
    <col min="2817" max="2817" width="14.140625" style="47" customWidth="1"/>
    <col min="2818" max="2818" width="11" style="47" customWidth="1"/>
    <col min="2819" max="2819" width="9.5703125" style="47" customWidth="1"/>
    <col min="2820" max="2820" width="9.140625" style="47"/>
    <col min="2821" max="2821" width="10.85546875" style="47" customWidth="1"/>
    <col min="2822" max="2822" width="9.140625" style="47"/>
    <col min="2823" max="2823" width="9.28515625" style="47" customWidth="1"/>
    <col min="2824" max="2824" width="11.42578125" style="47" bestFit="1" customWidth="1"/>
    <col min="2825" max="2825" width="9.140625" style="47"/>
    <col min="2826" max="2826" width="2.28515625" style="47" customWidth="1"/>
    <col min="2827" max="2827" width="9.140625" style="47"/>
    <col min="2828" max="2828" width="9.7109375" style="47" customWidth="1"/>
    <col min="2829" max="2829" width="10.42578125" style="47" bestFit="1" customWidth="1"/>
    <col min="2830" max="3072" width="9.140625" style="47"/>
    <col min="3073" max="3073" width="14.140625" style="47" customWidth="1"/>
    <col min="3074" max="3074" width="11" style="47" customWidth="1"/>
    <col min="3075" max="3075" width="9.5703125" style="47" customWidth="1"/>
    <col min="3076" max="3076" width="9.140625" style="47"/>
    <col min="3077" max="3077" width="10.85546875" style="47" customWidth="1"/>
    <col min="3078" max="3078" width="9.140625" style="47"/>
    <col min="3079" max="3079" width="9.28515625" style="47" customWidth="1"/>
    <col min="3080" max="3080" width="11.42578125" style="47" bestFit="1" customWidth="1"/>
    <col min="3081" max="3081" width="9.140625" style="47"/>
    <col min="3082" max="3082" width="2.28515625" style="47" customWidth="1"/>
    <col min="3083" max="3083" width="9.140625" style="47"/>
    <col min="3084" max="3084" width="9.7109375" style="47" customWidth="1"/>
    <col min="3085" max="3085" width="10.42578125" style="47" bestFit="1" customWidth="1"/>
    <col min="3086" max="3328" width="9.140625" style="47"/>
    <col min="3329" max="3329" width="14.140625" style="47" customWidth="1"/>
    <col min="3330" max="3330" width="11" style="47" customWidth="1"/>
    <col min="3331" max="3331" width="9.5703125" style="47" customWidth="1"/>
    <col min="3332" max="3332" width="9.140625" style="47"/>
    <col min="3333" max="3333" width="10.85546875" style="47" customWidth="1"/>
    <col min="3334" max="3334" width="9.140625" style="47"/>
    <col min="3335" max="3335" width="9.28515625" style="47" customWidth="1"/>
    <col min="3336" max="3336" width="11.42578125" style="47" bestFit="1" customWidth="1"/>
    <col min="3337" max="3337" width="9.140625" style="47"/>
    <col min="3338" max="3338" width="2.28515625" style="47" customWidth="1"/>
    <col min="3339" max="3339" width="9.140625" style="47"/>
    <col min="3340" max="3340" width="9.7109375" style="47" customWidth="1"/>
    <col min="3341" max="3341" width="10.42578125" style="47" bestFit="1" customWidth="1"/>
    <col min="3342" max="3584" width="9.140625" style="47"/>
    <col min="3585" max="3585" width="14.140625" style="47" customWidth="1"/>
    <col min="3586" max="3586" width="11" style="47" customWidth="1"/>
    <col min="3587" max="3587" width="9.5703125" style="47" customWidth="1"/>
    <col min="3588" max="3588" width="9.140625" style="47"/>
    <col min="3589" max="3589" width="10.85546875" style="47" customWidth="1"/>
    <col min="3590" max="3590" width="9.140625" style="47"/>
    <col min="3591" max="3591" width="9.28515625" style="47" customWidth="1"/>
    <col min="3592" max="3592" width="11.42578125" style="47" bestFit="1" customWidth="1"/>
    <col min="3593" max="3593" width="9.140625" style="47"/>
    <col min="3594" max="3594" width="2.28515625" style="47" customWidth="1"/>
    <col min="3595" max="3595" width="9.140625" style="47"/>
    <col min="3596" max="3596" width="9.7109375" style="47" customWidth="1"/>
    <col min="3597" max="3597" width="10.42578125" style="47" bestFit="1" customWidth="1"/>
    <col min="3598" max="3840" width="9.140625" style="47"/>
    <col min="3841" max="3841" width="14.140625" style="47" customWidth="1"/>
    <col min="3842" max="3842" width="11" style="47" customWidth="1"/>
    <col min="3843" max="3843" width="9.5703125" style="47" customWidth="1"/>
    <col min="3844" max="3844" width="9.140625" style="47"/>
    <col min="3845" max="3845" width="10.85546875" style="47" customWidth="1"/>
    <col min="3846" max="3846" width="9.140625" style="47"/>
    <col min="3847" max="3847" width="9.28515625" style="47" customWidth="1"/>
    <col min="3848" max="3848" width="11.42578125" style="47" bestFit="1" customWidth="1"/>
    <col min="3849" max="3849" width="9.140625" style="47"/>
    <col min="3850" max="3850" width="2.28515625" style="47" customWidth="1"/>
    <col min="3851" max="3851" width="9.140625" style="47"/>
    <col min="3852" max="3852" width="9.7109375" style="47" customWidth="1"/>
    <col min="3853" max="3853" width="10.42578125" style="47" bestFit="1" customWidth="1"/>
    <col min="3854" max="4096" width="9.140625" style="47"/>
    <col min="4097" max="4097" width="14.140625" style="47" customWidth="1"/>
    <col min="4098" max="4098" width="11" style="47" customWidth="1"/>
    <col min="4099" max="4099" width="9.5703125" style="47" customWidth="1"/>
    <col min="4100" max="4100" width="9.140625" style="47"/>
    <col min="4101" max="4101" width="10.85546875" style="47" customWidth="1"/>
    <col min="4102" max="4102" width="9.140625" style="47"/>
    <col min="4103" max="4103" width="9.28515625" style="47" customWidth="1"/>
    <col min="4104" max="4104" width="11.42578125" style="47" bestFit="1" customWidth="1"/>
    <col min="4105" max="4105" width="9.140625" style="47"/>
    <col min="4106" max="4106" width="2.28515625" style="47" customWidth="1"/>
    <col min="4107" max="4107" width="9.140625" style="47"/>
    <col min="4108" max="4108" width="9.7109375" style="47" customWidth="1"/>
    <col min="4109" max="4109" width="10.42578125" style="47" bestFit="1" customWidth="1"/>
    <col min="4110" max="4352" width="9.140625" style="47"/>
    <col min="4353" max="4353" width="14.140625" style="47" customWidth="1"/>
    <col min="4354" max="4354" width="11" style="47" customWidth="1"/>
    <col min="4355" max="4355" width="9.5703125" style="47" customWidth="1"/>
    <col min="4356" max="4356" width="9.140625" style="47"/>
    <col min="4357" max="4357" width="10.85546875" style="47" customWidth="1"/>
    <col min="4358" max="4358" width="9.140625" style="47"/>
    <col min="4359" max="4359" width="9.28515625" style="47" customWidth="1"/>
    <col min="4360" max="4360" width="11.42578125" style="47" bestFit="1" customWidth="1"/>
    <col min="4361" max="4361" width="9.140625" style="47"/>
    <col min="4362" max="4362" width="2.28515625" style="47" customWidth="1"/>
    <col min="4363" max="4363" width="9.140625" style="47"/>
    <col min="4364" max="4364" width="9.7109375" style="47" customWidth="1"/>
    <col min="4365" max="4365" width="10.42578125" style="47" bestFit="1" customWidth="1"/>
    <col min="4366" max="4608" width="9.140625" style="47"/>
    <col min="4609" max="4609" width="14.140625" style="47" customWidth="1"/>
    <col min="4610" max="4610" width="11" style="47" customWidth="1"/>
    <col min="4611" max="4611" width="9.5703125" style="47" customWidth="1"/>
    <col min="4612" max="4612" width="9.140625" style="47"/>
    <col min="4613" max="4613" width="10.85546875" style="47" customWidth="1"/>
    <col min="4614" max="4614" width="9.140625" style="47"/>
    <col min="4615" max="4615" width="9.28515625" style="47" customWidth="1"/>
    <col min="4616" max="4616" width="11.42578125" style="47" bestFit="1" customWidth="1"/>
    <col min="4617" max="4617" width="9.140625" style="47"/>
    <col min="4618" max="4618" width="2.28515625" style="47" customWidth="1"/>
    <col min="4619" max="4619" width="9.140625" style="47"/>
    <col min="4620" max="4620" width="9.7109375" style="47" customWidth="1"/>
    <col min="4621" max="4621" width="10.42578125" style="47" bestFit="1" customWidth="1"/>
    <col min="4622" max="4864" width="9.140625" style="47"/>
    <col min="4865" max="4865" width="14.140625" style="47" customWidth="1"/>
    <col min="4866" max="4866" width="11" style="47" customWidth="1"/>
    <col min="4867" max="4867" width="9.5703125" style="47" customWidth="1"/>
    <col min="4868" max="4868" width="9.140625" style="47"/>
    <col min="4869" max="4869" width="10.85546875" style="47" customWidth="1"/>
    <col min="4870" max="4870" width="9.140625" style="47"/>
    <col min="4871" max="4871" width="9.28515625" style="47" customWidth="1"/>
    <col min="4872" max="4872" width="11.42578125" style="47" bestFit="1" customWidth="1"/>
    <col min="4873" max="4873" width="9.140625" style="47"/>
    <col min="4874" max="4874" width="2.28515625" style="47" customWidth="1"/>
    <col min="4875" max="4875" width="9.140625" style="47"/>
    <col min="4876" max="4876" width="9.7109375" style="47" customWidth="1"/>
    <col min="4877" max="4877" width="10.42578125" style="47" bestFit="1" customWidth="1"/>
    <col min="4878" max="5120" width="9.140625" style="47"/>
    <col min="5121" max="5121" width="14.140625" style="47" customWidth="1"/>
    <col min="5122" max="5122" width="11" style="47" customWidth="1"/>
    <col min="5123" max="5123" width="9.5703125" style="47" customWidth="1"/>
    <col min="5124" max="5124" width="9.140625" style="47"/>
    <col min="5125" max="5125" width="10.85546875" style="47" customWidth="1"/>
    <col min="5126" max="5126" width="9.140625" style="47"/>
    <col min="5127" max="5127" width="9.28515625" style="47" customWidth="1"/>
    <col min="5128" max="5128" width="11.42578125" style="47" bestFit="1" customWidth="1"/>
    <col min="5129" max="5129" width="9.140625" style="47"/>
    <col min="5130" max="5130" width="2.28515625" style="47" customWidth="1"/>
    <col min="5131" max="5131" width="9.140625" style="47"/>
    <col min="5132" max="5132" width="9.7109375" style="47" customWidth="1"/>
    <col min="5133" max="5133" width="10.42578125" style="47" bestFit="1" customWidth="1"/>
    <col min="5134" max="5376" width="9.140625" style="47"/>
    <col min="5377" max="5377" width="14.140625" style="47" customWidth="1"/>
    <col min="5378" max="5378" width="11" style="47" customWidth="1"/>
    <col min="5379" max="5379" width="9.5703125" style="47" customWidth="1"/>
    <col min="5380" max="5380" width="9.140625" style="47"/>
    <col min="5381" max="5381" width="10.85546875" style="47" customWidth="1"/>
    <col min="5382" max="5382" width="9.140625" style="47"/>
    <col min="5383" max="5383" width="9.28515625" style="47" customWidth="1"/>
    <col min="5384" max="5384" width="11.42578125" style="47" bestFit="1" customWidth="1"/>
    <col min="5385" max="5385" width="9.140625" style="47"/>
    <col min="5386" max="5386" width="2.28515625" style="47" customWidth="1"/>
    <col min="5387" max="5387" width="9.140625" style="47"/>
    <col min="5388" max="5388" width="9.7109375" style="47" customWidth="1"/>
    <col min="5389" max="5389" width="10.42578125" style="47" bestFit="1" customWidth="1"/>
    <col min="5390" max="5632" width="9.140625" style="47"/>
    <col min="5633" max="5633" width="14.140625" style="47" customWidth="1"/>
    <col min="5634" max="5634" width="11" style="47" customWidth="1"/>
    <col min="5635" max="5635" width="9.5703125" style="47" customWidth="1"/>
    <col min="5636" max="5636" width="9.140625" style="47"/>
    <col min="5637" max="5637" width="10.85546875" style="47" customWidth="1"/>
    <col min="5638" max="5638" width="9.140625" style="47"/>
    <col min="5639" max="5639" width="9.28515625" style="47" customWidth="1"/>
    <col min="5640" max="5640" width="11.42578125" style="47" bestFit="1" customWidth="1"/>
    <col min="5641" max="5641" width="9.140625" style="47"/>
    <col min="5642" max="5642" width="2.28515625" style="47" customWidth="1"/>
    <col min="5643" max="5643" width="9.140625" style="47"/>
    <col min="5644" max="5644" width="9.7109375" style="47" customWidth="1"/>
    <col min="5645" max="5645" width="10.42578125" style="47" bestFit="1" customWidth="1"/>
    <col min="5646" max="5888" width="9.140625" style="47"/>
    <col min="5889" max="5889" width="14.140625" style="47" customWidth="1"/>
    <col min="5890" max="5890" width="11" style="47" customWidth="1"/>
    <col min="5891" max="5891" width="9.5703125" style="47" customWidth="1"/>
    <col min="5892" max="5892" width="9.140625" style="47"/>
    <col min="5893" max="5893" width="10.85546875" style="47" customWidth="1"/>
    <col min="5894" max="5894" width="9.140625" style="47"/>
    <col min="5895" max="5895" width="9.28515625" style="47" customWidth="1"/>
    <col min="5896" max="5896" width="11.42578125" style="47" bestFit="1" customWidth="1"/>
    <col min="5897" max="5897" width="9.140625" style="47"/>
    <col min="5898" max="5898" width="2.28515625" style="47" customWidth="1"/>
    <col min="5899" max="5899" width="9.140625" style="47"/>
    <col min="5900" max="5900" width="9.7109375" style="47" customWidth="1"/>
    <col min="5901" max="5901" width="10.42578125" style="47" bestFit="1" customWidth="1"/>
    <col min="5902" max="6144" width="9.140625" style="47"/>
    <col min="6145" max="6145" width="14.140625" style="47" customWidth="1"/>
    <col min="6146" max="6146" width="11" style="47" customWidth="1"/>
    <col min="6147" max="6147" width="9.5703125" style="47" customWidth="1"/>
    <col min="6148" max="6148" width="9.140625" style="47"/>
    <col min="6149" max="6149" width="10.85546875" style="47" customWidth="1"/>
    <col min="6150" max="6150" width="9.140625" style="47"/>
    <col min="6151" max="6151" width="9.28515625" style="47" customWidth="1"/>
    <col min="6152" max="6152" width="11.42578125" style="47" bestFit="1" customWidth="1"/>
    <col min="6153" max="6153" width="9.140625" style="47"/>
    <col min="6154" max="6154" width="2.28515625" style="47" customWidth="1"/>
    <col min="6155" max="6155" width="9.140625" style="47"/>
    <col min="6156" max="6156" width="9.7109375" style="47" customWidth="1"/>
    <col min="6157" max="6157" width="10.42578125" style="47" bestFit="1" customWidth="1"/>
    <col min="6158" max="6400" width="9.140625" style="47"/>
    <col min="6401" max="6401" width="14.140625" style="47" customWidth="1"/>
    <col min="6402" max="6402" width="11" style="47" customWidth="1"/>
    <col min="6403" max="6403" width="9.5703125" style="47" customWidth="1"/>
    <col min="6404" max="6404" width="9.140625" style="47"/>
    <col min="6405" max="6405" width="10.85546875" style="47" customWidth="1"/>
    <col min="6406" max="6406" width="9.140625" style="47"/>
    <col min="6407" max="6407" width="9.28515625" style="47" customWidth="1"/>
    <col min="6408" max="6408" width="11.42578125" style="47" bestFit="1" customWidth="1"/>
    <col min="6409" max="6409" width="9.140625" style="47"/>
    <col min="6410" max="6410" width="2.28515625" style="47" customWidth="1"/>
    <col min="6411" max="6411" width="9.140625" style="47"/>
    <col min="6412" max="6412" width="9.7109375" style="47" customWidth="1"/>
    <col min="6413" max="6413" width="10.42578125" style="47" bestFit="1" customWidth="1"/>
    <col min="6414" max="6656" width="9.140625" style="47"/>
    <col min="6657" max="6657" width="14.140625" style="47" customWidth="1"/>
    <col min="6658" max="6658" width="11" style="47" customWidth="1"/>
    <col min="6659" max="6659" width="9.5703125" style="47" customWidth="1"/>
    <col min="6660" max="6660" width="9.140625" style="47"/>
    <col min="6661" max="6661" width="10.85546875" style="47" customWidth="1"/>
    <col min="6662" max="6662" width="9.140625" style="47"/>
    <col min="6663" max="6663" width="9.28515625" style="47" customWidth="1"/>
    <col min="6664" max="6664" width="11.42578125" style="47" bestFit="1" customWidth="1"/>
    <col min="6665" max="6665" width="9.140625" style="47"/>
    <col min="6666" max="6666" width="2.28515625" style="47" customWidth="1"/>
    <col min="6667" max="6667" width="9.140625" style="47"/>
    <col min="6668" max="6668" width="9.7109375" style="47" customWidth="1"/>
    <col min="6669" max="6669" width="10.42578125" style="47" bestFit="1" customWidth="1"/>
    <col min="6670" max="6912" width="9.140625" style="47"/>
    <col min="6913" max="6913" width="14.140625" style="47" customWidth="1"/>
    <col min="6914" max="6914" width="11" style="47" customWidth="1"/>
    <col min="6915" max="6915" width="9.5703125" style="47" customWidth="1"/>
    <col min="6916" max="6916" width="9.140625" style="47"/>
    <col min="6917" max="6917" width="10.85546875" style="47" customWidth="1"/>
    <col min="6918" max="6918" width="9.140625" style="47"/>
    <col min="6919" max="6919" width="9.28515625" style="47" customWidth="1"/>
    <col min="6920" max="6920" width="11.42578125" style="47" bestFit="1" customWidth="1"/>
    <col min="6921" max="6921" width="9.140625" style="47"/>
    <col min="6922" max="6922" width="2.28515625" style="47" customWidth="1"/>
    <col min="6923" max="6923" width="9.140625" style="47"/>
    <col min="6924" max="6924" width="9.7109375" style="47" customWidth="1"/>
    <col min="6925" max="6925" width="10.42578125" style="47" bestFit="1" customWidth="1"/>
    <col min="6926" max="7168" width="9.140625" style="47"/>
    <col min="7169" max="7169" width="14.140625" style="47" customWidth="1"/>
    <col min="7170" max="7170" width="11" style="47" customWidth="1"/>
    <col min="7171" max="7171" width="9.5703125" style="47" customWidth="1"/>
    <col min="7172" max="7172" width="9.140625" style="47"/>
    <col min="7173" max="7173" width="10.85546875" style="47" customWidth="1"/>
    <col min="7174" max="7174" width="9.140625" style="47"/>
    <col min="7175" max="7175" width="9.28515625" style="47" customWidth="1"/>
    <col min="7176" max="7176" width="11.42578125" style="47" bestFit="1" customWidth="1"/>
    <col min="7177" max="7177" width="9.140625" style="47"/>
    <col min="7178" max="7178" width="2.28515625" style="47" customWidth="1"/>
    <col min="7179" max="7179" width="9.140625" style="47"/>
    <col min="7180" max="7180" width="9.7109375" style="47" customWidth="1"/>
    <col min="7181" max="7181" width="10.42578125" style="47" bestFit="1" customWidth="1"/>
    <col min="7182" max="7424" width="9.140625" style="47"/>
    <col min="7425" max="7425" width="14.140625" style="47" customWidth="1"/>
    <col min="7426" max="7426" width="11" style="47" customWidth="1"/>
    <col min="7427" max="7427" width="9.5703125" style="47" customWidth="1"/>
    <col min="7428" max="7428" width="9.140625" style="47"/>
    <col min="7429" max="7429" width="10.85546875" style="47" customWidth="1"/>
    <col min="7430" max="7430" width="9.140625" style="47"/>
    <col min="7431" max="7431" width="9.28515625" style="47" customWidth="1"/>
    <col min="7432" max="7432" width="11.42578125" style="47" bestFit="1" customWidth="1"/>
    <col min="7433" max="7433" width="9.140625" style="47"/>
    <col min="7434" max="7434" width="2.28515625" style="47" customWidth="1"/>
    <col min="7435" max="7435" width="9.140625" style="47"/>
    <col min="7436" max="7436" width="9.7109375" style="47" customWidth="1"/>
    <col min="7437" max="7437" width="10.42578125" style="47" bestFit="1" customWidth="1"/>
    <col min="7438" max="7680" width="9.140625" style="47"/>
    <col min="7681" max="7681" width="14.140625" style="47" customWidth="1"/>
    <col min="7682" max="7682" width="11" style="47" customWidth="1"/>
    <col min="7683" max="7683" width="9.5703125" style="47" customWidth="1"/>
    <col min="7684" max="7684" width="9.140625" style="47"/>
    <col min="7685" max="7685" width="10.85546875" style="47" customWidth="1"/>
    <col min="7686" max="7686" width="9.140625" style="47"/>
    <col min="7687" max="7687" width="9.28515625" style="47" customWidth="1"/>
    <col min="7688" max="7688" width="11.42578125" style="47" bestFit="1" customWidth="1"/>
    <col min="7689" max="7689" width="9.140625" style="47"/>
    <col min="7690" max="7690" width="2.28515625" style="47" customWidth="1"/>
    <col min="7691" max="7691" width="9.140625" style="47"/>
    <col min="7692" max="7692" width="9.7109375" style="47" customWidth="1"/>
    <col min="7693" max="7693" width="10.42578125" style="47" bestFit="1" customWidth="1"/>
    <col min="7694" max="7936" width="9.140625" style="47"/>
    <col min="7937" max="7937" width="14.140625" style="47" customWidth="1"/>
    <col min="7938" max="7938" width="11" style="47" customWidth="1"/>
    <col min="7939" max="7939" width="9.5703125" style="47" customWidth="1"/>
    <col min="7940" max="7940" width="9.140625" style="47"/>
    <col min="7941" max="7941" width="10.85546875" style="47" customWidth="1"/>
    <col min="7942" max="7942" width="9.140625" style="47"/>
    <col min="7943" max="7943" width="9.28515625" style="47" customWidth="1"/>
    <col min="7944" max="7944" width="11.42578125" style="47" bestFit="1" customWidth="1"/>
    <col min="7945" max="7945" width="9.140625" style="47"/>
    <col min="7946" max="7946" width="2.28515625" style="47" customWidth="1"/>
    <col min="7947" max="7947" width="9.140625" style="47"/>
    <col min="7948" max="7948" width="9.7109375" style="47" customWidth="1"/>
    <col min="7949" max="7949" width="10.42578125" style="47" bestFit="1" customWidth="1"/>
    <col min="7950" max="8192" width="9.140625" style="47"/>
    <col min="8193" max="8193" width="14.140625" style="47" customWidth="1"/>
    <col min="8194" max="8194" width="11" style="47" customWidth="1"/>
    <col min="8195" max="8195" width="9.5703125" style="47" customWidth="1"/>
    <col min="8196" max="8196" width="9.140625" style="47"/>
    <col min="8197" max="8197" width="10.85546875" style="47" customWidth="1"/>
    <col min="8198" max="8198" width="9.140625" style="47"/>
    <col min="8199" max="8199" width="9.28515625" style="47" customWidth="1"/>
    <col min="8200" max="8200" width="11.42578125" style="47" bestFit="1" customWidth="1"/>
    <col min="8201" max="8201" width="9.140625" style="47"/>
    <col min="8202" max="8202" width="2.28515625" style="47" customWidth="1"/>
    <col min="8203" max="8203" width="9.140625" style="47"/>
    <col min="8204" max="8204" width="9.7109375" style="47" customWidth="1"/>
    <col min="8205" max="8205" width="10.42578125" style="47" bestFit="1" customWidth="1"/>
    <col min="8206" max="8448" width="9.140625" style="47"/>
    <col min="8449" max="8449" width="14.140625" style="47" customWidth="1"/>
    <col min="8450" max="8450" width="11" style="47" customWidth="1"/>
    <col min="8451" max="8451" width="9.5703125" style="47" customWidth="1"/>
    <col min="8452" max="8452" width="9.140625" style="47"/>
    <col min="8453" max="8453" width="10.85546875" style="47" customWidth="1"/>
    <col min="8454" max="8454" width="9.140625" style="47"/>
    <col min="8455" max="8455" width="9.28515625" style="47" customWidth="1"/>
    <col min="8456" max="8456" width="11.42578125" style="47" bestFit="1" customWidth="1"/>
    <col min="8457" max="8457" width="9.140625" style="47"/>
    <col min="8458" max="8458" width="2.28515625" style="47" customWidth="1"/>
    <col min="8459" max="8459" width="9.140625" style="47"/>
    <col min="8460" max="8460" width="9.7109375" style="47" customWidth="1"/>
    <col min="8461" max="8461" width="10.42578125" style="47" bestFit="1" customWidth="1"/>
    <col min="8462" max="8704" width="9.140625" style="47"/>
    <col min="8705" max="8705" width="14.140625" style="47" customWidth="1"/>
    <col min="8706" max="8706" width="11" style="47" customWidth="1"/>
    <col min="8707" max="8707" width="9.5703125" style="47" customWidth="1"/>
    <col min="8708" max="8708" width="9.140625" style="47"/>
    <col min="8709" max="8709" width="10.85546875" style="47" customWidth="1"/>
    <col min="8710" max="8710" width="9.140625" style="47"/>
    <col min="8711" max="8711" width="9.28515625" style="47" customWidth="1"/>
    <col min="8712" max="8712" width="11.42578125" style="47" bestFit="1" customWidth="1"/>
    <col min="8713" max="8713" width="9.140625" style="47"/>
    <col min="8714" max="8714" width="2.28515625" style="47" customWidth="1"/>
    <col min="8715" max="8715" width="9.140625" style="47"/>
    <col min="8716" max="8716" width="9.7109375" style="47" customWidth="1"/>
    <col min="8717" max="8717" width="10.42578125" style="47" bestFit="1" customWidth="1"/>
    <col min="8718" max="8960" width="9.140625" style="47"/>
    <col min="8961" max="8961" width="14.140625" style="47" customWidth="1"/>
    <col min="8962" max="8962" width="11" style="47" customWidth="1"/>
    <col min="8963" max="8963" width="9.5703125" style="47" customWidth="1"/>
    <col min="8964" max="8964" width="9.140625" style="47"/>
    <col min="8965" max="8965" width="10.85546875" style="47" customWidth="1"/>
    <col min="8966" max="8966" width="9.140625" style="47"/>
    <col min="8967" max="8967" width="9.28515625" style="47" customWidth="1"/>
    <col min="8968" max="8968" width="11.42578125" style="47" bestFit="1" customWidth="1"/>
    <col min="8969" max="8969" width="9.140625" style="47"/>
    <col min="8970" max="8970" width="2.28515625" style="47" customWidth="1"/>
    <col min="8971" max="8971" width="9.140625" style="47"/>
    <col min="8972" max="8972" width="9.7109375" style="47" customWidth="1"/>
    <col min="8973" max="8973" width="10.42578125" style="47" bestFit="1" customWidth="1"/>
    <col min="8974" max="9216" width="9.140625" style="47"/>
    <col min="9217" max="9217" width="14.140625" style="47" customWidth="1"/>
    <col min="9218" max="9218" width="11" style="47" customWidth="1"/>
    <col min="9219" max="9219" width="9.5703125" style="47" customWidth="1"/>
    <col min="9220" max="9220" width="9.140625" style="47"/>
    <col min="9221" max="9221" width="10.85546875" style="47" customWidth="1"/>
    <col min="9222" max="9222" width="9.140625" style="47"/>
    <col min="9223" max="9223" width="9.28515625" style="47" customWidth="1"/>
    <col min="9224" max="9224" width="11.42578125" style="47" bestFit="1" customWidth="1"/>
    <col min="9225" max="9225" width="9.140625" style="47"/>
    <col min="9226" max="9226" width="2.28515625" style="47" customWidth="1"/>
    <col min="9227" max="9227" width="9.140625" style="47"/>
    <col min="9228" max="9228" width="9.7109375" style="47" customWidth="1"/>
    <col min="9229" max="9229" width="10.42578125" style="47" bestFit="1" customWidth="1"/>
    <col min="9230" max="9472" width="9.140625" style="47"/>
    <col min="9473" max="9473" width="14.140625" style="47" customWidth="1"/>
    <col min="9474" max="9474" width="11" style="47" customWidth="1"/>
    <col min="9475" max="9475" width="9.5703125" style="47" customWidth="1"/>
    <col min="9476" max="9476" width="9.140625" style="47"/>
    <col min="9477" max="9477" width="10.85546875" style="47" customWidth="1"/>
    <col min="9478" max="9478" width="9.140625" style="47"/>
    <col min="9479" max="9479" width="9.28515625" style="47" customWidth="1"/>
    <col min="9480" max="9480" width="11.42578125" style="47" bestFit="1" customWidth="1"/>
    <col min="9481" max="9481" width="9.140625" style="47"/>
    <col min="9482" max="9482" width="2.28515625" style="47" customWidth="1"/>
    <col min="9483" max="9483" width="9.140625" style="47"/>
    <col min="9484" max="9484" width="9.7109375" style="47" customWidth="1"/>
    <col min="9485" max="9485" width="10.42578125" style="47" bestFit="1" customWidth="1"/>
    <col min="9486" max="9728" width="9.140625" style="47"/>
    <col min="9729" max="9729" width="14.140625" style="47" customWidth="1"/>
    <col min="9730" max="9730" width="11" style="47" customWidth="1"/>
    <col min="9731" max="9731" width="9.5703125" style="47" customWidth="1"/>
    <col min="9732" max="9732" width="9.140625" style="47"/>
    <col min="9733" max="9733" width="10.85546875" style="47" customWidth="1"/>
    <col min="9734" max="9734" width="9.140625" style="47"/>
    <col min="9735" max="9735" width="9.28515625" style="47" customWidth="1"/>
    <col min="9736" max="9736" width="11.42578125" style="47" bestFit="1" customWidth="1"/>
    <col min="9737" max="9737" width="9.140625" style="47"/>
    <col min="9738" max="9738" width="2.28515625" style="47" customWidth="1"/>
    <col min="9739" max="9739" width="9.140625" style="47"/>
    <col min="9740" max="9740" width="9.7109375" style="47" customWidth="1"/>
    <col min="9741" max="9741" width="10.42578125" style="47" bestFit="1" customWidth="1"/>
    <col min="9742" max="9984" width="9.140625" style="47"/>
    <col min="9985" max="9985" width="14.140625" style="47" customWidth="1"/>
    <col min="9986" max="9986" width="11" style="47" customWidth="1"/>
    <col min="9987" max="9987" width="9.5703125" style="47" customWidth="1"/>
    <col min="9988" max="9988" width="9.140625" style="47"/>
    <col min="9989" max="9989" width="10.85546875" style="47" customWidth="1"/>
    <col min="9990" max="9990" width="9.140625" style="47"/>
    <col min="9991" max="9991" width="9.28515625" style="47" customWidth="1"/>
    <col min="9992" max="9992" width="11.42578125" style="47" bestFit="1" customWidth="1"/>
    <col min="9993" max="9993" width="9.140625" style="47"/>
    <col min="9994" max="9994" width="2.28515625" style="47" customWidth="1"/>
    <col min="9995" max="9995" width="9.140625" style="47"/>
    <col min="9996" max="9996" width="9.7109375" style="47" customWidth="1"/>
    <col min="9997" max="9997" width="10.42578125" style="47" bestFit="1" customWidth="1"/>
    <col min="9998" max="10240" width="9.140625" style="47"/>
    <col min="10241" max="10241" width="14.140625" style="47" customWidth="1"/>
    <col min="10242" max="10242" width="11" style="47" customWidth="1"/>
    <col min="10243" max="10243" width="9.5703125" style="47" customWidth="1"/>
    <col min="10244" max="10244" width="9.140625" style="47"/>
    <col min="10245" max="10245" width="10.85546875" style="47" customWidth="1"/>
    <col min="10246" max="10246" width="9.140625" style="47"/>
    <col min="10247" max="10247" width="9.28515625" style="47" customWidth="1"/>
    <col min="10248" max="10248" width="11.42578125" style="47" bestFit="1" customWidth="1"/>
    <col min="10249" max="10249" width="9.140625" style="47"/>
    <col min="10250" max="10250" width="2.28515625" style="47" customWidth="1"/>
    <col min="10251" max="10251" width="9.140625" style="47"/>
    <col min="10252" max="10252" width="9.7109375" style="47" customWidth="1"/>
    <col min="10253" max="10253" width="10.42578125" style="47" bestFit="1" customWidth="1"/>
    <col min="10254" max="10496" width="9.140625" style="47"/>
    <col min="10497" max="10497" width="14.140625" style="47" customWidth="1"/>
    <col min="10498" max="10498" width="11" style="47" customWidth="1"/>
    <col min="10499" max="10499" width="9.5703125" style="47" customWidth="1"/>
    <col min="10500" max="10500" width="9.140625" style="47"/>
    <col min="10501" max="10501" width="10.85546875" style="47" customWidth="1"/>
    <col min="10502" max="10502" width="9.140625" style="47"/>
    <col min="10503" max="10503" width="9.28515625" style="47" customWidth="1"/>
    <col min="10504" max="10504" width="11.42578125" style="47" bestFit="1" customWidth="1"/>
    <col min="10505" max="10505" width="9.140625" style="47"/>
    <col min="10506" max="10506" width="2.28515625" style="47" customWidth="1"/>
    <col min="10507" max="10507" width="9.140625" style="47"/>
    <col min="10508" max="10508" width="9.7109375" style="47" customWidth="1"/>
    <col min="10509" max="10509" width="10.42578125" style="47" bestFit="1" customWidth="1"/>
    <col min="10510" max="10752" width="9.140625" style="47"/>
    <col min="10753" max="10753" width="14.140625" style="47" customWidth="1"/>
    <col min="10754" max="10754" width="11" style="47" customWidth="1"/>
    <col min="10755" max="10755" width="9.5703125" style="47" customWidth="1"/>
    <col min="10756" max="10756" width="9.140625" style="47"/>
    <col min="10757" max="10757" width="10.85546875" style="47" customWidth="1"/>
    <col min="10758" max="10758" width="9.140625" style="47"/>
    <col min="10759" max="10759" width="9.28515625" style="47" customWidth="1"/>
    <col min="10760" max="10760" width="11.42578125" style="47" bestFit="1" customWidth="1"/>
    <col min="10761" max="10761" width="9.140625" style="47"/>
    <col min="10762" max="10762" width="2.28515625" style="47" customWidth="1"/>
    <col min="10763" max="10763" width="9.140625" style="47"/>
    <col min="10764" max="10764" width="9.7109375" style="47" customWidth="1"/>
    <col min="10765" max="10765" width="10.42578125" style="47" bestFit="1" customWidth="1"/>
    <col min="10766" max="11008" width="9.140625" style="47"/>
    <col min="11009" max="11009" width="14.140625" style="47" customWidth="1"/>
    <col min="11010" max="11010" width="11" style="47" customWidth="1"/>
    <col min="11011" max="11011" width="9.5703125" style="47" customWidth="1"/>
    <col min="11012" max="11012" width="9.140625" style="47"/>
    <col min="11013" max="11013" width="10.85546875" style="47" customWidth="1"/>
    <col min="11014" max="11014" width="9.140625" style="47"/>
    <col min="11015" max="11015" width="9.28515625" style="47" customWidth="1"/>
    <col min="11016" max="11016" width="11.42578125" style="47" bestFit="1" customWidth="1"/>
    <col min="11017" max="11017" width="9.140625" style="47"/>
    <col min="11018" max="11018" width="2.28515625" style="47" customWidth="1"/>
    <col min="11019" max="11019" width="9.140625" style="47"/>
    <col min="11020" max="11020" width="9.7109375" style="47" customWidth="1"/>
    <col min="11021" max="11021" width="10.42578125" style="47" bestFit="1" customWidth="1"/>
    <col min="11022" max="11264" width="9.140625" style="47"/>
    <col min="11265" max="11265" width="14.140625" style="47" customWidth="1"/>
    <col min="11266" max="11266" width="11" style="47" customWidth="1"/>
    <col min="11267" max="11267" width="9.5703125" style="47" customWidth="1"/>
    <col min="11268" max="11268" width="9.140625" style="47"/>
    <col min="11269" max="11269" width="10.85546875" style="47" customWidth="1"/>
    <col min="11270" max="11270" width="9.140625" style="47"/>
    <col min="11271" max="11271" width="9.28515625" style="47" customWidth="1"/>
    <col min="11272" max="11272" width="11.42578125" style="47" bestFit="1" customWidth="1"/>
    <col min="11273" max="11273" width="9.140625" style="47"/>
    <col min="11274" max="11274" width="2.28515625" style="47" customWidth="1"/>
    <col min="11275" max="11275" width="9.140625" style="47"/>
    <col min="11276" max="11276" width="9.7109375" style="47" customWidth="1"/>
    <col min="11277" max="11277" width="10.42578125" style="47" bestFit="1" customWidth="1"/>
    <col min="11278" max="11520" width="9.140625" style="47"/>
    <col min="11521" max="11521" width="14.140625" style="47" customWidth="1"/>
    <col min="11522" max="11522" width="11" style="47" customWidth="1"/>
    <col min="11523" max="11523" width="9.5703125" style="47" customWidth="1"/>
    <col min="11524" max="11524" width="9.140625" style="47"/>
    <col min="11525" max="11525" width="10.85546875" style="47" customWidth="1"/>
    <col min="11526" max="11526" width="9.140625" style="47"/>
    <col min="11527" max="11527" width="9.28515625" style="47" customWidth="1"/>
    <col min="11528" max="11528" width="11.42578125" style="47" bestFit="1" customWidth="1"/>
    <col min="11529" max="11529" width="9.140625" style="47"/>
    <col min="11530" max="11530" width="2.28515625" style="47" customWidth="1"/>
    <col min="11531" max="11531" width="9.140625" style="47"/>
    <col min="11532" max="11532" width="9.7109375" style="47" customWidth="1"/>
    <col min="11533" max="11533" width="10.42578125" style="47" bestFit="1" customWidth="1"/>
    <col min="11534" max="11776" width="9.140625" style="47"/>
    <col min="11777" max="11777" width="14.140625" style="47" customWidth="1"/>
    <col min="11778" max="11778" width="11" style="47" customWidth="1"/>
    <col min="11779" max="11779" width="9.5703125" style="47" customWidth="1"/>
    <col min="11780" max="11780" width="9.140625" style="47"/>
    <col min="11781" max="11781" width="10.85546875" style="47" customWidth="1"/>
    <col min="11782" max="11782" width="9.140625" style="47"/>
    <col min="11783" max="11783" width="9.28515625" style="47" customWidth="1"/>
    <col min="11784" max="11784" width="11.42578125" style="47" bestFit="1" customWidth="1"/>
    <col min="11785" max="11785" width="9.140625" style="47"/>
    <col min="11786" max="11786" width="2.28515625" style="47" customWidth="1"/>
    <col min="11787" max="11787" width="9.140625" style="47"/>
    <col min="11788" max="11788" width="9.7109375" style="47" customWidth="1"/>
    <col min="11789" max="11789" width="10.42578125" style="47" bestFit="1" customWidth="1"/>
    <col min="11790" max="12032" width="9.140625" style="47"/>
    <col min="12033" max="12033" width="14.140625" style="47" customWidth="1"/>
    <col min="12034" max="12034" width="11" style="47" customWidth="1"/>
    <col min="12035" max="12035" width="9.5703125" style="47" customWidth="1"/>
    <col min="12036" max="12036" width="9.140625" style="47"/>
    <col min="12037" max="12037" width="10.85546875" style="47" customWidth="1"/>
    <col min="12038" max="12038" width="9.140625" style="47"/>
    <col min="12039" max="12039" width="9.28515625" style="47" customWidth="1"/>
    <col min="12040" max="12040" width="11.42578125" style="47" bestFit="1" customWidth="1"/>
    <col min="12041" max="12041" width="9.140625" style="47"/>
    <col min="12042" max="12042" width="2.28515625" style="47" customWidth="1"/>
    <col min="12043" max="12043" width="9.140625" style="47"/>
    <col min="12044" max="12044" width="9.7109375" style="47" customWidth="1"/>
    <col min="12045" max="12045" width="10.42578125" style="47" bestFit="1" customWidth="1"/>
    <col min="12046" max="12288" width="9.140625" style="47"/>
    <col min="12289" max="12289" width="14.140625" style="47" customWidth="1"/>
    <col min="12290" max="12290" width="11" style="47" customWidth="1"/>
    <col min="12291" max="12291" width="9.5703125" style="47" customWidth="1"/>
    <col min="12292" max="12292" width="9.140625" style="47"/>
    <col min="12293" max="12293" width="10.85546875" style="47" customWidth="1"/>
    <col min="12294" max="12294" width="9.140625" style="47"/>
    <col min="12295" max="12295" width="9.28515625" style="47" customWidth="1"/>
    <col min="12296" max="12296" width="11.42578125" style="47" bestFit="1" customWidth="1"/>
    <col min="12297" max="12297" width="9.140625" style="47"/>
    <col min="12298" max="12298" width="2.28515625" style="47" customWidth="1"/>
    <col min="12299" max="12299" width="9.140625" style="47"/>
    <col min="12300" max="12300" width="9.7109375" style="47" customWidth="1"/>
    <col min="12301" max="12301" width="10.42578125" style="47" bestFit="1" customWidth="1"/>
    <col min="12302" max="12544" width="9.140625" style="47"/>
    <col min="12545" max="12545" width="14.140625" style="47" customWidth="1"/>
    <col min="12546" max="12546" width="11" style="47" customWidth="1"/>
    <col min="12547" max="12547" width="9.5703125" style="47" customWidth="1"/>
    <col min="12548" max="12548" width="9.140625" style="47"/>
    <col min="12549" max="12549" width="10.85546875" style="47" customWidth="1"/>
    <col min="12550" max="12550" width="9.140625" style="47"/>
    <col min="12551" max="12551" width="9.28515625" style="47" customWidth="1"/>
    <col min="12552" max="12552" width="11.42578125" style="47" bestFit="1" customWidth="1"/>
    <col min="12553" max="12553" width="9.140625" style="47"/>
    <col min="12554" max="12554" width="2.28515625" style="47" customWidth="1"/>
    <col min="12555" max="12555" width="9.140625" style="47"/>
    <col min="12556" max="12556" width="9.7109375" style="47" customWidth="1"/>
    <col min="12557" max="12557" width="10.42578125" style="47" bestFit="1" customWidth="1"/>
    <col min="12558" max="12800" width="9.140625" style="47"/>
    <col min="12801" max="12801" width="14.140625" style="47" customWidth="1"/>
    <col min="12802" max="12802" width="11" style="47" customWidth="1"/>
    <col min="12803" max="12803" width="9.5703125" style="47" customWidth="1"/>
    <col min="12804" max="12804" width="9.140625" style="47"/>
    <col min="12805" max="12805" width="10.85546875" style="47" customWidth="1"/>
    <col min="12806" max="12806" width="9.140625" style="47"/>
    <col min="12807" max="12807" width="9.28515625" style="47" customWidth="1"/>
    <col min="12808" max="12808" width="11.42578125" style="47" bestFit="1" customWidth="1"/>
    <col min="12809" max="12809" width="9.140625" style="47"/>
    <col min="12810" max="12810" width="2.28515625" style="47" customWidth="1"/>
    <col min="12811" max="12811" width="9.140625" style="47"/>
    <col min="12812" max="12812" width="9.7109375" style="47" customWidth="1"/>
    <col min="12813" max="12813" width="10.42578125" style="47" bestFit="1" customWidth="1"/>
    <col min="12814" max="13056" width="9.140625" style="47"/>
    <col min="13057" max="13057" width="14.140625" style="47" customWidth="1"/>
    <col min="13058" max="13058" width="11" style="47" customWidth="1"/>
    <col min="13059" max="13059" width="9.5703125" style="47" customWidth="1"/>
    <col min="13060" max="13060" width="9.140625" style="47"/>
    <col min="13061" max="13061" width="10.85546875" style="47" customWidth="1"/>
    <col min="13062" max="13062" width="9.140625" style="47"/>
    <col min="13063" max="13063" width="9.28515625" style="47" customWidth="1"/>
    <col min="13064" max="13064" width="11.42578125" style="47" bestFit="1" customWidth="1"/>
    <col min="13065" max="13065" width="9.140625" style="47"/>
    <col min="13066" max="13066" width="2.28515625" style="47" customWidth="1"/>
    <col min="13067" max="13067" width="9.140625" style="47"/>
    <col min="13068" max="13068" width="9.7109375" style="47" customWidth="1"/>
    <col min="13069" max="13069" width="10.42578125" style="47" bestFit="1" customWidth="1"/>
    <col min="13070" max="13312" width="9.140625" style="47"/>
    <col min="13313" max="13313" width="14.140625" style="47" customWidth="1"/>
    <col min="13314" max="13314" width="11" style="47" customWidth="1"/>
    <col min="13315" max="13315" width="9.5703125" style="47" customWidth="1"/>
    <col min="13316" max="13316" width="9.140625" style="47"/>
    <col min="13317" max="13317" width="10.85546875" style="47" customWidth="1"/>
    <col min="13318" max="13318" width="9.140625" style="47"/>
    <col min="13319" max="13319" width="9.28515625" style="47" customWidth="1"/>
    <col min="13320" max="13320" width="11.42578125" style="47" bestFit="1" customWidth="1"/>
    <col min="13321" max="13321" width="9.140625" style="47"/>
    <col min="13322" max="13322" width="2.28515625" style="47" customWidth="1"/>
    <col min="13323" max="13323" width="9.140625" style="47"/>
    <col min="13324" max="13324" width="9.7109375" style="47" customWidth="1"/>
    <col min="13325" max="13325" width="10.42578125" style="47" bestFit="1" customWidth="1"/>
    <col min="13326" max="13568" width="9.140625" style="47"/>
    <col min="13569" max="13569" width="14.140625" style="47" customWidth="1"/>
    <col min="13570" max="13570" width="11" style="47" customWidth="1"/>
    <col min="13571" max="13571" width="9.5703125" style="47" customWidth="1"/>
    <col min="13572" max="13572" width="9.140625" style="47"/>
    <col min="13573" max="13573" width="10.85546875" style="47" customWidth="1"/>
    <col min="13574" max="13574" width="9.140625" style="47"/>
    <col min="13575" max="13575" width="9.28515625" style="47" customWidth="1"/>
    <col min="13576" max="13576" width="11.42578125" style="47" bestFit="1" customWidth="1"/>
    <col min="13577" max="13577" width="9.140625" style="47"/>
    <col min="13578" max="13578" width="2.28515625" style="47" customWidth="1"/>
    <col min="13579" max="13579" width="9.140625" style="47"/>
    <col min="13580" max="13580" width="9.7109375" style="47" customWidth="1"/>
    <col min="13581" max="13581" width="10.42578125" style="47" bestFit="1" customWidth="1"/>
    <col min="13582" max="13824" width="9.140625" style="47"/>
    <col min="13825" max="13825" width="14.140625" style="47" customWidth="1"/>
    <col min="13826" max="13826" width="11" style="47" customWidth="1"/>
    <col min="13827" max="13827" width="9.5703125" style="47" customWidth="1"/>
    <col min="13828" max="13828" width="9.140625" style="47"/>
    <col min="13829" max="13829" width="10.85546875" style="47" customWidth="1"/>
    <col min="13830" max="13830" width="9.140625" style="47"/>
    <col min="13831" max="13831" width="9.28515625" style="47" customWidth="1"/>
    <col min="13832" max="13832" width="11.42578125" style="47" bestFit="1" customWidth="1"/>
    <col min="13833" max="13833" width="9.140625" style="47"/>
    <col min="13834" max="13834" width="2.28515625" style="47" customWidth="1"/>
    <col min="13835" max="13835" width="9.140625" style="47"/>
    <col min="13836" max="13836" width="9.7109375" style="47" customWidth="1"/>
    <col min="13837" max="13837" width="10.42578125" style="47" bestFit="1" customWidth="1"/>
    <col min="13838" max="14080" width="9.140625" style="47"/>
    <col min="14081" max="14081" width="14.140625" style="47" customWidth="1"/>
    <col min="14082" max="14082" width="11" style="47" customWidth="1"/>
    <col min="14083" max="14083" width="9.5703125" style="47" customWidth="1"/>
    <col min="14084" max="14084" width="9.140625" style="47"/>
    <col min="14085" max="14085" width="10.85546875" style="47" customWidth="1"/>
    <col min="14086" max="14086" width="9.140625" style="47"/>
    <col min="14087" max="14087" width="9.28515625" style="47" customWidth="1"/>
    <col min="14088" max="14088" width="11.42578125" style="47" bestFit="1" customWidth="1"/>
    <col min="14089" max="14089" width="9.140625" style="47"/>
    <col min="14090" max="14090" width="2.28515625" style="47" customWidth="1"/>
    <col min="14091" max="14091" width="9.140625" style="47"/>
    <col min="14092" max="14092" width="9.7109375" style="47" customWidth="1"/>
    <col min="14093" max="14093" width="10.42578125" style="47" bestFit="1" customWidth="1"/>
    <col min="14094" max="14336" width="9.140625" style="47"/>
    <col min="14337" max="14337" width="14.140625" style="47" customWidth="1"/>
    <col min="14338" max="14338" width="11" style="47" customWidth="1"/>
    <col min="14339" max="14339" width="9.5703125" style="47" customWidth="1"/>
    <col min="14340" max="14340" width="9.140625" style="47"/>
    <col min="14341" max="14341" width="10.85546875" style="47" customWidth="1"/>
    <col min="14342" max="14342" width="9.140625" style="47"/>
    <col min="14343" max="14343" width="9.28515625" style="47" customWidth="1"/>
    <col min="14344" max="14344" width="11.42578125" style="47" bestFit="1" customWidth="1"/>
    <col min="14345" max="14345" width="9.140625" style="47"/>
    <col min="14346" max="14346" width="2.28515625" style="47" customWidth="1"/>
    <col min="14347" max="14347" width="9.140625" style="47"/>
    <col min="14348" max="14348" width="9.7109375" style="47" customWidth="1"/>
    <col min="14349" max="14349" width="10.42578125" style="47" bestFit="1" customWidth="1"/>
    <col min="14350" max="14592" width="9.140625" style="47"/>
    <col min="14593" max="14593" width="14.140625" style="47" customWidth="1"/>
    <col min="14594" max="14594" width="11" style="47" customWidth="1"/>
    <col min="14595" max="14595" width="9.5703125" style="47" customWidth="1"/>
    <col min="14596" max="14596" width="9.140625" style="47"/>
    <col min="14597" max="14597" width="10.85546875" style="47" customWidth="1"/>
    <col min="14598" max="14598" width="9.140625" style="47"/>
    <col min="14599" max="14599" width="9.28515625" style="47" customWidth="1"/>
    <col min="14600" max="14600" width="11.42578125" style="47" bestFit="1" customWidth="1"/>
    <col min="14601" max="14601" width="9.140625" style="47"/>
    <col min="14602" max="14602" width="2.28515625" style="47" customWidth="1"/>
    <col min="14603" max="14603" width="9.140625" style="47"/>
    <col min="14604" max="14604" width="9.7109375" style="47" customWidth="1"/>
    <col min="14605" max="14605" width="10.42578125" style="47" bestFit="1" customWidth="1"/>
    <col min="14606" max="14848" width="9.140625" style="47"/>
    <col min="14849" max="14849" width="14.140625" style="47" customWidth="1"/>
    <col min="14850" max="14850" width="11" style="47" customWidth="1"/>
    <col min="14851" max="14851" width="9.5703125" style="47" customWidth="1"/>
    <col min="14852" max="14852" width="9.140625" style="47"/>
    <col min="14853" max="14853" width="10.85546875" style="47" customWidth="1"/>
    <col min="14854" max="14854" width="9.140625" style="47"/>
    <col min="14855" max="14855" width="9.28515625" style="47" customWidth="1"/>
    <col min="14856" max="14856" width="11.42578125" style="47" bestFit="1" customWidth="1"/>
    <col min="14857" max="14857" width="9.140625" style="47"/>
    <col min="14858" max="14858" width="2.28515625" style="47" customWidth="1"/>
    <col min="14859" max="14859" width="9.140625" style="47"/>
    <col min="14860" max="14860" width="9.7109375" style="47" customWidth="1"/>
    <col min="14861" max="14861" width="10.42578125" style="47" bestFit="1" customWidth="1"/>
    <col min="14862" max="15104" width="9.140625" style="47"/>
    <col min="15105" max="15105" width="14.140625" style="47" customWidth="1"/>
    <col min="15106" max="15106" width="11" style="47" customWidth="1"/>
    <col min="15107" max="15107" width="9.5703125" style="47" customWidth="1"/>
    <col min="15108" max="15108" width="9.140625" style="47"/>
    <col min="15109" max="15109" width="10.85546875" style="47" customWidth="1"/>
    <col min="15110" max="15110" width="9.140625" style="47"/>
    <col min="15111" max="15111" width="9.28515625" style="47" customWidth="1"/>
    <col min="15112" max="15112" width="11.42578125" style="47" bestFit="1" customWidth="1"/>
    <col min="15113" max="15113" width="9.140625" style="47"/>
    <col min="15114" max="15114" width="2.28515625" style="47" customWidth="1"/>
    <col min="15115" max="15115" width="9.140625" style="47"/>
    <col min="15116" max="15116" width="9.7109375" style="47" customWidth="1"/>
    <col min="15117" max="15117" width="10.42578125" style="47" bestFit="1" customWidth="1"/>
    <col min="15118" max="15360" width="9.140625" style="47"/>
    <col min="15361" max="15361" width="14.140625" style="47" customWidth="1"/>
    <col min="15362" max="15362" width="11" style="47" customWidth="1"/>
    <col min="15363" max="15363" width="9.5703125" style="47" customWidth="1"/>
    <col min="15364" max="15364" width="9.140625" style="47"/>
    <col min="15365" max="15365" width="10.85546875" style="47" customWidth="1"/>
    <col min="15366" max="15366" width="9.140625" style="47"/>
    <col min="15367" max="15367" width="9.28515625" style="47" customWidth="1"/>
    <col min="15368" max="15368" width="11.42578125" style="47" bestFit="1" customWidth="1"/>
    <col min="15369" max="15369" width="9.140625" style="47"/>
    <col min="15370" max="15370" width="2.28515625" style="47" customWidth="1"/>
    <col min="15371" max="15371" width="9.140625" style="47"/>
    <col min="15372" max="15372" width="9.7109375" style="47" customWidth="1"/>
    <col min="15373" max="15373" width="10.42578125" style="47" bestFit="1" customWidth="1"/>
    <col min="15374" max="15616" width="9.140625" style="47"/>
    <col min="15617" max="15617" width="14.140625" style="47" customWidth="1"/>
    <col min="15618" max="15618" width="11" style="47" customWidth="1"/>
    <col min="15619" max="15619" width="9.5703125" style="47" customWidth="1"/>
    <col min="15620" max="15620" width="9.140625" style="47"/>
    <col min="15621" max="15621" width="10.85546875" style="47" customWidth="1"/>
    <col min="15622" max="15622" width="9.140625" style="47"/>
    <col min="15623" max="15623" width="9.28515625" style="47" customWidth="1"/>
    <col min="15624" max="15624" width="11.42578125" style="47" bestFit="1" customWidth="1"/>
    <col min="15625" max="15625" width="9.140625" style="47"/>
    <col min="15626" max="15626" width="2.28515625" style="47" customWidth="1"/>
    <col min="15627" max="15627" width="9.140625" style="47"/>
    <col min="15628" max="15628" width="9.7109375" style="47" customWidth="1"/>
    <col min="15629" max="15629" width="10.42578125" style="47" bestFit="1" customWidth="1"/>
    <col min="15630" max="15872" width="9.140625" style="47"/>
    <col min="15873" max="15873" width="14.140625" style="47" customWidth="1"/>
    <col min="15874" max="15874" width="11" style="47" customWidth="1"/>
    <col min="15875" max="15875" width="9.5703125" style="47" customWidth="1"/>
    <col min="15876" max="15876" width="9.140625" style="47"/>
    <col min="15877" max="15877" width="10.85546875" style="47" customWidth="1"/>
    <col min="15878" max="15878" width="9.140625" style="47"/>
    <col min="15879" max="15879" width="9.28515625" style="47" customWidth="1"/>
    <col min="15880" max="15880" width="11.42578125" style="47" bestFit="1" customWidth="1"/>
    <col min="15881" max="15881" width="9.140625" style="47"/>
    <col min="15882" max="15882" width="2.28515625" style="47" customWidth="1"/>
    <col min="15883" max="15883" width="9.140625" style="47"/>
    <col min="15884" max="15884" width="9.7109375" style="47" customWidth="1"/>
    <col min="15885" max="15885" width="10.42578125" style="47" bestFit="1" customWidth="1"/>
    <col min="15886" max="16128" width="9.140625" style="47"/>
    <col min="16129" max="16129" width="14.140625" style="47" customWidth="1"/>
    <col min="16130" max="16130" width="11" style="47" customWidth="1"/>
    <col min="16131" max="16131" width="9.5703125" style="47" customWidth="1"/>
    <col min="16132" max="16132" width="9.140625" style="47"/>
    <col min="16133" max="16133" width="10.85546875" style="47" customWidth="1"/>
    <col min="16134" max="16134" width="9.140625" style="47"/>
    <col min="16135" max="16135" width="9.28515625" style="47" customWidth="1"/>
    <col min="16136" max="16136" width="11.42578125" style="47" bestFit="1" customWidth="1"/>
    <col min="16137" max="16137" width="9.140625" style="47"/>
    <col min="16138" max="16138" width="2.28515625" style="47" customWidth="1"/>
    <col min="16139" max="16139" width="9.140625" style="47"/>
    <col min="16140" max="16140" width="9.7109375" style="47" customWidth="1"/>
    <col min="16141" max="16141" width="10.42578125" style="47" bestFit="1" customWidth="1"/>
    <col min="16142" max="16384" width="9.140625" style="47"/>
  </cols>
  <sheetData>
    <row r="1" spans="1:13" ht="15.75" x14ac:dyDescent="0.25">
      <c r="A1" s="49" t="s">
        <v>25</v>
      </c>
    </row>
    <row r="2" spans="1:13" s="44" customFormat="1" x14ac:dyDescent="0.2">
      <c r="A2" s="50"/>
      <c r="C2" s="47"/>
      <c r="D2" s="47"/>
      <c r="E2" s="47"/>
      <c r="F2" s="47"/>
      <c r="G2" s="47"/>
    </row>
    <row r="3" spans="1:13" s="44" customFormat="1" x14ac:dyDescent="0.2">
      <c r="A3" s="50"/>
      <c r="B3" s="51">
        <v>1</v>
      </c>
      <c r="C3" s="47"/>
      <c r="D3" s="47"/>
      <c r="E3" s="47"/>
      <c r="F3" s="47"/>
      <c r="G3" s="47"/>
    </row>
    <row r="4" spans="1:13" s="44" customFormat="1" x14ac:dyDescent="0.2">
      <c r="A4" s="50"/>
      <c r="C4" s="47"/>
      <c r="D4" s="47"/>
      <c r="E4" s="47"/>
      <c r="F4" s="47"/>
      <c r="G4" s="47"/>
    </row>
    <row r="5" spans="1:13" ht="15.75" x14ac:dyDescent="0.25">
      <c r="A5" s="49"/>
    </row>
    <row r="6" spans="1:13" x14ac:dyDescent="0.2">
      <c r="A6" s="50" t="s">
        <v>26</v>
      </c>
      <c r="B6" s="52" t="s">
        <v>27</v>
      </c>
      <c r="C6" s="53" t="s">
        <v>92</v>
      </c>
      <c r="D6" s="53" t="s">
        <v>28</v>
      </c>
      <c r="L6" s="53" t="s">
        <v>73</v>
      </c>
    </row>
    <row r="7" spans="1:13" x14ac:dyDescent="0.2">
      <c r="H7" s="54"/>
      <c r="I7" s="54"/>
      <c r="J7" s="54"/>
      <c r="K7" s="55"/>
    </row>
    <row r="8" spans="1:13" x14ac:dyDescent="0.2">
      <c r="A8" s="47" t="s">
        <v>23</v>
      </c>
      <c r="B8" s="51">
        <f>Analysis!I6</f>
        <v>40</v>
      </c>
      <c r="C8" s="56" t="s">
        <v>29</v>
      </c>
      <c r="D8" s="54"/>
      <c r="E8" s="54"/>
      <c r="F8" s="54"/>
      <c r="G8" s="57"/>
      <c r="H8" s="54"/>
      <c r="I8" s="54"/>
      <c r="J8" s="54"/>
      <c r="K8" s="55"/>
    </row>
    <row r="9" spans="1:13" x14ac:dyDescent="0.2">
      <c r="A9" s="47" t="s">
        <v>24</v>
      </c>
      <c r="B9" s="51">
        <f>IF(B3=2,0,1)</f>
        <v>1</v>
      </c>
      <c r="C9" s="56" t="s">
        <v>30</v>
      </c>
      <c r="D9" s="54"/>
      <c r="E9" s="54"/>
      <c r="F9" s="54"/>
      <c r="G9" s="57"/>
    </row>
    <row r="10" spans="1:13" x14ac:dyDescent="0.2">
      <c r="B10" s="51"/>
      <c r="C10" s="56"/>
      <c r="D10" s="54"/>
      <c r="E10" s="54"/>
      <c r="F10" s="54"/>
      <c r="G10" s="57">
        <v>1</v>
      </c>
    </row>
    <row r="11" spans="1:13" ht="15" x14ac:dyDescent="0.25">
      <c r="A11" s="56" t="s">
        <v>31</v>
      </c>
      <c r="B11" s="58">
        <f>G11</f>
        <v>1.1506839857391899E-3</v>
      </c>
      <c r="C11" s="56" t="s">
        <v>32</v>
      </c>
      <c r="F11" s="24">
        <v>52.142899999999997</v>
      </c>
      <c r="G11" s="47">
        <f>0.06/F11</f>
        <v>1.1506839857391899E-3</v>
      </c>
      <c r="H11" s="54"/>
      <c r="I11" s="54"/>
      <c r="J11" s="54"/>
      <c r="K11" s="55"/>
    </row>
    <row r="12" spans="1:13" ht="15" x14ac:dyDescent="0.25">
      <c r="A12" s="56" t="s">
        <v>33</v>
      </c>
      <c r="B12" s="58">
        <f>G12</f>
        <v>2.8767099643479748E-4</v>
      </c>
      <c r="C12" s="56" t="s">
        <v>34</v>
      </c>
      <c r="G12" s="47">
        <f>0.015/F11</f>
        <v>2.8767099643479748E-4</v>
      </c>
      <c r="I12" s="54"/>
      <c r="J12" s="54"/>
      <c r="K12" s="55"/>
    </row>
    <row r="13" spans="1:13" ht="16.5" customHeight="1" x14ac:dyDescent="0.2">
      <c r="A13" s="47" t="s">
        <v>68</v>
      </c>
      <c r="B13" s="47">
        <v>2</v>
      </c>
      <c r="C13" s="59" t="s">
        <v>69</v>
      </c>
      <c r="D13" s="54"/>
      <c r="E13" s="54"/>
      <c r="F13" s="54"/>
      <c r="G13" s="57"/>
      <c r="I13" s="54"/>
      <c r="J13" s="54"/>
      <c r="K13" s="55"/>
    </row>
    <row r="14" spans="1:13" ht="16.5" customHeight="1" x14ac:dyDescent="0.2">
      <c r="C14" s="59"/>
      <c r="D14" s="54"/>
      <c r="E14" s="54"/>
      <c r="F14" s="54"/>
      <c r="G14" s="57"/>
      <c r="I14" s="54"/>
      <c r="J14" s="54"/>
      <c r="K14" s="55"/>
    </row>
    <row r="15" spans="1:13" ht="15" x14ac:dyDescent="0.25">
      <c r="A15" s="92" t="s">
        <v>81</v>
      </c>
      <c r="C15" s="59"/>
      <c r="D15" s="54"/>
      <c r="E15" s="54"/>
      <c r="F15" s="54"/>
      <c r="G15" s="57"/>
      <c r="I15" s="60"/>
      <c r="J15" s="60"/>
      <c r="K15" s="61"/>
      <c r="L15" s="62"/>
      <c r="M15" s="62"/>
    </row>
    <row r="16" spans="1:13" x14ac:dyDescent="0.2">
      <c r="A16" s="53" t="s">
        <v>79</v>
      </c>
      <c r="C16" s="59"/>
      <c r="D16" s="54"/>
      <c r="E16" s="54"/>
      <c r="F16" s="54"/>
      <c r="G16" s="57"/>
      <c r="I16" s="60"/>
      <c r="J16" s="60"/>
      <c r="K16" s="61"/>
      <c r="L16" s="62"/>
      <c r="M16" s="62"/>
    </row>
    <row r="17" spans="1:13" x14ac:dyDescent="0.2">
      <c r="A17" s="53"/>
      <c r="C17" s="59"/>
      <c r="D17" s="54"/>
      <c r="E17" s="54"/>
      <c r="F17" s="54"/>
      <c r="G17" s="57"/>
      <c r="I17" s="60"/>
      <c r="J17" s="60"/>
      <c r="K17" s="61"/>
      <c r="L17" s="62"/>
      <c r="M17" s="62"/>
    </row>
    <row r="18" spans="1:13" s="44" customFormat="1" x14ac:dyDescent="0.2">
      <c r="A18" s="63" t="s">
        <v>75</v>
      </c>
      <c r="B18" s="90">
        <v>0.4</v>
      </c>
      <c r="D18" s="44" t="s">
        <v>72</v>
      </c>
      <c r="E18" s="65"/>
      <c r="F18" s="65"/>
      <c r="G18" s="66"/>
      <c r="I18" s="67"/>
      <c r="J18" s="67"/>
      <c r="K18" s="68"/>
      <c r="L18" s="67" t="s">
        <v>74</v>
      </c>
      <c r="M18" s="67"/>
    </row>
    <row r="19" spans="1:13" s="44" customFormat="1" x14ac:dyDescent="0.2">
      <c r="A19" s="63" t="s">
        <v>70</v>
      </c>
      <c r="B19" s="90">
        <f>Probabilities!E8</f>
        <v>1.5341276249036806E-4</v>
      </c>
      <c r="D19" s="44" t="s">
        <v>157</v>
      </c>
      <c r="E19" s="65"/>
      <c r="F19" s="65"/>
      <c r="G19" s="66"/>
      <c r="H19" s="67"/>
      <c r="I19" s="67"/>
      <c r="J19" s="67"/>
      <c r="K19" s="67"/>
      <c r="L19" s="67"/>
      <c r="M19" s="67"/>
    </row>
    <row r="20" spans="1:13" s="44" customFormat="1" x14ac:dyDescent="0.2">
      <c r="A20" s="44" t="s">
        <v>54</v>
      </c>
      <c r="B20" s="90">
        <f>Probabilities!E7</f>
        <v>1.1650857320283259E-2</v>
      </c>
      <c r="D20" s="44" t="s">
        <v>76</v>
      </c>
      <c r="E20" s="65"/>
      <c r="F20" s="65"/>
      <c r="G20" s="66"/>
      <c r="H20" s="67"/>
      <c r="I20" s="67"/>
      <c r="J20" s="67"/>
      <c r="K20" s="67"/>
      <c r="L20" s="67"/>
      <c r="M20" s="67"/>
    </row>
    <row r="21" spans="1:13" s="44" customFormat="1" x14ac:dyDescent="0.2">
      <c r="B21" s="91">
        <v>0</v>
      </c>
      <c r="D21" s="44" t="s">
        <v>78</v>
      </c>
      <c r="E21" s="65"/>
      <c r="F21" s="65"/>
      <c r="G21" s="66"/>
      <c r="H21" s="67"/>
      <c r="I21" s="67"/>
      <c r="J21" s="67"/>
      <c r="K21" s="67"/>
      <c r="L21" s="67"/>
      <c r="M21" s="67"/>
    </row>
    <row r="22" spans="1:13" s="44" customFormat="1" x14ac:dyDescent="0.2">
      <c r="B22" s="91">
        <v>0</v>
      </c>
      <c r="D22" s="44" t="s">
        <v>77</v>
      </c>
      <c r="E22" s="65"/>
      <c r="F22" s="65"/>
      <c r="G22" s="66"/>
      <c r="H22" s="67"/>
      <c r="I22" s="67"/>
      <c r="J22" s="67"/>
      <c r="K22" s="67"/>
      <c r="L22" s="67"/>
      <c r="M22" s="67"/>
    </row>
    <row r="23" spans="1:13" s="44" customFormat="1" x14ac:dyDescent="0.2">
      <c r="A23" s="44" t="s">
        <v>155</v>
      </c>
      <c r="B23" s="91">
        <v>0</v>
      </c>
      <c r="D23" s="44" t="s">
        <v>156</v>
      </c>
      <c r="E23" s="65"/>
      <c r="F23" s="65"/>
      <c r="G23" s="66"/>
      <c r="H23" s="67"/>
      <c r="I23" s="67"/>
      <c r="J23" s="67"/>
      <c r="K23" s="67"/>
      <c r="L23" s="67"/>
      <c r="M23" s="67"/>
    </row>
    <row r="24" spans="1:13" ht="16.5" customHeight="1" x14ac:dyDescent="0.2">
      <c r="C24" s="59"/>
      <c r="D24" s="54"/>
      <c r="E24" s="54"/>
      <c r="F24" s="54"/>
      <c r="G24" s="57"/>
      <c r="I24" s="54"/>
      <c r="J24" s="54"/>
      <c r="K24" s="55"/>
    </row>
    <row r="25" spans="1:13" x14ac:dyDescent="0.2">
      <c r="A25" s="53" t="s">
        <v>80</v>
      </c>
      <c r="C25" s="59"/>
      <c r="D25" s="54"/>
      <c r="E25" s="54"/>
      <c r="F25" s="54"/>
      <c r="G25" s="57"/>
      <c r="I25" s="60"/>
      <c r="J25" s="60"/>
      <c r="K25" s="61"/>
      <c r="L25" s="62"/>
      <c r="M25" s="62"/>
    </row>
    <row r="26" spans="1:13" x14ac:dyDescent="0.2">
      <c r="A26" s="53" t="s">
        <v>110</v>
      </c>
      <c r="C26" s="59"/>
      <c r="D26" s="54"/>
      <c r="E26" s="54"/>
      <c r="F26" s="54"/>
      <c r="G26" s="57"/>
      <c r="I26" s="60"/>
      <c r="J26" s="60"/>
      <c r="K26" s="61"/>
      <c r="L26" s="62"/>
      <c r="M26" s="62"/>
    </row>
    <row r="27" spans="1:13" s="44" customFormat="1" x14ac:dyDescent="0.2">
      <c r="A27" s="63" t="s">
        <v>112</v>
      </c>
      <c r="B27" s="90">
        <f>Probabilities!E26</f>
        <v>0.10045209288469181</v>
      </c>
      <c r="D27" s="44" t="s">
        <v>63</v>
      </c>
      <c r="E27" s="65"/>
      <c r="F27" s="65"/>
      <c r="G27" s="66"/>
      <c r="I27" s="67"/>
      <c r="J27" s="67"/>
      <c r="K27" s="68"/>
      <c r="L27" s="97" t="s">
        <v>129</v>
      </c>
      <c r="M27" s="97"/>
    </row>
    <row r="28" spans="1:13" s="44" customFormat="1" x14ac:dyDescent="0.2">
      <c r="A28" s="63" t="s">
        <v>113</v>
      </c>
      <c r="B28" s="90">
        <f>Probabilities!E16</f>
        <v>2.2987227351808359E-3</v>
      </c>
      <c r="D28" s="44" t="s">
        <v>64</v>
      </c>
      <c r="E28" s="65"/>
      <c r="F28" s="65"/>
      <c r="G28" s="66"/>
      <c r="H28" s="67"/>
      <c r="I28" s="67"/>
      <c r="J28" s="67"/>
      <c r="K28" s="67"/>
      <c r="L28" s="97" t="s">
        <v>129</v>
      </c>
      <c r="M28" s="97"/>
    </row>
    <row r="29" spans="1:13" s="44" customFormat="1" x14ac:dyDescent="0.2">
      <c r="A29" s="44" t="s">
        <v>114</v>
      </c>
      <c r="B29" s="90">
        <f>Probabilities!E17</f>
        <v>2.2987227351808359E-3</v>
      </c>
      <c r="D29" s="44" t="s">
        <v>65</v>
      </c>
      <c r="E29" s="65"/>
      <c r="F29" s="65"/>
      <c r="G29" s="66"/>
      <c r="H29" s="67"/>
      <c r="I29" s="67"/>
      <c r="J29" s="67"/>
      <c r="K29" s="67"/>
      <c r="L29" s="97" t="s">
        <v>129</v>
      </c>
      <c r="M29" s="97"/>
    </row>
    <row r="30" spans="1:13" x14ac:dyDescent="0.2">
      <c r="A30" s="53" t="s">
        <v>111</v>
      </c>
      <c r="H30" s="54"/>
      <c r="I30" s="54"/>
      <c r="J30" s="54"/>
      <c r="K30" s="69"/>
      <c r="L30" s="70"/>
      <c r="M30" s="70"/>
    </row>
    <row r="31" spans="1:13" x14ac:dyDescent="0.2">
      <c r="A31" s="63" t="s">
        <v>115</v>
      </c>
      <c r="B31" s="90">
        <f>Probabilities!E15</f>
        <v>9.6302166627487917E-2</v>
      </c>
      <c r="C31" s="44"/>
      <c r="D31" s="44" t="s">
        <v>126</v>
      </c>
      <c r="E31" s="65"/>
      <c r="F31" s="65"/>
      <c r="G31" s="66"/>
      <c r="H31" s="44"/>
      <c r="I31" s="67"/>
      <c r="J31" s="67"/>
      <c r="K31" s="68"/>
      <c r="L31" s="97" t="s">
        <v>129</v>
      </c>
      <c r="M31" s="70"/>
    </row>
    <row r="32" spans="1:13" x14ac:dyDescent="0.2">
      <c r="A32" s="63" t="s">
        <v>116</v>
      </c>
      <c r="B32" s="90">
        <f>Probabilities!E16</f>
        <v>2.2987227351808359E-3</v>
      </c>
      <c r="C32" s="44"/>
      <c r="D32" s="44" t="s">
        <v>127</v>
      </c>
      <c r="E32" s="65"/>
      <c r="F32" s="65"/>
      <c r="G32" s="66"/>
      <c r="H32" s="67"/>
      <c r="I32" s="67"/>
      <c r="J32" s="67"/>
      <c r="K32" s="67"/>
      <c r="L32" s="97" t="s">
        <v>129</v>
      </c>
      <c r="M32" s="70"/>
    </row>
    <row r="33" spans="1:13" s="62" customFormat="1" x14ac:dyDescent="0.2">
      <c r="A33" s="44" t="s">
        <v>117</v>
      </c>
      <c r="B33" s="90">
        <f>Probabilities!E17</f>
        <v>2.2987227351808359E-3</v>
      </c>
      <c r="C33" s="44"/>
      <c r="D33" s="44" t="s">
        <v>128</v>
      </c>
      <c r="E33" s="65"/>
      <c r="F33" s="65"/>
      <c r="G33" s="66"/>
      <c r="H33" s="67"/>
      <c r="I33" s="67"/>
      <c r="J33" s="67"/>
      <c r="K33" s="67"/>
      <c r="L33" s="97" t="s">
        <v>129</v>
      </c>
      <c r="M33" s="70"/>
    </row>
    <row r="34" spans="1:13" x14ac:dyDescent="0.2">
      <c r="B34" s="72"/>
      <c r="D34" s="73"/>
      <c r="E34" s="73"/>
      <c r="F34" s="54"/>
      <c r="G34" s="57"/>
    </row>
    <row r="35" spans="1:13" x14ac:dyDescent="0.2">
      <c r="A35" s="53" t="s">
        <v>35</v>
      </c>
      <c r="B35" s="72"/>
      <c r="D35" s="73"/>
      <c r="E35" s="73"/>
      <c r="F35" s="54"/>
      <c r="G35" s="57"/>
      <c r="H35" s="74"/>
      <c r="I35" s="74"/>
      <c r="J35" s="74"/>
      <c r="K35" s="75"/>
      <c r="L35" s="74"/>
      <c r="M35" s="74"/>
    </row>
    <row r="36" spans="1:13" x14ac:dyDescent="0.2">
      <c r="H36" s="74"/>
      <c r="I36" s="74"/>
      <c r="J36" s="74"/>
      <c r="K36" s="75"/>
      <c r="L36" s="74"/>
      <c r="M36" s="74"/>
    </row>
    <row r="37" spans="1:13" s="44" customFormat="1" x14ac:dyDescent="0.2">
      <c r="A37" s="44" t="s">
        <v>82</v>
      </c>
      <c r="B37" s="94">
        <f>2410/'Life tables'!I2 * 2</f>
        <v>92.438280187714923</v>
      </c>
      <c r="D37" s="44" t="s">
        <v>178</v>
      </c>
      <c r="E37" s="65"/>
      <c r="F37" s="65"/>
      <c r="G37" s="66"/>
      <c r="L37" s="44" t="s">
        <v>105</v>
      </c>
    </row>
    <row r="38" spans="1:13" s="44" customFormat="1" x14ac:dyDescent="0.2">
      <c r="A38" s="44" t="s">
        <v>93</v>
      </c>
      <c r="B38" s="95">
        <v>120</v>
      </c>
      <c r="C38" s="44">
        <v>12</v>
      </c>
      <c r="D38" s="44" t="s">
        <v>96</v>
      </c>
      <c r="E38" s="65"/>
      <c r="F38" s="65"/>
      <c r="G38" s="66"/>
      <c r="H38" s="67"/>
      <c r="I38" s="67"/>
      <c r="J38" s="67"/>
      <c r="K38" s="68"/>
      <c r="L38" s="97" t="s">
        <v>106</v>
      </c>
      <c r="M38" s="67"/>
    </row>
    <row r="39" spans="1:13" s="44" customFormat="1" x14ac:dyDescent="0.2">
      <c r="A39" s="44" t="s">
        <v>94</v>
      </c>
      <c r="B39" s="94">
        <v>548</v>
      </c>
      <c r="C39" s="44">
        <v>55</v>
      </c>
      <c r="D39" s="44" t="s">
        <v>97</v>
      </c>
      <c r="E39" s="65"/>
      <c r="F39" s="65"/>
      <c r="G39" s="66"/>
      <c r="H39" s="67"/>
      <c r="I39" s="67"/>
      <c r="J39" s="67"/>
      <c r="K39" s="68"/>
      <c r="L39" s="98" t="s">
        <v>106</v>
      </c>
      <c r="M39" s="67"/>
    </row>
    <row r="40" spans="1:13" s="44" customFormat="1" x14ac:dyDescent="0.2">
      <c r="A40" s="44" t="s">
        <v>95</v>
      </c>
      <c r="B40" s="96">
        <v>9132</v>
      </c>
      <c r="C40" s="44">
        <v>913</v>
      </c>
      <c r="D40" s="44" t="s">
        <v>98</v>
      </c>
      <c r="E40" s="65"/>
      <c r="F40" s="65"/>
      <c r="G40" s="66"/>
      <c r="H40" s="67"/>
      <c r="I40" s="67"/>
      <c r="J40" s="67"/>
      <c r="K40" s="68"/>
      <c r="L40" s="97" t="s">
        <v>106</v>
      </c>
      <c r="M40" s="67"/>
    </row>
    <row r="41" spans="1:13" s="44" customFormat="1" x14ac:dyDescent="0.2">
      <c r="A41" s="44" t="s">
        <v>100</v>
      </c>
      <c r="B41" s="96">
        <v>100</v>
      </c>
      <c r="D41" s="44" t="s">
        <v>99</v>
      </c>
      <c r="E41" s="65"/>
      <c r="F41" s="65"/>
      <c r="G41" s="66"/>
      <c r="H41" s="77"/>
      <c r="I41" s="77"/>
      <c r="J41" s="77"/>
      <c r="K41" s="78"/>
      <c r="L41" s="99" t="s">
        <v>104</v>
      </c>
      <c r="M41" s="79"/>
    </row>
    <row r="42" spans="1:13" s="44" customFormat="1" x14ac:dyDescent="0.2">
      <c r="A42" s="44" t="s">
        <v>101</v>
      </c>
      <c r="B42" s="96">
        <v>25</v>
      </c>
      <c r="D42" s="44" t="s">
        <v>102</v>
      </c>
      <c r="E42" s="65"/>
      <c r="F42" s="65"/>
      <c r="G42" s="66"/>
      <c r="H42" s="77"/>
      <c r="I42" s="77"/>
      <c r="J42" s="77"/>
      <c r="K42" s="78"/>
      <c r="L42" s="99" t="s">
        <v>104</v>
      </c>
      <c r="M42" s="79"/>
    </row>
    <row r="43" spans="1:13" s="44" customFormat="1" x14ac:dyDescent="0.2">
      <c r="B43" s="76"/>
      <c r="D43" s="65"/>
      <c r="E43" s="65"/>
      <c r="F43" s="65"/>
      <c r="G43" s="66"/>
      <c r="H43" s="47"/>
      <c r="I43" s="47"/>
      <c r="J43" s="47"/>
      <c r="K43" s="47"/>
      <c r="L43" s="47"/>
      <c r="M43" s="47"/>
    </row>
    <row r="44" spans="1:13" ht="15" x14ac:dyDescent="0.25">
      <c r="A44" s="56"/>
      <c r="B44" s="71"/>
      <c r="C44" s="59"/>
      <c r="D44" s="54"/>
      <c r="E44" s="54"/>
      <c r="F44" s="54"/>
      <c r="G44" s="57"/>
    </row>
    <row r="45" spans="1:13" x14ac:dyDescent="0.2">
      <c r="A45" s="53" t="s">
        <v>36</v>
      </c>
      <c r="H45" s="62"/>
      <c r="I45" s="62"/>
      <c r="J45" s="62"/>
      <c r="K45" s="62"/>
      <c r="L45" s="62"/>
      <c r="M45" s="62"/>
    </row>
    <row r="46" spans="1:13" x14ac:dyDescent="0.2">
      <c r="H46" s="62"/>
      <c r="I46" s="62"/>
      <c r="J46" s="62"/>
      <c r="K46" s="62"/>
      <c r="L46" s="62"/>
      <c r="M46" s="62"/>
    </row>
    <row r="47" spans="1:13" s="44" customFormat="1" x14ac:dyDescent="0.2">
      <c r="A47" s="44" t="s">
        <v>83</v>
      </c>
      <c r="B47" s="64">
        <v>0.66900000000000004</v>
      </c>
      <c r="C47" s="44">
        <v>0.15</v>
      </c>
      <c r="D47" s="44" t="s">
        <v>84</v>
      </c>
      <c r="L47" s="44" t="s">
        <v>85</v>
      </c>
    </row>
    <row r="48" spans="1:13" s="44" customFormat="1" x14ac:dyDescent="0.2">
      <c r="A48" s="44" t="s">
        <v>86</v>
      </c>
      <c r="B48" s="64">
        <v>0.57199999999999995</v>
      </c>
      <c r="C48" s="44">
        <v>0.36</v>
      </c>
      <c r="D48" s="44" t="s">
        <v>88</v>
      </c>
      <c r="L48" s="44" t="s">
        <v>103</v>
      </c>
    </row>
    <row r="49" spans="1:12" s="44" customFormat="1" x14ac:dyDescent="0.2">
      <c r="A49" s="44" t="s">
        <v>87</v>
      </c>
      <c r="B49" s="64">
        <v>0.44900000000000001</v>
      </c>
      <c r="C49" s="44">
        <v>0.37</v>
      </c>
      <c r="D49" s="44" t="s">
        <v>89</v>
      </c>
      <c r="L49" s="44" t="s">
        <v>103</v>
      </c>
    </row>
    <row r="50" spans="1:12" s="44" customFormat="1" x14ac:dyDescent="0.2">
      <c r="A50" s="44" t="s">
        <v>90</v>
      </c>
      <c r="B50" s="93">
        <v>0.32600000000000001</v>
      </c>
      <c r="C50" s="44">
        <v>0.39</v>
      </c>
      <c r="D50" s="44" t="s">
        <v>91</v>
      </c>
      <c r="L50" s="44" t="s">
        <v>103</v>
      </c>
    </row>
    <row r="52" spans="1:12" x14ac:dyDescent="0.2">
      <c r="A52" s="53" t="s">
        <v>130</v>
      </c>
    </row>
    <row r="54" spans="1:12" x14ac:dyDescent="0.2">
      <c r="A54" s="47" t="s">
        <v>131</v>
      </c>
      <c r="B54" s="64">
        <f>Probabilities!E36</f>
        <v>3.7417663718882443E-2</v>
      </c>
      <c r="C54" s="44"/>
      <c r="D54" s="44" t="s">
        <v>158</v>
      </c>
      <c r="L54" s="47" t="s">
        <v>140</v>
      </c>
    </row>
    <row r="55" spans="1:12" x14ac:dyDescent="0.2">
      <c r="A55" s="47" t="s">
        <v>132</v>
      </c>
      <c r="B55" s="64">
        <f>Probabilities!E35</f>
        <v>2.5496231708073913E-2</v>
      </c>
      <c r="C55" s="44"/>
      <c r="D55" s="44" t="s">
        <v>159</v>
      </c>
      <c r="L55" s="47" t="s">
        <v>140</v>
      </c>
    </row>
    <row r="56" spans="1:12" x14ac:dyDescent="0.2">
      <c r="A56" s="47" t="s">
        <v>138</v>
      </c>
      <c r="B56" s="64">
        <f>Probabilities!E38</f>
        <v>7.1214038276825598E-3</v>
      </c>
      <c r="C56" s="44"/>
      <c r="D56" s="44" t="s">
        <v>160</v>
      </c>
      <c r="L56" s="47" t="s">
        <v>140</v>
      </c>
    </row>
    <row r="57" spans="1:12" x14ac:dyDescent="0.2">
      <c r="A57" s="47" t="s">
        <v>139</v>
      </c>
      <c r="B57" s="64">
        <f>Probabilities!E37</f>
        <v>5.3273136224152307E-3</v>
      </c>
      <c r="C57" s="44"/>
      <c r="D57" s="44" t="s">
        <v>161</v>
      </c>
      <c r="L57" s="47" t="s">
        <v>140</v>
      </c>
    </row>
  </sheetData>
  <pageMargins left="0.74803149606299213" right="0.74803149606299213" top="0.54" bottom="0.56000000000000005" header="0.51181102362204722" footer="0.51181102362204722"/>
  <pageSetup paperSize="9" scale="66" orientation="landscape"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Q123"/>
  <sheetViews>
    <sheetView workbookViewId="0">
      <selection activeCell="I2" sqref="I2"/>
    </sheetView>
  </sheetViews>
  <sheetFormatPr defaultRowHeight="12.75" x14ac:dyDescent="0.2"/>
  <cols>
    <col min="1" max="1" width="6.85546875" style="4" customWidth="1"/>
    <col min="2" max="2" width="12.42578125" style="4" customWidth="1"/>
    <col min="3" max="7" width="9.140625" style="4"/>
    <col min="8" max="8" width="13.42578125" style="4" bestFit="1" customWidth="1"/>
    <col min="9" max="9" width="12.42578125" style="4" customWidth="1"/>
    <col min="10" max="16384" width="9.140625" style="4"/>
  </cols>
  <sheetData>
    <row r="1" spans="1:17" ht="15.75" x14ac:dyDescent="0.25">
      <c r="A1" s="22" t="s">
        <v>41</v>
      </c>
      <c r="G1" s="28"/>
      <c r="H1" s="81" t="s">
        <v>49</v>
      </c>
      <c r="I1" s="4" t="s">
        <v>50</v>
      </c>
      <c r="N1" s="4">
        <f>O1/2</f>
        <v>782.1434999999999</v>
      </c>
      <c r="O1" s="4">
        <f>I2*P1</f>
        <v>1564.2869999999998</v>
      </c>
      <c r="P1" s="81">
        <v>30</v>
      </c>
      <c r="Q1" s="81" t="s">
        <v>171</v>
      </c>
    </row>
    <row r="2" spans="1:17" ht="15.75" x14ac:dyDescent="0.25">
      <c r="A2" s="22"/>
      <c r="B2" s="81" t="s">
        <v>43</v>
      </c>
      <c r="E2" s="81" t="s">
        <v>40</v>
      </c>
      <c r="H2" s="113" t="s">
        <v>162</v>
      </c>
      <c r="I2" s="24">
        <v>52.142899999999997</v>
      </c>
      <c r="J2" s="81" t="s">
        <v>62</v>
      </c>
      <c r="K2" s="23" t="s">
        <v>40</v>
      </c>
      <c r="O2" s="81"/>
      <c r="P2" s="4">
        <f>P1*I2</f>
        <v>1564.2869999999998</v>
      </c>
      <c r="Q2" s="81" t="s">
        <v>175</v>
      </c>
    </row>
    <row r="3" spans="1:17" x14ac:dyDescent="0.2">
      <c r="A3" s="81" t="s">
        <v>42</v>
      </c>
      <c r="B3" s="25" t="s">
        <v>44</v>
      </c>
      <c r="C3" s="27" t="s">
        <v>45</v>
      </c>
      <c r="D3" s="27" t="s">
        <v>46</v>
      </c>
      <c r="E3" s="81" t="s">
        <v>47</v>
      </c>
      <c r="F3" s="81" t="s">
        <v>45</v>
      </c>
      <c r="G3" s="81" t="s">
        <v>48</v>
      </c>
      <c r="H3" s="109" t="s">
        <v>163</v>
      </c>
      <c r="I3" s="109" t="s">
        <v>164</v>
      </c>
      <c r="J3" s="109" t="s">
        <v>165</v>
      </c>
      <c r="K3" s="109" t="s">
        <v>163</v>
      </c>
      <c r="L3" s="109" t="s">
        <v>164</v>
      </c>
      <c r="M3" s="109" t="s">
        <v>165</v>
      </c>
      <c r="P3" s="4">
        <f>P2/2</f>
        <v>782.1434999999999</v>
      </c>
      <c r="Q3" s="81" t="s">
        <v>176</v>
      </c>
    </row>
    <row r="4" spans="1:17" ht="20.25" x14ac:dyDescent="0.2">
      <c r="A4" s="82">
        <v>0</v>
      </c>
      <c r="B4" s="83">
        <v>6.5189999999999996E-3</v>
      </c>
      <c r="C4" s="84">
        <v>100000</v>
      </c>
      <c r="D4" s="83">
        <v>76.28</v>
      </c>
      <c r="E4" s="83">
        <v>5.3769999999999998E-3</v>
      </c>
      <c r="F4" s="84">
        <v>100000</v>
      </c>
      <c r="G4" s="83">
        <v>81.05</v>
      </c>
      <c r="H4" s="28">
        <f>-LN(1-B4)/1</f>
        <v>6.5403414811394892E-3</v>
      </c>
      <c r="I4" s="28">
        <f>H4/$I$2</f>
        <v>1.2543110339354905E-4</v>
      </c>
      <c r="J4" s="28">
        <f>1-EXP(-I4*2)</f>
        <v>2.5083074349474543E-4</v>
      </c>
      <c r="K4" s="28">
        <f>-LN(1-E4)/1</f>
        <v>5.3915080945532955E-3</v>
      </c>
      <c r="L4" s="28">
        <f>K4/$I$2</f>
        <v>1.0339870038976152E-4</v>
      </c>
      <c r="M4" s="28">
        <f>1-EXP(-L4*2)</f>
        <v>2.0677601967089565E-4</v>
      </c>
    </row>
    <row r="5" spans="1:17" ht="20.25" x14ac:dyDescent="0.2">
      <c r="A5" s="82">
        <v>1</v>
      </c>
      <c r="B5" s="83">
        <v>4.6200000000000001E-4</v>
      </c>
      <c r="C5" s="84">
        <v>99348</v>
      </c>
      <c r="D5" s="83">
        <v>75.78</v>
      </c>
      <c r="E5" s="83">
        <v>3.79E-4</v>
      </c>
      <c r="F5" s="84">
        <v>99462</v>
      </c>
      <c r="G5" s="83">
        <v>80.489999999999995</v>
      </c>
      <c r="H5" s="28">
        <f t="shared" ref="H5:H68" si="0">-LN(1-B5)/1</f>
        <v>4.6210675488173221E-4</v>
      </c>
      <c r="I5" s="28">
        <f t="shared" ref="I5:I68" si="1">H5/$I$2</f>
        <v>8.8623140424052406E-6</v>
      </c>
      <c r="J5" s="28">
        <f t="shared" ref="J5:J68" si="2">1-EXP(-I5*2)</f>
        <v>1.7724471004565423E-5</v>
      </c>
      <c r="K5" s="28">
        <f t="shared" ref="K5:K68" si="3">-LN(1-E5)/1</f>
        <v>3.7907183865182429E-4</v>
      </c>
      <c r="L5" s="28">
        <f t="shared" ref="L5:L68" si="4">K5/$I$2</f>
        <v>7.2698649030227377E-6</v>
      </c>
      <c r="M5" s="28">
        <f t="shared" ref="M5:M68" si="5">1-EXP(-L5*2)</f>
        <v>1.453962410469245E-5</v>
      </c>
    </row>
    <row r="6" spans="1:17" ht="20.25" x14ac:dyDescent="0.2">
      <c r="A6" s="82">
        <v>2</v>
      </c>
      <c r="B6" s="83">
        <v>2.9100000000000003E-4</v>
      </c>
      <c r="C6" s="84">
        <v>99302</v>
      </c>
      <c r="D6" s="83">
        <v>74.819999999999993</v>
      </c>
      <c r="E6" s="83">
        <v>2.2100000000000001E-4</v>
      </c>
      <c r="F6" s="84">
        <v>99425</v>
      </c>
      <c r="G6" s="83">
        <v>79.52</v>
      </c>
      <c r="H6" s="28">
        <f t="shared" si="0"/>
        <v>2.9104234871589138E-4</v>
      </c>
      <c r="I6" s="28">
        <f t="shared" si="1"/>
        <v>5.5816294973216182E-6</v>
      </c>
      <c r="J6" s="28">
        <f t="shared" si="2"/>
        <v>1.116319668570398E-5</v>
      </c>
      <c r="K6" s="28">
        <f t="shared" si="3"/>
        <v>2.2102442409857687E-4</v>
      </c>
      <c r="L6" s="28">
        <f t="shared" si="4"/>
        <v>4.2388210877909915E-6</v>
      </c>
      <c r="M6" s="28">
        <f t="shared" si="5"/>
        <v>8.4776062404534613E-6</v>
      </c>
    </row>
    <row r="7" spans="1:17" ht="20.25" x14ac:dyDescent="0.2">
      <c r="A7" s="82">
        <v>3</v>
      </c>
      <c r="B7" s="83">
        <v>2.0900000000000001E-4</v>
      </c>
      <c r="C7" s="84">
        <v>99273</v>
      </c>
      <c r="D7" s="83">
        <v>73.84</v>
      </c>
      <c r="E7" s="83">
        <v>1.6200000000000001E-4</v>
      </c>
      <c r="F7" s="84">
        <v>99403</v>
      </c>
      <c r="G7" s="83">
        <v>78.540000000000006</v>
      </c>
      <c r="H7" s="28">
        <f t="shared" si="0"/>
        <v>2.090218435436015E-4</v>
      </c>
      <c r="I7" s="28">
        <f t="shared" si="1"/>
        <v>4.0086348005884118E-6</v>
      </c>
      <c r="J7" s="28">
        <f t="shared" si="2"/>
        <v>8.0172374629094989E-6</v>
      </c>
      <c r="K7" s="28">
        <f t="shared" si="3"/>
        <v>1.620131234173437E-4</v>
      </c>
      <c r="L7" s="28">
        <f t="shared" si="4"/>
        <v>3.1070984432654053E-6</v>
      </c>
      <c r="M7" s="28">
        <f t="shared" si="5"/>
        <v>6.2141775784008146E-6</v>
      </c>
      <c r="N7" s="26"/>
    </row>
    <row r="8" spans="1:17" ht="20.25" x14ac:dyDescent="0.2">
      <c r="A8" s="82">
        <v>4</v>
      </c>
      <c r="B8" s="83">
        <v>1.76E-4</v>
      </c>
      <c r="C8" s="84">
        <v>99252</v>
      </c>
      <c r="D8" s="83">
        <v>72.849999999999994</v>
      </c>
      <c r="E8" s="83">
        <v>1.3300000000000001E-4</v>
      </c>
      <c r="F8" s="84">
        <v>99387</v>
      </c>
      <c r="G8" s="83">
        <v>77.55</v>
      </c>
      <c r="H8" s="28">
        <f t="shared" si="0"/>
        <v>1.7601548981745254E-4</v>
      </c>
      <c r="I8" s="28">
        <f t="shared" si="1"/>
        <v>3.3756367562497013E-6</v>
      </c>
      <c r="J8" s="28">
        <f t="shared" si="2"/>
        <v>6.7512507226918927E-6</v>
      </c>
      <c r="K8" s="28">
        <f t="shared" si="3"/>
        <v>1.3300884528434032E-4</v>
      </c>
      <c r="L8" s="28">
        <f t="shared" si="4"/>
        <v>2.550852470505866E-6</v>
      </c>
      <c r="M8" s="28">
        <f t="shared" si="5"/>
        <v>5.1016919273561001E-6</v>
      </c>
      <c r="N8" s="26"/>
    </row>
    <row r="9" spans="1:17" ht="20.25" x14ac:dyDescent="0.2">
      <c r="A9" s="85">
        <v>5</v>
      </c>
      <c r="B9" s="86">
        <v>1.5899999999999999E-4</v>
      </c>
      <c r="C9" s="87">
        <v>99235</v>
      </c>
      <c r="D9" s="86">
        <v>71.87</v>
      </c>
      <c r="E9" s="86">
        <v>1.1900000000000001E-4</v>
      </c>
      <c r="F9" s="87">
        <v>99373</v>
      </c>
      <c r="G9" s="86">
        <v>76.56</v>
      </c>
      <c r="H9" s="28">
        <f t="shared" si="0"/>
        <v>1.5901264184007305E-4</v>
      </c>
      <c r="I9" s="28">
        <f t="shared" si="1"/>
        <v>3.0495550082575588E-6</v>
      </c>
      <c r="J9" s="28">
        <f t="shared" si="2"/>
        <v>6.099091417022251E-6</v>
      </c>
      <c r="K9" s="28">
        <f t="shared" si="3"/>
        <v>1.1900708106175004E-4</v>
      </c>
      <c r="L9" s="28">
        <f t="shared" si="4"/>
        <v>2.2823257061220232E-6</v>
      </c>
      <c r="M9" s="28">
        <f t="shared" si="5"/>
        <v>4.5646409941868527E-6</v>
      </c>
      <c r="N9" s="26"/>
    </row>
    <row r="10" spans="1:17" ht="20.25" x14ac:dyDescent="0.2">
      <c r="A10" s="85">
        <v>6</v>
      </c>
      <c r="B10" s="86">
        <v>1.46E-4</v>
      </c>
      <c r="C10" s="87">
        <v>99219</v>
      </c>
      <c r="D10" s="86">
        <v>70.88</v>
      </c>
      <c r="E10" s="86">
        <v>1.0900000000000001E-4</v>
      </c>
      <c r="F10" s="87">
        <v>99361</v>
      </c>
      <c r="G10" s="86">
        <v>75.569999999999993</v>
      </c>
      <c r="H10" s="28">
        <f t="shared" si="0"/>
        <v>1.4601065903747175E-4</v>
      </c>
      <c r="I10" s="28">
        <f t="shared" si="1"/>
        <v>2.8002021183607312E-6</v>
      </c>
      <c r="J10" s="28">
        <f t="shared" si="2"/>
        <v>5.6003885544608778E-6</v>
      </c>
      <c r="K10" s="28">
        <f t="shared" si="3"/>
        <v>1.0900594093173737E-4</v>
      </c>
      <c r="L10" s="28">
        <f t="shared" si="4"/>
        <v>2.0905231763430377E-6</v>
      </c>
      <c r="M10" s="28">
        <f t="shared" si="5"/>
        <v>4.1810376121276249E-6</v>
      </c>
      <c r="N10" s="26"/>
    </row>
    <row r="11" spans="1:17" ht="20.25" x14ac:dyDescent="0.2">
      <c r="A11" s="85">
        <v>7</v>
      </c>
      <c r="B11" s="86">
        <v>1.3300000000000001E-4</v>
      </c>
      <c r="C11" s="87">
        <v>99205</v>
      </c>
      <c r="D11" s="86">
        <v>69.89</v>
      </c>
      <c r="E11" s="86">
        <v>1.01E-4</v>
      </c>
      <c r="F11" s="87">
        <v>99351</v>
      </c>
      <c r="G11" s="86">
        <v>74.58</v>
      </c>
      <c r="H11" s="28">
        <f t="shared" si="0"/>
        <v>1.3300884528434032E-4</v>
      </c>
      <c r="I11" s="28">
        <f t="shared" si="1"/>
        <v>2.550852470505866E-6</v>
      </c>
      <c r="J11" s="28">
        <f t="shared" si="2"/>
        <v>5.1016919273561001E-6</v>
      </c>
      <c r="K11" s="28">
        <f t="shared" si="3"/>
        <v>1.0100510084347743E-4</v>
      </c>
      <c r="L11" s="28">
        <f t="shared" si="4"/>
        <v>1.9370825336426902E-6</v>
      </c>
      <c r="M11" s="28">
        <f t="shared" si="5"/>
        <v>3.8741575627554425E-6</v>
      </c>
      <c r="N11" s="26"/>
    </row>
    <row r="12" spans="1:17" ht="20.25" x14ac:dyDescent="0.2">
      <c r="A12" s="85">
        <v>8</v>
      </c>
      <c r="B12" s="86">
        <v>1.18E-4</v>
      </c>
      <c r="C12" s="87">
        <v>99192</v>
      </c>
      <c r="D12" s="86">
        <v>68.900000000000006</v>
      </c>
      <c r="E12" s="86">
        <v>9.6000000000000002E-5</v>
      </c>
      <c r="F12" s="87">
        <v>99341</v>
      </c>
      <c r="G12" s="86">
        <v>73.58</v>
      </c>
      <c r="H12" s="28">
        <f t="shared" si="0"/>
        <v>1.1800696254767727E-4</v>
      </c>
      <c r="I12" s="28">
        <f t="shared" si="1"/>
        <v>2.2631453668222763E-6</v>
      </c>
      <c r="J12" s="28">
        <f t="shared" si="2"/>
        <v>4.526280489969281E-6</v>
      </c>
      <c r="K12" s="28">
        <f t="shared" si="3"/>
        <v>9.6004608294918218E-5</v>
      </c>
      <c r="L12" s="28">
        <f t="shared" si="4"/>
        <v>1.8411827553687696E-6</v>
      </c>
      <c r="M12" s="28">
        <f t="shared" si="5"/>
        <v>3.6823587308276728E-6</v>
      </c>
      <c r="N12" s="26"/>
    </row>
    <row r="13" spans="1:17" ht="20.25" x14ac:dyDescent="0.2">
      <c r="A13" s="85">
        <v>9</v>
      </c>
      <c r="B13" s="86">
        <v>1.02E-4</v>
      </c>
      <c r="C13" s="87">
        <v>99180</v>
      </c>
      <c r="D13" s="86">
        <v>67.900000000000006</v>
      </c>
      <c r="E13" s="86">
        <v>9.2999999999999997E-5</v>
      </c>
      <c r="F13" s="87">
        <v>99331</v>
      </c>
      <c r="G13" s="86">
        <v>72.59</v>
      </c>
      <c r="H13" s="28">
        <f t="shared" si="0"/>
        <v>1.0200520235380957E-4</v>
      </c>
      <c r="I13" s="28">
        <f t="shared" si="1"/>
        <v>1.95626254684357E-6</v>
      </c>
      <c r="J13" s="28">
        <f t="shared" si="2"/>
        <v>3.9125174398080276E-6</v>
      </c>
      <c r="K13" s="28">
        <f t="shared" si="3"/>
        <v>9.300432476814744E-5</v>
      </c>
      <c r="L13" s="28">
        <f t="shared" si="4"/>
        <v>1.7836431185865657E-6</v>
      </c>
      <c r="M13" s="28">
        <f t="shared" si="5"/>
        <v>3.5672798743835443E-6</v>
      </c>
      <c r="N13" s="26"/>
    </row>
    <row r="14" spans="1:17" ht="20.25" x14ac:dyDescent="0.2">
      <c r="A14" s="82">
        <v>10</v>
      </c>
      <c r="B14" s="83">
        <v>9.1000000000000003E-5</v>
      </c>
      <c r="C14" s="84">
        <v>99170</v>
      </c>
      <c r="D14" s="83">
        <v>66.91</v>
      </c>
      <c r="E14" s="83">
        <v>9.3999999999999994E-5</v>
      </c>
      <c r="F14" s="84">
        <v>99322</v>
      </c>
      <c r="G14" s="83">
        <v>71.599999999999994</v>
      </c>
      <c r="H14" s="28">
        <f t="shared" si="0"/>
        <v>9.1004140751159708E-5</v>
      </c>
      <c r="I14" s="28">
        <f t="shared" si="1"/>
        <v>1.7452834566385781E-6</v>
      </c>
      <c r="J14" s="28">
        <f t="shared" si="2"/>
        <v>3.490560821273192E-6</v>
      </c>
      <c r="K14" s="28">
        <f t="shared" si="3"/>
        <v>9.4004418276919357E-5</v>
      </c>
      <c r="L14" s="28">
        <f t="shared" si="4"/>
        <v>1.8028229783329918E-6</v>
      </c>
      <c r="M14" s="28">
        <f t="shared" si="5"/>
        <v>3.6056394563388494E-6</v>
      </c>
      <c r="N14" s="26"/>
    </row>
    <row r="15" spans="1:17" ht="20.25" x14ac:dyDescent="0.2">
      <c r="A15" s="82">
        <v>11</v>
      </c>
      <c r="B15" s="83">
        <v>9.6000000000000002E-5</v>
      </c>
      <c r="C15" s="84">
        <v>99161</v>
      </c>
      <c r="D15" s="83">
        <v>65.92</v>
      </c>
      <c r="E15" s="83">
        <v>1E-4</v>
      </c>
      <c r="F15" s="84">
        <v>99312</v>
      </c>
      <c r="G15" s="83">
        <v>70.599999999999994</v>
      </c>
      <c r="H15" s="28">
        <f t="shared" si="0"/>
        <v>9.6004608294918218E-5</v>
      </c>
      <c r="I15" s="28">
        <f t="shared" si="1"/>
        <v>1.8411827553687696E-6</v>
      </c>
      <c r="J15" s="28">
        <f t="shared" si="2"/>
        <v>3.6823587308276728E-6</v>
      </c>
      <c r="K15" s="28">
        <f t="shared" si="3"/>
        <v>1.0000500033334732E-4</v>
      </c>
      <c r="L15" s="28">
        <f t="shared" si="4"/>
        <v>1.917902539623752E-6</v>
      </c>
      <c r="M15" s="28">
        <f t="shared" si="5"/>
        <v>3.8357977225622619E-6</v>
      </c>
      <c r="N15" s="26"/>
    </row>
    <row r="16" spans="1:17" ht="20.25" x14ac:dyDescent="0.2">
      <c r="A16" s="82">
        <v>12</v>
      </c>
      <c r="B16" s="83">
        <v>1.2799999999999999E-4</v>
      </c>
      <c r="C16" s="84">
        <v>99151</v>
      </c>
      <c r="D16" s="83">
        <v>64.92</v>
      </c>
      <c r="E16" s="83">
        <v>1.12E-4</v>
      </c>
      <c r="F16" s="84">
        <v>99303</v>
      </c>
      <c r="G16" s="83">
        <v>69.61</v>
      </c>
      <c r="H16" s="28">
        <f t="shared" si="0"/>
        <v>1.2800819269913476E-4</v>
      </c>
      <c r="I16" s="28">
        <f t="shared" si="1"/>
        <v>2.4549496230385109E-6</v>
      </c>
      <c r="J16" s="28">
        <f t="shared" si="2"/>
        <v>4.9098871925945531E-6</v>
      </c>
      <c r="K16" s="28">
        <f t="shared" si="3"/>
        <v>1.1200627246834967E-4</v>
      </c>
      <c r="L16" s="28">
        <f t="shared" si="4"/>
        <v>2.1480637338611715E-6</v>
      </c>
      <c r="M16" s="28">
        <f t="shared" si="5"/>
        <v>4.2961182393774777E-6</v>
      </c>
      <c r="N16" s="26"/>
    </row>
    <row r="17" spans="1:14" ht="20.25" x14ac:dyDescent="0.2">
      <c r="A17" s="82">
        <v>13</v>
      </c>
      <c r="B17" s="83">
        <v>1.95E-4</v>
      </c>
      <c r="C17" s="84">
        <v>99138</v>
      </c>
      <c r="D17" s="83">
        <v>63.93</v>
      </c>
      <c r="E17" s="83">
        <v>1.34E-4</v>
      </c>
      <c r="F17" s="84">
        <v>99291</v>
      </c>
      <c r="G17" s="83">
        <v>68.62</v>
      </c>
      <c r="H17" s="28">
        <f t="shared" si="0"/>
        <v>1.9501901497193173E-4</v>
      </c>
      <c r="I17" s="28">
        <f t="shared" si="1"/>
        <v>3.7400876240472191E-6</v>
      </c>
      <c r="J17" s="28">
        <f t="shared" si="2"/>
        <v>7.4801472716989892E-6</v>
      </c>
      <c r="K17" s="28">
        <f t="shared" si="3"/>
        <v>1.3400897880208276E-4</v>
      </c>
      <c r="L17" s="28">
        <f t="shared" si="4"/>
        <v>2.5700330975469864E-6</v>
      </c>
      <c r="M17" s="28">
        <f t="shared" si="5"/>
        <v>5.1400529850198495E-6</v>
      </c>
      <c r="N17" s="26"/>
    </row>
    <row r="18" spans="1:14" ht="20.25" x14ac:dyDescent="0.2">
      <c r="A18" s="82">
        <v>14</v>
      </c>
      <c r="B18" s="83">
        <v>2.8800000000000001E-4</v>
      </c>
      <c r="C18" s="84">
        <v>99119</v>
      </c>
      <c r="D18" s="83">
        <v>62.94</v>
      </c>
      <c r="E18" s="83">
        <v>1.6200000000000001E-4</v>
      </c>
      <c r="F18" s="84">
        <v>99278</v>
      </c>
      <c r="G18" s="83">
        <v>67.63</v>
      </c>
      <c r="H18" s="28">
        <f t="shared" si="0"/>
        <v>2.8804147996429926E-4</v>
      </c>
      <c r="I18" s="28">
        <f t="shared" si="1"/>
        <v>5.5240786370589142E-6</v>
      </c>
      <c r="J18" s="28">
        <f t="shared" si="2"/>
        <v>1.1048096243415628E-5</v>
      </c>
      <c r="K18" s="28">
        <f t="shared" si="3"/>
        <v>1.620131234173437E-4</v>
      </c>
      <c r="L18" s="28">
        <f t="shared" si="4"/>
        <v>3.1070984432654053E-6</v>
      </c>
      <c r="M18" s="28">
        <f t="shared" si="5"/>
        <v>6.2141775784008146E-6</v>
      </c>
      <c r="N18" s="26"/>
    </row>
    <row r="19" spans="1:14" ht="20.25" x14ac:dyDescent="0.2">
      <c r="A19" s="85">
        <v>15</v>
      </c>
      <c r="B19" s="86">
        <v>3.8900000000000002E-4</v>
      </c>
      <c r="C19" s="87">
        <v>99091</v>
      </c>
      <c r="D19" s="86">
        <v>61.96</v>
      </c>
      <c r="E19" s="86">
        <v>1.94E-4</v>
      </c>
      <c r="F19" s="87">
        <v>99262</v>
      </c>
      <c r="G19" s="86">
        <v>66.64</v>
      </c>
      <c r="H19" s="28">
        <f t="shared" si="0"/>
        <v>3.8907568012698865E-4</v>
      </c>
      <c r="I19" s="28">
        <f t="shared" si="1"/>
        <v>7.46171923937849E-6</v>
      </c>
      <c r="J19" s="28">
        <f t="shared" si="2"/>
        <v>1.4923327124827246E-5</v>
      </c>
      <c r="K19" s="28">
        <f t="shared" si="3"/>
        <v>1.9401882043417634E-4</v>
      </c>
      <c r="L19" s="28">
        <f t="shared" si="4"/>
        <v>3.7209058267602366E-6</v>
      </c>
      <c r="M19" s="28">
        <f t="shared" si="5"/>
        <v>7.4417839632801019E-6</v>
      </c>
      <c r="N19" s="26"/>
    </row>
    <row r="20" spans="1:14" ht="20.25" x14ac:dyDescent="0.2">
      <c r="A20" s="85">
        <v>16</v>
      </c>
      <c r="B20" s="86">
        <v>4.9200000000000003E-4</v>
      </c>
      <c r="C20" s="87">
        <v>99052</v>
      </c>
      <c r="D20" s="86">
        <v>60.99</v>
      </c>
      <c r="E20" s="86">
        <v>2.2599999999999999E-4</v>
      </c>
      <c r="F20" s="87">
        <v>99243</v>
      </c>
      <c r="G20" s="86">
        <v>65.650000000000006</v>
      </c>
      <c r="H20" s="28">
        <f t="shared" si="0"/>
        <v>4.9212107171319852E-4</v>
      </c>
      <c r="I20" s="28">
        <f t="shared" si="1"/>
        <v>9.4379306044197484E-6</v>
      </c>
      <c r="J20" s="28">
        <f t="shared" si="2"/>
        <v>1.8875683060914916E-5</v>
      </c>
      <c r="K20" s="28">
        <f t="shared" si="3"/>
        <v>2.2602554184832609E-4</v>
      </c>
      <c r="L20" s="28">
        <f t="shared" si="4"/>
        <v>4.3347328562148651E-6</v>
      </c>
      <c r="M20" s="28">
        <f t="shared" si="5"/>
        <v>8.6694281327126532E-6</v>
      </c>
      <c r="N20" s="26"/>
    </row>
    <row r="21" spans="1:14" ht="20.25" x14ac:dyDescent="0.2">
      <c r="A21" s="85">
        <v>17</v>
      </c>
      <c r="B21" s="86">
        <v>6.0700000000000001E-4</v>
      </c>
      <c r="C21" s="87">
        <v>99003</v>
      </c>
      <c r="D21" s="86">
        <v>60.02</v>
      </c>
      <c r="E21" s="86">
        <v>2.61E-4</v>
      </c>
      <c r="F21" s="87">
        <v>99220</v>
      </c>
      <c r="G21" s="86">
        <v>64.67</v>
      </c>
      <c r="H21" s="28">
        <f t="shared" si="0"/>
        <v>6.0718429908349374E-4</v>
      </c>
      <c r="I21" s="28">
        <f t="shared" si="1"/>
        <v>1.1644620822460848E-5</v>
      </c>
      <c r="J21" s="28">
        <f t="shared" si="2"/>
        <v>2.3288970452672864E-5</v>
      </c>
      <c r="K21" s="28">
        <f t="shared" si="3"/>
        <v>2.6103406642764306E-4</v>
      </c>
      <c r="L21" s="28">
        <f t="shared" si="4"/>
        <v>5.0061286661778124E-6</v>
      </c>
      <c r="M21" s="28">
        <f t="shared" si="5"/>
        <v>1.0012207209864066E-5</v>
      </c>
      <c r="N21" s="26"/>
    </row>
    <row r="22" spans="1:14" ht="20.25" x14ac:dyDescent="0.2">
      <c r="A22" s="85">
        <v>18</v>
      </c>
      <c r="B22" s="86">
        <v>7.3499999999999998E-4</v>
      </c>
      <c r="C22" s="87">
        <v>98943</v>
      </c>
      <c r="D22" s="86">
        <v>59.05</v>
      </c>
      <c r="E22" s="86">
        <v>2.9700000000000001E-4</v>
      </c>
      <c r="F22" s="87">
        <v>99194</v>
      </c>
      <c r="G22" s="86">
        <v>63.68</v>
      </c>
      <c r="H22" s="28">
        <f t="shared" si="0"/>
        <v>7.3527024492816987E-4</v>
      </c>
      <c r="I22" s="28">
        <f t="shared" si="1"/>
        <v>1.4101061600489615E-5</v>
      </c>
      <c r="J22" s="28">
        <f t="shared" si="2"/>
        <v>2.8201725524867882E-5</v>
      </c>
      <c r="K22" s="28">
        <f t="shared" si="3"/>
        <v>2.9704411323462838E-4</v>
      </c>
      <c r="L22" s="28">
        <f t="shared" si="4"/>
        <v>5.6967317359530904E-6</v>
      </c>
      <c r="M22" s="28">
        <f t="shared" si="5"/>
        <v>1.1393398566594826E-5</v>
      </c>
      <c r="N22" s="26"/>
    </row>
    <row r="23" spans="1:14" ht="20.25" x14ac:dyDescent="0.2">
      <c r="A23" s="85">
        <v>19</v>
      </c>
      <c r="B23" s="86">
        <v>8.6899999999999998E-4</v>
      </c>
      <c r="C23" s="87">
        <v>98870</v>
      </c>
      <c r="D23" s="86">
        <v>58.09</v>
      </c>
      <c r="E23" s="86">
        <v>3.3399999999999999E-4</v>
      </c>
      <c r="F23" s="87">
        <v>99165</v>
      </c>
      <c r="G23" s="86">
        <v>62.7</v>
      </c>
      <c r="H23" s="28">
        <f t="shared" si="0"/>
        <v>8.6937779938764457E-4</v>
      </c>
      <c r="I23" s="28">
        <f t="shared" si="1"/>
        <v>1.6672985188542345E-5</v>
      </c>
      <c r="J23" s="28">
        <f t="shared" si="2"/>
        <v>3.3345414406360518E-5</v>
      </c>
      <c r="K23" s="28">
        <f t="shared" si="3"/>
        <v>3.3405579042295879E-4</v>
      </c>
      <c r="L23" s="28">
        <f t="shared" si="4"/>
        <v>6.4065441397190951E-6</v>
      </c>
      <c r="M23" s="28">
        <f t="shared" si="5"/>
        <v>1.2813006192158305E-5</v>
      </c>
      <c r="N23" s="26"/>
    </row>
    <row r="24" spans="1:14" ht="20.25" x14ac:dyDescent="0.2">
      <c r="A24" s="82">
        <v>20</v>
      </c>
      <c r="B24" s="83">
        <v>1.011E-3</v>
      </c>
      <c r="C24" s="84">
        <v>98785</v>
      </c>
      <c r="D24" s="83">
        <v>57.14</v>
      </c>
      <c r="E24" s="83">
        <v>3.7300000000000001E-4</v>
      </c>
      <c r="F24" s="84">
        <v>99132</v>
      </c>
      <c r="G24" s="83">
        <v>61.72</v>
      </c>
      <c r="H24" s="28">
        <f t="shared" si="0"/>
        <v>1.0115114052161554E-3</v>
      </c>
      <c r="I24" s="28">
        <f t="shared" si="1"/>
        <v>1.9398832922912909E-5</v>
      </c>
      <c r="J24" s="28">
        <f t="shared" si="2"/>
        <v>3.8796913226168961E-5</v>
      </c>
      <c r="K24" s="28">
        <f t="shared" si="3"/>
        <v>3.7306958180316968E-4</v>
      </c>
      <c r="L24" s="28">
        <f t="shared" si="4"/>
        <v>7.1547532224554001E-6</v>
      </c>
      <c r="M24" s="28">
        <f t="shared" si="5"/>
        <v>1.4309404064438702E-5</v>
      </c>
      <c r="N24" s="26"/>
    </row>
    <row r="25" spans="1:14" ht="20.25" x14ac:dyDescent="0.2">
      <c r="A25" s="82">
        <v>21</v>
      </c>
      <c r="B25" s="83">
        <v>1.145E-3</v>
      </c>
      <c r="C25" s="84">
        <v>98685</v>
      </c>
      <c r="D25" s="83">
        <v>56.2</v>
      </c>
      <c r="E25" s="83">
        <v>4.1199999999999999E-4</v>
      </c>
      <c r="F25" s="84">
        <v>99095</v>
      </c>
      <c r="G25" s="83">
        <v>60.75</v>
      </c>
      <c r="H25" s="28">
        <f t="shared" si="0"/>
        <v>1.1456560133045839E-3</v>
      </c>
      <c r="I25" s="28">
        <f t="shared" si="1"/>
        <v>2.1971467127923149E-5</v>
      </c>
      <c r="J25" s="28">
        <f t="shared" si="2"/>
        <v>4.3941968779215301E-5</v>
      </c>
      <c r="K25" s="28">
        <f t="shared" si="3"/>
        <v>4.1208489531868291E-4</v>
      </c>
      <c r="L25" s="28">
        <f t="shared" si="4"/>
        <v>7.9029914968036471E-6</v>
      </c>
      <c r="M25" s="28">
        <f t="shared" si="5"/>
        <v>1.5805858079698254E-5</v>
      </c>
      <c r="N25" s="26"/>
    </row>
    <row r="26" spans="1:14" ht="20.25" x14ac:dyDescent="0.2">
      <c r="A26" s="82">
        <v>22</v>
      </c>
      <c r="B26" s="83">
        <v>1.2459999999999999E-3</v>
      </c>
      <c r="C26" s="84">
        <v>98572</v>
      </c>
      <c r="D26" s="83">
        <v>55.27</v>
      </c>
      <c r="E26" s="83">
        <v>4.46E-4</v>
      </c>
      <c r="F26" s="84">
        <v>99054</v>
      </c>
      <c r="G26" s="83">
        <v>59.77</v>
      </c>
      <c r="H26" s="28">
        <f t="shared" si="0"/>
        <v>1.2467769034147924E-3</v>
      </c>
      <c r="I26" s="28">
        <f t="shared" si="1"/>
        <v>2.3910770275814971E-5</v>
      </c>
      <c r="J26" s="28">
        <f t="shared" si="2"/>
        <v>4.7820397120035274E-5</v>
      </c>
      <c r="K26" s="28">
        <f t="shared" si="3"/>
        <v>4.4609948758202048E-4</v>
      </c>
      <c r="L26" s="28">
        <f t="shared" si="4"/>
        <v>8.555325606784826E-6</v>
      </c>
      <c r="M26" s="28">
        <f t="shared" si="5"/>
        <v>1.7110504827222428E-5</v>
      </c>
    </row>
    <row r="27" spans="1:14" ht="20.25" x14ac:dyDescent="0.2">
      <c r="A27" s="82">
        <v>23</v>
      </c>
      <c r="B27" s="83">
        <v>1.3010000000000001E-3</v>
      </c>
      <c r="C27" s="84">
        <v>98449</v>
      </c>
      <c r="D27" s="83">
        <v>54.33</v>
      </c>
      <c r="E27" s="83">
        <v>4.7199999999999998E-4</v>
      </c>
      <c r="F27" s="84">
        <v>99010</v>
      </c>
      <c r="G27" s="83">
        <v>58.8</v>
      </c>
      <c r="H27" s="28">
        <f t="shared" si="0"/>
        <v>1.3018470352416012E-3</v>
      </c>
      <c r="I27" s="28">
        <f t="shared" si="1"/>
        <v>2.4966908922242553E-5</v>
      </c>
      <c r="J27" s="28">
        <f t="shared" si="2"/>
        <v>4.9932571172139895E-5</v>
      </c>
      <c r="K27" s="28">
        <f t="shared" si="3"/>
        <v>4.7211142706379014E-4</v>
      </c>
      <c r="L27" s="28">
        <f t="shared" si="4"/>
        <v>9.0541843101129803E-6</v>
      </c>
      <c r="M27" s="28">
        <f t="shared" si="5"/>
        <v>1.8108204664746275E-5</v>
      </c>
    </row>
    <row r="28" spans="1:14" ht="20.25" x14ac:dyDescent="0.2">
      <c r="A28" s="82">
        <v>24</v>
      </c>
      <c r="B28" s="83">
        <v>1.3209999999999999E-3</v>
      </c>
      <c r="C28" s="84">
        <v>98321</v>
      </c>
      <c r="D28" s="83">
        <v>53.4</v>
      </c>
      <c r="E28" s="83">
        <v>4.9299999999999995E-4</v>
      </c>
      <c r="F28" s="84">
        <v>98963</v>
      </c>
      <c r="G28" s="83">
        <v>57.82</v>
      </c>
      <c r="H28" s="28">
        <f t="shared" si="0"/>
        <v>1.3218732896618343E-3</v>
      </c>
      <c r="I28" s="28">
        <f t="shared" si="1"/>
        <v>2.5350973759837571E-5</v>
      </c>
      <c r="J28" s="28">
        <f t="shared" si="2"/>
        <v>5.0700662197700197E-5</v>
      </c>
      <c r="K28" s="28">
        <f t="shared" si="3"/>
        <v>4.9312156445579201E-4</v>
      </c>
      <c r="L28" s="28">
        <f t="shared" si="4"/>
        <v>9.457118120698926E-6</v>
      </c>
      <c r="M28" s="28">
        <f t="shared" si="5"/>
        <v>1.8914057368313308E-5</v>
      </c>
    </row>
    <row r="29" spans="1:14" ht="20.25" x14ac:dyDescent="0.2">
      <c r="A29" s="85">
        <v>25</v>
      </c>
      <c r="B29" s="86">
        <v>1.33E-3</v>
      </c>
      <c r="C29" s="87">
        <v>98191</v>
      </c>
      <c r="D29" s="86">
        <v>52.47</v>
      </c>
      <c r="E29" s="86">
        <v>5.13E-4</v>
      </c>
      <c r="F29" s="87">
        <v>98915</v>
      </c>
      <c r="G29" s="86">
        <v>56.85</v>
      </c>
      <c r="H29" s="28">
        <f t="shared" si="0"/>
        <v>1.3308852349954718E-3</v>
      </c>
      <c r="I29" s="28">
        <f t="shared" si="1"/>
        <v>2.5523805446100464E-5</v>
      </c>
      <c r="J29" s="28">
        <f t="shared" si="2"/>
        <v>5.104630798513643E-5</v>
      </c>
      <c r="K29" s="28">
        <f t="shared" si="3"/>
        <v>5.131316295192063E-4</v>
      </c>
      <c r="L29" s="28">
        <f t="shared" si="4"/>
        <v>9.8408724777334273E-6</v>
      </c>
      <c r="M29" s="28">
        <f t="shared" si="5"/>
        <v>1.968155127118898E-5</v>
      </c>
    </row>
    <row r="30" spans="1:14" ht="20.25" x14ac:dyDescent="0.2">
      <c r="A30" s="85">
        <v>26</v>
      </c>
      <c r="B30" s="86">
        <v>1.3450000000000001E-3</v>
      </c>
      <c r="C30" s="87">
        <v>98060</v>
      </c>
      <c r="D30" s="86">
        <v>51.54</v>
      </c>
      <c r="E30" s="86">
        <v>5.3700000000000004E-4</v>
      </c>
      <c r="F30" s="87">
        <v>98864</v>
      </c>
      <c r="G30" s="86">
        <v>55.88</v>
      </c>
      <c r="H30" s="28">
        <f t="shared" si="0"/>
        <v>1.3459053243652732E-3</v>
      </c>
      <c r="I30" s="28">
        <f t="shared" si="1"/>
        <v>2.581186171780383E-5</v>
      </c>
      <c r="J30" s="28">
        <f t="shared" si="2"/>
        <v>5.1622390954131347E-5</v>
      </c>
      <c r="K30" s="28">
        <f t="shared" si="3"/>
        <v>5.3714423613885883E-4</v>
      </c>
      <c r="L30" s="28">
        <f t="shared" si="4"/>
        <v>1.0301387842618244E-5</v>
      </c>
      <c r="M30" s="28">
        <f t="shared" si="5"/>
        <v>2.0602563449489963E-5</v>
      </c>
    </row>
    <row r="31" spans="1:14" ht="20.25" x14ac:dyDescent="0.2">
      <c r="A31" s="85">
        <v>27</v>
      </c>
      <c r="B31" s="86">
        <v>1.3630000000000001E-3</v>
      </c>
      <c r="C31" s="87">
        <v>97928</v>
      </c>
      <c r="D31" s="86">
        <v>50.61</v>
      </c>
      <c r="E31" s="86">
        <v>5.6300000000000002E-4</v>
      </c>
      <c r="F31" s="87">
        <v>98811</v>
      </c>
      <c r="G31" s="86">
        <v>54.91</v>
      </c>
      <c r="H31" s="28">
        <f t="shared" si="0"/>
        <v>1.3639297294101536E-3</v>
      </c>
      <c r="I31" s="28">
        <f t="shared" si="1"/>
        <v>2.6157534955097507E-5</v>
      </c>
      <c r="J31" s="28">
        <f t="shared" si="2"/>
        <v>5.2313701500827925E-5</v>
      </c>
      <c r="K31" s="28">
        <f t="shared" si="3"/>
        <v>5.6315854400962448E-4</v>
      </c>
      <c r="L31" s="28">
        <f t="shared" si="4"/>
        <v>1.0800291967067895E-5</v>
      </c>
      <c r="M31" s="28">
        <f t="shared" si="5"/>
        <v>2.1600350643247168E-5</v>
      </c>
    </row>
    <row r="32" spans="1:14" ht="20.25" x14ac:dyDescent="0.2">
      <c r="A32" s="85">
        <v>28</v>
      </c>
      <c r="B32" s="86">
        <v>1.3910000000000001E-3</v>
      </c>
      <c r="C32" s="87">
        <v>97795</v>
      </c>
      <c r="D32" s="86">
        <v>49.68</v>
      </c>
      <c r="E32" s="86">
        <v>5.9299999999999999E-4</v>
      </c>
      <c r="F32" s="87">
        <v>98755</v>
      </c>
      <c r="G32" s="86">
        <v>53.94</v>
      </c>
      <c r="H32" s="28">
        <f t="shared" si="0"/>
        <v>1.3919683385768386E-3</v>
      </c>
      <c r="I32" s="28">
        <f t="shared" si="1"/>
        <v>2.669526126427258E-5</v>
      </c>
      <c r="J32" s="28">
        <f t="shared" si="2"/>
        <v>5.3389097279921138E-5</v>
      </c>
      <c r="K32" s="28">
        <f t="shared" si="3"/>
        <v>5.9317589404016919E-4</v>
      </c>
      <c r="L32" s="28">
        <f t="shared" si="4"/>
        <v>1.1375966699975821E-5</v>
      </c>
      <c r="M32" s="28">
        <f t="shared" si="5"/>
        <v>2.2751674576659831E-5</v>
      </c>
    </row>
    <row r="33" spans="1:13" ht="20.25" x14ac:dyDescent="0.2">
      <c r="A33" s="85">
        <v>29</v>
      </c>
      <c r="B33" s="86">
        <v>1.4270000000000001E-3</v>
      </c>
      <c r="C33" s="87">
        <v>97659</v>
      </c>
      <c r="D33" s="86">
        <v>48.75</v>
      </c>
      <c r="E33" s="86">
        <v>6.2699999999999995E-4</v>
      </c>
      <c r="F33" s="87">
        <v>98697</v>
      </c>
      <c r="G33" s="86">
        <v>52.97</v>
      </c>
      <c r="H33" s="28">
        <f t="shared" si="0"/>
        <v>1.4280191341516275E-3</v>
      </c>
      <c r="I33" s="28">
        <f t="shared" si="1"/>
        <v>2.7386645816623695E-5</v>
      </c>
      <c r="J33" s="28">
        <f t="shared" si="2"/>
        <v>5.4771791603847042E-5</v>
      </c>
      <c r="K33" s="28">
        <f t="shared" si="3"/>
        <v>6.2719664670266224E-4</v>
      </c>
      <c r="L33" s="28">
        <f t="shared" si="4"/>
        <v>1.2028418954501232E-5</v>
      </c>
      <c r="M33" s="28">
        <f t="shared" si="5"/>
        <v>2.4056548545647871E-5</v>
      </c>
    </row>
    <row r="34" spans="1:13" ht="20.25" x14ac:dyDescent="0.2">
      <c r="A34" s="82">
        <v>30</v>
      </c>
      <c r="B34" s="83">
        <v>1.467E-3</v>
      </c>
      <c r="C34" s="84">
        <v>97519</v>
      </c>
      <c r="D34" s="83">
        <v>47.82</v>
      </c>
      <c r="E34" s="83">
        <v>6.6399999999999999E-4</v>
      </c>
      <c r="F34" s="84">
        <v>98635</v>
      </c>
      <c r="G34" s="83">
        <v>52.01</v>
      </c>
      <c r="H34" s="28">
        <f t="shared" si="0"/>
        <v>1.4680770980307495E-3</v>
      </c>
      <c r="I34" s="28">
        <f t="shared" si="1"/>
        <v>2.8154880108907436E-5</v>
      </c>
      <c r="J34" s="28">
        <f t="shared" si="2"/>
        <v>5.6308174853025861E-5</v>
      </c>
      <c r="K34" s="28">
        <f t="shared" si="3"/>
        <v>6.6422054563360241E-4</v>
      </c>
      <c r="L34" s="28">
        <f t="shared" si="4"/>
        <v>1.2738465747658884E-5</v>
      </c>
      <c r="M34" s="28">
        <f t="shared" si="5"/>
        <v>2.5476606961061243E-5</v>
      </c>
    </row>
    <row r="35" spans="1:13" ht="20.25" x14ac:dyDescent="0.2">
      <c r="A35" s="82">
        <v>31</v>
      </c>
      <c r="B35" s="83">
        <v>1.505E-3</v>
      </c>
      <c r="C35" s="84">
        <v>97376</v>
      </c>
      <c r="D35" s="83">
        <v>46.89</v>
      </c>
      <c r="E35" s="83">
        <v>7.0500000000000001E-4</v>
      </c>
      <c r="F35" s="84">
        <v>98569</v>
      </c>
      <c r="G35" s="83">
        <v>51.04</v>
      </c>
      <c r="H35" s="28">
        <f t="shared" si="0"/>
        <v>1.506133650071651E-3</v>
      </c>
      <c r="I35" s="28">
        <f t="shared" si="1"/>
        <v>2.8884731192006028E-5</v>
      </c>
      <c r="J35" s="28">
        <f t="shared" si="2"/>
        <v>5.7767793760765684E-5</v>
      </c>
      <c r="K35" s="28">
        <f t="shared" si="3"/>
        <v>7.0524862936262398E-4</v>
      </c>
      <c r="L35" s="28">
        <f t="shared" si="4"/>
        <v>1.3525305062868081E-5</v>
      </c>
      <c r="M35" s="28">
        <f t="shared" si="5"/>
        <v>2.7050244261306311E-5</v>
      </c>
    </row>
    <row r="36" spans="1:13" ht="20.25" x14ac:dyDescent="0.2">
      <c r="A36" s="82">
        <v>32</v>
      </c>
      <c r="B36" s="83">
        <v>1.5410000000000001E-3</v>
      </c>
      <c r="C36" s="84">
        <v>97230</v>
      </c>
      <c r="D36" s="83">
        <v>45.96</v>
      </c>
      <c r="E36" s="83">
        <v>7.4799999999999997E-4</v>
      </c>
      <c r="F36" s="84">
        <v>98500</v>
      </c>
      <c r="G36" s="83">
        <v>50.08</v>
      </c>
      <c r="H36" s="28">
        <f t="shared" si="0"/>
        <v>1.542188561706006E-3</v>
      </c>
      <c r="I36" s="28">
        <f t="shared" si="1"/>
        <v>2.9576194682420927E-5</v>
      </c>
      <c r="J36" s="28">
        <f t="shared" si="2"/>
        <v>5.9150639896698998E-5</v>
      </c>
      <c r="K36" s="28">
        <f t="shared" si="3"/>
        <v>7.4827989158127628E-4</v>
      </c>
      <c r="L36" s="28">
        <f t="shared" si="4"/>
        <v>1.4350561468220531E-5</v>
      </c>
      <c r="M36" s="28">
        <f t="shared" si="5"/>
        <v>2.8700711063200934E-5</v>
      </c>
    </row>
    <row r="37" spans="1:13" ht="20.25" x14ac:dyDescent="0.2">
      <c r="A37" s="82">
        <v>33</v>
      </c>
      <c r="B37" s="83">
        <v>1.573E-3</v>
      </c>
      <c r="C37" s="84">
        <v>97080</v>
      </c>
      <c r="D37" s="83">
        <v>45.03</v>
      </c>
      <c r="E37" s="83">
        <v>7.94E-4</v>
      </c>
      <c r="F37" s="84">
        <v>98426</v>
      </c>
      <c r="G37" s="83">
        <v>49.11</v>
      </c>
      <c r="H37" s="28">
        <f t="shared" si="0"/>
        <v>1.5742384634057237E-3</v>
      </c>
      <c r="I37" s="28">
        <f t="shared" si="1"/>
        <v>3.0190849826260599E-5</v>
      </c>
      <c r="J37" s="28">
        <f t="shared" si="2"/>
        <v>6.0379876714367064E-5</v>
      </c>
      <c r="K37" s="28">
        <f t="shared" si="3"/>
        <v>7.9431538495478157E-4</v>
      </c>
      <c r="L37" s="28">
        <f t="shared" si="4"/>
        <v>1.5233433218228783E-5</v>
      </c>
      <c r="M37" s="28">
        <f t="shared" si="5"/>
        <v>3.0466402326179143E-5</v>
      </c>
    </row>
    <row r="38" spans="1:13" ht="20.25" x14ac:dyDescent="0.2">
      <c r="A38" s="82">
        <v>34</v>
      </c>
      <c r="B38" s="83">
        <v>1.606E-3</v>
      </c>
      <c r="C38" s="84">
        <v>96927</v>
      </c>
      <c r="D38" s="83">
        <v>44.1</v>
      </c>
      <c r="E38" s="83">
        <v>8.4500000000000005E-4</v>
      </c>
      <c r="F38" s="84">
        <v>98348</v>
      </c>
      <c r="G38" s="83">
        <v>48.15</v>
      </c>
      <c r="H38" s="28">
        <f t="shared" si="0"/>
        <v>1.6072910004162558E-3</v>
      </c>
      <c r="I38" s="28">
        <f t="shared" si="1"/>
        <v>3.0824733576695118E-5</v>
      </c>
      <c r="J38" s="28">
        <f t="shared" si="2"/>
        <v>6.1647566863998193E-5</v>
      </c>
      <c r="K38" s="28">
        <f t="shared" si="3"/>
        <v>8.4535721374457047E-4</v>
      </c>
      <c r="L38" s="28">
        <f t="shared" si="4"/>
        <v>1.6212316801416311E-5</v>
      </c>
      <c r="M38" s="28">
        <f t="shared" si="5"/>
        <v>3.2424107930029145E-5</v>
      </c>
    </row>
    <row r="39" spans="1:13" ht="20.25" x14ac:dyDescent="0.2">
      <c r="A39" s="85">
        <v>35</v>
      </c>
      <c r="B39" s="86">
        <v>1.6479999999999999E-3</v>
      </c>
      <c r="C39" s="87">
        <v>96772</v>
      </c>
      <c r="D39" s="86">
        <v>43.17</v>
      </c>
      <c r="E39" s="86">
        <v>9.0300000000000005E-4</v>
      </c>
      <c r="F39" s="87">
        <v>98265</v>
      </c>
      <c r="G39" s="86">
        <v>47.19</v>
      </c>
      <c r="H39" s="28">
        <f t="shared" si="0"/>
        <v>1.6493594457830483E-3</v>
      </c>
      <c r="I39" s="28">
        <f t="shared" si="1"/>
        <v>3.1631525016503656E-5</v>
      </c>
      <c r="J39" s="28">
        <f t="shared" si="2"/>
        <v>6.3261048968477063E-5</v>
      </c>
      <c r="K39" s="28">
        <f t="shared" si="3"/>
        <v>9.034079501044393E-4</v>
      </c>
      <c r="L39" s="28">
        <f t="shared" si="4"/>
        <v>1.7325617679577456E-5</v>
      </c>
      <c r="M39" s="28">
        <f t="shared" si="5"/>
        <v>3.4650635012067887E-5</v>
      </c>
    </row>
    <row r="40" spans="1:13" ht="20.25" x14ac:dyDescent="0.2">
      <c r="A40" s="85">
        <v>36</v>
      </c>
      <c r="B40" s="86">
        <v>1.704E-3</v>
      </c>
      <c r="C40" s="87">
        <v>96612</v>
      </c>
      <c r="D40" s="86">
        <v>42.24</v>
      </c>
      <c r="E40" s="86">
        <v>9.68E-4</v>
      </c>
      <c r="F40" s="87">
        <v>98176</v>
      </c>
      <c r="G40" s="86">
        <v>46.23</v>
      </c>
      <c r="H40" s="28">
        <f t="shared" si="0"/>
        <v>1.7054534593645507E-3</v>
      </c>
      <c r="I40" s="28">
        <f t="shared" si="1"/>
        <v>3.270729973523818E-5</v>
      </c>
      <c r="J40" s="28">
        <f t="shared" si="2"/>
        <v>6.5412459982261417E-5</v>
      </c>
      <c r="K40" s="28">
        <f t="shared" si="3"/>
        <v>9.6846881456605317E-4</v>
      </c>
      <c r="L40" s="28">
        <f t="shared" si="4"/>
        <v>1.8573359260149573E-5</v>
      </c>
      <c r="M40" s="28">
        <f t="shared" si="5"/>
        <v>3.7146028589507551E-5</v>
      </c>
    </row>
    <row r="41" spans="1:13" ht="20.25" x14ac:dyDescent="0.2">
      <c r="A41" s="85">
        <v>37</v>
      </c>
      <c r="B41" s="86">
        <v>1.774E-3</v>
      </c>
      <c r="C41" s="87">
        <v>96448</v>
      </c>
      <c r="D41" s="86">
        <v>41.31</v>
      </c>
      <c r="E41" s="86">
        <v>1.0380000000000001E-3</v>
      </c>
      <c r="F41" s="87">
        <v>98081</v>
      </c>
      <c r="G41" s="86">
        <v>45.28</v>
      </c>
      <c r="H41" s="28">
        <f t="shared" si="0"/>
        <v>1.7755754014505357E-3</v>
      </c>
      <c r="I41" s="28">
        <f t="shared" si="1"/>
        <v>3.4052102998692744E-5</v>
      </c>
      <c r="J41" s="28">
        <f t="shared" si="2"/>
        <v>6.8101886958604751E-5</v>
      </c>
      <c r="K41" s="28">
        <f t="shared" si="3"/>
        <v>1.0385390950860699E-3</v>
      </c>
      <c r="L41" s="28">
        <f t="shared" si="4"/>
        <v>1.9917171754660173E-5</v>
      </c>
      <c r="M41" s="28">
        <f t="shared" si="5"/>
        <v>3.9833550132373219E-5</v>
      </c>
    </row>
    <row r="42" spans="1:13" ht="20.25" x14ac:dyDescent="0.2">
      <c r="A42" s="85">
        <v>38</v>
      </c>
      <c r="B42" s="86">
        <v>1.861E-3</v>
      </c>
      <c r="C42" s="87">
        <v>96277</v>
      </c>
      <c r="D42" s="86">
        <v>40.380000000000003</v>
      </c>
      <c r="E42" s="86">
        <v>1.1130000000000001E-3</v>
      </c>
      <c r="F42" s="87">
        <v>97979</v>
      </c>
      <c r="G42" s="86">
        <v>44.33</v>
      </c>
      <c r="H42" s="28">
        <f t="shared" si="0"/>
        <v>1.8627338119165814E-3</v>
      </c>
      <c r="I42" s="28">
        <f t="shared" si="1"/>
        <v>3.5723632784455439E-5</v>
      </c>
      <c r="J42" s="28">
        <f t="shared" si="2"/>
        <v>7.1444713273804972E-5</v>
      </c>
      <c r="K42" s="28">
        <f t="shared" si="3"/>
        <v>1.1136198444673087E-3</v>
      </c>
      <c r="L42" s="28">
        <f t="shared" si="4"/>
        <v>2.135707535383166E-5</v>
      </c>
      <c r="M42" s="28">
        <f t="shared" si="5"/>
        <v>4.2713238471270287E-5</v>
      </c>
    </row>
    <row r="43" spans="1:13" ht="20.25" x14ac:dyDescent="0.2">
      <c r="A43" s="85">
        <v>39</v>
      </c>
      <c r="B43" s="86">
        <v>1.967E-3</v>
      </c>
      <c r="C43" s="87">
        <v>96097</v>
      </c>
      <c r="D43" s="86">
        <v>39.46</v>
      </c>
      <c r="E43" s="86">
        <v>1.196E-3</v>
      </c>
      <c r="F43" s="87">
        <v>97870</v>
      </c>
      <c r="G43" s="86">
        <v>43.37</v>
      </c>
      <c r="H43" s="28">
        <f t="shared" si="0"/>
        <v>1.968937085081101E-3</v>
      </c>
      <c r="I43" s="28">
        <f t="shared" si="1"/>
        <v>3.7760406212180393E-5</v>
      </c>
      <c r="J43" s="28">
        <f t="shared" si="2"/>
        <v>7.5517960799631467E-5</v>
      </c>
      <c r="K43" s="28">
        <f t="shared" si="3"/>
        <v>1.1967157787711659E-3</v>
      </c>
      <c r="L43" s="28">
        <f t="shared" si="4"/>
        <v>2.2950694701889729E-5</v>
      </c>
      <c r="M43" s="28">
        <f t="shared" si="5"/>
        <v>4.5900335951087889E-5</v>
      </c>
    </row>
    <row r="44" spans="1:13" ht="20.25" x14ac:dyDescent="0.2">
      <c r="A44" s="82">
        <v>40</v>
      </c>
      <c r="B44" s="83">
        <v>2.0920000000000001E-3</v>
      </c>
      <c r="C44" s="84">
        <v>95908</v>
      </c>
      <c r="D44" s="83">
        <v>38.53</v>
      </c>
      <c r="E44" s="83">
        <v>1.2869999999999999E-3</v>
      </c>
      <c r="F44" s="84">
        <v>97753</v>
      </c>
      <c r="G44" s="83">
        <v>42.43</v>
      </c>
      <c r="H44" s="28">
        <f t="shared" si="0"/>
        <v>2.0941912886505991E-3</v>
      </c>
      <c r="I44" s="28">
        <f t="shared" si="1"/>
        <v>4.0162539648746025E-5</v>
      </c>
      <c r="J44" s="28">
        <f t="shared" si="2"/>
        <v>8.0321853324738512E-5</v>
      </c>
      <c r="K44" s="28">
        <f t="shared" si="3"/>
        <v>1.2878288957689358E-3</v>
      </c>
      <c r="L44" s="28">
        <f t="shared" si="4"/>
        <v>2.469806811222498E-5</v>
      </c>
      <c r="M44" s="28">
        <f t="shared" si="5"/>
        <v>4.9394916255440791E-5</v>
      </c>
    </row>
    <row r="45" spans="1:13" ht="20.25" x14ac:dyDescent="0.2">
      <c r="A45" s="82">
        <v>41</v>
      </c>
      <c r="B45" s="83">
        <v>2.2399999999999998E-3</v>
      </c>
      <c r="C45" s="84">
        <v>95708</v>
      </c>
      <c r="D45" s="83">
        <v>37.61</v>
      </c>
      <c r="E45" s="83">
        <v>1.3929999999999999E-3</v>
      </c>
      <c r="F45" s="84">
        <v>97627</v>
      </c>
      <c r="G45" s="83">
        <v>41.48</v>
      </c>
      <c r="H45" s="28">
        <f t="shared" si="0"/>
        <v>2.2425125527800638E-3</v>
      </c>
      <c r="I45" s="28">
        <f t="shared" si="1"/>
        <v>4.3007054705052151E-5</v>
      </c>
      <c r="J45" s="28">
        <f t="shared" si="2"/>
        <v>8.6010410302650442E-5</v>
      </c>
      <c r="K45" s="28">
        <f t="shared" si="3"/>
        <v>1.3939711264575156E-3</v>
      </c>
      <c r="L45" s="28">
        <f t="shared" si="4"/>
        <v>2.6733670863291371E-5</v>
      </c>
      <c r="M45" s="28">
        <f t="shared" si="5"/>
        <v>5.3465912373762414E-5</v>
      </c>
    </row>
    <row r="46" spans="1:13" ht="20.25" x14ac:dyDescent="0.2">
      <c r="A46" s="82">
        <v>42</v>
      </c>
      <c r="B46" s="83">
        <v>2.418E-3</v>
      </c>
      <c r="C46" s="84">
        <v>95493</v>
      </c>
      <c r="D46" s="83">
        <v>36.700000000000003</v>
      </c>
      <c r="E46" s="83">
        <v>1.5169999999999999E-3</v>
      </c>
      <c r="F46" s="84">
        <v>97491</v>
      </c>
      <c r="G46" s="83">
        <v>40.54</v>
      </c>
      <c r="H46" s="28">
        <f t="shared" si="0"/>
        <v>2.4209280830221856E-3</v>
      </c>
      <c r="I46" s="28">
        <f t="shared" si="1"/>
        <v>4.6428719595998413E-5</v>
      </c>
      <c r="J46" s="28">
        <f t="shared" si="2"/>
        <v>9.285312807338908E-5</v>
      </c>
      <c r="K46" s="28">
        <f t="shared" si="3"/>
        <v>1.5181518095107199E-3</v>
      </c>
      <c r="L46" s="28">
        <f t="shared" si="4"/>
        <v>2.9115216252082642E-5</v>
      </c>
      <c r="M46" s="28">
        <f t="shared" si="5"/>
        <v>5.8228737145449294E-5</v>
      </c>
    </row>
    <row r="47" spans="1:13" ht="20.25" x14ac:dyDescent="0.2">
      <c r="A47" s="82">
        <v>43</v>
      </c>
      <c r="B47" s="83">
        <v>2.6289999999999998E-3</v>
      </c>
      <c r="C47" s="84">
        <v>95262</v>
      </c>
      <c r="D47" s="83">
        <v>35.78</v>
      </c>
      <c r="E47" s="83">
        <v>1.6620000000000001E-3</v>
      </c>
      <c r="F47" s="84">
        <v>97343</v>
      </c>
      <c r="G47" s="83">
        <v>39.6</v>
      </c>
      <c r="H47" s="28">
        <f t="shared" si="0"/>
        <v>2.6324618893692571E-3</v>
      </c>
      <c r="I47" s="28">
        <f t="shared" si="1"/>
        <v>5.0485528986098918E-5</v>
      </c>
      <c r="J47" s="28">
        <f t="shared" si="2"/>
        <v>1.0096596056652363E-4</v>
      </c>
      <c r="K47" s="28">
        <f t="shared" si="3"/>
        <v>1.6633826541932661E-3</v>
      </c>
      <c r="L47" s="28">
        <f t="shared" si="4"/>
        <v>3.1900463038942336E-5</v>
      </c>
      <c r="M47" s="28">
        <f t="shared" si="5"/>
        <v>6.3798890842070577E-5</v>
      </c>
    </row>
    <row r="48" spans="1:13" ht="20.25" x14ac:dyDescent="0.2">
      <c r="A48" s="82">
        <v>44</v>
      </c>
      <c r="B48" s="83">
        <v>2.8730000000000001E-3</v>
      </c>
      <c r="C48" s="84">
        <v>95012</v>
      </c>
      <c r="D48" s="83">
        <v>34.880000000000003</v>
      </c>
      <c r="E48" s="83">
        <v>1.8270000000000001E-3</v>
      </c>
      <c r="F48" s="84">
        <v>97182</v>
      </c>
      <c r="G48" s="83">
        <v>38.659999999999997</v>
      </c>
      <c r="H48" s="28">
        <f t="shared" si="0"/>
        <v>2.8771349862761232E-3</v>
      </c>
      <c r="I48" s="28">
        <f t="shared" si="1"/>
        <v>5.5177885891964648E-5</v>
      </c>
      <c r="J48" s="28">
        <f t="shared" si="2"/>
        <v>1.1034968280976276E-4</v>
      </c>
      <c r="K48" s="28">
        <f t="shared" si="3"/>
        <v>1.828671000088304E-3</v>
      </c>
      <c r="L48" s="28">
        <f t="shared" si="4"/>
        <v>3.5070373916454665E-5</v>
      </c>
      <c r="M48" s="28">
        <f t="shared" si="5"/>
        <v>7.013828802815425E-5</v>
      </c>
    </row>
    <row r="49" spans="1:13" ht="20.25" x14ac:dyDescent="0.2">
      <c r="A49" s="85">
        <v>45</v>
      </c>
      <c r="B49" s="86">
        <v>3.1459999999999999E-3</v>
      </c>
      <c r="C49" s="87">
        <v>94739</v>
      </c>
      <c r="D49" s="86">
        <v>33.979999999999997</v>
      </c>
      <c r="E49" s="86">
        <v>2.0049999999999998E-3</v>
      </c>
      <c r="F49" s="87">
        <v>97004</v>
      </c>
      <c r="G49" s="86">
        <v>37.729999999999997</v>
      </c>
      <c r="H49" s="28">
        <f t="shared" si="0"/>
        <v>3.1509590615363733E-3</v>
      </c>
      <c r="I49" s="28">
        <f t="shared" si="1"/>
        <v>6.0429302197161521E-5</v>
      </c>
      <c r="J49" s="28">
        <f t="shared" si="2"/>
        <v>1.2085130128736132E-4</v>
      </c>
      <c r="K49" s="28">
        <f t="shared" si="3"/>
        <v>2.0070127032633845E-3</v>
      </c>
      <c r="L49" s="28">
        <f t="shared" si="4"/>
        <v>3.8490622947004953E-5</v>
      </c>
      <c r="M49" s="28">
        <f t="shared" si="5"/>
        <v>7.6978282913975349E-5</v>
      </c>
    </row>
    <row r="50" spans="1:13" ht="20.25" x14ac:dyDescent="0.2">
      <c r="A50" s="85">
        <v>46</v>
      </c>
      <c r="B50" s="86">
        <v>3.447E-3</v>
      </c>
      <c r="C50" s="87">
        <v>94441</v>
      </c>
      <c r="D50" s="86">
        <v>33.08</v>
      </c>
      <c r="E50" s="86">
        <v>2.1979999999999999E-3</v>
      </c>
      <c r="F50" s="87">
        <v>96810</v>
      </c>
      <c r="G50" s="86">
        <v>36.81</v>
      </c>
      <c r="H50" s="28">
        <f t="shared" si="0"/>
        <v>3.4529545920904733E-3</v>
      </c>
      <c r="I50" s="28">
        <f t="shared" si="1"/>
        <v>6.6220992543385073E-5</v>
      </c>
      <c r="J50" s="28">
        <f t="shared" si="2"/>
        <v>1.3243321503420002E-4</v>
      </c>
      <c r="K50" s="28">
        <f t="shared" si="3"/>
        <v>2.2004191475075764E-3</v>
      </c>
      <c r="L50" s="28">
        <f t="shared" si="4"/>
        <v>4.2199784582514138E-5</v>
      </c>
      <c r="M50" s="28">
        <f t="shared" si="5"/>
        <v>8.4396007621556635E-5</v>
      </c>
    </row>
    <row r="51" spans="1:13" ht="20.25" x14ac:dyDescent="0.2">
      <c r="A51" s="85">
        <v>47</v>
      </c>
      <c r="B51" s="86">
        <v>3.787E-3</v>
      </c>
      <c r="C51" s="87">
        <v>94115</v>
      </c>
      <c r="D51" s="86">
        <v>32.19</v>
      </c>
      <c r="E51" s="86">
        <v>2.4120000000000001E-3</v>
      </c>
      <c r="F51" s="87">
        <v>96597</v>
      </c>
      <c r="G51" s="86">
        <v>35.89</v>
      </c>
      <c r="H51" s="28">
        <f t="shared" si="0"/>
        <v>3.7941888396631068E-3</v>
      </c>
      <c r="I51" s="28">
        <f t="shared" si="1"/>
        <v>7.2765205611178256E-5</v>
      </c>
      <c r="J51" s="28">
        <f t="shared" si="2"/>
        <v>1.4551982218569126E-4</v>
      </c>
      <c r="K51" s="28">
        <f t="shared" si="3"/>
        <v>2.4149135579440424E-3</v>
      </c>
      <c r="L51" s="28">
        <f t="shared" si="4"/>
        <v>4.6313372634510978E-5</v>
      </c>
      <c r="M51" s="28">
        <f t="shared" si="5"/>
        <v>9.2622455544533189E-5</v>
      </c>
    </row>
    <row r="52" spans="1:13" ht="20.25" x14ac:dyDescent="0.2">
      <c r="A52" s="85">
        <v>48</v>
      </c>
      <c r="B52" s="86">
        <v>4.1669999999999997E-3</v>
      </c>
      <c r="C52" s="87">
        <v>93759</v>
      </c>
      <c r="D52" s="86">
        <v>31.32</v>
      </c>
      <c r="E52" s="86">
        <v>2.6480000000000002E-3</v>
      </c>
      <c r="F52" s="87">
        <v>96364</v>
      </c>
      <c r="G52" s="86">
        <v>34.97</v>
      </c>
      <c r="H52" s="28">
        <f t="shared" si="0"/>
        <v>4.1757061385701627E-3</v>
      </c>
      <c r="I52" s="28">
        <f t="shared" si="1"/>
        <v>8.0081969713425275E-5</v>
      </c>
      <c r="J52" s="28">
        <f t="shared" si="2"/>
        <v>1.6015111386780134E-4</v>
      </c>
      <c r="K52" s="28">
        <f t="shared" si="3"/>
        <v>2.6515121534917102E-3</v>
      </c>
      <c r="L52" s="28">
        <f t="shared" si="4"/>
        <v>5.085087621692906E-5</v>
      </c>
      <c r="M52" s="28">
        <f t="shared" si="5"/>
        <v>1.016965809859105E-4</v>
      </c>
    </row>
    <row r="53" spans="1:13" ht="20.25" x14ac:dyDescent="0.2">
      <c r="A53" s="85">
        <v>49</v>
      </c>
      <c r="B53" s="86">
        <v>4.5859999999999998E-3</v>
      </c>
      <c r="C53" s="87">
        <v>93368</v>
      </c>
      <c r="D53" s="86">
        <v>30.44</v>
      </c>
      <c r="E53" s="86">
        <v>2.9039999999999999E-3</v>
      </c>
      <c r="F53" s="87">
        <v>96109</v>
      </c>
      <c r="G53" s="86">
        <v>34.06</v>
      </c>
      <c r="H53" s="28">
        <f t="shared" si="0"/>
        <v>4.5965479589811543E-3</v>
      </c>
      <c r="I53" s="28">
        <f t="shared" si="1"/>
        <v>8.8152902101362881E-5</v>
      </c>
      <c r="J53" s="28">
        <f t="shared" si="2"/>
        <v>1.7629026324772479E-4</v>
      </c>
      <c r="K53" s="28">
        <f t="shared" si="3"/>
        <v>2.908224789174295E-3</v>
      </c>
      <c r="L53" s="28">
        <f t="shared" si="4"/>
        <v>5.5774128197209879E-5</v>
      </c>
      <c r="M53" s="28">
        <f t="shared" si="5"/>
        <v>1.1154203511898331E-4</v>
      </c>
    </row>
    <row r="54" spans="1:13" ht="20.25" x14ac:dyDescent="0.2">
      <c r="A54" s="82">
        <v>50</v>
      </c>
      <c r="B54" s="83">
        <v>5.0379999999999999E-3</v>
      </c>
      <c r="C54" s="84">
        <v>92940</v>
      </c>
      <c r="D54" s="83">
        <v>29.58</v>
      </c>
      <c r="E54" s="83">
        <v>3.1819999999999999E-3</v>
      </c>
      <c r="F54" s="84">
        <v>95829</v>
      </c>
      <c r="G54" s="83">
        <v>33.159999999999997</v>
      </c>
      <c r="H54" s="28">
        <f t="shared" si="0"/>
        <v>5.0507335076112195E-3</v>
      </c>
      <c r="I54" s="28">
        <f t="shared" si="1"/>
        <v>9.6863302724075947E-5</v>
      </c>
      <c r="J54" s="28">
        <f t="shared" si="2"/>
        <v>1.9370784166106159E-4</v>
      </c>
      <c r="K54" s="28">
        <f t="shared" si="3"/>
        <v>3.1870733270764908E-3</v>
      </c>
      <c r="L54" s="28">
        <f t="shared" si="4"/>
        <v>6.1121903980723949E-5</v>
      </c>
      <c r="M54" s="28">
        <f t="shared" si="5"/>
        <v>1.2223633649155463E-4</v>
      </c>
    </row>
    <row r="55" spans="1:13" ht="20.25" x14ac:dyDescent="0.2">
      <c r="A55" s="82">
        <v>51</v>
      </c>
      <c r="B55" s="83">
        <v>5.5199999999999997E-3</v>
      </c>
      <c r="C55" s="84">
        <v>92472</v>
      </c>
      <c r="D55" s="83">
        <v>28.73</v>
      </c>
      <c r="E55" s="83">
        <v>3.473E-3</v>
      </c>
      <c r="F55" s="84">
        <v>95524</v>
      </c>
      <c r="G55" s="83">
        <v>32.270000000000003</v>
      </c>
      <c r="H55" s="28">
        <f t="shared" si="0"/>
        <v>5.5352914986770288E-3</v>
      </c>
      <c r="I55" s="28">
        <f t="shared" si="1"/>
        <v>1.0615618806543229E-4</v>
      </c>
      <c r="J55" s="28">
        <f t="shared" si="2"/>
        <v>2.1228983945331681E-4</v>
      </c>
      <c r="K55" s="28">
        <f t="shared" si="3"/>
        <v>3.4790448644342279E-3</v>
      </c>
      <c r="L55" s="28">
        <f t="shared" si="4"/>
        <v>6.6721353519543948E-5</v>
      </c>
      <c r="M55" s="28">
        <f t="shared" si="5"/>
        <v>1.334338039570282E-4</v>
      </c>
    </row>
    <row r="56" spans="1:13" ht="20.25" x14ac:dyDescent="0.2">
      <c r="A56" s="82">
        <v>52</v>
      </c>
      <c r="B56" s="83">
        <v>6.0359999999999997E-3</v>
      </c>
      <c r="C56" s="84">
        <v>91961</v>
      </c>
      <c r="D56" s="83">
        <v>27.89</v>
      </c>
      <c r="E56" s="83">
        <v>3.7669999999999999E-3</v>
      </c>
      <c r="F56" s="84">
        <v>95193</v>
      </c>
      <c r="G56" s="83">
        <v>31.38</v>
      </c>
      <c r="H56" s="28">
        <f t="shared" si="0"/>
        <v>6.0542902852483791E-3</v>
      </c>
      <c r="I56" s="28">
        <f t="shared" si="1"/>
        <v>1.1610958127086103E-4</v>
      </c>
      <c r="J56" s="28">
        <f t="shared" si="2"/>
        <v>2.3219220175896282E-4</v>
      </c>
      <c r="K56" s="28">
        <f t="shared" si="3"/>
        <v>3.7741130132661134E-3</v>
      </c>
      <c r="L56" s="28">
        <f t="shared" si="4"/>
        <v>7.2380190078919924E-5</v>
      </c>
      <c r="M56" s="28">
        <f t="shared" si="5"/>
        <v>1.4474990287960399E-4</v>
      </c>
    </row>
    <row r="57" spans="1:13" ht="20.25" x14ac:dyDescent="0.2">
      <c r="A57" s="82">
        <v>53</v>
      </c>
      <c r="B57" s="83">
        <v>6.587E-3</v>
      </c>
      <c r="C57" s="84">
        <v>91406</v>
      </c>
      <c r="D57" s="83">
        <v>27.05</v>
      </c>
      <c r="E57" s="83">
        <v>4.058E-3</v>
      </c>
      <c r="F57" s="84">
        <v>94834</v>
      </c>
      <c r="G57" s="83">
        <v>30.49</v>
      </c>
      <c r="H57" s="28">
        <f t="shared" si="0"/>
        <v>6.6087900244704428E-3</v>
      </c>
      <c r="I57" s="28">
        <f t="shared" si="1"/>
        <v>1.2674381410451746E-4</v>
      </c>
      <c r="J57" s="28">
        <f t="shared" si="2"/>
        <v>2.5345550293476293E-4</v>
      </c>
      <c r="K57" s="28">
        <f t="shared" si="3"/>
        <v>4.0662560248687276E-3</v>
      </c>
      <c r="L57" s="28">
        <f t="shared" si="4"/>
        <v>7.7982928162199035E-5</v>
      </c>
      <c r="M57" s="28">
        <f t="shared" si="5"/>
        <v>1.5595369428256234E-4</v>
      </c>
    </row>
    <row r="58" spans="1:13" ht="20.25" x14ac:dyDescent="0.2">
      <c r="A58" s="82">
        <v>54</v>
      </c>
      <c r="B58" s="83">
        <v>7.1700000000000002E-3</v>
      </c>
      <c r="C58" s="84">
        <v>90804</v>
      </c>
      <c r="D58" s="83">
        <v>26.23</v>
      </c>
      <c r="E58" s="83">
        <v>4.352E-3</v>
      </c>
      <c r="F58" s="84">
        <v>94449</v>
      </c>
      <c r="G58" s="83">
        <v>29.62</v>
      </c>
      <c r="H58" s="28">
        <f t="shared" si="0"/>
        <v>7.1958279818024268E-3</v>
      </c>
      <c r="I58" s="28">
        <f t="shared" si="1"/>
        <v>1.3800206704656678E-4</v>
      </c>
      <c r="J58" s="28">
        <f t="shared" si="2"/>
        <v>2.7596604845614436E-4</v>
      </c>
      <c r="K58" s="28">
        <f t="shared" si="3"/>
        <v>4.3614975174807828E-3</v>
      </c>
      <c r="L58" s="28">
        <f t="shared" si="4"/>
        <v>8.3645089120106155E-5</v>
      </c>
      <c r="M58" s="28">
        <f t="shared" si="5"/>
        <v>1.6727618601863892E-4</v>
      </c>
    </row>
    <row r="59" spans="1:13" ht="20.25" x14ac:dyDescent="0.2">
      <c r="A59" s="85">
        <v>55</v>
      </c>
      <c r="B59" s="86">
        <v>7.8009999999999998E-3</v>
      </c>
      <c r="C59" s="87">
        <v>90153</v>
      </c>
      <c r="D59" s="86">
        <v>25.41</v>
      </c>
      <c r="E59" s="86">
        <v>4.6810000000000003E-3</v>
      </c>
      <c r="F59" s="87">
        <v>94038</v>
      </c>
      <c r="G59" s="86">
        <v>28.74</v>
      </c>
      <c r="H59" s="28">
        <f t="shared" si="0"/>
        <v>7.8315869770146564E-3</v>
      </c>
      <c r="I59" s="28">
        <f t="shared" si="1"/>
        <v>1.5019469528957264E-4</v>
      </c>
      <c r="J59" s="28">
        <f t="shared" si="2"/>
        <v>3.0034427820335718E-4</v>
      </c>
      <c r="K59" s="28">
        <f t="shared" si="3"/>
        <v>4.6919901906336981E-3</v>
      </c>
      <c r="L59" s="28">
        <f t="shared" si="4"/>
        <v>8.998329956012609E-5</v>
      </c>
      <c r="M59" s="28">
        <f t="shared" si="5"/>
        <v>1.7995040610330193E-4</v>
      </c>
    </row>
    <row r="60" spans="1:13" ht="20.25" x14ac:dyDescent="0.2">
      <c r="A60" s="85">
        <v>56</v>
      </c>
      <c r="B60" s="86">
        <v>8.4659999999999996E-3</v>
      </c>
      <c r="C60" s="87">
        <v>89450</v>
      </c>
      <c r="D60" s="86">
        <v>24.61</v>
      </c>
      <c r="E60" s="86">
        <v>5.0400000000000002E-3</v>
      </c>
      <c r="F60" s="87">
        <v>93598</v>
      </c>
      <c r="G60" s="86">
        <v>27.88</v>
      </c>
      <c r="H60" s="28">
        <f t="shared" si="0"/>
        <v>8.5020401326663803E-3</v>
      </c>
      <c r="I60" s="28">
        <f t="shared" si="1"/>
        <v>1.6305269044618502E-4</v>
      </c>
      <c r="J60" s="28">
        <f t="shared" si="2"/>
        <v>3.2605221431214471E-4</v>
      </c>
      <c r="K60" s="28">
        <f t="shared" si="3"/>
        <v>5.0527436366515121E-3</v>
      </c>
      <c r="L60" s="28">
        <f t="shared" si="4"/>
        <v>9.6901853112341512E-5</v>
      </c>
      <c r="M60" s="28">
        <f t="shared" si="5"/>
        <v>1.9378492749955178E-4</v>
      </c>
    </row>
    <row r="61" spans="1:13" ht="20.25" x14ac:dyDescent="0.2">
      <c r="A61" s="85">
        <v>57</v>
      </c>
      <c r="B61" s="86">
        <v>9.1330000000000005E-3</v>
      </c>
      <c r="C61" s="87">
        <v>88693</v>
      </c>
      <c r="D61" s="86">
        <v>23.82</v>
      </c>
      <c r="E61" s="86">
        <v>5.4000000000000003E-3</v>
      </c>
      <c r="F61" s="87">
        <v>93126</v>
      </c>
      <c r="G61" s="86">
        <v>27.01</v>
      </c>
      <c r="H61" s="28">
        <f t="shared" si="0"/>
        <v>9.1749615296686984E-3</v>
      </c>
      <c r="I61" s="28">
        <f t="shared" si="1"/>
        <v>1.7595802169938186E-4</v>
      </c>
      <c r="J61" s="28">
        <f t="shared" si="2"/>
        <v>3.518541282111487E-4</v>
      </c>
      <c r="K61" s="28">
        <f t="shared" si="3"/>
        <v>5.4146327014988416E-3</v>
      </c>
      <c r="L61" s="28">
        <f t="shared" si="4"/>
        <v>1.038421856379074E-4</v>
      </c>
      <c r="M61" s="28">
        <f t="shared" si="5"/>
        <v>2.076628063697461E-4</v>
      </c>
    </row>
    <row r="62" spans="1:13" ht="20.25" x14ac:dyDescent="0.2">
      <c r="A62" s="85">
        <v>58</v>
      </c>
      <c r="B62" s="86">
        <v>9.7920000000000004E-3</v>
      </c>
      <c r="C62" s="87">
        <v>87883</v>
      </c>
      <c r="D62" s="86">
        <v>23.03</v>
      </c>
      <c r="E62" s="86">
        <v>5.7559999999999998E-3</v>
      </c>
      <c r="F62" s="87">
        <v>92623</v>
      </c>
      <c r="G62" s="86">
        <v>26.16</v>
      </c>
      <c r="H62" s="28">
        <f t="shared" si="0"/>
        <v>9.8402569115267069E-3</v>
      </c>
      <c r="I62" s="28">
        <f t="shared" si="1"/>
        <v>1.8871710072755268E-4</v>
      </c>
      <c r="J62" s="28">
        <f t="shared" si="2"/>
        <v>3.7736298212742714E-4</v>
      </c>
      <c r="K62" s="28">
        <f t="shared" si="3"/>
        <v>5.7726296120681536E-3</v>
      </c>
      <c r="L62" s="28">
        <f t="shared" si="4"/>
        <v>1.1070787417017761E-4</v>
      </c>
      <c r="M62" s="28">
        <f t="shared" si="5"/>
        <v>2.2139123768261104E-4</v>
      </c>
    </row>
    <row r="63" spans="1:13" ht="20.25" x14ac:dyDescent="0.2">
      <c r="A63" s="85">
        <v>59</v>
      </c>
      <c r="B63" s="86">
        <v>1.0462000000000001E-2</v>
      </c>
      <c r="C63" s="87">
        <v>87022</v>
      </c>
      <c r="D63" s="86">
        <v>22.25</v>
      </c>
      <c r="E63" s="86">
        <v>6.1279999999999998E-3</v>
      </c>
      <c r="F63" s="87">
        <v>92090</v>
      </c>
      <c r="G63" s="86">
        <v>25.31</v>
      </c>
      <c r="H63" s="28">
        <f t="shared" si="0"/>
        <v>1.0517111442945372E-2</v>
      </c>
      <c r="I63" s="28">
        <f t="shared" si="1"/>
        <v>2.0169786189386038E-4</v>
      </c>
      <c r="J63" s="28">
        <f t="shared" si="2"/>
        <v>4.0331437067231413E-4</v>
      </c>
      <c r="K63" s="28">
        <f t="shared" si="3"/>
        <v>6.1468532532856501E-3</v>
      </c>
      <c r="L63" s="28">
        <f t="shared" si="4"/>
        <v>1.1788476002074397E-4</v>
      </c>
      <c r="M63" s="28">
        <f t="shared" si="5"/>
        <v>2.3574172859242015E-4</v>
      </c>
    </row>
    <row r="64" spans="1:13" ht="20.25" x14ac:dyDescent="0.2">
      <c r="A64" s="82">
        <v>60</v>
      </c>
      <c r="B64" s="83">
        <v>1.1197E-2</v>
      </c>
      <c r="C64" s="84">
        <v>86112</v>
      </c>
      <c r="D64" s="83">
        <v>21.48</v>
      </c>
      <c r="E64" s="83">
        <v>6.5449999999999996E-3</v>
      </c>
      <c r="F64" s="84">
        <v>91526</v>
      </c>
      <c r="G64" s="83">
        <v>24.46</v>
      </c>
      <c r="H64" s="28">
        <f t="shared" si="0"/>
        <v>1.1260158302730725E-2</v>
      </c>
      <c r="I64" s="28">
        <f t="shared" si="1"/>
        <v>2.159480639306737E-4</v>
      </c>
      <c r="J64" s="28">
        <f t="shared" si="2"/>
        <v>4.3180287415445218E-4</v>
      </c>
      <c r="K64" s="28">
        <f t="shared" si="3"/>
        <v>6.5665124297774463E-3</v>
      </c>
      <c r="L64" s="28">
        <f t="shared" si="4"/>
        <v>1.259330115850374E-4</v>
      </c>
      <c r="M64" s="28">
        <f t="shared" si="5"/>
        <v>2.5183430758601855E-4</v>
      </c>
    </row>
    <row r="65" spans="1:13" ht="20.25" x14ac:dyDescent="0.2">
      <c r="A65" s="82">
        <v>61</v>
      </c>
      <c r="B65" s="83">
        <v>1.2009000000000001E-2</v>
      </c>
      <c r="C65" s="84">
        <v>85147</v>
      </c>
      <c r="D65" s="83">
        <v>20.72</v>
      </c>
      <c r="E65" s="83">
        <v>7.0340000000000003E-3</v>
      </c>
      <c r="F65" s="84">
        <v>90927</v>
      </c>
      <c r="G65" s="83">
        <v>23.62</v>
      </c>
      <c r="H65" s="28">
        <f t="shared" si="0"/>
        <v>1.2081690587500207E-2</v>
      </c>
      <c r="I65" s="28">
        <f t="shared" si="1"/>
        <v>2.3170346466153989E-4</v>
      </c>
      <c r="J65" s="28">
        <f t="shared" si="2"/>
        <v>4.6329957291590951E-4</v>
      </c>
      <c r="K65" s="28">
        <f t="shared" si="3"/>
        <v>7.0588552008998004E-3</v>
      </c>
      <c r="L65" s="28">
        <f t="shared" si="4"/>
        <v>1.353751939554532E-4</v>
      </c>
      <c r="M65" s="28">
        <f t="shared" si="5"/>
        <v>2.7071373833231771E-4</v>
      </c>
    </row>
    <row r="66" spans="1:13" ht="20.25" x14ac:dyDescent="0.2">
      <c r="A66" s="82">
        <v>62</v>
      </c>
      <c r="B66" s="83">
        <v>1.2867E-2</v>
      </c>
      <c r="C66" s="84">
        <v>84125</v>
      </c>
      <c r="D66" s="83">
        <v>19.97</v>
      </c>
      <c r="E66" s="83">
        <v>7.607E-3</v>
      </c>
      <c r="F66" s="84">
        <v>90287</v>
      </c>
      <c r="G66" s="83">
        <v>22.78</v>
      </c>
      <c r="H66" s="28">
        <f t="shared" si="0"/>
        <v>1.2950496853810427E-2</v>
      </c>
      <c r="I66" s="28">
        <f t="shared" si="1"/>
        <v>2.4836548895075701E-4</v>
      </c>
      <c r="J66" s="28">
        <f t="shared" si="2"/>
        <v>4.9660762749414999E-4</v>
      </c>
      <c r="K66" s="28">
        <f t="shared" si="3"/>
        <v>7.6360807967843121E-3</v>
      </c>
      <c r="L66" s="28">
        <f t="shared" si="4"/>
        <v>1.4644526477783769E-4</v>
      </c>
      <c r="M66" s="28">
        <f t="shared" si="5"/>
        <v>2.9284764131176644E-4</v>
      </c>
    </row>
    <row r="67" spans="1:13" ht="20.25" x14ac:dyDescent="0.2">
      <c r="A67" s="82">
        <v>63</v>
      </c>
      <c r="B67" s="83">
        <v>1.3772E-2</v>
      </c>
      <c r="C67" s="84">
        <v>83042</v>
      </c>
      <c r="D67" s="83">
        <v>19.22</v>
      </c>
      <c r="E67" s="83">
        <v>8.2810000000000002E-3</v>
      </c>
      <c r="F67" s="84">
        <v>89600</v>
      </c>
      <c r="G67" s="83">
        <v>21.95</v>
      </c>
      <c r="H67" s="28">
        <f t="shared" si="0"/>
        <v>1.3867713788215332E-2</v>
      </c>
      <c r="I67" s="28">
        <f t="shared" si="1"/>
        <v>2.6595593624856561E-4</v>
      </c>
      <c r="J67" s="28">
        <f t="shared" si="2"/>
        <v>5.3177043245611344E-4</v>
      </c>
      <c r="K67" s="28">
        <f t="shared" si="3"/>
        <v>8.3154779537244344E-3</v>
      </c>
      <c r="L67" s="28">
        <f t="shared" si="4"/>
        <v>1.5947478858529992E-4</v>
      </c>
      <c r="M67" s="28">
        <f t="shared" si="5"/>
        <v>3.1889871816148663E-4</v>
      </c>
    </row>
    <row r="68" spans="1:13" ht="20.25" x14ac:dyDescent="0.2">
      <c r="A68" s="82">
        <v>64</v>
      </c>
      <c r="B68" s="83">
        <v>1.4749E-2</v>
      </c>
      <c r="C68" s="84">
        <v>81899</v>
      </c>
      <c r="D68" s="83">
        <v>18.48</v>
      </c>
      <c r="E68" s="83">
        <v>9.0570000000000008E-3</v>
      </c>
      <c r="F68" s="84">
        <v>88858</v>
      </c>
      <c r="G68" s="83">
        <v>21.13</v>
      </c>
      <c r="H68" s="28">
        <f t="shared" si="0"/>
        <v>1.485884793671949E-2</v>
      </c>
      <c r="I68" s="28">
        <f t="shared" si="1"/>
        <v>2.8496397278861534E-4</v>
      </c>
      <c r="J68" s="28">
        <f t="shared" si="2"/>
        <v>5.6976556749510632E-4</v>
      </c>
      <c r="K68" s="28">
        <f t="shared" si="3"/>
        <v>9.0982639652833919E-3</v>
      </c>
      <c r="L68" s="28">
        <f t="shared" si="4"/>
        <v>1.7448711071465898E-4</v>
      </c>
      <c r="M68" s="28">
        <f t="shared" si="5"/>
        <v>3.4891333700826088E-4</v>
      </c>
    </row>
    <row r="69" spans="1:13" ht="20.25" x14ac:dyDescent="0.2">
      <c r="A69" s="85">
        <v>65</v>
      </c>
      <c r="B69" s="86">
        <v>1.5852000000000002E-2</v>
      </c>
      <c r="C69" s="87">
        <v>80691</v>
      </c>
      <c r="D69" s="86">
        <v>17.75</v>
      </c>
      <c r="E69" s="86">
        <v>9.953E-3</v>
      </c>
      <c r="F69" s="87">
        <v>88054</v>
      </c>
      <c r="G69" s="86">
        <v>20.32</v>
      </c>
      <c r="H69" s="28">
        <f t="shared" ref="H69:H123" si="6">-LN(1-B69)/1</f>
        <v>1.5978986735742755E-2</v>
      </c>
      <c r="I69" s="28">
        <f t="shared" ref="I69:I123" si="7">H69/$I$2</f>
        <v>3.064460690859687E-4</v>
      </c>
      <c r="J69" s="28">
        <f t="shared" ref="J69:J123" si="8">1-EXP(-I69*2)</f>
        <v>6.1270435815030666E-4</v>
      </c>
      <c r="K69" s="28">
        <f t="shared" ref="K69:K123" si="9">-LN(1-E69)/1</f>
        <v>1.0002862232916842E-2</v>
      </c>
      <c r="L69" s="28">
        <f t="shared" ref="L69:L123" si="10">K69/$I$2</f>
        <v>1.9183555638287939E-4</v>
      </c>
      <c r="M69" s="28">
        <f t="shared" ref="M69:M123" si="11">1-EXP(-L69*2)</f>
        <v>3.8359752041638995E-4</v>
      </c>
    </row>
    <row r="70" spans="1:13" ht="20.25" x14ac:dyDescent="0.2">
      <c r="A70" s="85">
        <v>66</v>
      </c>
      <c r="B70" s="86">
        <v>1.7097000000000001E-2</v>
      </c>
      <c r="C70" s="87">
        <v>79412</v>
      </c>
      <c r="D70" s="86">
        <v>17.03</v>
      </c>
      <c r="E70" s="86">
        <v>1.095E-2</v>
      </c>
      <c r="F70" s="87">
        <v>87177</v>
      </c>
      <c r="G70" s="86">
        <v>19.52</v>
      </c>
      <c r="H70" s="28">
        <f t="shared" si="6"/>
        <v>1.724484122171974E-2</v>
      </c>
      <c r="I70" s="28">
        <f t="shared" si="7"/>
        <v>3.3072271050746583E-4</v>
      </c>
      <c r="J70" s="28">
        <f t="shared" si="8"/>
        <v>6.6122671421597889E-4</v>
      </c>
      <c r="K70" s="28">
        <f t="shared" si="9"/>
        <v>1.1010392520052188E-2</v>
      </c>
      <c r="L70" s="28">
        <f t="shared" si="10"/>
        <v>2.1115803915877692E-4</v>
      </c>
      <c r="M70" s="28">
        <f t="shared" si="11"/>
        <v>4.2222691543458701E-4</v>
      </c>
    </row>
    <row r="71" spans="1:13" ht="20.25" x14ac:dyDescent="0.2">
      <c r="A71" s="85">
        <v>67</v>
      </c>
      <c r="B71" s="86">
        <v>1.8463E-2</v>
      </c>
      <c r="C71" s="87">
        <v>78054</v>
      </c>
      <c r="D71" s="86">
        <v>16.32</v>
      </c>
      <c r="E71" s="86">
        <v>1.201E-2</v>
      </c>
      <c r="F71" s="87">
        <v>86223</v>
      </c>
      <c r="G71" s="86">
        <v>18.73</v>
      </c>
      <c r="H71" s="28">
        <f t="shared" si="6"/>
        <v>1.8635568574214691E-2</v>
      </c>
      <c r="I71" s="28">
        <f t="shared" si="7"/>
        <v>3.5739417205822257E-4</v>
      </c>
      <c r="J71" s="28">
        <f t="shared" si="8"/>
        <v>7.1453294378398535E-4</v>
      </c>
      <c r="K71" s="28">
        <f t="shared" si="9"/>
        <v>1.2082702742981377E-2</v>
      </c>
      <c r="L71" s="28">
        <f t="shared" si="10"/>
        <v>2.3172287584659421E-4</v>
      </c>
      <c r="M71" s="28">
        <f t="shared" si="11"/>
        <v>4.6333837729883864E-4</v>
      </c>
    </row>
    <row r="72" spans="1:13" ht="20.25" x14ac:dyDescent="0.2">
      <c r="A72" s="85">
        <v>68</v>
      </c>
      <c r="B72" s="86">
        <v>1.9959000000000001E-2</v>
      </c>
      <c r="C72" s="87">
        <v>76613</v>
      </c>
      <c r="D72" s="86">
        <v>15.61</v>
      </c>
      <c r="E72" s="86">
        <v>1.3124E-2</v>
      </c>
      <c r="F72" s="87">
        <v>85187</v>
      </c>
      <c r="G72" s="86">
        <v>17.95</v>
      </c>
      <c r="H72" s="28">
        <f t="shared" si="6"/>
        <v>2.0160871457957294E-2</v>
      </c>
      <c r="I72" s="28">
        <f t="shared" si="7"/>
        <v>3.8664653208696285E-4</v>
      </c>
      <c r="J72" s="28">
        <f t="shared" si="8"/>
        <v>7.7299415014675521E-4</v>
      </c>
      <c r="K72" s="28">
        <f t="shared" si="9"/>
        <v>1.3210880673187247E-2</v>
      </c>
      <c r="L72" s="28">
        <f t="shared" si="10"/>
        <v>2.5335914713579886E-4</v>
      </c>
      <c r="M72" s="28">
        <f t="shared" si="11"/>
        <v>5.065899342384661E-4</v>
      </c>
    </row>
    <row r="73" spans="1:13" ht="20.25" x14ac:dyDescent="0.2">
      <c r="A73" s="85">
        <v>69</v>
      </c>
      <c r="B73" s="86">
        <v>2.1616E-2</v>
      </c>
      <c r="C73" s="87">
        <v>75084</v>
      </c>
      <c r="D73" s="86">
        <v>14.92</v>
      </c>
      <c r="E73" s="86">
        <v>1.4330000000000001E-2</v>
      </c>
      <c r="F73" s="87">
        <v>84069</v>
      </c>
      <c r="G73" s="86">
        <v>17.18</v>
      </c>
      <c r="H73" s="28">
        <f t="shared" si="6"/>
        <v>2.185304797265282E-2</v>
      </c>
      <c r="I73" s="28">
        <f t="shared" si="7"/>
        <v>4.1909920569536448E-4</v>
      </c>
      <c r="J73" s="28">
        <f t="shared" si="8"/>
        <v>8.3784722123148025E-4</v>
      </c>
      <c r="K73" s="28">
        <f t="shared" si="9"/>
        <v>1.443366599760343E-2</v>
      </c>
      <c r="L73" s="28">
        <f t="shared" si="10"/>
        <v>2.7680980531584226E-4</v>
      </c>
      <c r="M73" s="28">
        <f t="shared" si="11"/>
        <v>5.5346639157138888E-4</v>
      </c>
    </row>
    <row r="74" spans="1:13" ht="20.25" x14ac:dyDescent="0.2">
      <c r="A74" s="82">
        <v>70</v>
      </c>
      <c r="B74" s="83">
        <v>2.3528E-2</v>
      </c>
      <c r="C74" s="84">
        <v>73461</v>
      </c>
      <c r="D74" s="83">
        <v>14.24</v>
      </c>
      <c r="E74" s="83">
        <v>1.5727999999999999E-2</v>
      </c>
      <c r="F74" s="84">
        <v>82864</v>
      </c>
      <c r="G74" s="83">
        <v>16.43</v>
      </c>
      <c r="H74" s="28">
        <f t="shared" si="6"/>
        <v>2.3809202911631137E-2</v>
      </c>
      <c r="I74" s="28">
        <f t="shared" si="7"/>
        <v>4.5661447506048069E-4</v>
      </c>
      <c r="J74" s="28">
        <f t="shared" si="8"/>
        <v>9.128120834711595E-4</v>
      </c>
      <c r="K74" s="28">
        <f t="shared" si="9"/>
        <v>1.5852997363389253E-2</v>
      </c>
      <c r="L74" s="28">
        <f t="shared" si="10"/>
        <v>3.0402983653362691E-4</v>
      </c>
      <c r="M74" s="28">
        <f t="shared" si="11"/>
        <v>6.0787484224888999E-4</v>
      </c>
    </row>
    <row r="75" spans="1:13" ht="20.25" x14ac:dyDescent="0.2">
      <c r="A75" s="82">
        <v>71</v>
      </c>
      <c r="B75" s="83">
        <v>2.5693000000000001E-2</v>
      </c>
      <c r="C75" s="84">
        <v>71732</v>
      </c>
      <c r="D75" s="83">
        <v>13.57</v>
      </c>
      <c r="E75" s="83">
        <v>1.7337999999999999E-2</v>
      </c>
      <c r="F75" s="84">
        <v>81561</v>
      </c>
      <c r="G75" s="83">
        <v>15.68</v>
      </c>
      <c r="H75" s="28">
        <f t="shared" si="6"/>
        <v>2.6028829931264472E-2</v>
      </c>
      <c r="I75" s="28">
        <f t="shared" si="7"/>
        <v>4.9918262949058209E-4</v>
      </c>
      <c r="J75" s="28">
        <f t="shared" si="8"/>
        <v>9.9786705819526755E-4</v>
      </c>
      <c r="K75" s="28">
        <f t="shared" si="9"/>
        <v>1.7490063334656861E-2</v>
      </c>
      <c r="L75" s="28">
        <f t="shared" si="10"/>
        <v>3.3542559647923041E-4</v>
      </c>
      <c r="M75" s="28">
        <f t="shared" si="11"/>
        <v>6.7062622260694038E-4</v>
      </c>
    </row>
    <row r="76" spans="1:13" ht="20.25" x14ac:dyDescent="0.2">
      <c r="A76" s="82">
        <v>72</v>
      </c>
      <c r="B76" s="83">
        <v>2.8041E-2</v>
      </c>
      <c r="C76" s="84">
        <v>69889</v>
      </c>
      <c r="D76" s="83">
        <v>12.92</v>
      </c>
      <c r="E76" s="83">
        <v>1.9108E-2</v>
      </c>
      <c r="F76" s="84">
        <v>80147</v>
      </c>
      <c r="G76" s="83">
        <v>14.95</v>
      </c>
      <c r="H76" s="28">
        <f t="shared" si="6"/>
        <v>2.8441656481303156E-2</v>
      </c>
      <c r="I76" s="28">
        <f t="shared" si="7"/>
        <v>5.454559773488463E-4</v>
      </c>
      <c r="J76" s="28">
        <f t="shared" si="8"/>
        <v>1.0903171265725931E-3</v>
      </c>
      <c r="K76" s="28">
        <f t="shared" si="9"/>
        <v>1.9292917220434014E-2</v>
      </c>
      <c r="L76" s="28">
        <f t="shared" si="10"/>
        <v>3.7000084806242106E-4</v>
      </c>
      <c r="M76" s="28">
        <f t="shared" si="11"/>
        <v>7.3972796239496486E-4</v>
      </c>
    </row>
    <row r="77" spans="1:13" ht="20.25" x14ac:dyDescent="0.2">
      <c r="A77" s="82">
        <v>73</v>
      </c>
      <c r="B77" s="83">
        <v>3.0567E-2</v>
      </c>
      <c r="C77" s="84">
        <v>67930</v>
      </c>
      <c r="D77" s="83">
        <v>12.27</v>
      </c>
      <c r="E77" s="83">
        <v>2.1041000000000001E-2</v>
      </c>
      <c r="F77" s="84">
        <v>78616</v>
      </c>
      <c r="G77" s="83">
        <v>14.23</v>
      </c>
      <c r="H77" s="28">
        <f t="shared" si="6"/>
        <v>3.1043914475003077E-2</v>
      </c>
      <c r="I77" s="28">
        <f t="shared" si="7"/>
        <v>5.9536225401738449E-4</v>
      </c>
      <c r="J77" s="28">
        <f t="shared" si="8"/>
        <v>1.1900158768971547E-3</v>
      </c>
      <c r="K77" s="28">
        <f t="shared" si="9"/>
        <v>2.1265516797441847E-2</v>
      </c>
      <c r="L77" s="28">
        <f t="shared" si="10"/>
        <v>4.0783149378806794E-4</v>
      </c>
      <c r="M77" s="28">
        <f t="shared" si="11"/>
        <v>8.1533042494730257E-4</v>
      </c>
    </row>
    <row r="78" spans="1:13" ht="20.25" x14ac:dyDescent="0.2">
      <c r="A78" s="82">
        <v>74</v>
      </c>
      <c r="B78" s="83">
        <v>3.3347000000000002E-2</v>
      </c>
      <c r="C78" s="84">
        <v>65853</v>
      </c>
      <c r="D78" s="83">
        <v>11.65</v>
      </c>
      <c r="E78" s="83">
        <v>2.3191E-2</v>
      </c>
      <c r="F78" s="84">
        <v>76961</v>
      </c>
      <c r="G78" s="83">
        <v>13.53</v>
      </c>
      <c r="H78" s="28">
        <f t="shared" si="6"/>
        <v>3.3915689706657336E-2</v>
      </c>
      <c r="I78" s="28">
        <f t="shared" si="7"/>
        <v>6.5043735017916802E-4</v>
      </c>
      <c r="J78" s="28">
        <f t="shared" si="8"/>
        <v>1.3000289296523082E-3</v>
      </c>
      <c r="K78" s="28">
        <f t="shared" si="9"/>
        <v>2.3464142468874748E-2</v>
      </c>
      <c r="L78" s="28">
        <f t="shared" si="10"/>
        <v>4.4999688296728314E-4</v>
      </c>
      <c r="M78" s="28">
        <f t="shared" si="11"/>
        <v>8.9958889301533507E-4</v>
      </c>
    </row>
    <row r="79" spans="1:13" ht="20.25" x14ac:dyDescent="0.2">
      <c r="A79" s="85">
        <v>75</v>
      </c>
      <c r="B79" s="86">
        <v>3.6572E-2</v>
      </c>
      <c r="C79" s="87">
        <v>63657</v>
      </c>
      <c r="D79" s="86">
        <v>11.03</v>
      </c>
      <c r="E79" s="86">
        <v>2.5713E-2</v>
      </c>
      <c r="F79" s="87">
        <v>75177</v>
      </c>
      <c r="G79" s="86">
        <v>12.83</v>
      </c>
      <c r="H79" s="28">
        <f t="shared" si="6"/>
        <v>3.7257521475745119E-2</v>
      </c>
      <c r="I79" s="28">
        <f t="shared" si="7"/>
        <v>7.1452722184123089E-4</v>
      </c>
      <c r="J79" s="28">
        <f t="shared" si="8"/>
        <v>1.4280338316089436E-3</v>
      </c>
      <c r="K79" s="28">
        <f t="shared" si="9"/>
        <v>2.6049357552719452E-2</v>
      </c>
      <c r="L79" s="28">
        <f t="shared" si="10"/>
        <v>4.9957630957847478E-4</v>
      </c>
      <c r="M79" s="28">
        <f t="shared" si="11"/>
        <v>9.9865363238060834E-4</v>
      </c>
    </row>
    <row r="80" spans="1:13" ht="20.25" x14ac:dyDescent="0.2">
      <c r="A80" s="85">
        <v>76</v>
      </c>
      <c r="B80" s="86">
        <v>4.0275999999999999E-2</v>
      </c>
      <c r="C80" s="87">
        <v>61329</v>
      </c>
      <c r="D80" s="86">
        <v>10.43</v>
      </c>
      <c r="E80" s="86">
        <v>2.8608999999999999E-2</v>
      </c>
      <c r="F80" s="87">
        <v>73244</v>
      </c>
      <c r="G80" s="86">
        <v>12.16</v>
      </c>
      <c r="H80" s="28">
        <f t="shared" si="6"/>
        <v>4.1109535856303038E-2</v>
      </c>
      <c r="I80" s="28">
        <f t="shared" si="7"/>
        <v>7.8840140951698195E-4</v>
      </c>
      <c r="J80" s="28">
        <f t="shared" si="8"/>
        <v>1.5755603186140554E-3</v>
      </c>
      <c r="K80" s="28">
        <f t="shared" si="9"/>
        <v>2.9026214091794494E-2</v>
      </c>
      <c r="L80" s="28">
        <f t="shared" si="10"/>
        <v>5.5666666203441875E-4</v>
      </c>
      <c r="M80" s="28">
        <f t="shared" si="11"/>
        <v>1.1127137984577873E-3</v>
      </c>
    </row>
    <row r="81" spans="1:13" ht="20.25" x14ac:dyDescent="0.2">
      <c r="A81" s="85">
        <v>77</v>
      </c>
      <c r="B81" s="86">
        <v>4.4347999999999999E-2</v>
      </c>
      <c r="C81" s="87">
        <v>58859</v>
      </c>
      <c r="D81" s="86">
        <v>9.85</v>
      </c>
      <c r="E81" s="86">
        <v>3.1759999999999997E-2</v>
      </c>
      <c r="F81" s="87">
        <v>71148</v>
      </c>
      <c r="G81" s="86">
        <v>11.5</v>
      </c>
      <c r="H81" s="28">
        <f t="shared" si="6"/>
        <v>4.5361448937312476E-2</v>
      </c>
      <c r="I81" s="28">
        <f t="shared" si="7"/>
        <v>8.6994488103485769E-4</v>
      </c>
      <c r="J81" s="28">
        <f t="shared" si="8"/>
        <v>1.7383770313330604E-3</v>
      </c>
      <c r="K81" s="28">
        <f t="shared" si="9"/>
        <v>3.2275288551788697E-2</v>
      </c>
      <c r="L81" s="28">
        <f t="shared" si="10"/>
        <v>6.189776278609111E-4</v>
      </c>
      <c r="M81" s="28">
        <f t="shared" si="11"/>
        <v>1.2371893052176564E-3</v>
      </c>
    </row>
    <row r="82" spans="1:13" ht="20.25" x14ac:dyDescent="0.2">
      <c r="A82" s="85">
        <v>78</v>
      </c>
      <c r="B82" s="86">
        <v>4.8797E-2</v>
      </c>
      <c r="C82" s="87">
        <v>56249</v>
      </c>
      <c r="D82" s="86">
        <v>9.2799999999999994</v>
      </c>
      <c r="E82" s="86">
        <v>3.5157000000000001E-2</v>
      </c>
      <c r="F82" s="87">
        <v>68888</v>
      </c>
      <c r="G82" s="86">
        <v>10.86</v>
      </c>
      <c r="H82" s="28">
        <f t="shared" si="6"/>
        <v>5.0027779699689065E-2</v>
      </c>
      <c r="I82" s="28">
        <f t="shared" si="7"/>
        <v>9.5943608237533911E-4</v>
      </c>
      <c r="J82" s="28">
        <f t="shared" si="8"/>
        <v>1.9170323065640371E-3</v>
      </c>
      <c r="K82" s="28">
        <f t="shared" si="9"/>
        <v>3.5789885179822616E-2</v>
      </c>
      <c r="L82" s="28">
        <f t="shared" si="10"/>
        <v>6.8638079546443748E-4</v>
      </c>
      <c r="M82" s="28">
        <f t="shared" si="11"/>
        <v>1.3718197847438773E-3</v>
      </c>
    </row>
    <row r="83" spans="1:13" ht="20.25" x14ac:dyDescent="0.2">
      <c r="A83" s="85">
        <v>79</v>
      </c>
      <c r="B83" s="86">
        <v>5.3739000000000002E-2</v>
      </c>
      <c r="C83" s="87">
        <v>53504</v>
      </c>
      <c r="D83" s="86">
        <v>8.73</v>
      </c>
      <c r="E83" s="86">
        <v>3.8920000000000003E-2</v>
      </c>
      <c r="F83" s="87">
        <v>66467</v>
      </c>
      <c r="G83" s="86">
        <v>10.24</v>
      </c>
      <c r="H83" s="28">
        <f t="shared" si="6"/>
        <v>5.5236849463171867E-2</v>
      </c>
      <c r="I83" s="28">
        <f t="shared" si="7"/>
        <v>1.0593359683326372E-3</v>
      </c>
      <c r="J83" s="28">
        <f t="shared" si="8"/>
        <v>2.1164291354772713E-3</v>
      </c>
      <c r="K83" s="28">
        <f t="shared" si="9"/>
        <v>3.9697626858545797E-2</v>
      </c>
      <c r="L83" s="28">
        <f t="shared" si="10"/>
        <v>7.6132372496630991E-4</v>
      </c>
      <c r="M83" s="28">
        <f t="shared" si="11"/>
        <v>1.5214888104453372E-3</v>
      </c>
    </row>
    <row r="84" spans="1:13" ht="20.25" x14ac:dyDescent="0.2">
      <c r="A84" s="82">
        <v>80</v>
      </c>
      <c r="B84" s="83">
        <v>5.9402999999999997E-2</v>
      </c>
      <c r="C84" s="84">
        <v>50629</v>
      </c>
      <c r="D84" s="83">
        <v>8.1999999999999993</v>
      </c>
      <c r="E84" s="83">
        <v>4.3289000000000001E-2</v>
      </c>
      <c r="F84" s="84">
        <v>63880</v>
      </c>
      <c r="G84" s="83">
        <v>9.64</v>
      </c>
      <c r="H84" s="28">
        <f t="shared" si="6"/>
        <v>6.1240498929816041E-2</v>
      </c>
      <c r="I84" s="28">
        <f t="shared" si="7"/>
        <v>1.1744743566202886E-3</v>
      </c>
      <c r="J84" s="28">
        <f t="shared" si="8"/>
        <v>2.3461920920215817E-3</v>
      </c>
      <c r="K84" s="28">
        <f t="shared" si="9"/>
        <v>4.4253918506897784E-2</v>
      </c>
      <c r="L84" s="28">
        <f t="shared" si="10"/>
        <v>8.4870458886824067E-4</v>
      </c>
      <c r="M84" s="28">
        <f t="shared" si="11"/>
        <v>1.6959693935276743E-3</v>
      </c>
    </row>
    <row r="85" spans="1:13" ht="20.25" x14ac:dyDescent="0.2">
      <c r="A85" s="82">
        <v>81</v>
      </c>
      <c r="B85" s="83">
        <v>6.5873000000000001E-2</v>
      </c>
      <c r="C85" s="84">
        <v>47621</v>
      </c>
      <c r="D85" s="83">
        <v>7.68</v>
      </c>
      <c r="E85" s="83">
        <v>4.8356000000000003E-2</v>
      </c>
      <c r="F85" s="84">
        <v>61114</v>
      </c>
      <c r="G85" s="83">
        <v>9.0500000000000007</v>
      </c>
      <c r="H85" s="28">
        <f t="shared" si="6"/>
        <v>6.8142875692893623E-2</v>
      </c>
      <c r="I85" s="28">
        <f t="shared" si="7"/>
        <v>1.3068485967004833E-3</v>
      </c>
      <c r="J85" s="28">
        <f t="shared" si="8"/>
        <v>2.610284460822232E-3</v>
      </c>
      <c r="K85" s="28">
        <f t="shared" si="9"/>
        <v>4.9564263707183462E-2</v>
      </c>
      <c r="L85" s="28">
        <f t="shared" si="10"/>
        <v>9.5054674188016898E-4</v>
      </c>
      <c r="M85" s="28">
        <f t="shared" si="11"/>
        <v>1.8992875501407935E-3</v>
      </c>
    </row>
    <row r="86" spans="1:13" ht="20.25" x14ac:dyDescent="0.2">
      <c r="A86" s="82">
        <v>82</v>
      </c>
      <c r="B86" s="83">
        <v>7.3081999999999994E-2</v>
      </c>
      <c r="C86" s="84">
        <v>44484</v>
      </c>
      <c r="D86" s="83">
        <v>7.19</v>
      </c>
      <c r="E86" s="83">
        <v>5.4040999999999999E-2</v>
      </c>
      <c r="F86" s="84">
        <v>58159</v>
      </c>
      <c r="G86" s="83">
        <v>8.48</v>
      </c>
      <c r="H86" s="28">
        <f t="shared" si="6"/>
        <v>7.5890174718295747E-2</v>
      </c>
      <c r="I86" s="28">
        <f t="shared" si="7"/>
        <v>1.4554268120548675E-3</v>
      </c>
      <c r="J86" s="28">
        <f t="shared" si="8"/>
        <v>2.9066211973534095E-3</v>
      </c>
      <c r="K86" s="28">
        <f t="shared" si="9"/>
        <v>5.5556051250029895E-2</v>
      </c>
      <c r="L86" s="28">
        <f t="shared" si="10"/>
        <v>1.0654576414052517E-3</v>
      </c>
      <c r="M86" s="28">
        <f t="shared" si="11"/>
        <v>2.1286464946571604E-3</v>
      </c>
    </row>
    <row r="87" spans="1:13" ht="20.25" x14ac:dyDescent="0.2">
      <c r="A87" s="82">
        <v>83</v>
      </c>
      <c r="B87" s="83">
        <v>8.1070000000000003E-2</v>
      </c>
      <c r="C87" s="84">
        <v>41233</v>
      </c>
      <c r="D87" s="83">
        <v>6.72</v>
      </c>
      <c r="E87" s="83">
        <v>6.0384E-2</v>
      </c>
      <c r="F87" s="84">
        <v>55016</v>
      </c>
      <c r="G87" s="83">
        <v>7.94</v>
      </c>
      <c r="H87" s="28">
        <f t="shared" si="6"/>
        <v>8.454532927724065E-2</v>
      </c>
      <c r="I87" s="28">
        <f t="shared" si="7"/>
        <v>1.6214159411394582E-3</v>
      </c>
      <c r="J87" s="28">
        <f t="shared" si="8"/>
        <v>3.2375795819468145E-3</v>
      </c>
      <c r="K87" s="28">
        <f t="shared" si="9"/>
        <v>6.2283997819587315E-2</v>
      </c>
      <c r="L87" s="28">
        <f t="shared" si="10"/>
        <v>1.1944866476468958E-3</v>
      </c>
      <c r="M87" s="28">
        <f t="shared" si="11"/>
        <v>2.3861219696231784E-3</v>
      </c>
    </row>
    <row r="88" spans="1:13" ht="20.25" x14ac:dyDescent="0.2">
      <c r="A88" s="82">
        <v>84</v>
      </c>
      <c r="B88" s="83">
        <v>8.9946999999999999E-2</v>
      </c>
      <c r="C88" s="84">
        <v>37890</v>
      </c>
      <c r="D88" s="83">
        <v>6.27</v>
      </c>
      <c r="E88" s="83">
        <v>6.7498000000000002E-2</v>
      </c>
      <c r="F88" s="84">
        <v>51694</v>
      </c>
      <c r="G88" s="83">
        <v>7.42</v>
      </c>
      <c r="H88" s="28">
        <f t="shared" si="6"/>
        <v>9.4252439408984923E-2</v>
      </c>
      <c r="I88" s="28">
        <f t="shared" si="7"/>
        <v>1.8075795440795376E-3</v>
      </c>
      <c r="J88" s="28">
        <f t="shared" si="8"/>
        <v>3.6086322680759508E-3</v>
      </c>
      <c r="K88" s="28">
        <f t="shared" si="9"/>
        <v>6.9883982694348562E-2</v>
      </c>
      <c r="L88" s="28">
        <f t="shared" si="10"/>
        <v>1.3402396624343596E-3</v>
      </c>
      <c r="M88" s="28">
        <f t="shared" si="11"/>
        <v>2.6768900478736368E-3</v>
      </c>
    </row>
    <row r="89" spans="1:13" ht="20.25" x14ac:dyDescent="0.2">
      <c r="A89" s="85">
        <v>85</v>
      </c>
      <c r="B89" s="86">
        <v>9.9842E-2</v>
      </c>
      <c r="C89" s="87">
        <v>34482</v>
      </c>
      <c r="D89" s="86">
        <v>5.84</v>
      </c>
      <c r="E89" s="86">
        <v>7.5516E-2</v>
      </c>
      <c r="F89" s="87">
        <v>48205</v>
      </c>
      <c r="G89" s="86">
        <v>6.92</v>
      </c>
      <c r="H89" s="28">
        <f t="shared" si="6"/>
        <v>0.10518497551034399</v>
      </c>
      <c r="I89" s="28">
        <f t="shared" si="7"/>
        <v>2.0172444476686952E-3</v>
      </c>
      <c r="J89" s="28">
        <f t="shared" si="8"/>
        <v>4.026361278947288E-3</v>
      </c>
      <c r="K89" s="28">
        <f t="shared" si="9"/>
        <v>7.851953495696383E-2</v>
      </c>
      <c r="L89" s="28">
        <f t="shared" si="10"/>
        <v>1.5058528573777797E-3</v>
      </c>
      <c r="M89" s="28">
        <f t="shared" si="11"/>
        <v>3.0071750785549689E-3</v>
      </c>
    </row>
    <row r="90" spans="1:13" ht="20.25" x14ac:dyDescent="0.2">
      <c r="A90" s="85">
        <v>86</v>
      </c>
      <c r="B90" s="86">
        <v>0.110863</v>
      </c>
      <c r="C90" s="87">
        <v>31040</v>
      </c>
      <c r="D90" s="86">
        <v>5.43</v>
      </c>
      <c r="E90" s="86">
        <v>8.4556000000000006E-2</v>
      </c>
      <c r="F90" s="87">
        <v>44565</v>
      </c>
      <c r="G90" s="86">
        <v>6.44</v>
      </c>
      <c r="H90" s="28">
        <f t="shared" si="6"/>
        <v>0.11750394960451889</v>
      </c>
      <c r="I90" s="28">
        <f t="shared" si="7"/>
        <v>2.253498551183745E-3</v>
      </c>
      <c r="J90" s="28">
        <f t="shared" si="8"/>
        <v>4.4968558322060481E-3</v>
      </c>
      <c r="K90" s="28">
        <f t="shared" si="9"/>
        <v>8.8346085498696825E-2</v>
      </c>
      <c r="L90" s="28">
        <f t="shared" si="10"/>
        <v>1.6943070964349283E-3</v>
      </c>
      <c r="M90" s="28">
        <f t="shared" si="11"/>
        <v>3.3828793193825257E-3</v>
      </c>
    </row>
    <row r="91" spans="1:13" ht="20.25" x14ac:dyDescent="0.2">
      <c r="A91" s="85">
        <v>87</v>
      </c>
      <c r="B91" s="86">
        <v>0.123088</v>
      </c>
      <c r="C91" s="87">
        <v>27598</v>
      </c>
      <c r="D91" s="86">
        <v>5.04</v>
      </c>
      <c r="E91" s="86">
        <v>9.4702999999999996E-2</v>
      </c>
      <c r="F91" s="87">
        <v>40796</v>
      </c>
      <c r="G91" s="86">
        <v>5.99</v>
      </c>
      <c r="H91" s="28">
        <f t="shared" si="6"/>
        <v>0.13134863371981337</v>
      </c>
      <c r="I91" s="28">
        <f t="shared" si="7"/>
        <v>2.5190128228351968E-3</v>
      </c>
      <c r="J91" s="28">
        <f t="shared" si="8"/>
        <v>5.0253560799291552E-3</v>
      </c>
      <c r="K91" s="28">
        <f t="shared" si="9"/>
        <v>9.9492212324856735E-2</v>
      </c>
      <c r="L91" s="28">
        <f t="shared" si="10"/>
        <v>1.9080682571329317E-3</v>
      </c>
      <c r="M91" s="28">
        <f t="shared" si="11"/>
        <v>3.8088643188226579E-3</v>
      </c>
    </row>
    <row r="92" spans="1:13" ht="20.25" x14ac:dyDescent="0.2">
      <c r="A92" s="85">
        <v>88</v>
      </c>
      <c r="B92" s="86">
        <v>0.13656299999999999</v>
      </c>
      <c r="C92" s="87">
        <v>24201</v>
      </c>
      <c r="D92" s="86">
        <v>4.68</v>
      </c>
      <c r="E92" s="86">
        <v>0.106014</v>
      </c>
      <c r="F92" s="87">
        <v>36933</v>
      </c>
      <c r="G92" s="86">
        <v>5.57</v>
      </c>
      <c r="H92" s="28">
        <f t="shared" si="6"/>
        <v>0.14683434294527842</v>
      </c>
      <c r="I92" s="28">
        <f t="shared" si="7"/>
        <v>2.8159987830611343E-3</v>
      </c>
      <c r="J92" s="28">
        <f t="shared" si="8"/>
        <v>5.6161675998828153E-3</v>
      </c>
      <c r="K92" s="28">
        <f t="shared" si="9"/>
        <v>0.11206516388649862</v>
      </c>
      <c r="L92" s="28">
        <f t="shared" si="10"/>
        <v>2.1491931573905292E-3</v>
      </c>
      <c r="M92" s="28">
        <f t="shared" si="11"/>
        <v>4.2891614743678641E-3</v>
      </c>
    </row>
    <row r="93" spans="1:13" ht="20.25" x14ac:dyDescent="0.2">
      <c r="A93" s="85">
        <v>89</v>
      </c>
      <c r="B93" s="86">
        <v>0.15129899999999999</v>
      </c>
      <c r="C93" s="87">
        <v>20896</v>
      </c>
      <c r="D93" s="86">
        <v>4.34</v>
      </c>
      <c r="E93" s="86">
        <v>0.11851299999999999</v>
      </c>
      <c r="F93" s="87">
        <v>33017</v>
      </c>
      <c r="G93" s="86">
        <v>5.17</v>
      </c>
      <c r="H93" s="28">
        <f t="shared" si="6"/>
        <v>0.16404833373454769</v>
      </c>
      <c r="I93" s="28">
        <f t="shared" si="7"/>
        <v>3.1461298419257024E-3</v>
      </c>
      <c r="J93" s="28">
        <f t="shared" si="8"/>
        <v>6.2725048737357625E-3</v>
      </c>
      <c r="K93" s="28">
        <f t="shared" si="9"/>
        <v>0.12614502484229523</v>
      </c>
      <c r="L93" s="28">
        <f t="shared" si="10"/>
        <v>2.4192176661116901E-3</v>
      </c>
      <c r="M93" s="28">
        <f t="shared" si="11"/>
        <v>4.8267489595079649E-3</v>
      </c>
    </row>
    <row r="94" spans="1:13" ht="20.25" x14ac:dyDescent="0.2">
      <c r="A94" s="82">
        <v>90</v>
      </c>
      <c r="B94" s="83">
        <v>0.167291</v>
      </c>
      <c r="C94" s="84">
        <v>17735</v>
      </c>
      <c r="D94" s="83">
        <v>4.03</v>
      </c>
      <c r="E94" s="83">
        <v>0.13220599999999999</v>
      </c>
      <c r="F94" s="84">
        <v>29104</v>
      </c>
      <c r="G94" s="83">
        <v>4.8</v>
      </c>
      <c r="H94" s="28">
        <f t="shared" si="6"/>
        <v>0.18307103758452889</v>
      </c>
      <c r="I94" s="28">
        <f t="shared" si="7"/>
        <v>3.5109485200195789E-3</v>
      </c>
      <c r="J94" s="28">
        <f t="shared" si="8"/>
        <v>6.997301124685551E-3</v>
      </c>
      <c r="K94" s="28">
        <f t="shared" si="9"/>
        <v>0.14180091967728087</v>
      </c>
      <c r="L94" s="28">
        <f t="shared" si="10"/>
        <v>2.7194674572622712E-3</v>
      </c>
      <c r="M94" s="28">
        <f t="shared" si="11"/>
        <v>5.4241706873735529E-3</v>
      </c>
    </row>
    <row r="95" spans="1:13" ht="20.25" x14ac:dyDescent="0.2">
      <c r="A95" s="82">
        <v>91</v>
      </c>
      <c r="B95" s="83">
        <v>0.18451999999999999</v>
      </c>
      <c r="C95" s="84">
        <v>14768</v>
      </c>
      <c r="D95" s="83">
        <v>3.74</v>
      </c>
      <c r="E95" s="83">
        <v>0.147092</v>
      </c>
      <c r="F95" s="84">
        <v>25257</v>
      </c>
      <c r="G95" s="83">
        <v>4.45</v>
      </c>
      <c r="H95" s="28">
        <f t="shared" si="6"/>
        <v>0.2039783820531989</v>
      </c>
      <c r="I95" s="28">
        <f t="shared" si="7"/>
        <v>3.911910961093436E-3</v>
      </c>
      <c r="J95" s="28">
        <f t="shared" si="8"/>
        <v>7.7932954904519347E-3</v>
      </c>
      <c r="K95" s="28">
        <f t="shared" si="9"/>
        <v>0.15910359193790199</v>
      </c>
      <c r="L95" s="28">
        <f t="shared" si="10"/>
        <v>3.0512992552754448E-3</v>
      </c>
      <c r="M95" s="28">
        <f t="shared" si="11"/>
        <v>6.0840154770740451E-3</v>
      </c>
    </row>
    <row r="96" spans="1:13" ht="20.25" x14ac:dyDescent="0.2">
      <c r="A96" s="82">
        <v>92</v>
      </c>
      <c r="B96" s="83">
        <v>0.202954</v>
      </c>
      <c r="C96" s="84">
        <v>12043</v>
      </c>
      <c r="D96" s="83">
        <v>3.47</v>
      </c>
      <c r="E96" s="83">
        <v>0.16315399999999999</v>
      </c>
      <c r="F96" s="84">
        <v>21542</v>
      </c>
      <c r="G96" s="83">
        <v>4.13</v>
      </c>
      <c r="H96" s="28">
        <f t="shared" si="6"/>
        <v>0.22684288542081402</v>
      </c>
      <c r="I96" s="28">
        <f t="shared" si="7"/>
        <v>4.3504079255433439E-3</v>
      </c>
      <c r="J96" s="28">
        <f t="shared" si="8"/>
        <v>8.6630732958462575E-3</v>
      </c>
      <c r="K96" s="28">
        <f t="shared" si="9"/>
        <v>0.17811521586303455</v>
      </c>
      <c r="L96" s="28">
        <f t="shared" si="10"/>
        <v>3.4159054418345463E-3</v>
      </c>
      <c r="M96" s="28">
        <f t="shared" si="11"/>
        <v>6.8085271172968476E-3</v>
      </c>
    </row>
    <row r="97" spans="1:13" ht="20.25" x14ac:dyDescent="0.2">
      <c r="A97" s="82">
        <v>93</v>
      </c>
      <c r="B97" s="83">
        <v>0.222555</v>
      </c>
      <c r="C97" s="84">
        <v>9599</v>
      </c>
      <c r="D97" s="83">
        <v>3.23</v>
      </c>
      <c r="E97" s="83">
        <v>0.180371</v>
      </c>
      <c r="F97" s="84">
        <v>18027</v>
      </c>
      <c r="G97" s="83">
        <v>3.84</v>
      </c>
      <c r="H97" s="28">
        <f t="shared" si="6"/>
        <v>0.25174237698074714</v>
      </c>
      <c r="I97" s="28">
        <f t="shared" si="7"/>
        <v>4.8279320287277303E-3</v>
      </c>
      <c r="J97" s="28">
        <f t="shared" si="8"/>
        <v>9.6093958858263218E-3</v>
      </c>
      <c r="K97" s="28">
        <f t="shared" si="9"/>
        <v>0.19890348012964604</v>
      </c>
      <c r="L97" s="28">
        <f t="shared" si="10"/>
        <v>3.8145841548829474E-3</v>
      </c>
      <c r="M97" s="28">
        <f t="shared" si="11"/>
        <v>7.6001400725608237E-3</v>
      </c>
    </row>
    <row r="98" spans="1:13" ht="20.25" x14ac:dyDescent="0.2">
      <c r="A98" s="82">
        <v>94</v>
      </c>
      <c r="B98" s="83">
        <v>0.24327199999999999</v>
      </c>
      <c r="C98" s="84">
        <v>7463</v>
      </c>
      <c r="D98" s="83">
        <v>3.01</v>
      </c>
      <c r="E98" s="83">
        <v>0.198714</v>
      </c>
      <c r="F98" s="84">
        <v>14775</v>
      </c>
      <c r="G98" s="83">
        <v>3.57</v>
      </c>
      <c r="H98" s="28">
        <f t="shared" si="6"/>
        <v>0.27875140319103875</v>
      </c>
      <c r="I98" s="28">
        <f t="shared" si="7"/>
        <v>5.3459129275709397E-3</v>
      </c>
      <c r="J98" s="28">
        <f t="shared" si="8"/>
        <v>1.0634871448009675E-2</v>
      </c>
      <c r="K98" s="28">
        <f t="shared" si="9"/>
        <v>0.22153734195937855</v>
      </c>
      <c r="L98" s="28">
        <f t="shared" si="10"/>
        <v>4.2486578605980593E-3</v>
      </c>
      <c r="M98" s="28">
        <f t="shared" si="11"/>
        <v>8.4613155743316071E-3</v>
      </c>
    </row>
    <row r="99" spans="1:13" ht="20.25" x14ac:dyDescent="0.2">
      <c r="A99" s="85">
        <v>95</v>
      </c>
      <c r="B99" s="86">
        <v>0.26382100000000003</v>
      </c>
      <c r="C99" s="87">
        <v>5647</v>
      </c>
      <c r="D99" s="86">
        <v>2.82</v>
      </c>
      <c r="E99" s="86">
        <v>0.21726400000000001</v>
      </c>
      <c r="F99" s="87">
        <v>11839</v>
      </c>
      <c r="G99" s="86">
        <v>3.34</v>
      </c>
      <c r="H99" s="28">
        <f t="shared" si="6"/>
        <v>0.30628198330143358</v>
      </c>
      <c r="I99" s="28">
        <f t="shared" si="7"/>
        <v>5.8738962217566261E-3</v>
      </c>
      <c r="J99" s="28">
        <f t="shared" si="8"/>
        <v>1.1679056558138168E-2</v>
      </c>
      <c r="K99" s="28">
        <f t="shared" si="9"/>
        <v>0.244959804595106</v>
      </c>
      <c r="L99" s="28">
        <f t="shared" si="10"/>
        <v>4.6978554049564945E-3</v>
      </c>
      <c r="M99" s="28">
        <f t="shared" si="11"/>
        <v>9.35170903624849E-3</v>
      </c>
    </row>
    <row r="100" spans="1:13" ht="20.25" x14ac:dyDescent="0.2">
      <c r="A100" s="85">
        <v>96</v>
      </c>
      <c r="B100" s="86">
        <v>0.283833</v>
      </c>
      <c r="C100" s="87">
        <v>4157</v>
      </c>
      <c r="D100" s="86">
        <v>2.64</v>
      </c>
      <c r="E100" s="86">
        <v>0.235735</v>
      </c>
      <c r="F100" s="87">
        <v>9267</v>
      </c>
      <c r="G100" s="86">
        <v>3.12</v>
      </c>
      <c r="H100" s="28">
        <f t="shared" si="6"/>
        <v>0.33384189899429989</v>
      </c>
      <c r="I100" s="28">
        <f t="shared" si="7"/>
        <v>6.402442115691684E-3</v>
      </c>
      <c r="J100" s="28">
        <f t="shared" si="8"/>
        <v>1.2723250509569572E-2</v>
      </c>
      <c r="K100" s="28">
        <f t="shared" si="9"/>
        <v>0.26884069131842409</v>
      </c>
      <c r="L100" s="28">
        <f t="shared" si="10"/>
        <v>5.1558446369193911E-3</v>
      </c>
      <c r="M100" s="28">
        <f t="shared" si="11"/>
        <v>1.0258706077802215E-2</v>
      </c>
    </row>
    <row r="101" spans="1:13" ht="20.25" x14ac:dyDescent="0.2">
      <c r="A101" s="85">
        <v>97</v>
      </c>
      <c r="B101" s="86">
        <v>0.30291600000000002</v>
      </c>
      <c r="C101" s="87">
        <v>2977</v>
      </c>
      <c r="D101" s="86">
        <v>2.4900000000000002</v>
      </c>
      <c r="E101" s="86">
        <v>0.25380999999999998</v>
      </c>
      <c r="F101" s="87">
        <v>7083</v>
      </c>
      <c r="G101" s="86">
        <v>2.93</v>
      </c>
      <c r="H101" s="28">
        <f t="shared" si="6"/>
        <v>0.36084935898386034</v>
      </c>
      <c r="I101" s="28">
        <f t="shared" si="7"/>
        <v>6.920392977449669E-3</v>
      </c>
      <c r="J101" s="28">
        <f t="shared" si="8"/>
        <v>1.374544265924027E-2</v>
      </c>
      <c r="K101" s="28">
        <f t="shared" si="9"/>
        <v>0.29277501951779028</v>
      </c>
      <c r="L101" s="28">
        <f t="shared" si="10"/>
        <v>5.61485877306E-3</v>
      </c>
      <c r="M101" s="28">
        <f t="shared" si="11"/>
        <v>1.1166899630404403E-2</v>
      </c>
    </row>
    <row r="102" spans="1:13" ht="20.25" x14ac:dyDescent="0.2">
      <c r="A102" s="85">
        <v>98</v>
      </c>
      <c r="B102" s="86">
        <v>0.32067200000000001</v>
      </c>
      <c r="C102" s="87">
        <v>2075</v>
      </c>
      <c r="D102" s="86">
        <v>2.36</v>
      </c>
      <c r="E102" s="86">
        <v>0.27115499999999998</v>
      </c>
      <c r="F102" s="87">
        <v>5285</v>
      </c>
      <c r="G102" s="86">
        <v>2.76</v>
      </c>
      <c r="H102" s="28">
        <f t="shared" si="6"/>
        <v>0.38665120473254583</v>
      </c>
      <c r="I102" s="28">
        <f t="shared" si="7"/>
        <v>7.415222489208422E-3</v>
      </c>
      <c r="J102" s="28">
        <f t="shared" si="8"/>
        <v>1.4721015559510775E-2</v>
      </c>
      <c r="K102" s="28">
        <f t="shared" si="9"/>
        <v>0.31629418960775635</v>
      </c>
      <c r="L102" s="28">
        <f t="shared" si="10"/>
        <v>6.0659109794000019E-3</v>
      </c>
      <c r="M102" s="28">
        <f t="shared" si="11"/>
        <v>1.2058528102195654E-2</v>
      </c>
    </row>
    <row r="103" spans="1:13" ht="20.25" x14ac:dyDescent="0.2">
      <c r="A103" s="85">
        <v>99</v>
      </c>
      <c r="B103" s="86">
        <v>0.33670600000000001</v>
      </c>
      <c r="C103" s="87">
        <v>1410</v>
      </c>
      <c r="D103" s="86">
        <v>2.2400000000000002</v>
      </c>
      <c r="E103" s="86">
        <v>0.28742400000000001</v>
      </c>
      <c r="F103" s="87">
        <v>3852</v>
      </c>
      <c r="G103" s="86">
        <v>2.6</v>
      </c>
      <c r="H103" s="28">
        <f t="shared" si="6"/>
        <v>0.41053694817222658</v>
      </c>
      <c r="I103" s="28">
        <f t="shared" si="7"/>
        <v>7.8733048636003486E-3</v>
      </c>
      <c r="J103" s="28">
        <f t="shared" si="8"/>
        <v>1.5623280058198574E-2</v>
      </c>
      <c r="K103" s="28">
        <f t="shared" si="9"/>
        <v>0.3388687058611492</v>
      </c>
      <c r="L103" s="28">
        <f t="shared" si="10"/>
        <v>6.4988465517098054E-3</v>
      </c>
      <c r="M103" s="28">
        <f t="shared" si="11"/>
        <v>1.2913587876070221E-2</v>
      </c>
    </row>
    <row r="104" spans="1:13" ht="20.25" x14ac:dyDescent="0.2">
      <c r="A104" s="82">
        <v>100</v>
      </c>
      <c r="B104" s="83">
        <v>0.35354099999999999</v>
      </c>
      <c r="C104" s="83">
        <v>935</v>
      </c>
      <c r="D104" s="83">
        <v>2.12</v>
      </c>
      <c r="E104" s="83">
        <v>0.30467</v>
      </c>
      <c r="F104" s="84">
        <v>2745</v>
      </c>
      <c r="G104" s="83">
        <v>2.4500000000000002</v>
      </c>
      <c r="H104" s="28">
        <f t="shared" si="6"/>
        <v>0.43624550118806293</v>
      </c>
      <c r="I104" s="28">
        <f t="shared" si="7"/>
        <v>8.3663452011311784E-3</v>
      </c>
      <c r="J104" s="28">
        <f t="shared" si="8"/>
        <v>1.6593476494120907E-2</v>
      </c>
      <c r="K104" s="28">
        <f t="shared" si="9"/>
        <v>0.36336872596487385</v>
      </c>
      <c r="L104" s="28">
        <f t="shared" si="10"/>
        <v>6.9687095647705411E-3</v>
      </c>
      <c r="M104" s="28">
        <f t="shared" si="11"/>
        <v>1.3840742963461272E-2</v>
      </c>
    </row>
    <row r="105" spans="1:13" ht="20.25" x14ac:dyDescent="0.2">
      <c r="A105" s="82">
        <v>101</v>
      </c>
      <c r="B105" s="83">
        <v>0.37121799999999999</v>
      </c>
      <c r="C105" s="83">
        <v>605</v>
      </c>
      <c r="D105" s="83">
        <v>2.0099999999999998</v>
      </c>
      <c r="E105" s="83">
        <v>0.32295000000000001</v>
      </c>
      <c r="F105" s="84">
        <v>1909</v>
      </c>
      <c r="G105" s="83">
        <v>2.2999999999999998</v>
      </c>
      <c r="H105" s="28">
        <f t="shared" si="6"/>
        <v>0.46397066423106925</v>
      </c>
      <c r="I105" s="28">
        <f t="shared" si="7"/>
        <v>8.8980602197244359E-3</v>
      </c>
      <c r="J105" s="28">
        <f t="shared" si="8"/>
        <v>1.7638704667961802E-2</v>
      </c>
      <c r="K105" s="28">
        <f t="shared" si="9"/>
        <v>0.3900101535533041</v>
      </c>
      <c r="L105" s="28">
        <f t="shared" si="10"/>
        <v>7.4796406328244899E-3</v>
      </c>
      <c r="M105" s="28">
        <f t="shared" si="11"/>
        <v>1.4847947068886147E-2</v>
      </c>
    </row>
    <row r="106" spans="1:13" ht="20.25" x14ac:dyDescent="0.2">
      <c r="A106" s="82">
        <v>102</v>
      </c>
      <c r="B106" s="83">
        <v>0.38977899999999999</v>
      </c>
      <c r="C106" s="83">
        <v>380</v>
      </c>
      <c r="D106" s="83">
        <v>1.9</v>
      </c>
      <c r="E106" s="83">
        <v>0.34232699999999999</v>
      </c>
      <c r="F106" s="84">
        <v>1292</v>
      </c>
      <c r="G106" s="83">
        <v>2.17</v>
      </c>
      <c r="H106" s="28">
        <f t="shared" si="6"/>
        <v>0.49393409234582908</v>
      </c>
      <c r="I106" s="28">
        <f t="shared" si="7"/>
        <v>9.4727008345494614E-3</v>
      </c>
      <c r="J106" s="28">
        <f t="shared" si="8"/>
        <v>1.876706553923746E-2</v>
      </c>
      <c r="K106" s="28">
        <f t="shared" si="9"/>
        <v>0.41904743166893127</v>
      </c>
      <c r="L106" s="28">
        <f t="shared" si="10"/>
        <v>8.0365194814429435E-3</v>
      </c>
      <c r="M106" s="28">
        <f t="shared" si="11"/>
        <v>1.5944556958576217E-2</v>
      </c>
    </row>
    <row r="107" spans="1:13" ht="20.25" x14ac:dyDescent="0.2">
      <c r="A107" s="82">
        <v>103</v>
      </c>
      <c r="B107" s="83">
        <v>0.40926800000000002</v>
      </c>
      <c r="C107" s="83">
        <v>232</v>
      </c>
      <c r="D107" s="83">
        <v>1.8</v>
      </c>
      <c r="E107" s="83">
        <v>0.362867</v>
      </c>
      <c r="F107" s="83">
        <v>850</v>
      </c>
      <c r="G107" s="83">
        <v>2.0299999999999998</v>
      </c>
      <c r="H107" s="28">
        <f t="shared" si="6"/>
        <v>0.52639283312118534</v>
      </c>
      <c r="I107" s="28">
        <f t="shared" si="7"/>
        <v>1.0095196721340497E-2</v>
      </c>
      <c r="J107" s="28">
        <f t="shared" si="8"/>
        <v>1.9987932328358604E-2</v>
      </c>
      <c r="K107" s="28">
        <f t="shared" si="9"/>
        <v>0.45077685399503348</v>
      </c>
      <c r="L107" s="28">
        <f t="shared" si="10"/>
        <v>8.6450284505663003E-3</v>
      </c>
      <c r="M107" s="28">
        <f t="shared" si="11"/>
        <v>1.7141441622205322E-2</v>
      </c>
    </row>
    <row r="108" spans="1:13" ht="20.25" x14ac:dyDescent="0.2">
      <c r="A108" s="82">
        <v>104</v>
      </c>
      <c r="B108" s="83">
        <v>0.429732</v>
      </c>
      <c r="C108" s="83">
        <v>137</v>
      </c>
      <c r="D108" s="83">
        <v>1.7</v>
      </c>
      <c r="E108" s="83">
        <v>0.38463900000000001</v>
      </c>
      <c r="F108" s="83">
        <v>541</v>
      </c>
      <c r="G108" s="83">
        <v>1.91</v>
      </c>
      <c r="H108" s="28">
        <f t="shared" si="6"/>
        <v>0.56164885321278202</v>
      </c>
      <c r="I108" s="28">
        <f t="shared" si="7"/>
        <v>1.0771339016678819E-2</v>
      </c>
      <c r="J108" s="28">
        <f t="shared" si="8"/>
        <v>2.1312291888816559E-2</v>
      </c>
      <c r="K108" s="28">
        <f t="shared" si="9"/>
        <v>0.4855461915180399</v>
      </c>
      <c r="L108" s="28">
        <f t="shared" si="10"/>
        <v>9.3118371152743698E-3</v>
      </c>
      <c r="M108" s="28">
        <f t="shared" si="11"/>
        <v>1.8451325192169188E-2</v>
      </c>
    </row>
    <row r="109" spans="1:13" ht="20.25" x14ac:dyDescent="0.2">
      <c r="A109" s="85">
        <v>105</v>
      </c>
      <c r="B109" s="86">
        <v>0.45121800000000001</v>
      </c>
      <c r="C109" s="86">
        <v>78</v>
      </c>
      <c r="D109" s="86">
        <v>1.6</v>
      </c>
      <c r="E109" s="86">
        <v>0.407717</v>
      </c>
      <c r="F109" s="86">
        <v>333</v>
      </c>
      <c r="G109" s="86">
        <v>1.78</v>
      </c>
      <c r="H109" s="28">
        <f t="shared" si="6"/>
        <v>0.6000540019421744</v>
      </c>
      <c r="I109" s="28">
        <f t="shared" si="7"/>
        <v>1.1507875510226213E-2</v>
      </c>
      <c r="J109" s="28">
        <f t="shared" si="8"/>
        <v>2.2752908986866105E-2</v>
      </c>
      <c r="K109" s="28">
        <f t="shared" si="9"/>
        <v>0.52377071778256867</v>
      </c>
      <c r="L109" s="28">
        <f t="shared" si="10"/>
        <v>1.0044909619192041E-2</v>
      </c>
      <c r="M109" s="28">
        <f t="shared" si="11"/>
        <v>1.9889363437790353E-2</v>
      </c>
    </row>
    <row r="110" spans="1:13" ht="20.25" x14ac:dyDescent="0.2">
      <c r="A110" s="85">
        <v>106</v>
      </c>
      <c r="B110" s="86">
        <v>0.47377900000000001</v>
      </c>
      <c r="C110" s="86">
        <v>43</v>
      </c>
      <c r="D110" s="86">
        <v>1.51</v>
      </c>
      <c r="E110" s="86">
        <v>0.43218000000000001</v>
      </c>
      <c r="F110" s="86">
        <v>197</v>
      </c>
      <c r="G110" s="86">
        <v>1.67</v>
      </c>
      <c r="H110" s="28">
        <f t="shared" si="6"/>
        <v>0.6420340023923472</v>
      </c>
      <c r="I110" s="28">
        <f t="shared" si="7"/>
        <v>1.231297074754851E-2</v>
      </c>
      <c r="J110" s="28">
        <f t="shared" si="8"/>
        <v>2.4325196763081647E-2</v>
      </c>
      <c r="K110" s="28">
        <f t="shared" si="9"/>
        <v>0.56595081189329877</v>
      </c>
      <c r="L110" s="28">
        <f t="shared" si="10"/>
        <v>1.0853842266028525E-2</v>
      </c>
      <c r="M110" s="28">
        <f t="shared" si="11"/>
        <v>2.1473768398149073E-2</v>
      </c>
    </row>
    <row r="111" spans="1:13" ht="20.25" x14ac:dyDescent="0.2">
      <c r="A111" s="85">
        <v>107</v>
      </c>
      <c r="B111" s="86">
        <v>0.49746800000000002</v>
      </c>
      <c r="C111" s="86">
        <v>23</v>
      </c>
      <c r="D111" s="86">
        <v>1.42</v>
      </c>
      <c r="E111" s="86">
        <v>0.45811099999999999</v>
      </c>
      <c r="F111" s="86">
        <v>112</v>
      </c>
      <c r="G111" s="86">
        <v>1.56</v>
      </c>
      <c r="H111" s="28">
        <f t="shared" si="6"/>
        <v>0.68809595948445301</v>
      </c>
      <c r="I111" s="28">
        <f t="shared" si="7"/>
        <v>1.3196350020510042E-2</v>
      </c>
      <c r="J111" s="28">
        <f t="shared" si="8"/>
        <v>2.6047456703015004E-2</v>
      </c>
      <c r="K111" s="28">
        <f t="shared" si="9"/>
        <v>0.61269409556424026</v>
      </c>
      <c r="L111" s="28">
        <f t="shared" si="10"/>
        <v>1.1750288065378801E-2</v>
      </c>
      <c r="M111" s="28">
        <f t="shared" si="11"/>
        <v>2.3226588080524135E-2</v>
      </c>
    </row>
    <row r="112" spans="1:13" ht="20.25" x14ac:dyDescent="0.2">
      <c r="A112" s="85">
        <v>108</v>
      </c>
      <c r="B112" s="86">
        <v>0.52234100000000006</v>
      </c>
      <c r="C112" s="86">
        <v>11</v>
      </c>
      <c r="D112" s="86">
        <v>1.34</v>
      </c>
      <c r="E112" s="86">
        <v>0.485597</v>
      </c>
      <c r="F112" s="86">
        <v>61</v>
      </c>
      <c r="G112" s="86">
        <v>1.45</v>
      </c>
      <c r="H112" s="28">
        <f t="shared" si="6"/>
        <v>0.73885819019512444</v>
      </c>
      <c r="I112" s="28">
        <f t="shared" si="7"/>
        <v>1.4169871453162836E-2</v>
      </c>
      <c r="J112" s="28">
        <f t="shared" si="8"/>
        <v>2.7941939135840754E-2</v>
      </c>
      <c r="K112" s="28">
        <f t="shared" si="9"/>
        <v>0.66474827403840875</v>
      </c>
      <c r="L112" s="28">
        <f t="shared" si="10"/>
        <v>1.2748586558062724E-2</v>
      </c>
      <c r="M112" s="28">
        <f t="shared" si="11"/>
        <v>2.5174865320700235E-2</v>
      </c>
    </row>
    <row r="113" spans="1:13" ht="20.25" x14ac:dyDescent="0.2">
      <c r="A113" s="85">
        <v>109</v>
      </c>
      <c r="B113" s="86">
        <v>0.548458</v>
      </c>
      <c r="C113" s="86">
        <v>5</v>
      </c>
      <c r="D113" s="86">
        <v>1.26</v>
      </c>
      <c r="E113" s="86">
        <v>0.514733</v>
      </c>
      <c r="F113" s="86">
        <v>31</v>
      </c>
      <c r="G113" s="86">
        <v>1.35</v>
      </c>
      <c r="H113" s="28">
        <f t="shared" si="6"/>
        <v>0.79508688719567777</v>
      </c>
      <c r="I113" s="28">
        <f t="shared" si="7"/>
        <v>1.5248229139454802E-2</v>
      </c>
      <c r="J113" s="28">
        <f t="shared" si="8"/>
        <v>3.0036132597386911E-2</v>
      </c>
      <c r="K113" s="28">
        <f t="shared" si="9"/>
        <v>0.72305602405878289</v>
      </c>
      <c r="L113" s="28">
        <f t="shared" si="10"/>
        <v>1.3866816461278197E-2</v>
      </c>
      <c r="M113" s="28">
        <f t="shared" si="11"/>
        <v>2.7352586452117356E-2</v>
      </c>
    </row>
    <row r="114" spans="1:13" ht="20.25" x14ac:dyDescent="0.2">
      <c r="A114" s="82">
        <v>110</v>
      </c>
      <c r="B114" s="83">
        <v>0.57588099999999998</v>
      </c>
      <c r="C114" s="83">
        <v>2</v>
      </c>
      <c r="D114" s="83">
        <v>1.18</v>
      </c>
      <c r="E114" s="83">
        <v>0.54561700000000002</v>
      </c>
      <c r="F114" s="83">
        <v>15</v>
      </c>
      <c r="G114" s="83">
        <v>1.26</v>
      </c>
      <c r="H114" s="28">
        <f t="shared" si="6"/>
        <v>0.85774120275057675</v>
      </c>
      <c r="I114" s="28">
        <f t="shared" si="7"/>
        <v>1.6449817765229337E-2</v>
      </c>
      <c r="J114" s="28">
        <f t="shared" si="8"/>
        <v>3.2364329043490181E-2</v>
      </c>
      <c r="K114" s="28">
        <f t="shared" si="9"/>
        <v>0.78881482424687177</v>
      </c>
      <c r="L114" s="28">
        <f t="shared" si="10"/>
        <v>1.5127943099575816E-2</v>
      </c>
      <c r="M114" s="28">
        <f t="shared" si="11"/>
        <v>2.9802758301971433E-2</v>
      </c>
    </row>
    <row r="115" spans="1:13" ht="20.25" x14ac:dyDescent="0.2">
      <c r="A115" s="82">
        <v>111</v>
      </c>
      <c r="B115" s="83">
        <v>0.60467499999999996</v>
      </c>
      <c r="C115" s="83">
        <v>1</v>
      </c>
      <c r="D115" s="83">
        <v>1.1100000000000001</v>
      </c>
      <c r="E115" s="83">
        <v>0.57835400000000003</v>
      </c>
      <c r="F115" s="83">
        <v>7</v>
      </c>
      <c r="G115" s="83">
        <v>1.17</v>
      </c>
      <c r="H115" s="28">
        <f t="shared" si="6"/>
        <v>0.92804706757275668</v>
      </c>
      <c r="I115" s="28">
        <f t="shared" si="7"/>
        <v>1.779814831113645E-2</v>
      </c>
      <c r="J115" s="28">
        <f t="shared" si="8"/>
        <v>3.4970199354717679E-2</v>
      </c>
      <c r="K115" s="28">
        <f t="shared" si="9"/>
        <v>0.86358917954745407</v>
      </c>
      <c r="L115" s="28">
        <f t="shared" si="10"/>
        <v>1.6561970652715023E-2</v>
      </c>
      <c r="M115" s="28">
        <f t="shared" si="11"/>
        <v>3.2581350972008094E-2</v>
      </c>
    </row>
    <row r="116" spans="1:13" ht="20.25" x14ac:dyDescent="0.2">
      <c r="A116" s="82">
        <v>112</v>
      </c>
      <c r="B116" s="83">
        <v>0.63490899999999995</v>
      </c>
      <c r="C116" s="83">
        <v>0</v>
      </c>
      <c r="D116" s="83">
        <v>1.04</v>
      </c>
      <c r="E116" s="83">
        <v>0.61305500000000002</v>
      </c>
      <c r="F116" s="83">
        <v>3</v>
      </c>
      <c r="G116" s="83">
        <v>1.08</v>
      </c>
      <c r="H116" s="28">
        <f t="shared" si="6"/>
        <v>1.0076086414049892</v>
      </c>
      <c r="I116" s="28">
        <f t="shared" si="7"/>
        <v>1.9323985459285719E-2</v>
      </c>
      <c r="J116" s="28">
        <f t="shared" si="8"/>
        <v>3.7910667035710444E-2</v>
      </c>
      <c r="K116" s="28">
        <f t="shared" si="9"/>
        <v>0.94947271491524698</v>
      </c>
      <c r="L116" s="28">
        <f t="shared" si="10"/>
        <v>1.8209050799154764E-2</v>
      </c>
      <c r="M116" s="28">
        <f t="shared" si="11"/>
        <v>3.5762939863248633E-2</v>
      </c>
    </row>
    <row r="117" spans="1:13" ht="20.25" x14ac:dyDescent="0.2">
      <c r="A117" s="82">
        <v>113</v>
      </c>
      <c r="B117" s="83">
        <v>0.666655</v>
      </c>
      <c r="C117" s="83">
        <v>0</v>
      </c>
      <c r="D117" s="83">
        <v>0.97</v>
      </c>
      <c r="E117" s="83">
        <v>0.64983900000000006</v>
      </c>
      <c r="F117" s="83">
        <v>1</v>
      </c>
      <c r="G117" s="83">
        <v>1</v>
      </c>
      <c r="H117" s="28">
        <f t="shared" si="6"/>
        <v>1.0985772892805954</v>
      </c>
      <c r="I117" s="28">
        <f t="shared" si="7"/>
        <v>2.1068588231199174E-2</v>
      </c>
      <c r="J117" s="28">
        <f t="shared" si="8"/>
        <v>4.1261744770618169E-2</v>
      </c>
      <c r="K117" s="28">
        <f t="shared" si="9"/>
        <v>1.0493622302662438</v>
      </c>
      <c r="L117" s="28">
        <f t="shared" si="10"/>
        <v>2.0124738560115447E-2</v>
      </c>
      <c r="M117" s="28">
        <f t="shared" si="11"/>
        <v>3.9450225933383987E-2</v>
      </c>
    </row>
    <row r="118" spans="1:13" ht="20.25" x14ac:dyDescent="0.2">
      <c r="A118" s="82">
        <v>114</v>
      </c>
      <c r="B118" s="83">
        <v>0.69998700000000003</v>
      </c>
      <c r="C118" s="83">
        <v>0</v>
      </c>
      <c r="D118" s="83">
        <v>0.9</v>
      </c>
      <c r="E118" s="83">
        <v>0.68882900000000002</v>
      </c>
      <c r="F118" s="83">
        <v>0</v>
      </c>
      <c r="G118" s="83">
        <v>0.92</v>
      </c>
      <c r="H118" s="28">
        <f t="shared" si="6"/>
        <v>1.2039294719314646</v>
      </c>
      <c r="I118" s="28">
        <f t="shared" si="7"/>
        <v>2.3089039388516263E-2</v>
      </c>
      <c r="J118" s="28">
        <f t="shared" si="8"/>
        <v>4.5128095371656296E-2</v>
      </c>
      <c r="K118" s="28">
        <f t="shared" si="9"/>
        <v>1.1674126786808088</v>
      </c>
      <c r="L118" s="28">
        <f t="shared" si="10"/>
        <v>2.2388717901781621E-2</v>
      </c>
      <c r="M118" s="28">
        <f t="shared" si="11"/>
        <v>4.3789723676221359E-2</v>
      </c>
    </row>
    <row r="119" spans="1:13" ht="20.25" x14ac:dyDescent="0.2">
      <c r="A119" s="85">
        <v>115</v>
      </c>
      <c r="B119" s="86">
        <v>0.73498699999999995</v>
      </c>
      <c r="C119" s="86">
        <v>0</v>
      </c>
      <c r="D119" s="86">
        <v>0.84</v>
      </c>
      <c r="E119" s="86">
        <v>0.730159</v>
      </c>
      <c r="F119" s="86">
        <v>0</v>
      </c>
      <c r="G119" s="86">
        <v>0.85</v>
      </c>
      <c r="H119" s="28">
        <f t="shared" si="6"/>
        <v>1.3279763975953769</v>
      </c>
      <c r="I119" s="28">
        <f t="shared" si="7"/>
        <v>2.5468019569210323E-2</v>
      </c>
      <c r="J119" s="28">
        <f t="shared" si="8"/>
        <v>4.9660546881232781E-2</v>
      </c>
      <c r="K119" s="28">
        <f t="shared" si="9"/>
        <v>1.3099223823358166</v>
      </c>
      <c r="L119" s="28">
        <f t="shared" si="10"/>
        <v>2.5121778465252539E-2</v>
      </c>
      <c r="M119" s="28">
        <f t="shared" si="11"/>
        <v>4.9002225806959454E-2</v>
      </c>
    </row>
    <row r="120" spans="1:13" ht="20.25" x14ac:dyDescent="0.2">
      <c r="A120" s="85">
        <v>116</v>
      </c>
      <c r="B120" s="86">
        <v>0.77173599999999998</v>
      </c>
      <c r="C120" s="86">
        <v>0</v>
      </c>
      <c r="D120" s="86">
        <v>0.78</v>
      </c>
      <c r="E120" s="86">
        <v>0.77173599999999998</v>
      </c>
      <c r="F120" s="86">
        <v>0</v>
      </c>
      <c r="G120" s="86">
        <v>0.78</v>
      </c>
      <c r="H120" s="28">
        <f t="shared" si="6"/>
        <v>1.4772524251339429</v>
      </c>
      <c r="I120" s="28">
        <f t="shared" si="7"/>
        <v>2.8330845141600162E-2</v>
      </c>
      <c r="J120" s="28">
        <f t="shared" si="8"/>
        <v>5.5086311219250339E-2</v>
      </c>
      <c r="K120" s="28">
        <f t="shared" si="9"/>
        <v>1.4772524251339429</v>
      </c>
      <c r="L120" s="28">
        <f t="shared" si="10"/>
        <v>2.8330845141600162E-2</v>
      </c>
      <c r="M120" s="28">
        <f t="shared" si="11"/>
        <v>5.5086311219250339E-2</v>
      </c>
    </row>
    <row r="121" spans="1:13" ht="20.25" x14ac:dyDescent="0.2">
      <c r="A121" s="85">
        <v>117</v>
      </c>
      <c r="B121" s="86">
        <v>0.81032300000000002</v>
      </c>
      <c r="C121" s="86">
        <v>0</v>
      </c>
      <c r="D121" s="86">
        <v>0.72</v>
      </c>
      <c r="E121" s="86">
        <v>0.81032300000000002</v>
      </c>
      <c r="F121" s="86">
        <v>0</v>
      </c>
      <c r="G121" s="86">
        <v>0.72</v>
      </c>
      <c r="H121" s="28">
        <f t="shared" si="6"/>
        <v>1.6624326534614084</v>
      </c>
      <c r="I121" s="28">
        <f t="shared" si="7"/>
        <v>3.1882243861799178E-2</v>
      </c>
      <c r="J121" s="28">
        <f t="shared" si="8"/>
        <v>6.1774062760804771E-2</v>
      </c>
      <c r="K121" s="28">
        <f t="shared" si="9"/>
        <v>1.6624326534614084</v>
      </c>
      <c r="L121" s="28">
        <f t="shared" si="10"/>
        <v>3.1882243861799178E-2</v>
      </c>
      <c r="M121" s="28">
        <f t="shared" si="11"/>
        <v>6.1774062760804771E-2</v>
      </c>
    </row>
    <row r="122" spans="1:13" ht="20.25" x14ac:dyDescent="0.2">
      <c r="A122" s="85">
        <v>118</v>
      </c>
      <c r="B122" s="86">
        <v>0.85083900000000001</v>
      </c>
      <c r="C122" s="86">
        <v>0</v>
      </c>
      <c r="D122" s="86">
        <v>0.67</v>
      </c>
      <c r="E122" s="86">
        <v>0.85083900000000001</v>
      </c>
      <c r="F122" s="86">
        <v>0</v>
      </c>
      <c r="G122" s="86">
        <v>0.67</v>
      </c>
      <c r="H122" s="28">
        <f t="shared" si="6"/>
        <v>1.9027290194837461</v>
      </c>
      <c r="I122" s="28">
        <f t="shared" si="7"/>
        <v>3.6490663532019629E-2</v>
      </c>
      <c r="J122" s="28">
        <f t="shared" si="8"/>
        <v>7.0381811435372255E-2</v>
      </c>
      <c r="K122" s="28">
        <f t="shared" si="9"/>
        <v>1.9027290194837461</v>
      </c>
      <c r="L122" s="28">
        <f t="shared" si="10"/>
        <v>3.6490663532019629E-2</v>
      </c>
      <c r="M122" s="28">
        <f t="shared" si="11"/>
        <v>7.0381811435372255E-2</v>
      </c>
    </row>
    <row r="123" spans="1:13" ht="20.25" x14ac:dyDescent="0.2">
      <c r="A123" s="85">
        <v>119</v>
      </c>
      <c r="B123" s="86">
        <v>0.89338099999999998</v>
      </c>
      <c r="C123" s="86">
        <v>0</v>
      </c>
      <c r="D123" s="86">
        <v>0.61</v>
      </c>
      <c r="E123" s="86">
        <v>0.89338099999999998</v>
      </c>
      <c r="F123" s="86">
        <v>0</v>
      </c>
      <c r="G123" s="86">
        <v>0.61</v>
      </c>
      <c r="H123" s="28">
        <f t="shared" si="6"/>
        <v>2.2384935467348637</v>
      </c>
      <c r="I123" s="28">
        <f t="shared" si="7"/>
        <v>4.2929977940138808E-2</v>
      </c>
      <c r="J123" s="28">
        <f t="shared" si="8"/>
        <v>8.2277256104963281E-2</v>
      </c>
      <c r="K123" s="28">
        <f t="shared" si="9"/>
        <v>2.2384935467348637</v>
      </c>
      <c r="L123" s="28">
        <f t="shared" si="10"/>
        <v>4.2929977940138808E-2</v>
      </c>
      <c r="M123" s="28">
        <f t="shared" si="11"/>
        <v>8.2277256104963281E-2</v>
      </c>
    </row>
  </sheetData>
  <pageMargins left="0.75" right="0.75" top="1" bottom="1" header="0.5" footer="0.5"/>
  <pageSetup scale="65"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38"/>
  <sheetViews>
    <sheetView workbookViewId="0">
      <selection activeCell="B44" sqref="B44"/>
    </sheetView>
  </sheetViews>
  <sheetFormatPr defaultRowHeight="12.75" x14ac:dyDescent="0.2"/>
  <cols>
    <col min="1" max="1" width="11" style="47" customWidth="1"/>
    <col min="2" max="2" width="27.85546875" style="47" bestFit="1" customWidth="1"/>
    <col min="3" max="3" width="10.5703125" style="48" customWidth="1"/>
    <col min="4" max="7" width="10.5703125" style="47" customWidth="1"/>
    <col min="8" max="8" width="10.28515625" style="47" customWidth="1"/>
    <col min="9" max="9" width="9.5703125" style="47" bestFit="1" customWidth="1"/>
    <col min="10" max="10" width="9.140625" style="47"/>
    <col min="11" max="11" width="10.85546875" style="47" customWidth="1"/>
    <col min="12" max="257" width="9.140625" style="47"/>
    <col min="258" max="258" width="20.42578125" style="47" customWidth="1"/>
    <col min="259" max="263" width="10.5703125" style="47" customWidth="1"/>
    <col min="264" max="264" width="10.28515625" style="47" customWidth="1"/>
    <col min="265" max="265" width="9.5703125" style="47" bestFit="1" customWidth="1"/>
    <col min="266" max="266" width="9.140625" style="47"/>
    <col min="267" max="267" width="10.85546875" style="47" customWidth="1"/>
    <col min="268" max="513" width="9.140625" style="47"/>
    <col min="514" max="514" width="20.42578125" style="47" customWidth="1"/>
    <col min="515" max="519" width="10.5703125" style="47" customWidth="1"/>
    <col min="520" max="520" width="10.28515625" style="47" customWidth="1"/>
    <col min="521" max="521" width="9.5703125" style="47" bestFit="1" customWidth="1"/>
    <col min="522" max="522" width="9.140625" style="47"/>
    <col min="523" max="523" width="10.85546875" style="47" customWidth="1"/>
    <col min="524" max="769" width="9.140625" style="47"/>
    <col min="770" max="770" width="20.42578125" style="47" customWidth="1"/>
    <col min="771" max="775" width="10.5703125" style="47" customWidth="1"/>
    <col min="776" max="776" width="10.28515625" style="47" customWidth="1"/>
    <col min="777" max="777" width="9.5703125" style="47" bestFit="1" customWidth="1"/>
    <col min="778" max="778" width="9.140625" style="47"/>
    <col min="779" max="779" width="10.85546875" style="47" customWidth="1"/>
    <col min="780" max="1025" width="9.140625" style="47"/>
    <col min="1026" max="1026" width="20.42578125" style="47" customWidth="1"/>
    <col min="1027" max="1031" width="10.5703125" style="47" customWidth="1"/>
    <col min="1032" max="1032" width="10.28515625" style="47" customWidth="1"/>
    <col min="1033" max="1033" width="9.5703125" style="47" bestFit="1" customWidth="1"/>
    <col min="1034" max="1034" width="9.140625" style="47"/>
    <col min="1035" max="1035" width="10.85546875" style="47" customWidth="1"/>
    <col min="1036" max="1281" width="9.140625" style="47"/>
    <col min="1282" max="1282" width="20.42578125" style="47" customWidth="1"/>
    <col min="1283" max="1287" width="10.5703125" style="47" customWidth="1"/>
    <col min="1288" max="1288" width="10.28515625" style="47" customWidth="1"/>
    <col min="1289" max="1289" width="9.5703125" style="47" bestFit="1" customWidth="1"/>
    <col min="1290" max="1290" width="9.140625" style="47"/>
    <col min="1291" max="1291" width="10.85546875" style="47" customWidth="1"/>
    <col min="1292" max="1537" width="9.140625" style="47"/>
    <col min="1538" max="1538" width="20.42578125" style="47" customWidth="1"/>
    <col min="1539" max="1543" width="10.5703125" style="47" customWidth="1"/>
    <col min="1544" max="1544" width="10.28515625" style="47" customWidth="1"/>
    <col min="1545" max="1545" width="9.5703125" style="47" bestFit="1" customWidth="1"/>
    <col min="1546" max="1546" width="9.140625" style="47"/>
    <col min="1547" max="1547" width="10.85546875" style="47" customWidth="1"/>
    <col min="1548" max="1793" width="9.140625" style="47"/>
    <col min="1794" max="1794" width="20.42578125" style="47" customWidth="1"/>
    <col min="1795" max="1799" width="10.5703125" style="47" customWidth="1"/>
    <col min="1800" max="1800" width="10.28515625" style="47" customWidth="1"/>
    <col min="1801" max="1801" width="9.5703125" style="47" bestFit="1" customWidth="1"/>
    <col min="1802" max="1802" width="9.140625" style="47"/>
    <col min="1803" max="1803" width="10.85546875" style="47" customWidth="1"/>
    <col min="1804" max="2049" width="9.140625" style="47"/>
    <col min="2050" max="2050" width="20.42578125" style="47" customWidth="1"/>
    <col min="2051" max="2055" width="10.5703125" style="47" customWidth="1"/>
    <col min="2056" max="2056" width="10.28515625" style="47" customWidth="1"/>
    <col min="2057" max="2057" width="9.5703125" style="47" bestFit="1" customWidth="1"/>
    <col min="2058" max="2058" width="9.140625" style="47"/>
    <col min="2059" max="2059" width="10.85546875" style="47" customWidth="1"/>
    <col min="2060" max="2305" width="9.140625" style="47"/>
    <col min="2306" max="2306" width="20.42578125" style="47" customWidth="1"/>
    <col min="2307" max="2311" width="10.5703125" style="47" customWidth="1"/>
    <col min="2312" max="2312" width="10.28515625" style="47" customWidth="1"/>
    <col min="2313" max="2313" width="9.5703125" style="47" bestFit="1" customWidth="1"/>
    <col min="2314" max="2314" width="9.140625" style="47"/>
    <col min="2315" max="2315" width="10.85546875" style="47" customWidth="1"/>
    <col min="2316" max="2561" width="9.140625" style="47"/>
    <col min="2562" max="2562" width="20.42578125" style="47" customWidth="1"/>
    <col min="2563" max="2567" width="10.5703125" style="47" customWidth="1"/>
    <col min="2568" max="2568" width="10.28515625" style="47" customWidth="1"/>
    <col min="2569" max="2569" width="9.5703125" style="47" bestFit="1" customWidth="1"/>
    <col min="2570" max="2570" width="9.140625" style="47"/>
    <col min="2571" max="2571" width="10.85546875" style="47" customWidth="1"/>
    <col min="2572" max="2817" width="9.140625" style="47"/>
    <col min="2818" max="2818" width="20.42578125" style="47" customWidth="1"/>
    <col min="2819" max="2823" width="10.5703125" style="47" customWidth="1"/>
    <col min="2824" max="2824" width="10.28515625" style="47" customWidth="1"/>
    <col min="2825" max="2825" width="9.5703125" style="47" bestFit="1" customWidth="1"/>
    <col min="2826" max="2826" width="9.140625" style="47"/>
    <col min="2827" max="2827" width="10.85546875" style="47" customWidth="1"/>
    <col min="2828" max="3073" width="9.140625" style="47"/>
    <col min="3074" max="3074" width="20.42578125" style="47" customWidth="1"/>
    <col min="3075" max="3079" width="10.5703125" style="47" customWidth="1"/>
    <col min="3080" max="3080" width="10.28515625" style="47" customWidth="1"/>
    <col min="3081" max="3081" width="9.5703125" style="47" bestFit="1" customWidth="1"/>
    <col min="3082" max="3082" width="9.140625" style="47"/>
    <col min="3083" max="3083" width="10.85546875" style="47" customWidth="1"/>
    <col min="3084" max="3329" width="9.140625" style="47"/>
    <col min="3330" max="3330" width="20.42578125" style="47" customWidth="1"/>
    <col min="3331" max="3335" width="10.5703125" style="47" customWidth="1"/>
    <col min="3336" max="3336" width="10.28515625" style="47" customWidth="1"/>
    <col min="3337" max="3337" width="9.5703125" style="47" bestFit="1" customWidth="1"/>
    <col min="3338" max="3338" width="9.140625" style="47"/>
    <col min="3339" max="3339" width="10.85546875" style="47" customWidth="1"/>
    <col min="3340" max="3585" width="9.140625" style="47"/>
    <col min="3586" max="3586" width="20.42578125" style="47" customWidth="1"/>
    <col min="3587" max="3591" width="10.5703125" style="47" customWidth="1"/>
    <col min="3592" max="3592" width="10.28515625" style="47" customWidth="1"/>
    <col min="3593" max="3593" width="9.5703125" style="47" bestFit="1" customWidth="1"/>
    <col min="3594" max="3594" width="9.140625" style="47"/>
    <col min="3595" max="3595" width="10.85546875" style="47" customWidth="1"/>
    <col min="3596" max="3841" width="9.140625" style="47"/>
    <col min="3842" max="3842" width="20.42578125" style="47" customWidth="1"/>
    <col min="3843" max="3847" width="10.5703125" style="47" customWidth="1"/>
    <col min="3848" max="3848" width="10.28515625" style="47" customWidth="1"/>
    <col min="3849" max="3849" width="9.5703125" style="47" bestFit="1" customWidth="1"/>
    <col min="3850" max="3850" width="9.140625" style="47"/>
    <col min="3851" max="3851" width="10.85546875" style="47" customWidth="1"/>
    <col min="3852" max="4097" width="9.140625" style="47"/>
    <col min="4098" max="4098" width="20.42578125" style="47" customWidth="1"/>
    <col min="4099" max="4103" width="10.5703125" style="47" customWidth="1"/>
    <col min="4104" max="4104" width="10.28515625" style="47" customWidth="1"/>
    <col min="4105" max="4105" width="9.5703125" style="47" bestFit="1" customWidth="1"/>
    <col min="4106" max="4106" width="9.140625" style="47"/>
    <col min="4107" max="4107" width="10.85546875" style="47" customWidth="1"/>
    <col min="4108" max="4353" width="9.140625" style="47"/>
    <col min="4354" max="4354" width="20.42578125" style="47" customWidth="1"/>
    <col min="4355" max="4359" width="10.5703125" style="47" customWidth="1"/>
    <col min="4360" max="4360" width="10.28515625" style="47" customWidth="1"/>
    <col min="4361" max="4361" width="9.5703125" style="47" bestFit="1" customWidth="1"/>
    <col min="4362" max="4362" width="9.140625" style="47"/>
    <col min="4363" max="4363" width="10.85546875" style="47" customWidth="1"/>
    <col min="4364" max="4609" width="9.140625" style="47"/>
    <col min="4610" max="4610" width="20.42578125" style="47" customWidth="1"/>
    <col min="4611" max="4615" width="10.5703125" style="47" customWidth="1"/>
    <col min="4616" max="4616" width="10.28515625" style="47" customWidth="1"/>
    <col min="4617" max="4617" width="9.5703125" style="47" bestFit="1" customWidth="1"/>
    <col min="4618" max="4618" width="9.140625" style="47"/>
    <col min="4619" max="4619" width="10.85546875" style="47" customWidth="1"/>
    <col min="4620" max="4865" width="9.140625" style="47"/>
    <col min="4866" max="4866" width="20.42578125" style="47" customWidth="1"/>
    <col min="4867" max="4871" width="10.5703125" style="47" customWidth="1"/>
    <col min="4872" max="4872" width="10.28515625" style="47" customWidth="1"/>
    <col min="4873" max="4873" width="9.5703125" style="47" bestFit="1" customWidth="1"/>
    <col min="4874" max="4874" width="9.140625" style="47"/>
    <col min="4875" max="4875" width="10.85546875" style="47" customWidth="1"/>
    <col min="4876" max="5121" width="9.140625" style="47"/>
    <col min="5122" max="5122" width="20.42578125" style="47" customWidth="1"/>
    <col min="5123" max="5127" width="10.5703125" style="47" customWidth="1"/>
    <col min="5128" max="5128" width="10.28515625" style="47" customWidth="1"/>
    <col min="5129" max="5129" width="9.5703125" style="47" bestFit="1" customWidth="1"/>
    <col min="5130" max="5130" width="9.140625" style="47"/>
    <col min="5131" max="5131" width="10.85546875" style="47" customWidth="1"/>
    <col min="5132" max="5377" width="9.140625" style="47"/>
    <col min="5378" max="5378" width="20.42578125" style="47" customWidth="1"/>
    <col min="5379" max="5383" width="10.5703125" style="47" customWidth="1"/>
    <col min="5384" max="5384" width="10.28515625" style="47" customWidth="1"/>
    <col min="5385" max="5385" width="9.5703125" style="47" bestFit="1" customWidth="1"/>
    <col min="5386" max="5386" width="9.140625" style="47"/>
    <col min="5387" max="5387" width="10.85546875" style="47" customWidth="1"/>
    <col min="5388" max="5633" width="9.140625" style="47"/>
    <col min="5634" max="5634" width="20.42578125" style="47" customWidth="1"/>
    <col min="5635" max="5639" width="10.5703125" style="47" customWidth="1"/>
    <col min="5640" max="5640" width="10.28515625" style="47" customWidth="1"/>
    <col min="5641" max="5641" width="9.5703125" style="47" bestFit="1" customWidth="1"/>
    <col min="5642" max="5642" width="9.140625" style="47"/>
    <col min="5643" max="5643" width="10.85546875" style="47" customWidth="1"/>
    <col min="5644" max="5889" width="9.140625" style="47"/>
    <col min="5890" max="5890" width="20.42578125" style="47" customWidth="1"/>
    <col min="5891" max="5895" width="10.5703125" style="47" customWidth="1"/>
    <col min="5896" max="5896" width="10.28515625" style="47" customWidth="1"/>
    <col min="5897" max="5897" width="9.5703125" style="47" bestFit="1" customWidth="1"/>
    <col min="5898" max="5898" width="9.140625" style="47"/>
    <col min="5899" max="5899" width="10.85546875" style="47" customWidth="1"/>
    <col min="5900" max="6145" width="9.140625" style="47"/>
    <col min="6146" max="6146" width="20.42578125" style="47" customWidth="1"/>
    <col min="6147" max="6151" width="10.5703125" style="47" customWidth="1"/>
    <col min="6152" max="6152" width="10.28515625" style="47" customWidth="1"/>
    <col min="6153" max="6153" width="9.5703125" style="47" bestFit="1" customWidth="1"/>
    <col min="6154" max="6154" width="9.140625" style="47"/>
    <col min="6155" max="6155" width="10.85546875" style="47" customWidth="1"/>
    <col min="6156" max="6401" width="9.140625" style="47"/>
    <col min="6402" max="6402" width="20.42578125" style="47" customWidth="1"/>
    <col min="6403" max="6407" width="10.5703125" style="47" customWidth="1"/>
    <col min="6408" max="6408" width="10.28515625" style="47" customWidth="1"/>
    <col min="6409" max="6409" width="9.5703125" style="47" bestFit="1" customWidth="1"/>
    <col min="6410" max="6410" width="9.140625" style="47"/>
    <col min="6411" max="6411" width="10.85546875" style="47" customWidth="1"/>
    <col min="6412" max="6657" width="9.140625" style="47"/>
    <col min="6658" max="6658" width="20.42578125" style="47" customWidth="1"/>
    <col min="6659" max="6663" width="10.5703125" style="47" customWidth="1"/>
    <col min="6664" max="6664" width="10.28515625" style="47" customWidth="1"/>
    <col min="6665" max="6665" width="9.5703125" style="47" bestFit="1" customWidth="1"/>
    <col min="6666" max="6666" width="9.140625" style="47"/>
    <col min="6667" max="6667" width="10.85546875" style="47" customWidth="1"/>
    <col min="6668" max="6913" width="9.140625" style="47"/>
    <col min="6914" max="6914" width="20.42578125" style="47" customWidth="1"/>
    <col min="6915" max="6919" width="10.5703125" style="47" customWidth="1"/>
    <col min="6920" max="6920" width="10.28515625" style="47" customWidth="1"/>
    <col min="6921" max="6921" width="9.5703125" style="47" bestFit="1" customWidth="1"/>
    <col min="6922" max="6922" width="9.140625" style="47"/>
    <col min="6923" max="6923" width="10.85546875" style="47" customWidth="1"/>
    <col min="6924" max="7169" width="9.140625" style="47"/>
    <col min="7170" max="7170" width="20.42578125" style="47" customWidth="1"/>
    <col min="7171" max="7175" width="10.5703125" style="47" customWidth="1"/>
    <col min="7176" max="7176" width="10.28515625" style="47" customWidth="1"/>
    <col min="7177" max="7177" width="9.5703125" style="47" bestFit="1" customWidth="1"/>
    <col min="7178" max="7178" width="9.140625" style="47"/>
    <col min="7179" max="7179" width="10.85546875" style="47" customWidth="1"/>
    <col min="7180" max="7425" width="9.140625" style="47"/>
    <col min="7426" max="7426" width="20.42578125" style="47" customWidth="1"/>
    <col min="7427" max="7431" width="10.5703125" style="47" customWidth="1"/>
    <col min="7432" max="7432" width="10.28515625" style="47" customWidth="1"/>
    <col min="7433" max="7433" width="9.5703125" style="47" bestFit="1" customWidth="1"/>
    <col min="7434" max="7434" width="9.140625" style="47"/>
    <col min="7435" max="7435" width="10.85546875" style="47" customWidth="1"/>
    <col min="7436" max="7681" width="9.140625" style="47"/>
    <col min="7682" max="7682" width="20.42578125" style="47" customWidth="1"/>
    <col min="7683" max="7687" width="10.5703125" style="47" customWidth="1"/>
    <col min="7688" max="7688" width="10.28515625" style="47" customWidth="1"/>
    <col min="7689" max="7689" width="9.5703125" style="47" bestFit="1" customWidth="1"/>
    <col min="7690" max="7690" width="9.140625" style="47"/>
    <col min="7691" max="7691" width="10.85546875" style="47" customWidth="1"/>
    <col min="7692" max="7937" width="9.140625" style="47"/>
    <col min="7938" max="7938" width="20.42578125" style="47" customWidth="1"/>
    <col min="7939" max="7943" width="10.5703125" style="47" customWidth="1"/>
    <col min="7944" max="7944" width="10.28515625" style="47" customWidth="1"/>
    <col min="7945" max="7945" width="9.5703125" style="47" bestFit="1" customWidth="1"/>
    <col min="7946" max="7946" width="9.140625" style="47"/>
    <col min="7947" max="7947" width="10.85546875" style="47" customWidth="1"/>
    <col min="7948" max="8193" width="9.140625" style="47"/>
    <col min="8194" max="8194" width="20.42578125" style="47" customWidth="1"/>
    <col min="8195" max="8199" width="10.5703125" style="47" customWidth="1"/>
    <col min="8200" max="8200" width="10.28515625" style="47" customWidth="1"/>
    <col min="8201" max="8201" width="9.5703125" style="47" bestFit="1" customWidth="1"/>
    <col min="8202" max="8202" width="9.140625" style="47"/>
    <col min="8203" max="8203" width="10.85546875" style="47" customWidth="1"/>
    <col min="8204" max="8449" width="9.140625" style="47"/>
    <col min="8450" max="8450" width="20.42578125" style="47" customWidth="1"/>
    <col min="8451" max="8455" width="10.5703125" style="47" customWidth="1"/>
    <col min="8456" max="8456" width="10.28515625" style="47" customWidth="1"/>
    <col min="8457" max="8457" width="9.5703125" style="47" bestFit="1" customWidth="1"/>
    <col min="8458" max="8458" width="9.140625" style="47"/>
    <col min="8459" max="8459" width="10.85546875" style="47" customWidth="1"/>
    <col min="8460" max="8705" width="9.140625" style="47"/>
    <col min="8706" max="8706" width="20.42578125" style="47" customWidth="1"/>
    <col min="8707" max="8711" width="10.5703125" style="47" customWidth="1"/>
    <col min="8712" max="8712" width="10.28515625" style="47" customWidth="1"/>
    <col min="8713" max="8713" width="9.5703125" style="47" bestFit="1" customWidth="1"/>
    <col min="8714" max="8714" width="9.140625" style="47"/>
    <col min="8715" max="8715" width="10.85546875" style="47" customWidth="1"/>
    <col min="8716" max="8961" width="9.140625" style="47"/>
    <col min="8962" max="8962" width="20.42578125" style="47" customWidth="1"/>
    <col min="8963" max="8967" width="10.5703125" style="47" customWidth="1"/>
    <col min="8968" max="8968" width="10.28515625" style="47" customWidth="1"/>
    <col min="8969" max="8969" width="9.5703125" style="47" bestFit="1" customWidth="1"/>
    <col min="8970" max="8970" width="9.140625" style="47"/>
    <col min="8971" max="8971" width="10.85546875" style="47" customWidth="1"/>
    <col min="8972" max="9217" width="9.140625" style="47"/>
    <col min="9218" max="9218" width="20.42578125" style="47" customWidth="1"/>
    <col min="9219" max="9223" width="10.5703125" style="47" customWidth="1"/>
    <col min="9224" max="9224" width="10.28515625" style="47" customWidth="1"/>
    <col min="9225" max="9225" width="9.5703125" style="47" bestFit="1" customWidth="1"/>
    <col min="9226" max="9226" width="9.140625" style="47"/>
    <col min="9227" max="9227" width="10.85546875" style="47" customWidth="1"/>
    <col min="9228" max="9473" width="9.140625" style="47"/>
    <col min="9474" max="9474" width="20.42578125" style="47" customWidth="1"/>
    <col min="9475" max="9479" width="10.5703125" style="47" customWidth="1"/>
    <col min="9480" max="9480" width="10.28515625" style="47" customWidth="1"/>
    <col min="9481" max="9481" width="9.5703125" style="47" bestFit="1" customWidth="1"/>
    <col min="9482" max="9482" width="9.140625" style="47"/>
    <col min="9483" max="9483" width="10.85546875" style="47" customWidth="1"/>
    <col min="9484" max="9729" width="9.140625" style="47"/>
    <col min="9730" max="9730" width="20.42578125" style="47" customWidth="1"/>
    <col min="9731" max="9735" width="10.5703125" style="47" customWidth="1"/>
    <col min="9736" max="9736" width="10.28515625" style="47" customWidth="1"/>
    <col min="9737" max="9737" width="9.5703125" style="47" bestFit="1" customWidth="1"/>
    <col min="9738" max="9738" width="9.140625" style="47"/>
    <col min="9739" max="9739" width="10.85546875" style="47" customWidth="1"/>
    <col min="9740" max="9985" width="9.140625" style="47"/>
    <col min="9986" max="9986" width="20.42578125" style="47" customWidth="1"/>
    <col min="9987" max="9991" width="10.5703125" style="47" customWidth="1"/>
    <col min="9992" max="9992" width="10.28515625" style="47" customWidth="1"/>
    <col min="9993" max="9993" width="9.5703125" style="47" bestFit="1" customWidth="1"/>
    <col min="9994" max="9994" width="9.140625" style="47"/>
    <col min="9995" max="9995" width="10.85546875" style="47" customWidth="1"/>
    <col min="9996" max="10241" width="9.140625" style="47"/>
    <col min="10242" max="10242" width="20.42578125" style="47" customWidth="1"/>
    <col min="10243" max="10247" width="10.5703125" style="47" customWidth="1"/>
    <col min="10248" max="10248" width="10.28515625" style="47" customWidth="1"/>
    <col min="10249" max="10249" width="9.5703125" style="47" bestFit="1" customWidth="1"/>
    <col min="10250" max="10250" width="9.140625" style="47"/>
    <col min="10251" max="10251" width="10.85546875" style="47" customWidth="1"/>
    <col min="10252" max="10497" width="9.140625" style="47"/>
    <col min="10498" max="10498" width="20.42578125" style="47" customWidth="1"/>
    <col min="10499" max="10503" width="10.5703125" style="47" customWidth="1"/>
    <col min="10504" max="10504" width="10.28515625" style="47" customWidth="1"/>
    <col min="10505" max="10505" width="9.5703125" style="47" bestFit="1" customWidth="1"/>
    <col min="10506" max="10506" width="9.140625" style="47"/>
    <col min="10507" max="10507" width="10.85546875" style="47" customWidth="1"/>
    <col min="10508" max="10753" width="9.140625" style="47"/>
    <col min="10754" max="10754" width="20.42578125" style="47" customWidth="1"/>
    <col min="10755" max="10759" width="10.5703125" style="47" customWidth="1"/>
    <col min="10760" max="10760" width="10.28515625" style="47" customWidth="1"/>
    <col min="10761" max="10761" width="9.5703125" style="47" bestFit="1" customWidth="1"/>
    <col min="10762" max="10762" width="9.140625" style="47"/>
    <col min="10763" max="10763" width="10.85546875" style="47" customWidth="1"/>
    <col min="10764" max="11009" width="9.140625" style="47"/>
    <col min="11010" max="11010" width="20.42578125" style="47" customWidth="1"/>
    <col min="11011" max="11015" width="10.5703125" style="47" customWidth="1"/>
    <col min="11016" max="11016" width="10.28515625" style="47" customWidth="1"/>
    <col min="11017" max="11017" width="9.5703125" style="47" bestFit="1" customWidth="1"/>
    <col min="11018" max="11018" width="9.140625" style="47"/>
    <col min="11019" max="11019" width="10.85546875" style="47" customWidth="1"/>
    <col min="11020" max="11265" width="9.140625" style="47"/>
    <col min="11266" max="11266" width="20.42578125" style="47" customWidth="1"/>
    <col min="11267" max="11271" width="10.5703125" style="47" customWidth="1"/>
    <col min="11272" max="11272" width="10.28515625" style="47" customWidth="1"/>
    <col min="11273" max="11273" width="9.5703125" style="47" bestFit="1" customWidth="1"/>
    <col min="11274" max="11274" width="9.140625" style="47"/>
    <col min="11275" max="11275" width="10.85546875" style="47" customWidth="1"/>
    <col min="11276" max="11521" width="9.140625" style="47"/>
    <col min="11522" max="11522" width="20.42578125" style="47" customWidth="1"/>
    <col min="11523" max="11527" width="10.5703125" style="47" customWidth="1"/>
    <col min="11528" max="11528" width="10.28515625" style="47" customWidth="1"/>
    <col min="11529" max="11529" width="9.5703125" style="47" bestFit="1" customWidth="1"/>
    <col min="11530" max="11530" width="9.140625" style="47"/>
    <col min="11531" max="11531" width="10.85546875" style="47" customWidth="1"/>
    <col min="11532" max="11777" width="9.140625" style="47"/>
    <col min="11778" max="11778" width="20.42578125" style="47" customWidth="1"/>
    <col min="11779" max="11783" width="10.5703125" style="47" customWidth="1"/>
    <col min="11784" max="11784" width="10.28515625" style="47" customWidth="1"/>
    <col min="11785" max="11785" width="9.5703125" style="47" bestFit="1" customWidth="1"/>
    <col min="11786" max="11786" width="9.140625" style="47"/>
    <col min="11787" max="11787" width="10.85546875" style="47" customWidth="1"/>
    <col min="11788" max="12033" width="9.140625" style="47"/>
    <col min="12034" max="12034" width="20.42578125" style="47" customWidth="1"/>
    <col min="12035" max="12039" width="10.5703125" style="47" customWidth="1"/>
    <col min="12040" max="12040" width="10.28515625" style="47" customWidth="1"/>
    <col min="12041" max="12041" width="9.5703125" style="47" bestFit="1" customWidth="1"/>
    <col min="12042" max="12042" width="9.140625" style="47"/>
    <col min="12043" max="12043" width="10.85546875" style="47" customWidth="1"/>
    <col min="12044" max="12289" width="9.140625" style="47"/>
    <col min="12290" max="12290" width="20.42578125" style="47" customWidth="1"/>
    <col min="12291" max="12295" width="10.5703125" style="47" customWidth="1"/>
    <col min="12296" max="12296" width="10.28515625" style="47" customWidth="1"/>
    <col min="12297" max="12297" width="9.5703125" style="47" bestFit="1" customWidth="1"/>
    <col min="12298" max="12298" width="9.140625" style="47"/>
    <col min="12299" max="12299" width="10.85546875" style="47" customWidth="1"/>
    <col min="12300" max="12545" width="9.140625" style="47"/>
    <col min="12546" max="12546" width="20.42578125" style="47" customWidth="1"/>
    <col min="12547" max="12551" width="10.5703125" style="47" customWidth="1"/>
    <col min="12552" max="12552" width="10.28515625" style="47" customWidth="1"/>
    <col min="12553" max="12553" width="9.5703125" style="47" bestFit="1" customWidth="1"/>
    <col min="12554" max="12554" width="9.140625" style="47"/>
    <col min="12555" max="12555" width="10.85546875" style="47" customWidth="1"/>
    <col min="12556" max="12801" width="9.140625" style="47"/>
    <col min="12802" max="12802" width="20.42578125" style="47" customWidth="1"/>
    <col min="12803" max="12807" width="10.5703125" style="47" customWidth="1"/>
    <col min="12808" max="12808" width="10.28515625" style="47" customWidth="1"/>
    <col min="12809" max="12809" width="9.5703125" style="47" bestFit="1" customWidth="1"/>
    <col min="12810" max="12810" width="9.140625" style="47"/>
    <col min="12811" max="12811" width="10.85546875" style="47" customWidth="1"/>
    <col min="12812" max="13057" width="9.140625" style="47"/>
    <col min="13058" max="13058" width="20.42578125" style="47" customWidth="1"/>
    <col min="13059" max="13063" width="10.5703125" style="47" customWidth="1"/>
    <col min="13064" max="13064" width="10.28515625" style="47" customWidth="1"/>
    <col min="13065" max="13065" width="9.5703125" style="47" bestFit="1" customWidth="1"/>
    <col min="13066" max="13066" width="9.140625" style="47"/>
    <col min="13067" max="13067" width="10.85546875" style="47" customWidth="1"/>
    <col min="13068" max="13313" width="9.140625" style="47"/>
    <col min="13314" max="13314" width="20.42578125" style="47" customWidth="1"/>
    <col min="13315" max="13319" width="10.5703125" style="47" customWidth="1"/>
    <col min="13320" max="13320" width="10.28515625" style="47" customWidth="1"/>
    <col min="13321" max="13321" width="9.5703125" style="47" bestFit="1" customWidth="1"/>
    <col min="13322" max="13322" width="9.140625" style="47"/>
    <col min="13323" max="13323" width="10.85546875" style="47" customWidth="1"/>
    <col min="13324" max="13569" width="9.140625" style="47"/>
    <col min="13570" max="13570" width="20.42578125" style="47" customWidth="1"/>
    <col min="13571" max="13575" width="10.5703125" style="47" customWidth="1"/>
    <col min="13576" max="13576" width="10.28515625" style="47" customWidth="1"/>
    <col min="13577" max="13577" width="9.5703125" style="47" bestFit="1" customWidth="1"/>
    <col min="13578" max="13578" width="9.140625" style="47"/>
    <col min="13579" max="13579" width="10.85546875" style="47" customWidth="1"/>
    <col min="13580" max="13825" width="9.140625" style="47"/>
    <col min="13826" max="13826" width="20.42578125" style="47" customWidth="1"/>
    <col min="13827" max="13831" width="10.5703125" style="47" customWidth="1"/>
    <col min="13832" max="13832" width="10.28515625" style="47" customWidth="1"/>
    <col min="13833" max="13833" width="9.5703125" style="47" bestFit="1" customWidth="1"/>
    <col min="13834" max="13834" width="9.140625" style="47"/>
    <col min="13835" max="13835" width="10.85546875" style="47" customWidth="1"/>
    <col min="13836" max="14081" width="9.140625" style="47"/>
    <col min="14082" max="14082" width="20.42578125" style="47" customWidth="1"/>
    <col min="14083" max="14087" width="10.5703125" style="47" customWidth="1"/>
    <col min="14088" max="14088" width="10.28515625" style="47" customWidth="1"/>
    <col min="14089" max="14089" width="9.5703125" style="47" bestFit="1" customWidth="1"/>
    <col min="14090" max="14090" width="9.140625" style="47"/>
    <col min="14091" max="14091" width="10.85546875" style="47" customWidth="1"/>
    <col min="14092" max="14337" width="9.140625" style="47"/>
    <col min="14338" max="14338" width="20.42578125" style="47" customWidth="1"/>
    <col min="14339" max="14343" width="10.5703125" style="47" customWidth="1"/>
    <col min="14344" max="14344" width="10.28515625" style="47" customWidth="1"/>
    <col min="14345" max="14345" width="9.5703125" style="47" bestFit="1" customWidth="1"/>
    <col min="14346" max="14346" width="9.140625" style="47"/>
    <col min="14347" max="14347" width="10.85546875" style="47" customWidth="1"/>
    <col min="14348" max="14593" width="9.140625" style="47"/>
    <col min="14594" max="14594" width="20.42578125" style="47" customWidth="1"/>
    <col min="14595" max="14599" width="10.5703125" style="47" customWidth="1"/>
    <col min="14600" max="14600" width="10.28515625" style="47" customWidth="1"/>
    <col min="14601" max="14601" width="9.5703125" style="47" bestFit="1" customWidth="1"/>
    <col min="14602" max="14602" width="9.140625" style="47"/>
    <col min="14603" max="14603" width="10.85546875" style="47" customWidth="1"/>
    <col min="14604" max="14849" width="9.140625" style="47"/>
    <col min="14850" max="14850" width="20.42578125" style="47" customWidth="1"/>
    <col min="14851" max="14855" width="10.5703125" style="47" customWidth="1"/>
    <col min="14856" max="14856" width="10.28515625" style="47" customWidth="1"/>
    <col min="14857" max="14857" width="9.5703125" style="47" bestFit="1" customWidth="1"/>
    <col min="14858" max="14858" width="9.140625" style="47"/>
    <col min="14859" max="14859" width="10.85546875" style="47" customWidth="1"/>
    <col min="14860" max="15105" width="9.140625" style="47"/>
    <col min="15106" max="15106" width="20.42578125" style="47" customWidth="1"/>
    <col min="15107" max="15111" width="10.5703125" style="47" customWidth="1"/>
    <col min="15112" max="15112" width="10.28515625" style="47" customWidth="1"/>
    <col min="15113" max="15113" width="9.5703125" style="47" bestFit="1" customWidth="1"/>
    <col min="15114" max="15114" width="9.140625" style="47"/>
    <col min="15115" max="15115" width="10.85546875" style="47" customWidth="1"/>
    <col min="15116" max="15361" width="9.140625" style="47"/>
    <col min="15362" max="15362" width="20.42578125" style="47" customWidth="1"/>
    <col min="15363" max="15367" width="10.5703125" style="47" customWidth="1"/>
    <col min="15368" max="15368" width="10.28515625" style="47" customWidth="1"/>
    <col min="15369" max="15369" width="9.5703125" style="47" bestFit="1" customWidth="1"/>
    <col min="15370" max="15370" width="9.140625" style="47"/>
    <col min="15371" max="15371" width="10.85546875" style="47" customWidth="1"/>
    <col min="15372" max="15617" width="9.140625" style="47"/>
    <col min="15618" max="15618" width="20.42578125" style="47" customWidth="1"/>
    <col min="15619" max="15623" width="10.5703125" style="47" customWidth="1"/>
    <col min="15624" max="15624" width="10.28515625" style="47" customWidth="1"/>
    <col min="15625" max="15625" width="9.5703125" style="47" bestFit="1" customWidth="1"/>
    <col min="15626" max="15626" width="9.140625" style="47"/>
    <col min="15627" max="15627" width="10.85546875" style="47" customWidth="1"/>
    <col min="15628" max="15873" width="9.140625" style="47"/>
    <col min="15874" max="15874" width="20.42578125" style="47" customWidth="1"/>
    <col min="15875" max="15879" width="10.5703125" style="47" customWidth="1"/>
    <col min="15880" max="15880" width="10.28515625" style="47" customWidth="1"/>
    <col min="15881" max="15881" width="9.5703125" style="47" bestFit="1" customWidth="1"/>
    <col min="15882" max="15882" width="9.140625" style="47"/>
    <col min="15883" max="15883" width="10.85546875" style="47" customWidth="1"/>
    <col min="15884" max="16129" width="9.140625" style="47"/>
    <col min="16130" max="16130" width="20.42578125" style="47" customWidth="1"/>
    <col min="16131" max="16135" width="10.5703125" style="47" customWidth="1"/>
    <col min="16136" max="16136" width="10.28515625" style="47" customWidth="1"/>
    <col min="16137" max="16137" width="9.5703125" style="47" bestFit="1" customWidth="1"/>
    <col min="16138" max="16138" width="9.140625" style="47"/>
    <col min="16139" max="16139" width="10.85546875" style="47" customWidth="1"/>
    <col min="16140" max="16384" width="9.140625" style="47"/>
  </cols>
  <sheetData>
    <row r="1" spans="1:7" s="42" customFormat="1" ht="15.75" x14ac:dyDescent="0.25">
      <c r="A1" s="42" t="s">
        <v>66</v>
      </c>
      <c r="C1" s="43"/>
      <c r="F1" s="44"/>
      <c r="G1" s="44"/>
    </row>
    <row r="2" spans="1:7" x14ac:dyDescent="0.2">
      <c r="A2" s="45" t="s">
        <v>123</v>
      </c>
    </row>
    <row r="3" spans="1:7" x14ac:dyDescent="0.2">
      <c r="A3" s="45" t="s">
        <v>55</v>
      </c>
      <c r="B3" s="45" t="s">
        <v>71</v>
      </c>
      <c r="C3" s="46" t="s">
        <v>59</v>
      </c>
      <c r="D3" s="46" t="s">
        <v>58</v>
      </c>
      <c r="E3" s="45" t="s">
        <v>60</v>
      </c>
      <c r="F3" s="47" t="s">
        <v>67</v>
      </c>
    </row>
    <row r="4" spans="1:7" x14ac:dyDescent="0.2">
      <c r="A4" s="89" t="s">
        <v>51</v>
      </c>
      <c r="B4" s="47">
        <v>1.3460000000000001</v>
      </c>
      <c r="C4" s="48">
        <f>B4/$B$11</f>
        <v>2.5813677413415826E-2</v>
      </c>
      <c r="D4" s="48">
        <f>1-EXP(-B4*1)</f>
        <v>0.73972070162144288</v>
      </c>
      <c r="E4" s="88">
        <f>1-EXP(-C4*2)</f>
        <v>5.0317304414940089E-2</v>
      </c>
    </row>
    <row r="5" spans="1:7" x14ac:dyDescent="0.2">
      <c r="A5" s="89" t="s">
        <v>56</v>
      </c>
      <c r="B5" s="47">
        <v>6.6000000000000003E-2</v>
      </c>
      <c r="C5" s="48">
        <f>B5/$B$11</f>
        <v>1.2657523843131089E-3</v>
      </c>
      <c r="D5" s="48">
        <f>1-EXP(-B5*1)</f>
        <v>6.3869135708381153E-2</v>
      </c>
      <c r="E5" s="88">
        <f t="shared" ref="E5:E8" si="0">1-EXP(-C5*2)</f>
        <v>2.5283032125840155E-3</v>
      </c>
    </row>
    <row r="6" spans="1:7" x14ac:dyDescent="0.2">
      <c r="A6" s="89" t="s">
        <v>57</v>
      </c>
      <c r="B6" s="47">
        <v>6.2E-2</v>
      </c>
      <c r="C6" s="48">
        <f>B6/$B$11</f>
        <v>1.1890401185971628E-3</v>
      </c>
      <c r="D6" s="48">
        <f>1-EXP(-B6*1)</f>
        <v>6.011711320891111E-2</v>
      </c>
      <c r="E6" s="88">
        <f t="shared" si="0"/>
        <v>2.3752548445009625E-3</v>
      </c>
    </row>
    <row r="7" spans="1:7" x14ac:dyDescent="0.2">
      <c r="A7" s="89" t="s">
        <v>54</v>
      </c>
      <c r="C7" s="48">
        <f>(-LN(1-F7)/30)*7</f>
        <v>5.8596301901842427E-3</v>
      </c>
      <c r="E7" s="88">
        <f t="shared" si="0"/>
        <v>1.1650857320283259E-2</v>
      </c>
      <c r="F7" s="47">
        <v>2.4799999999999999E-2</v>
      </c>
    </row>
    <row r="8" spans="1:7" x14ac:dyDescent="0.2">
      <c r="A8" s="89" t="s">
        <v>70</v>
      </c>
      <c r="B8" s="47">
        <f>Parameters!B18/100</f>
        <v>4.0000000000000001E-3</v>
      </c>
      <c r="C8" s="48">
        <f>B8/B11</f>
        <v>7.6712265715945998E-5</v>
      </c>
      <c r="E8" s="88">
        <f t="shared" si="0"/>
        <v>1.5341276249036806E-4</v>
      </c>
      <c r="F8" s="47">
        <v>1.0999999999999999E-2</v>
      </c>
    </row>
    <row r="10" spans="1:7" x14ac:dyDescent="0.2">
      <c r="A10" s="47" t="s">
        <v>61</v>
      </c>
      <c r="B10" s="47">
        <v>1</v>
      </c>
    </row>
    <row r="11" spans="1:7" x14ac:dyDescent="0.2">
      <c r="A11" s="47" t="s">
        <v>62</v>
      </c>
      <c r="B11" s="47">
        <v>52.142899999999997</v>
      </c>
    </row>
    <row r="13" spans="1:7" x14ac:dyDescent="0.2">
      <c r="A13" s="45" t="s">
        <v>125</v>
      </c>
    </row>
    <row r="14" spans="1:7" x14ac:dyDescent="0.2">
      <c r="A14" s="45" t="s">
        <v>55</v>
      </c>
      <c r="B14" s="45" t="s">
        <v>118</v>
      </c>
      <c r="C14" s="46" t="s">
        <v>59</v>
      </c>
      <c r="D14" s="46" t="s">
        <v>58</v>
      </c>
      <c r="E14" s="45" t="s">
        <v>60</v>
      </c>
      <c r="F14" s="47" t="s">
        <v>67</v>
      </c>
    </row>
    <row r="15" spans="1:7" x14ac:dyDescent="0.2">
      <c r="A15" s="89" t="s">
        <v>51</v>
      </c>
      <c r="B15" s="47">
        <v>0.88</v>
      </c>
      <c r="C15" s="48">
        <f>B15/($B$22*4)</f>
        <v>5.0630114792278441E-2</v>
      </c>
      <c r="D15" s="48">
        <f>1-EXP(-B15*1)</f>
        <v>0.58521708831841868</v>
      </c>
      <c r="E15" s="88">
        <f>1-EXP(-C15*2)</f>
        <v>9.6302166627487917E-2</v>
      </c>
    </row>
    <row r="16" spans="1:7" x14ac:dyDescent="0.2">
      <c r="A16" s="89" t="s">
        <v>56</v>
      </c>
      <c r="B16" s="47">
        <v>0.02</v>
      </c>
      <c r="C16" s="48">
        <f>B16/($B$22*4)</f>
        <v>1.1506844270972373E-3</v>
      </c>
      <c r="D16" s="48">
        <f>1-EXP(-B16*1)</f>
        <v>1.9801326693244747E-2</v>
      </c>
      <c r="E16" s="88">
        <f t="shared" ref="E16:E18" si="1">1-EXP(-C16*2)</f>
        <v>2.2987227351808359E-3</v>
      </c>
    </row>
    <row r="17" spans="1:7" x14ac:dyDescent="0.2">
      <c r="A17" s="89" t="s">
        <v>57</v>
      </c>
      <c r="B17" s="47">
        <v>0.02</v>
      </c>
      <c r="C17" s="48">
        <f>B17/($B$22*4)</f>
        <v>1.1506844270972373E-3</v>
      </c>
      <c r="D17" s="48">
        <f>1-EXP(-B17*1)</f>
        <v>1.9801326693244747E-2</v>
      </c>
      <c r="E17" s="88">
        <f t="shared" si="1"/>
        <v>2.2987227351808359E-3</v>
      </c>
    </row>
    <row r="18" spans="1:7" x14ac:dyDescent="0.2">
      <c r="A18" s="89" t="s">
        <v>54</v>
      </c>
      <c r="C18" s="48">
        <f>B18/$B$22</f>
        <v>0</v>
      </c>
      <c r="E18" s="88">
        <f t="shared" si="1"/>
        <v>0</v>
      </c>
      <c r="F18" s="47">
        <v>2.4799999999999999E-2</v>
      </c>
    </row>
    <row r="19" spans="1:7" x14ac:dyDescent="0.2">
      <c r="A19" s="89" t="s">
        <v>70</v>
      </c>
      <c r="B19" s="47">
        <v>4.0000000000000001E-3</v>
      </c>
      <c r="C19" s="48">
        <f>B19/B11</f>
        <v>7.6712265715945998E-5</v>
      </c>
      <c r="E19" s="88">
        <f>1-EXP(-C19*2)</f>
        <v>1.5341276249036806E-4</v>
      </c>
      <c r="F19" s="47">
        <v>1.0999999999999999E-2</v>
      </c>
    </row>
    <row r="20" spans="1:7" x14ac:dyDescent="0.2">
      <c r="A20" s="89"/>
      <c r="E20" s="88"/>
    </row>
    <row r="21" spans="1:7" x14ac:dyDescent="0.2">
      <c r="A21" s="47" t="s">
        <v>119</v>
      </c>
      <c r="B21" s="47">
        <v>1</v>
      </c>
      <c r="E21" s="88"/>
    </row>
    <row r="22" spans="1:7" x14ac:dyDescent="0.2">
      <c r="A22" s="47" t="s">
        <v>62</v>
      </c>
      <c r="B22" s="47">
        <v>4.3452400000000004</v>
      </c>
      <c r="E22" s="88"/>
    </row>
    <row r="23" spans="1:7" x14ac:dyDescent="0.2">
      <c r="E23" s="88"/>
    </row>
    <row r="24" spans="1:7" x14ac:dyDescent="0.2">
      <c r="A24" s="45" t="s">
        <v>124</v>
      </c>
    </row>
    <row r="25" spans="1:7" x14ac:dyDescent="0.2">
      <c r="A25" s="45" t="s">
        <v>55</v>
      </c>
      <c r="B25" s="45" t="s">
        <v>121</v>
      </c>
      <c r="C25" s="46" t="s">
        <v>59</v>
      </c>
      <c r="D25" s="46" t="s">
        <v>58</v>
      </c>
      <c r="E25" s="45" t="s">
        <v>60</v>
      </c>
      <c r="F25" s="47" t="s">
        <v>67</v>
      </c>
      <c r="G25" s="47" t="s">
        <v>146</v>
      </c>
    </row>
    <row r="26" spans="1:7" x14ac:dyDescent="0.2">
      <c r="A26" s="89" t="s">
        <v>51</v>
      </c>
      <c r="B26" s="47">
        <v>0.92</v>
      </c>
      <c r="C26" s="48">
        <f>B26/($B$22*4)</f>
        <v>5.2931483646472918E-2</v>
      </c>
      <c r="D26" s="48">
        <f>1-EXP(-B26*1)</f>
        <v>0.60148095891548592</v>
      </c>
      <c r="E26" s="88">
        <f>1-EXP(-C26*2)</f>
        <v>0.10045209288469181</v>
      </c>
    </row>
    <row r="27" spans="1:7" x14ac:dyDescent="0.2">
      <c r="A27" s="89" t="s">
        <v>56</v>
      </c>
      <c r="B27" s="47">
        <v>0.05</v>
      </c>
      <c r="C27" s="48">
        <f t="shared" ref="C27:C28" si="2">B27/($B$22*4)</f>
        <v>2.8767110677430934E-3</v>
      </c>
      <c r="D27" s="48">
        <f>1-EXP(-B27*1)</f>
        <v>4.8770575499285984E-2</v>
      </c>
      <c r="E27" s="88">
        <f t="shared" ref="E27:E31" si="3">1-EXP(-C27*2)</f>
        <v>5.7369028982502401E-3</v>
      </c>
    </row>
    <row r="28" spans="1:7" x14ac:dyDescent="0.2">
      <c r="A28" s="89" t="s">
        <v>57</v>
      </c>
      <c r="B28" s="47">
        <v>0.02</v>
      </c>
      <c r="C28" s="48">
        <f t="shared" si="2"/>
        <v>1.1506844270972373E-3</v>
      </c>
      <c r="D28" s="48">
        <f>1-EXP(-B28*1)</f>
        <v>1.9801326693244747E-2</v>
      </c>
      <c r="E28" s="88">
        <f t="shared" si="3"/>
        <v>2.2987227351808359E-3</v>
      </c>
    </row>
    <row r="29" spans="1:7" x14ac:dyDescent="0.2">
      <c r="A29" s="89" t="s">
        <v>54</v>
      </c>
      <c r="C29" s="48">
        <f>(-LN(1-F29)/30)*7</f>
        <v>5.8596301901842427E-3</v>
      </c>
      <c r="E29" s="88">
        <f t="shared" si="3"/>
        <v>1.1650857320283259E-2</v>
      </c>
      <c r="F29" s="47">
        <v>2.4799999999999999E-2</v>
      </c>
    </row>
    <row r="30" spans="1:7" x14ac:dyDescent="0.2">
      <c r="A30" s="89" t="s">
        <v>70</v>
      </c>
      <c r="B30" s="47">
        <f>B8</f>
        <v>4.0000000000000001E-3</v>
      </c>
      <c r="C30" s="48">
        <f>B30/B11</f>
        <v>7.6712265715945998E-5</v>
      </c>
      <c r="E30" s="88">
        <f t="shared" si="3"/>
        <v>1.5341276249036806E-4</v>
      </c>
      <c r="F30" s="47">
        <v>1.0999999999999999E-2</v>
      </c>
    </row>
    <row r="31" spans="1:7" x14ac:dyDescent="0.2">
      <c r="A31" s="89" t="s">
        <v>147</v>
      </c>
      <c r="C31" s="48">
        <f>G31/B11</f>
        <v>3.3369835586436504E-2</v>
      </c>
      <c r="E31" s="88">
        <f t="shared" si="3"/>
        <v>6.4561308700971654E-2</v>
      </c>
      <c r="G31" s="47">
        <v>1.74</v>
      </c>
    </row>
    <row r="33" spans="1:6" x14ac:dyDescent="0.2">
      <c r="A33" s="45" t="s">
        <v>120</v>
      </c>
    </row>
    <row r="34" spans="1:6" x14ac:dyDescent="0.2">
      <c r="B34" s="45" t="s">
        <v>71</v>
      </c>
      <c r="C34" s="46" t="s">
        <v>59</v>
      </c>
      <c r="D34" s="46" t="s">
        <v>58</v>
      </c>
      <c r="E34" s="45" t="s">
        <v>60</v>
      </c>
      <c r="F34" s="47" t="s">
        <v>67</v>
      </c>
    </row>
    <row r="35" spans="1:6" x14ac:dyDescent="0.2">
      <c r="A35" s="47" t="s">
        <v>37</v>
      </c>
      <c r="B35" s="47">
        <f>-LN(1-D35)/1</f>
        <v>0.67334455326376563</v>
      </c>
      <c r="C35" s="104">
        <f>B35/B11</f>
        <v>1.2913446572088734E-2</v>
      </c>
      <c r="D35" s="47">
        <v>0.49</v>
      </c>
      <c r="E35" s="88">
        <f>1-EXP(-C35*2)</f>
        <v>2.5496231708073913E-2</v>
      </c>
    </row>
    <row r="36" spans="1:6" x14ac:dyDescent="0.2">
      <c r="A36" s="47" t="s">
        <v>122</v>
      </c>
      <c r="B36" s="47">
        <f>-LN(1-D36)/1</f>
        <v>0.9942522733438669</v>
      </c>
      <c r="C36" s="104">
        <f>B36/B11</f>
        <v>1.9067836145359521E-2</v>
      </c>
      <c r="D36" s="47">
        <v>0.63</v>
      </c>
      <c r="E36" s="88">
        <f>1-EXP(-C36*2)</f>
        <v>3.7417663718882443E-2</v>
      </c>
    </row>
    <row r="37" spans="1:6" x14ac:dyDescent="0.2">
      <c r="A37" s="47" t="s">
        <v>143</v>
      </c>
      <c r="B37" s="47">
        <f t="shared" ref="B37:B38" si="4">-LN(1-D37)/1</f>
        <v>0.13926206733350766</v>
      </c>
      <c r="C37" s="104">
        <f>B37/B11</f>
        <v>2.6707771783600004E-3</v>
      </c>
      <c r="D37" s="47">
        <v>0.13</v>
      </c>
      <c r="E37" s="88">
        <f t="shared" ref="E37:E38" si="5">1-EXP(-C37*2)</f>
        <v>5.3273136224152307E-3</v>
      </c>
    </row>
    <row r="38" spans="1:6" x14ac:dyDescent="0.2">
      <c r="A38" s="47" t="s">
        <v>144</v>
      </c>
      <c r="B38" s="47">
        <f t="shared" si="4"/>
        <v>0.18632957819149348</v>
      </c>
      <c r="C38" s="104">
        <f>B38/B11</f>
        <v>3.5734410282414956E-3</v>
      </c>
      <c r="D38" s="47">
        <v>0.17</v>
      </c>
      <c r="E38" s="88">
        <f t="shared" si="5"/>
        <v>7.1214038276825598E-3</v>
      </c>
    </row>
  </sheetData>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841"/>
  <sheetViews>
    <sheetView topLeftCell="D1" workbookViewId="0">
      <selection activeCell="F6" sqref="F6"/>
    </sheetView>
  </sheetViews>
  <sheetFormatPr defaultRowHeight="15" x14ac:dyDescent="0.25"/>
  <cols>
    <col min="1" max="1" width="9.140625" style="4"/>
    <col min="2" max="2" width="4.7109375" style="29" customWidth="1"/>
    <col min="3" max="3" width="10" style="29" bestFit="1" customWidth="1"/>
    <col min="4" max="4" width="9.140625" style="4"/>
    <col min="5" max="5" width="12.7109375" style="4" customWidth="1"/>
    <col min="6" max="6" width="12.5703125" style="4" bestFit="1" customWidth="1"/>
    <col min="7" max="8" width="7" style="4" bestFit="1" customWidth="1"/>
    <col min="9" max="9" width="6.85546875" style="4" bestFit="1" customWidth="1"/>
    <col min="10" max="10" width="12.7109375" style="4" bestFit="1" customWidth="1"/>
    <col min="11" max="11" width="11.140625" style="4" bestFit="1" customWidth="1"/>
    <col min="12" max="12" width="8.42578125" style="4" bestFit="1" customWidth="1"/>
    <col min="13" max="13" width="10.42578125" style="4" bestFit="1" customWidth="1"/>
    <col min="14" max="14" width="8" style="4" bestFit="1" customWidth="1"/>
    <col min="15" max="15" width="6" style="4" bestFit="1" customWidth="1"/>
    <col min="16" max="16" width="6.140625" style="4" bestFit="1" customWidth="1"/>
    <col min="17" max="17" width="11.42578125" style="4" bestFit="1" customWidth="1"/>
    <col min="18" max="18" width="9.85546875" style="4" bestFit="1" customWidth="1"/>
    <col min="19" max="19" width="8.42578125" style="4" bestFit="1" customWidth="1"/>
    <col min="20" max="20" width="9.5703125" style="4" bestFit="1" customWidth="1"/>
    <col min="21" max="21" width="13.7109375" style="4" bestFit="1" customWidth="1"/>
    <col min="22" max="23" width="12.7109375" style="4" customWidth="1"/>
    <col min="24" max="24" width="9.85546875" style="4" bestFit="1" customWidth="1"/>
    <col min="25" max="25" width="8" style="4" bestFit="1" customWidth="1"/>
    <col min="26" max="27" width="4.7109375" style="4" customWidth="1"/>
    <col min="28" max="16384" width="9.140625" style="4"/>
  </cols>
  <sheetData>
    <row r="1" spans="1:27" ht="15.75" x14ac:dyDescent="0.25">
      <c r="A1" s="41" t="s">
        <v>22</v>
      </c>
      <c r="M1" s="36"/>
    </row>
    <row r="2" spans="1:27" ht="15.75" x14ac:dyDescent="0.25">
      <c r="A2" s="41"/>
      <c r="F2" s="108"/>
      <c r="I2" s="108"/>
      <c r="J2" s="108"/>
      <c r="K2" s="108"/>
      <c r="M2" s="102"/>
      <c r="N2" s="102"/>
      <c r="O2" s="102"/>
      <c r="P2" s="102"/>
      <c r="Q2" s="102"/>
      <c r="R2" s="111">
        <f>G7+H7+I7+N7+O7+P7</f>
        <v>104.94373087362841</v>
      </c>
      <c r="S2" s="111">
        <f>S7+L7</f>
        <v>894.79123459233085</v>
      </c>
      <c r="T2" s="108">
        <f>S2+R2</f>
        <v>999.73496546595925</v>
      </c>
    </row>
    <row r="3" spans="1:27" x14ac:dyDescent="0.25">
      <c r="B3" s="40"/>
      <c r="E3" s="39" t="s">
        <v>145</v>
      </c>
      <c r="F3" s="39"/>
      <c r="G3" s="39"/>
      <c r="H3" s="39"/>
      <c r="I3" s="39"/>
      <c r="J3" s="39"/>
      <c r="K3" s="39"/>
      <c r="L3" s="39"/>
      <c r="M3" s="38"/>
      <c r="N3" s="38"/>
      <c r="O3" s="38"/>
      <c r="P3" s="38"/>
      <c r="Q3" s="38"/>
      <c r="R3" s="38"/>
      <c r="S3" s="38"/>
      <c r="T3" s="38"/>
      <c r="U3" s="39"/>
      <c r="V3" s="39"/>
      <c r="W3" s="38"/>
      <c r="X3" s="38"/>
      <c r="Y3" s="38"/>
    </row>
    <row r="4" spans="1:27" ht="12.75" x14ac:dyDescent="0.2">
      <c r="A4" s="23" t="s">
        <v>21</v>
      </c>
      <c r="B4" s="37"/>
      <c r="C4" s="37" t="s">
        <v>20</v>
      </c>
      <c r="E4" s="23" t="s">
        <v>145</v>
      </c>
      <c r="F4" s="23" t="s">
        <v>135</v>
      </c>
      <c r="G4" s="23" t="s">
        <v>148</v>
      </c>
      <c r="H4" s="23" t="s">
        <v>149</v>
      </c>
      <c r="I4" s="23" t="s">
        <v>150</v>
      </c>
      <c r="J4" s="23" t="s">
        <v>166</v>
      </c>
      <c r="K4" s="23" t="s">
        <v>167</v>
      </c>
      <c r="L4" s="23" t="s">
        <v>154</v>
      </c>
      <c r="M4" s="23" t="s">
        <v>134</v>
      </c>
      <c r="N4" s="23" t="s">
        <v>151</v>
      </c>
      <c r="O4" s="23" t="s">
        <v>152</v>
      </c>
      <c r="P4" s="23" t="s">
        <v>153</v>
      </c>
      <c r="Q4" s="23" t="s">
        <v>170</v>
      </c>
      <c r="R4" s="23" t="s">
        <v>169</v>
      </c>
      <c r="S4" s="23" t="s">
        <v>168</v>
      </c>
      <c r="T4" s="23" t="s">
        <v>52</v>
      </c>
      <c r="U4" s="23" t="s">
        <v>53</v>
      </c>
      <c r="V4" s="23" t="s">
        <v>19</v>
      </c>
      <c r="W4" s="23" t="s">
        <v>11</v>
      </c>
      <c r="X4" s="23" t="s">
        <v>18</v>
      </c>
      <c r="Y4" s="23" t="s">
        <v>10</v>
      </c>
    </row>
    <row r="5" spans="1:27" ht="12.75" x14ac:dyDescent="0.2">
      <c r="B5" s="4"/>
      <c r="C5" s="36"/>
    </row>
    <row r="6" spans="1:27" x14ac:dyDescent="0.25">
      <c r="A6" s="4">
        <v>0</v>
      </c>
      <c r="E6" s="34">
        <v>1000</v>
      </c>
      <c r="F6" s="34"/>
      <c r="G6" s="34"/>
      <c r="H6" s="34"/>
      <c r="I6" s="34"/>
      <c r="J6" s="34"/>
      <c r="K6" s="34"/>
      <c r="L6" s="34"/>
      <c r="M6" s="34"/>
      <c r="N6" s="34"/>
      <c r="O6" s="34"/>
      <c r="P6" s="34"/>
      <c r="Q6" s="34"/>
      <c r="R6" s="34"/>
      <c r="S6" s="34"/>
      <c r="T6" s="34">
        <f>S6+J6</f>
        <v>0</v>
      </c>
      <c r="U6" s="34">
        <f>K6+R6</f>
        <v>0</v>
      </c>
      <c r="V6" s="33">
        <f>SUM(F6,M6)</f>
        <v>0</v>
      </c>
      <c r="W6" s="105">
        <f>(cNES)*E6</f>
        <v>92438.280187714918</v>
      </c>
      <c r="X6" s="30"/>
      <c r="Y6" s="35"/>
      <c r="Z6" s="30"/>
      <c r="AA6" s="30"/>
    </row>
    <row r="7" spans="1:27" x14ac:dyDescent="0.25">
      <c r="A7" s="4">
        <v>1</v>
      </c>
      <c r="C7" s="110">
        <f>IF(male=0,VLOOKUP(((A5:A839/'Life tables'!$I$2)*2)+age,lifetable,13,1),IF(male=1,VLOOKUP(((A5:A839/'Life tables'!$I$2)*2)+age,lifetable,10,1),"error"))</f>
        <v>8.0321853324738512E-5</v>
      </c>
      <c r="E7" s="100"/>
      <c r="F7" s="101">
        <f t="shared" ref="F7:F70" si="0">E6*(1-pCAUC)+(L6+G6+H6+I6 )*(1-pCAUC)+(S6+N6+O6+P6)*(pUAUC)</f>
        <v>974.50376829192612</v>
      </c>
      <c r="G7" s="101">
        <f t="shared" ref="G7:G70" si="1">F7*(rrOSEX)</f>
        <v>97.890943048942745</v>
      </c>
      <c r="H7" s="101">
        <f t="shared" ref="H7:H70" si="2">F7*rrEREX</f>
        <v>2.2401139676920478</v>
      </c>
      <c r="I7" s="101">
        <f t="shared" ref="I7:I70" si="3">F7*rrHOEX</f>
        <v>2.2401139676920478</v>
      </c>
      <c r="J7" s="101">
        <f t="shared" ref="J7:J70" si="4">F7*mr + G7*mr + H7*mr+I7*mr</f>
        <v>8.6496590921633865E-2</v>
      </c>
      <c r="K7" s="101">
        <f t="shared" ref="K7:K70" si="5">F7*amr + I7*amrHOEX</f>
        <v>0.1756005633696916</v>
      </c>
      <c r="L7" s="101">
        <f>F7-SUM(G7:K7)</f>
        <v>871.87050015330794</v>
      </c>
      <c r="M7" s="101">
        <f t="shared" ref="M7:M70" si="6">E6*pCAUC+(L6+G6+H6+I6)*pCAUC+(S6+N6+O6+P6)*(1-pUAUC)</f>
        <v>25.496231708073914</v>
      </c>
      <c r="N7" s="101">
        <f t="shared" ref="N7:N70" si="7">M7*rrOSEXc</f>
        <v>2.455342354323975</v>
      </c>
      <c r="O7" s="101">
        <f t="shared" ref="O7:O70" si="8">M7*rrEREXc</f>
        <v>5.8608767488788023E-2</v>
      </c>
      <c r="P7" s="101">
        <f t="shared" ref="P7:P70" si="9">M7*rrHOEXc</f>
        <v>5.8608767488788023E-2</v>
      </c>
      <c r="Q7" s="101">
        <f t="shared" ref="Q7:Q70" si="10">M7*mr + N7*mr + O7*mr+P7*mr</f>
        <v>2.2545373616870454E-3</v>
      </c>
      <c r="R7" s="101">
        <f t="shared" ref="R7:R70" si="11">M7*amrc + P7*amrHOEX</f>
        <v>6.8284238772952537E-4</v>
      </c>
      <c r="S7" s="101">
        <f>M7-SUM(N7:R7)</f>
        <v>22.920734439022947</v>
      </c>
      <c r="T7" s="101">
        <f>J7+Q7+T6</f>
        <v>8.8751128283320907E-2</v>
      </c>
      <c r="U7" s="101">
        <f>K7+R7+U6</f>
        <v>0.17628340575742113</v>
      </c>
      <c r="V7" s="33">
        <f>SUM(G7:I7,L7,N7,O7,P7,S7,T7,U7)</f>
        <v>999.99999999999989</v>
      </c>
      <c r="W7" s="105">
        <f t="shared" ref="W7:W70" si="12">(cNES*L7+(cNES+cOSEX)*G7+(cNES+cEREX)*H7+(cNES+cHOEX)*I7 +(cNES+ cNES)*S7 +(cNES+ cOSEX)*N7 + (cNES+cEREX)*O7 + (cNES+cHOEX)*P7)/(1+cDR)^A$5:A$65536</f>
        <v>128677.65712894224</v>
      </c>
      <c r="X7" s="112">
        <f>(L7+G7+H7+I7+N7+O7+P7+S7)</f>
        <v>999.73496546595925</v>
      </c>
      <c r="Y7" s="32">
        <f t="shared" ref="Y7:Y70" si="13">(uNES*L7+ uOCEX*G7+uEREX*H7+uHOEX*I7+uNES*S7+ uOCEX*N7+uEREX*O7+uHOEX*P7)/(1+oDR)^A$5:A$65536</f>
        <v>657.60574721214141</v>
      </c>
      <c r="Z7" s="30"/>
      <c r="AA7" s="30"/>
    </row>
    <row r="8" spans="1:27" x14ac:dyDescent="0.25">
      <c r="A8" s="4">
        <v>2</v>
      </c>
      <c r="C8" s="110">
        <f>IF(male=0,VLOOKUP(((A6:A840/'Life tables'!$I$2)*2)+age,lifetable,13,1),IF(male=1,VLOOKUP(((A6:A840/'Life tables'!$I$2)*2)+age,lifetable,10,1),"error"))</f>
        <v>8.0321853324738512E-5</v>
      </c>
      <c r="E8" s="100"/>
      <c r="F8" s="101">
        <f t="shared" si="0"/>
        <v>949.53799052480406</v>
      </c>
      <c r="G8" s="101">
        <f t="shared" si="1"/>
        <v>95.383078421741232</v>
      </c>
      <c r="H8" s="101">
        <f t="shared" si="2"/>
        <v>2.1827245667372921</v>
      </c>
      <c r="I8" s="101">
        <f t="shared" si="3"/>
        <v>2.1827245667372921</v>
      </c>
      <c r="J8" s="101">
        <f t="shared" si="4"/>
        <v>8.4280637800848934E-2</v>
      </c>
      <c r="K8" s="101">
        <f t="shared" si="5"/>
        <v>0.17110185871249639</v>
      </c>
      <c r="L8" s="101">
        <f t="shared" ref="L8:L71" si="14">F8-SUM(G8:K8)</f>
        <v>849.53408047307494</v>
      </c>
      <c r="M8" s="101">
        <f t="shared" si="6"/>
        <v>50.196974941155261</v>
      </c>
      <c r="N8" s="101">
        <f t="shared" si="7"/>
        <v>4.8340774449789699</v>
      </c>
      <c r="O8" s="101">
        <f t="shared" si="8"/>
        <v>0.11538892753453631</v>
      </c>
      <c r="P8" s="101">
        <f t="shared" si="9"/>
        <v>0.11538892753453631</v>
      </c>
      <c r="Q8" s="101">
        <f t="shared" si="10"/>
        <v>4.4387326230905296E-3</v>
      </c>
      <c r="R8" s="101">
        <f t="shared" si="11"/>
        <v>1.3443799310453868E-3</v>
      </c>
      <c r="S8" s="101">
        <f t="shared" ref="S8:S71" si="15">M8-SUM(N8:R8)</f>
        <v>45.126336528553082</v>
      </c>
      <c r="T8" s="101">
        <f t="shared" ref="T8:U71" si="16">J8+Q8+T7</f>
        <v>0.17747049870726037</v>
      </c>
      <c r="U8" s="101">
        <f t="shared" si="16"/>
        <v>0.34872964440096288</v>
      </c>
      <c r="V8" s="33">
        <f t="shared" ref="V8:V71" si="17">SUM(G8:I8,L8,N8,O8,P8,S8,T8,U8)</f>
        <v>1000.0000000000002</v>
      </c>
      <c r="W8" s="105">
        <f t="shared" si="12"/>
        <v>130532.26181895955</v>
      </c>
      <c r="X8" s="112">
        <f t="shared" ref="X8:X71" si="18">(L8+G8+H8+I8+N8+O8+P8+S8)</f>
        <v>999.47379985689201</v>
      </c>
      <c r="Y8" s="32">
        <f t="shared" si="13"/>
        <v>657.25486937068149</v>
      </c>
      <c r="Z8" s="30"/>
      <c r="AA8" s="30"/>
    </row>
    <row r="9" spans="1:27" x14ac:dyDescent="0.25">
      <c r="A9" s="4">
        <v>3</v>
      </c>
      <c r="C9" s="110">
        <f>IF(male=0,VLOOKUP(((A7:A841/'Life tables'!$I$2)*2)+age,lifetable,13,1),IF(male=1,VLOOKUP(((A7:A841/'Life tables'!$I$2)*2)+age,lifetable,10,1),"error"))</f>
        <v>8.0321853324738512E-5</v>
      </c>
      <c r="E9" s="100"/>
      <c r="F9" s="101">
        <f t="shared" si="0"/>
        <v>925.34686291751052</v>
      </c>
      <c r="G9" s="101">
        <f t="shared" si="1"/>
        <v>92.953029024347956</v>
      </c>
      <c r="H9" s="101">
        <f t="shared" si="2"/>
        <v>2.1271158717167458</v>
      </c>
      <c r="I9" s="101">
        <f t="shared" si="3"/>
        <v>2.1271158717167458</v>
      </c>
      <c r="J9" s="101">
        <f t="shared" si="4"/>
        <v>8.2133442339256554E-2</v>
      </c>
      <c r="K9" s="101">
        <f t="shared" si="5"/>
        <v>0.16674274202705297</v>
      </c>
      <c r="L9" s="101">
        <f t="shared" si="14"/>
        <v>827.89072596536278</v>
      </c>
      <c r="M9" s="101">
        <f t="shared" si="6"/>
        <v>74.12693693938138</v>
      </c>
      <c r="N9" s="101">
        <f t="shared" si="7"/>
        <v>7.1385846327215949</v>
      </c>
      <c r="O9" s="101">
        <f t="shared" si="8"/>
        <v>0.17039727523187212</v>
      </c>
      <c r="P9" s="101">
        <f t="shared" si="9"/>
        <v>0.17039727523187212</v>
      </c>
      <c r="Q9" s="101">
        <f t="shared" si="10"/>
        <v>6.5547705539690474E-3</v>
      </c>
      <c r="R9" s="101">
        <f t="shared" si="11"/>
        <v>1.9852743414915785E-3</v>
      </c>
      <c r="S9" s="101">
        <f t="shared" si="15"/>
        <v>66.639017711300582</v>
      </c>
      <c r="T9" s="101">
        <f t="shared" si="16"/>
        <v>0.26615871160048599</v>
      </c>
      <c r="U9" s="101">
        <f t="shared" si="16"/>
        <v>0.51745766076950739</v>
      </c>
      <c r="V9" s="33">
        <f t="shared" si="17"/>
        <v>1000.0000000000001</v>
      </c>
      <c r="W9" s="105">
        <f t="shared" si="12"/>
        <v>132319.46166950179</v>
      </c>
      <c r="X9" s="112">
        <f t="shared" si="18"/>
        <v>999.21638362763019</v>
      </c>
      <c r="Y9" s="32">
        <f t="shared" si="13"/>
        <v>656.90629245557659</v>
      </c>
      <c r="Z9" s="30"/>
      <c r="AA9" s="30"/>
    </row>
    <row r="10" spans="1:27" x14ac:dyDescent="0.25">
      <c r="A10" s="4">
        <v>4</v>
      </c>
      <c r="C10" s="110">
        <f>IF(male=0,VLOOKUP(((A8:A842/'Life tables'!$I$2)*2)+age,lifetable,13,1),IF(male=1,VLOOKUP(((A8:A842/'Life tables'!$I$2)*2)+age,lifetable,10,1),"error"))</f>
        <v>8.0321853324738512E-5</v>
      </c>
      <c r="E10" s="100"/>
      <c r="F10" s="101">
        <f t="shared" si="0"/>
        <v>901.906326056171</v>
      </c>
      <c r="G10" s="101">
        <f t="shared" si="1"/>
        <v>90.598378038285631</v>
      </c>
      <c r="H10" s="101">
        <f t="shared" si="2"/>
        <v>2.0732325767087403</v>
      </c>
      <c r="I10" s="101">
        <f t="shared" si="3"/>
        <v>2.0732325767087403</v>
      </c>
      <c r="J10" s="101">
        <f t="shared" si="4"/>
        <v>8.0052869032256876E-2</v>
      </c>
      <c r="K10" s="101">
        <f t="shared" si="5"/>
        <v>0.16251887793081257</v>
      </c>
      <c r="L10" s="101">
        <f t="shared" si="14"/>
        <v>806.91891111750488</v>
      </c>
      <c r="M10" s="101">
        <f t="shared" si="6"/>
        <v>97.310057571459296</v>
      </c>
      <c r="N10" s="101">
        <f t="shared" si="7"/>
        <v>9.3711693787771146</v>
      </c>
      <c r="O10" s="101">
        <f t="shared" si="8"/>
        <v>0.22368884170126951</v>
      </c>
      <c r="P10" s="101">
        <f t="shared" si="9"/>
        <v>0.22368884170126951</v>
      </c>
      <c r="Q10" s="101">
        <f t="shared" si="10"/>
        <v>8.6047680682670505E-3</v>
      </c>
      <c r="R10" s="101">
        <f t="shared" si="11"/>
        <v>2.6061667788009192E-3</v>
      </c>
      <c r="S10" s="101">
        <f t="shared" si="15"/>
        <v>87.480299574432578</v>
      </c>
      <c r="T10" s="101">
        <f t="shared" si="16"/>
        <v>0.35481634870100992</v>
      </c>
      <c r="U10" s="101">
        <f t="shared" si="16"/>
        <v>0.68258270547912092</v>
      </c>
      <c r="V10" s="33">
        <f t="shared" si="17"/>
        <v>1000.0000000000003</v>
      </c>
      <c r="W10" s="105">
        <f t="shared" si="12"/>
        <v>134041.43523319365</v>
      </c>
      <c r="X10" s="112">
        <f t="shared" si="18"/>
        <v>998.96260094582021</v>
      </c>
      <c r="Y10" s="32">
        <f t="shared" si="13"/>
        <v>656.55994809411516</v>
      </c>
      <c r="Z10" s="30"/>
      <c r="AA10" s="30"/>
    </row>
    <row r="11" spans="1:27" x14ac:dyDescent="0.25">
      <c r="A11" s="4">
        <v>5</v>
      </c>
      <c r="C11" s="110">
        <f>IF(male=0,VLOOKUP(((A9:A843/'Life tables'!$I$2)*2)+age,lifetable,13,1),IF(male=1,VLOOKUP(((A9:A843/'Life tables'!$I$2)*2)+age,lifetable,10,1),"error"))</f>
        <v>8.0321853324738512E-5</v>
      </c>
      <c r="E11" s="100"/>
      <c r="F11" s="101">
        <f t="shared" si="0"/>
        <v>879.19306777770112</v>
      </c>
      <c r="G11" s="101">
        <f t="shared" si="1"/>
        <v>88.316783707982779</v>
      </c>
      <c r="H11" s="101">
        <f t="shared" si="2"/>
        <v>2.021021093513987</v>
      </c>
      <c r="I11" s="101">
        <f t="shared" si="3"/>
        <v>2.021021093513987</v>
      </c>
      <c r="J11" s="101">
        <f t="shared" si="4"/>
        <v>7.8036848700951511E-2</v>
      </c>
      <c r="K11" s="101">
        <f t="shared" si="5"/>
        <v>0.15842606569197284</v>
      </c>
      <c r="L11" s="101">
        <f t="shared" si="14"/>
        <v>786.59777896829746</v>
      </c>
      <c r="M11" s="101">
        <f t="shared" si="6"/>
        <v>119.76953316811912</v>
      </c>
      <c r="N11" s="101">
        <f t="shared" si="7"/>
        <v>11.534065540052648</v>
      </c>
      <c r="O11" s="101">
        <f t="shared" si="8"/>
        <v>0.27531694887555064</v>
      </c>
      <c r="P11" s="101">
        <f t="shared" si="9"/>
        <v>0.27531694887555064</v>
      </c>
      <c r="Q11" s="101">
        <f t="shared" si="10"/>
        <v>1.0590776331618892E-2</v>
      </c>
      <c r="R11" s="101">
        <f t="shared" si="11"/>
        <v>3.2076784892047607E-3</v>
      </c>
      <c r="S11" s="101">
        <f t="shared" si="15"/>
        <v>107.67103527549455</v>
      </c>
      <c r="T11" s="101">
        <f t="shared" si="16"/>
        <v>0.44344397373358035</v>
      </c>
      <c r="U11" s="101">
        <f t="shared" si="16"/>
        <v>0.84421644966029852</v>
      </c>
      <c r="V11" s="33">
        <f t="shared" si="17"/>
        <v>1000.0000000000005</v>
      </c>
      <c r="W11" s="105">
        <f t="shared" si="12"/>
        <v>135700.29096087746</v>
      </c>
      <c r="X11" s="112">
        <f t="shared" si="18"/>
        <v>998.71233957660661</v>
      </c>
      <c r="Y11" s="32">
        <f t="shared" si="13"/>
        <v>656.2157700545938</v>
      </c>
      <c r="Z11" s="30"/>
      <c r="AA11" s="30"/>
    </row>
    <row r="12" spans="1:27" x14ac:dyDescent="0.25">
      <c r="A12" s="4">
        <v>6</v>
      </c>
      <c r="C12" s="110">
        <f>IF(male=0,VLOOKUP(((A10:A844/'Life tables'!$I$2)*2)+age,lifetable,13,1),IF(male=1,VLOOKUP(((A10:A844/'Life tables'!$I$2)*2)+age,lifetable,10,1),"error"))</f>
        <v>8.0321853324738512E-5</v>
      </c>
      <c r="E12" s="100"/>
      <c r="F12" s="101">
        <f t="shared" si="0"/>
        <v>857.18449996127185</v>
      </c>
      <c r="G12" s="101">
        <f t="shared" si="1"/>
        <v>86.105977009427789</v>
      </c>
      <c r="H12" s="101">
        <f t="shared" si="2"/>
        <v>1.9704294983055919</v>
      </c>
      <c r="I12" s="101">
        <f t="shared" si="3"/>
        <v>1.9704294983055919</v>
      </c>
      <c r="J12" s="101">
        <f t="shared" si="4"/>
        <v>7.6083376432162467E-2</v>
      </c>
      <c r="K12" s="101">
        <f t="shared" si="5"/>
        <v>0.15446023504741926</v>
      </c>
      <c r="L12" s="101">
        <f t="shared" si="14"/>
        <v>766.90712034375326</v>
      </c>
      <c r="M12" s="101">
        <f t="shared" si="6"/>
        <v>141.5278396153347</v>
      </c>
      <c r="N12" s="101">
        <f t="shared" si="7"/>
        <v>13.629437593064347</v>
      </c>
      <c r="O12" s="101">
        <f t="shared" si="8"/>
        <v>0.32533326258479683</v>
      </c>
      <c r="P12" s="101">
        <f t="shared" si="9"/>
        <v>0.32533326258479683</v>
      </c>
      <c r="Q12" s="101">
        <f t="shared" si="10"/>
        <v>1.2514782803396809E-2</v>
      </c>
      <c r="R12" s="101">
        <f t="shared" si="11"/>
        <v>3.7904114239177156E-3</v>
      </c>
      <c r="S12" s="101">
        <f t="shared" si="15"/>
        <v>127.23143030287345</v>
      </c>
      <c r="T12" s="101">
        <f t="shared" si="16"/>
        <v>0.5320421329691396</v>
      </c>
      <c r="U12" s="101">
        <f t="shared" si="16"/>
        <v>1.0024670961316355</v>
      </c>
      <c r="V12" s="33">
        <f t="shared" si="17"/>
        <v>1000.0000000000005</v>
      </c>
      <c r="W12" s="105">
        <f t="shared" si="12"/>
        <v>137298.06945696022</v>
      </c>
      <c r="X12" s="112">
        <f t="shared" si="18"/>
        <v>998.46549077089969</v>
      </c>
      <c r="Y12" s="32">
        <f t="shared" si="13"/>
        <v>655.87369417922616</v>
      </c>
      <c r="Z12" s="30"/>
      <c r="AA12" s="30"/>
    </row>
    <row r="13" spans="1:27" x14ac:dyDescent="0.25">
      <c r="A13" s="4">
        <v>7</v>
      </c>
      <c r="C13" s="110">
        <f>IF(male=0,VLOOKUP(((A11:A845/'Life tables'!$I$2)*2)+age,lifetable,13,1),IF(male=1,VLOOKUP(((A11:A845/'Life tables'!$I$2)*2)+age,lifetable,10,1),"error"))</f>
        <v>8.0321853324738512E-5</v>
      </c>
      <c r="E13" s="100"/>
      <c r="F13" s="101">
        <f t="shared" si="0"/>
        <v>835.85873604059782</v>
      </c>
      <c r="G13" s="101">
        <f t="shared" si="1"/>
        <v>83.963759391231221</v>
      </c>
      <c r="H13" s="101">
        <f t="shared" si="2"/>
        <v>1.9214074799360394</v>
      </c>
      <c r="I13" s="101">
        <f t="shared" si="3"/>
        <v>1.9214074799360394</v>
      </c>
      <c r="J13" s="101">
        <f t="shared" si="4"/>
        <v>7.4190509582431285E-2</v>
      </c>
      <c r="K13" s="101">
        <f t="shared" si="5"/>
        <v>0.15061744215055531</v>
      </c>
      <c r="L13" s="101">
        <f t="shared" si="14"/>
        <v>747.82735373776154</v>
      </c>
      <c r="M13" s="101">
        <f t="shared" si="6"/>
        <v>162.6067547303019</v>
      </c>
      <c r="N13" s="101">
        <f t="shared" si="7"/>
        <v>15.659382788792593</v>
      </c>
      <c r="O13" s="101">
        <f t="shared" si="8"/>
        <v>0.37378784399251891</v>
      </c>
      <c r="P13" s="101">
        <f t="shared" si="9"/>
        <v>0.37378784399251891</v>
      </c>
      <c r="Q13" s="101">
        <f t="shared" si="10"/>
        <v>1.4378713215335848E-2</v>
      </c>
      <c r="R13" s="101">
        <f t="shared" si="11"/>
        <v>4.3549488384131358E-3</v>
      </c>
      <c r="S13" s="101">
        <f t="shared" si="15"/>
        <v>146.18106259147052</v>
      </c>
      <c r="T13" s="101">
        <f t="shared" si="16"/>
        <v>0.62061135576690674</v>
      </c>
      <c r="U13" s="101">
        <f t="shared" si="16"/>
        <v>1.157439487120604</v>
      </c>
      <c r="V13" s="33">
        <f t="shared" si="17"/>
        <v>1000.0000000000007</v>
      </c>
      <c r="W13" s="105">
        <f t="shared" si="12"/>
        <v>138836.74566220131</v>
      </c>
      <c r="X13" s="112">
        <f t="shared" si="18"/>
        <v>998.22194915711316</v>
      </c>
      <c r="Y13" s="32">
        <f t="shared" si="13"/>
        <v>655.53365831915175</v>
      </c>
      <c r="Z13" s="30"/>
      <c r="AA13" s="30"/>
    </row>
    <row r="14" spans="1:27" x14ac:dyDescent="0.25">
      <c r="A14" s="4">
        <v>8</v>
      </c>
      <c r="C14" s="110">
        <f>IF(male=0,VLOOKUP(((A12:A846/'Life tables'!$I$2)*2)+age,lifetable,13,1),IF(male=1,VLOOKUP(((A12:A846/'Life tables'!$I$2)*2)+age,lifetable,10,1),"error"))</f>
        <v>8.0321853324738512E-5</v>
      </c>
      <c r="E14" s="100"/>
      <c r="F14" s="101">
        <f t="shared" si="0"/>
        <v>815.19456921466167</v>
      </c>
      <c r="G14" s="101">
        <f t="shared" si="1"/>
        <v>81.888000585847522</v>
      </c>
      <c r="H14" s="101">
        <f t="shared" si="2"/>
        <v>1.8739062898496903</v>
      </c>
      <c r="I14" s="101">
        <f t="shared" si="3"/>
        <v>1.8739062898496903</v>
      </c>
      <c r="J14" s="101">
        <f t="shared" si="4"/>
        <v>7.2356365844011228E-2</v>
      </c>
      <c r="K14" s="101">
        <f t="shared" si="5"/>
        <v>0.14689386564498691</v>
      </c>
      <c r="L14" s="101">
        <f t="shared" si="14"/>
        <v>729.33950581762576</v>
      </c>
      <c r="M14" s="101">
        <f t="shared" si="6"/>
        <v>183.0273799424514</v>
      </c>
      <c r="N14" s="101">
        <f t="shared" si="7"/>
        <v>17.625933240610497</v>
      </c>
      <c r="O14" s="101">
        <f t="shared" si="8"/>
        <v>0.42072919943429393</v>
      </c>
      <c r="P14" s="101">
        <f t="shared" si="9"/>
        <v>0.42072919943429393</v>
      </c>
      <c r="Q14" s="101">
        <f t="shared" si="10"/>
        <v>1.6184433488705508E-2</v>
      </c>
      <c r="R14" s="101">
        <f t="shared" si="11"/>
        <v>4.9018558730859587E-3</v>
      </c>
      <c r="S14" s="101">
        <f t="shared" si="15"/>
        <v>164.53890201361054</v>
      </c>
      <c r="T14" s="101">
        <f t="shared" si="16"/>
        <v>0.70915215509962348</v>
      </c>
      <c r="U14" s="101">
        <f t="shared" si="16"/>
        <v>1.3092352086386767</v>
      </c>
      <c r="V14" s="33">
        <f t="shared" si="17"/>
        <v>1000.0000000000007</v>
      </c>
      <c r="W14" s="105">
        <f t="shared" si="12"/>
        <v>140318.23096627457</v>
      </c>
      <c r="X14" s="112">
        <f t="shared" si="18"/>
        <v>997.9816126362623</v>
      </c>
      <c r="Y14" s="32">
        <f t="shared" si="13"/>
        <v>655.19560227148236</v>
      </c>
      <c r="Z14" s="30"/>
      <c r="AA14" s="30"/>
    </row>
    <row r="15" spans="1:27" x14ac:dyDescent="0.25">
      <c r="A15" s="4">
        <v>9</v>
      </c>
      <c r="C15" s="110">
        <f>IF(male=0,VLOOKUP(((A13:A847/'Life tables'!$I$2)*2)+age,lifetable,13,1),IF(male=1,VLOOKUP(((A13:A847/'Life tables'!$I$2)*2)+age,lifetable,10,1),"error"))</f>
        <v>8.0321853324738512E-5</v>
      </c>
      <c r="E15" s="100"/>
      <c r="F15" s="101">
        <f t="shared" si="0"/>
        <v>795.17145133518227</v>
      </c>
      <c r="G15" s="101">
        <f t="shared" si="1"/>
        <v>79.876636488776924</v>
      </c>
      <c r="H15" s="101">
        <f t="shared" si="2"/>
        <v>1.8278786935509252</v>
      </c>
      <c r="I15" s="101">
        <f t="shared" si="3"/>
        <v>1.8278786935509252</v>
      </c>
      <c r="J15" s="101">
        <f t="shared" si="4"/>
        <v>7.0579121370926576E-2</v>
      </c>
      <c r="K15" s="101">
        <f t="shared" si="5"/>
        <v>0.14328580286015316</v>
      </c>
      <c r="L15" s="101">
        <f t="shared" si="14"/>
        <v>711.42519253507237</v>
      </c>
      <c r="M15" s="101">
        <f t="shared" si="6"/>
        <v>202.81016130108026</v>
      </c>
      <c r="N15" s="101">
        <f t="shared" si="7"/>
        <v>19.531057947364332</v>
      </c>
      <c r="O15" s="101">
        <f t="shared" si="8"/>
        <v>0.46620432870848572</v>
      </c>
      <c r="P15" s="101">
        <f t="shared" si="9"/>
        <v>0.46620432870848572</v>
      </c>
      <c r="Q15" s="101">
        <f t="shared" si="10"/>
        <v>1.7933751591936858E-2</v>
      </c>
      <c r="R15" s="101">
        <f t="shared" si="11"/>
        <v>5.4316801158810031E-3</v>
      </c>
      <c r="S15" s="101">
        <f t="shared" si="15"/>
        <v>182.32332926459114</v>
      </c>
      <c r="T15" s="101">
        <f t="shared" si="16"/>
        <v>0.79766502806248696</v>
      </c>
      <c r="U15" s="101">
        <f t="shared" si="16"/>
        <v>1.457952691614711</v>
      </c>
      <c r="V15" s="33">
        <f t="shared" si="17"/>
        <v>1000.0000000000009</v>
      </c>
      <c r="W15" s="105">
        <f t="shared" si="12"/>
        <v>141744.37525236481</v>
      </c>
      <c r="X15" s="112">
        <f t="shared" si="18"/>
        <v>997.74438228032363</v>
      </c>
      <c r="Y15" s="32">
        <f t="shared" si="13"/>
        <v>654.85946771832232</v>
      </c>
      <c r="Z15" s="30"/>
      <c r="AA15" s="30"/>
    </row>
    <row r="16" spans="1:27" x14ac:dyDescent="0.25">
      <c r="A16" s="4">
        <v>10</v>
      </c>
      <c r="C16" s="110">
        <f>IF(male=0,VLOOKUP(((A14:A848/'Life tables'!$I$2)*2)+age,lifetable,13,1),IF(male=1,VLOOKUP(((A14:A848/'Life tables'!$I$2)*2)+age,lifetable,10,1),"error"))</f>
        <v>8.0321853324738512E-5</v>
      </c>
      <c r="E16" s="100"/>
      <c r="F16" s="101">
        <f t="shared" si="0"/>
        <v>775.76947244980727</v>
      </c>
      <c r="G16" s="101">
        <f t="shared" si="1"/>
        <v>77.927667103636409</v>
      </c>
      <c r="H16" s="101">
        <f t="shared" si="2"/>
        <v>1.7832789235796151</v>
      </c>
      <c r="I16" s="101">
        <f t="shared" si="3"/>
        <v>1.7832789235796151</v>
      </c>
      <c r="J16" s="101">
        <f t="shared" si="4"/>
        <v>6.8857008963234254E-2</v>
      </c>
      <c r="K16" s="101">
        <f t="shared" si="5"/>
        <v>0.13978966612511481</v>
      </c>
      <c r="L16" s="101">
        <f t="shared" si="14"/>
        <v>694.0666008239233</v>
      </c>
      <c r="M16" s="101">
        <f t="shared" si="6"/>
        <v>221.97490983051642</v>
      </c>
      <c r="N16" s="101">
        <f t="shared" si="7"/>
        <v>21.376664753619998</v>
      </c>
      <c r="O16" s="101">
        <f t="shared" si="8"/>
        <v>0.51025877186712409</v>
      </c>
      <c r="P16" s="101">
        <f t="shared" si="9"/>
        <v>0.51025877186712409</v>
      </c>
      <c r="Q16" s="101">
        <f t="shared" si="10"/>
        <v>1.9628419340554319E-2</v>
      </c>
      <c r="R16" s="101">
        <f t="shared" si="11"/>
        <v>5.9449521474468281E-3</v>
      </c>
      <c r="S16" s="101">
        <f t="shared" si="15"/>
        <v>199.55215416167417</v>
      </c>
      <c r="T16" s="101">
        <f t="shared" si="16"/>
        <v>0.88615045636627554</v>
      </c>
      <c r="U16" s="101">
        <f t="shared" si="16"/>
        <v>1.6036873098872726</v>
      </c>
      <c r="V16" s="33">
        <f t="shared" si="17"/>
        <v>1000.000000000001</v>
      </c>
      <c r="W16" s="105">
        <f t="shared" si="12"/>
        <v>143116.96887598527</v>
      </c>
      <c r="X16" s="112">
        <f t="shared" si="18"/>
        <v>997.51016223374734</v>
      </c>
      <c r="Y16" s="32">
        <f t="shared" si="13"/>
        <v>654.52519816769802</v>
      </c>
      <c r="Z16" s="30"/>
      <c r="AA16" s="30"/>
    </row>
    <row r="17" spans="1:27" x14ac:dyDescent="0.25">
      <c r="A17" s="4">
        <v>11</v>
      </c>
      <c r="C17" s="110">
        <f>IF(male=0,VLOOKUP(((A15:A849/'Life tables'!$I$2)*2)+age,lifetable,13,1),IF(male=1,VLOOKUP(((A15:A849/'Life tables'!$I$2)*2)+age,lifetable,10,1),"error"))</f>
        <v>8.0321853324738512E-5</v>
      </c>
      <c r="E17" s="100"/>
      <c r="F17" s="101">
        <f t="shared" si="0"/>
        <v>756.96934098066561</v>
      </c>
      <c r="G17" s="101">
        <f t="shared" si="1"/>
        <v>76.03915455105377</v>
      </c>
      <c r="H17" s="101">
        <f t="shared" si="2"/>
        <v>1.7400626339471106</v>
      </c>
      <c r="I17" s="101">
        <f t="shared" si="3"/>
        <v>1.7400626339471106</v>
      </c>
      <c r="J17" s="101">
        <f t="shared" si="4"/>
        <v>6.7188316307679366E-2</v>
      </c>
      <c r="K17" s="101">
        <f t="shared" si="5"/>
        <v>0.13640197919683134</v>
      </c>
      <c r="L17" s="101">
        <f t="shared" si="14"/>
        <v>677.24647086621314</v>
      </c>
      <c r="M17" s="101">
        <f t="shared" si="6"/>
        <v>240.54082125308156</v>
      </c>
      <c r="N17" s="101">
        <f t="shared" si="7"/>
        <v>23.164602249027048</v>
      </c>
      <c r="O17" s="101">
        <f t="shared" si="8"/>
        <v>0.55293665455352814</v>
      </c>
      <c r="P17" s="101">
        <f t="shared" si="9"/>
        <v>0.55293665455352814</v>
      </c>
      <c r="Q17" s="101">
        <f t="shared" si="10"/>
        <v>2.127013414120426E-2</v>
      </c>
      <c r="R17" s="101">
        <f t="shared" si="11"/>
        <v>6.4421860693579091E-3</v>
      </c>
      <c r="S17" s="101">
        <f t="shared" si="15"/>
        <v>216.2426333747369</v>
      </c>
      <c r="T17" s="101">
        <f t="shared" si="16"/>
        <v>0.9746089068151591</v>
      </c>
      <c r="U17" s="101">
        <f t="shared" si="16"/>
        <v>1.7465314751534617</v>
      </c>
      <c r="V17" s="33">
        <f t="shared" si="17"/>
        <v>1000.0000000000008</v>
      </c>
      <c r="W17" s="105">
        <f t="shared" si="12"/>
        <v>144437.7445801314</v>
      </c>
      <c r="X17" s="112">
        <f t="shared" si="18"/>
        <v>997.27885961803213</v>
      </c>
      <c r="Y17" s="32">
        <f t="shared" si="13"/>
        <v>654.19273889633882</v>
      </c>
      <c r="Z17" s="30"/>
      <c r="AA17" s="30"/>
    </row>
    <row r="18" spans="1:27" x14ac:dyDescent="0.25">
      <c r="A18" s="4">
        <v>12</v>
      </c>
      <c r="C18" s="110">
        <f>IF(male=0,VLOOKUP(((A16:A850/'Life tables'!$I$2)*2)+age,lifetable,13,1),IF(male=1,VLOOKUP(((A16:A850/'Life tables'!$I$2)*2)+age,lifetable,10,1),"error"))</f>
        <v>8.0321853324738512E-5</v>
      </c>
      <c r="E18" s="100"/>
      <c r="F18" s="101">
        <f t="shared" si="0"/>
        <v>738.75236451854539</v>
      </c>
      <c r="G18" s="101">
        <f t="shared" si="1"/>
        <v>74.209221139402629</v>
      </c>
      <c r="H18" s="101">
        <f t="shared" si="2"/>
        <v>1.6981868559873805</v>
      </c>
      <c r="I18" s="101">
        <f t="shared" si="3"/>
        <v>1.6981868559873805</v>
      </c>
      <c r="J18" s="101">
        <f t="shared" si="4"/>
        <v>6.5571384272993777E-2</v>
      </c>
      <c r="K18" s="101">
        <f t="shared" si="5"/>
        <v>0.1331193737993708</v>
      </c>
      <c r="L18" s="101">
        <f t="shared" si="14"/>
        <v>660.94807890909556</v>
      </c>
      <c r="M18" s="101">
        <f t="shared" si="6"/>
        <v>258.52649509948685</v>
      </c>
      <c r="N18" s="101">
        <f t="shared" si="7"/>
        <v>24.896661608691222</v>
      </c>
      <c r="O18" s="101">
        <f t="shared" si="8"/>
        <v>0.59428073193180742</v>
      </c>
      <c r="P18" s="101">
        <f t="shared" si="9"/>
        <v>0.59428073193180742</v>
      </c>
      <c r="Q18" s="101">
        <f t="shared" si="10"/>
        <v>2.286054068151655E-2</v>
      </c>
      <c r="R18" s="101">
        <f t="shared" si="11"/>
        <v>6.9238800159309912E-3</v>
      </c>
      <c r="S18" s="101">
        <f t="shared" si="15"/>
        <v>232.41148760623457</v>
      </c>
      <c r="T18" s="101">
        <f t="shared" si="16"/>
        <v>1.0630408317696693</v>
      </c>
      <c r="U18" s="101">
        <f t="shared" si="16"/>
        <v>1.8865747289687635</v>
      </c>
      <c r="V18" s="33">
        <f t="shared" si="17"/>
        <v>1000.0000000000008</v>
      </c>
      <c r="W18" s="105">
        <f t="shared" si="12"/>
        <v>145708.37934882124</v>
      </c>
      <c r="X18" s="112">
        <f t="shared" si="18"/>
        <v>997.05038443926242</v>
      </c>
      <c r="Y18" s="32">
        <f t="shared" si="13"/>
        <v>653.86203689425349</v>
      </c>
      <c r="Z18" s="30"/>
      <c r="AA18" s="30"/>
    </row>
    <row r="19" spans="1:27" x14ac:dyDescent="0.25">
      <c r="A19" s="4">
        <v>13</v>
      </c>
      <c r="C19" s="110">
        <f>IF(male=0,VLOOKUP(((A17:A851/'Life tables'!$I$2)*2)+age,lifetable,13,1),IF(male=1,VLOOKUP(((A17:A851/'Life tables'!$I$2)*2)+age,lifetable,10,1),"error"))</f>
        <v>8.0321853324738512E-5</v>
      </c>
      <c r="E19" s="100"/>
      <c r="F19" s="101">
        <f t="shared" si="0"/>
        <v>721.10043121357535</v>
      </c>
      <c r="G19" s="101">
        <f t="shared" si="1"/>
        <v>72.436047495457387</v>
      </c>
      <c r="H19" s="101">
        <f t="shared" si="2"/>
        <v>1.6576099555793502</v>
      </c>
      <c r="I19" s="101">
        <f t="shared" si="3"/>
        <v>1.6576099555793502</v>
      </c>
      <c r="J19" s="101">
        <f t="shared" si="4"/>
        <v>6.4004605258139766E-2</v>
      </c>
      <c r="K19" s="101">
        <f t="shared" si="5"/>
        <v>0.12993858627060631</v>
      </c>
      <c r="L19" s="101">
        <f t="shared" si="14"/>
        <v>645.15522061543049</v>
      </c>
      <c r="M19" s="101">
        <f t="shared" si="6"/>
        <v>275.94995322568695</v>
      </c>
      <c r="N19" s="101">
        <f t="shared" si="7"/>
        <v>26.574578376387603</v>
      </c>
      <c r="O19" s="101">
        <f t="shared" si="8"/>
        <v>0.6343324312519748</v>
      </c>
      <c r="P19" s="101">
        <f t="shared" si="9"/>
        <v>0.6343324312519748</v>
      </c>
      <c r="Q19" s="101">
        <f t="shared" si="10"/>
        <v>2.4401232567481349E-2</v>
      </c>
      <c r="R19" s="101">
        <f t="shared" si="11"/>
        <v>7.3905166501451475E-3</v>
      </c>
      <c r="S19" s="101">
        <f t="shared" si="15"/>
        <v>248.07491823757778</v>
      </c>
      <c r="T19" s="101">
        <f t="shared" si="16"/>
        <v>1.1514466695952905</v>
      </c>
      <c r="U19" s="101">
        <f t="shared" si="16"/>
        <v>2.0239038318895148</v>
      </c>
      <c r="V19" s="33">
        <f t="shared" si="17"/>
        <v>1000.0000000000008</v>
      </c>
      <c r="W19" s="105">
        <f t="shared" si="12"/>
        <v>146930.49620100108</v>
      </c>
      <c r="X19" s="112">
        <f t="shared" si="18"/>
        <v>996.82464949851601</v>
      </c>
      <c r="Y19" s="32">
        <f t="shared" si="13"/>
        <v>653.53304081103886</v>
      </c>
      <c r="Z19" s="30"/>
      <c r="AA19" s="30"/>
    </row>
    <row r="20" spans="1:27" x14ac:dyDescent="0.25">
      <c r="A20" s="4">
        <v>14</v>
      </c>
      <c r="C20" s="110">
        <f>IF(male=0,VLOOKUP(((A18:A852/'Life tables'!$I$2)*2)+age,lifetable,13,1),IF(male=1,VLOOKUP(((A18:A852/'Life tables'!$I$2)*2)+age,lifetable,10,1),"error"))</f>
        <v>8.0321853324738512E-5</v>
      </c>
      <c r="E20" s="100"/>
      <c r="F20" s="101">
        <f t="shared" si="0"/>
        <v>703.99599174388811</v>
      </c>
      <c r="G20" s="101">
        <f t="shared" si="1"/>
        <v>70.717870753107775</v>
      </c>
      <c r="H20" s="101">
        <f t="shared" si="2"/>
        <v>1.6182915916978557</v>
      </c>
      <c r="I20" s="101">
        <f t="shared" si="3"/>
        <v>1.6182915916978557</v>
      </c>
      <c r="J20" s="101">
        <f t="shared" si="4"/>
        <v>6.2486421591855371E-2</v>
      </c>
      <c r="K20" s="101">
        <f t="shared" si="5"/>
        <v>0.12685645431306203</v>
      </c>
      <c r="L20" s="101">
        <f t="shared" si="14"/>
        <v>629.85219493147974</v>
      </c>
      <c r="M20" s="101">
        <f t="shared" si="6"/>
        <v>292.82865775462784</v>
      </c>
      <c r="N20" s="101">
        <f t="shared" si="7"/>
        <v>28.200034192389801</v>
      </c>
      <c r="O20" s="101">
        <f t="shared" si="8"/>
        <v>0.67313189309305099</v>
      </c>
      <c r="P20" s="101">
        <f t="shared" si="9"/>
        <v>0.67313189309305099</v>
      </c>
      <c r="Q20" s="101">
        <f t="shared" si="10"/>
        <v>2.5893753909971461E-2</v>
      </c>
      <c r="R20" s="101">
        <f t="shared" si="11"/>
        <v>7.8425636441593009E-3</v>
      </c>
      <c r="S20" s="101">
        <f t="shared" si="15"/>
        <v>263.24862345849783</v>
      </c>
      <c r="T20" s="101">
        <f t="shared" si="16"/>
        <v>1.2398268450971173</v>
      </c>
      <c r="U20" s="101">
        <f t="shared" si="16"/>
        <v>2.1586028498467362</v>
      </c>
      <c r="V20" s="33">
        <f t="shared" si="17"/>
        <v>1000.0000000000007</v>
      </c>
      <c r="W20" s="105">
        <f t="shared" si="12"/>
        <v>148105.66592673969</v>
      </c>
      <c r="X20" s="112">
        <f t="shared" si="18"/>
        <v>996.60157030505673</v>
      </c>
      <c r="Y20" s="32">
        <f t="shared" si="13"/>
        <v>653.20570090387605</v>
      </c>
      <c r="Z20" s="30"/>
      <c r="AA20" s="30"/>
    </row>
    <row r="21" spans="1:27" x14ac:dyDescent="0.25">
      <c r="A21" s="4">
        <v>15</v>
      </c>
      <c r="C21" s="110">
        <f>IF(male=0,VLOOKUP(((A19:A853/'Life tables'!$I$2)*2)+age,lifetable,13,1),IF(male=1,VLOOKUP(((A19:A853/'Life tables'!$I$2)*2)+age,lifetable,10,1),"error"))</f>
        <v>8.0321853324738512E-5</v>
      </c>
      <c r="E21" s="100"/>
      <c r="F21" s="101">
        <f t="shared" si="0"/>
        <v>687.42204184430773</v>
      </c>
      <c r="G21" s="101">
        <f t="shared" si="1"/>
        <v>69.052982798328898</v>
      </c>
      <c r="H21" s="101">
        <f t="shared" si="2"/>
        <v>1.580192676251942</v>
      </c>
      <c r="I21" s="101">
        <f t="shared" si="3"/>
        <v>1.580192676251942</v>
      </c>
      <c r="J21" s="101">
        <f t="shared" si="4"/>
        <v>6.1015323981907288E-2</v>
      </c>
      <c r="K21" s="101">
        <f t="shared" si="5"/>
        <v>0.12386991384567257</v>
      </c>
      <c r="L21" s="101">
        <f t="shared" si="14"/>
        <v>615.02378845564738</v>
      </c>
      <c r="M21" s="101">
        <f t="shared" si="6"/>
        <v>309.17952846074917</v>
      </c>
      <c r="N21" s="101">
        <f t="shared" si="7"/>
        <v>29.774658467635209</v>
      </c>
      <c r="O21" s="101">
        <f t="shared" si="8"/>
        <v>0.71071801132521439</v>
      </c>
      <c r="P21" s="101">
        <f t="shared" si="9"/>
        <v>0.71071801132521439</v>
      </c>
      <c r="Q21" s="101">
        <f t="shared" si="10"/>
        <v>2.7339600861989513E-2</v>
      </c>
      <c r="R21" s="101">
        <f t="shared" si="11"/>
        <v>8.280474144905535E-3</v>
      </c>
      <c r="S21" s="101">
        <f t="shared" si="15"/>
        <v>277.94781389545665</v>
      </c>
      <c r="T21" s="101">
        <f t="shared" si="16"/>
        <v>1.3281817699410141</v>
      </c>
      <c r="U21" s="101">
        <f t="shared" si="16"/>
        <v>2.2907532378373143</v>
      </c>
      <c r="V21" s="33">
        <f t="shared" si="17"/>
        <v>1000.0000000000007</v>
      </c>
      <c r="W21" s="105">
        <f t="shared" si="12"/>
        <v>149235.40876756306</v>
      </c>
      <c r="X21" s="112">
        <f t="shared" si="18"/>
        <v>996.38106499222238</v>
      </c>
      <c r="Y21" s="32">
        <f t="shared" si="13"/>
        <v>652.87996898715164</v>
      </c>
      <c r="Z21" s="30"/>
      <c r="AA21" s="30"/>
    </row>
    <row r="22" spans="1:27" x14ac:dyDescent="0.25">
      <c r="A22" s="4">
        <v>16</v>
      </c>
      <c r="C22" s="110">
        <f>IF(male=0,VLOOKUP(((A20:A854/'Life tables'!$I$2)*2)+age,lifetable,13,1),IF(male=1,VLOOKUP(((A20:A854/'Life tables'!$I$2)*2)+age,lifetable,10,1),"error"))</f>
        <v>8.0321853324738512E-5</v>
      </c>
      <c r="E22" s="100"/>
      <c r="F22" s="101">
        <f t="shared" si="0"/>
        <v>671.36210537767363</v>
      </c>
      <c r="G22" s="101">
        <f t="shared" si="1"/>
        <v>67.439728568660328</v>
      </c>
      <c r="H22" s="101">
        <f t="shared" si="2"/>
        <v>1.5432753351705306</v>
      </c>
      <c r="I22" s="101">
        <f t="shared" si="3"/>
        <v>1.5432753351705306</v>
      </c>
      <c r="J22" s="101">
        <f t="shared" si="4"/>
        <v>5.9589850012507772E-2</v>
      </c>
      <c r="K22" s="101">
        <f t="shared" si="5"/>
        <v>0.12097599595332267</v>
      </c>
      <c r="L22" s="101">
        <f t="shared" si="14"/>
        <v>600.65526029270643</v>
      </c>
      <c r="M22" s="101">
        <f t="shared" si="6"/>
        <v>325.01895961454898</v>
      </c>
      <c r="N22" s="101">
        <f t="shared" si="7"/>
        <v>31.30003000589306</v>
      </c>
      <c r="O22" s="101">
        <f t="shared" si="8"/>
        <v>0.74712847183078568</v>
      </c>
      <c r="P22" s="101">
        <f t="shared" si="9"/>
        <v>0.74712847183078568</v>
      </c>
      <c r="Q22" s="101">
        <f t="shared" si="10"/>
        <v>2.874022310817043E-2</v>
      </c>
      <c r="R22" s="101">
        <f t="shared" si="11"/>
        <v>8.7046872252217536E-3</v>
      </c>
      <c r="S22" s="101">
        <f t="shared" si="15"/>
        <v>292.18722775466097</v>
      </c>
      <c r="T22" s="101">
        <f t="shared" si="16"/>
        <v>1.4165118430616923</v>
      </c>
      <c r="U22" s="101">
        <f t="shared" si="16"/>
        <v>2.4204339210158587</v>
      </c>
      <c r="V22" s="33">
        <f t="shared" si="17"/>
        <v>1000.000000000001</v>
      </c>
      <c r="W22" s="105">
        <f t="shared" si="12"/>
        <v>150321.19604273068</v>
      </c>
      <c r="X22" s="112">
        <f t="shared" si="18"/>
        <v>996.16305423592348</v>
      </c>
      <c r="Y22" s="32">
        <f t="shared" si="13"/>
        <v>652.55579838366191</v>
      </c>
      <c r="Z22" s="30"/>
      <c r="AA22" s="30"/>
    </row>
    <row r="23" spans="1:27" x14ac:dyDescent="0.25">
      <c r="A23" s="4">
        <v>17</v>
      </c>
      <c r="C23" s="110">
        <f>IF(male=0,VLOOKUP(((A21:A855/'Life tables'!$I$2)*2)+age,lifetable,13,1),IF(male=1,VLOOKUP(((A21:A855/'Life tables'!$I$2)*2)+age,lifetable,10,1),"error"))</f>
        <v>8.0321853324738512E-5</v>
      </c>
      <c r="E23" s="100"/>
      <c r="F23" s="101">
        <f t="shared" si="0"/>
        <v>655.8002179319426</v>
      </c>
      <c r="G23" s="101">
        <f t="shared" si="1"/>
        <v>65.876504405500626</v>
      </c>
      <c r="H23" s="101">
        <f t="shared" si="2"/>
        <v>1.5075028706967033</v>
      </c>
      <c r="I23" s="101">
        <f t="shared" si="3"/>
        <v>1.5075028706967033</v>
      </c>
      <c r="J23" s="101">
        <f t="shared" si="4"/>
        <v>5.8208582688399603E-2</v>
      </c>
      <c r="K23" s="101">
        <f t="shared" si="5"/>
        <v>0.11817182393112943</v>
      </c>
      <c r="L23" s="101">
        <f t="shared" si="14"/>
        <v>586.73232737842909</v>
      </c>
      <c r="M23" s="101">
        <f t="shared" si="6"/>
        <v>340.36283630398088</v>
      </c>
      <c r="N23" s="101">
        <f t="shared" si="7"/>
        <v>32.777678575550361</v>
      </c>
      <c r="O23" s="101">
        <f t="shared" si="8"/>
        <v>0.78239979002259408</v>
      </c>
      <c r="P23" s="101">
        <f t="shared" si="9"/>
        <v>0.78239979002259408</v>
      </c>
      <c r="Q23" s="101">
        <f t="shared" si="10"/>
        <v>3.0097025308022118E-2</v>
      </c>
      <c r="R23" s="101">
        <f t="shared" si="11"/>
        <v>9.1156283209728253E-3</v>
      </c>
      <c r="S23" s="101">
        <f t="shared" si="15"/>
        <v>305.98114549475633</v>
      </c>
      <c r="T23" s="101">
        <f t="shared" si="16"/>
        <v>1.504817451058114</v>
      </c>
      <c r="U23" s="101">
        <f t="shared" si="16"/>
        <v>2.5477213732679611</v>
      </c>
      <c r="V23" s="33">
        <f t="shared" si="17"/>
        <v>1000.000000000001</v>
      </c>
      <c r="W23" s="105">
        <f t="shared" si="12"/>
        <v>151364.45172318965</v>
      </c>
      <c r="X23" s="112">
        <f t="shared" si="18"/>
        <v>995.94746117567513</v>
      </c>
      <c r="Y23" s="32">
        <f t="shared" si="13"/>
        <v>652.23314387734274</v>
      </c>
      <c r="Z23" s="30"/>
      <c r="AA23" s="30"/>
    </row>
    <row r="24" spans="1:27" x14ac:dyDescent="0.25">
      <c r="A24" s="4">
        <v>18</v>
      </c>
      <c r="C24" s="110">
        <f>IF(male=0,VLOOKUP(((A22:A856/'Life tables'!$I$2)*2)+age,lifetable,13,1),IF(male=1,VLOOKUP(((A22:A856/'Life tables'!$I$2)*2)+age,lifetable,10,1),"error"))</f>
        <v>8.0321853324738512E-5</v>
      </c>
      <c r="E24" s="100"/>
      <c r="F24" s="101">
        <f t="shared" si="0"/>
        <v>640.72091092674327</v>
      </c>
      <c r="G24" s="101">
        <f t="shared" si="1"/>
        <v>64.36175645757757</v>
      </c>
      <c r="H24" s="101">
        <f t="shared" si="2"/>
        <v>1.47283972485308</v>
      </c>
      <c r="I24" s="101">
        <f t="shared" si="3"/>
        <v>1.47283972485308</v>
      </c>
      <c r="J24" s="101">
        <f t="shared" si="4"/>
        <v>5.6870149024159794E-2</v>
      </c>
      <c r="K24" s="101">
        <f t="shared" si="5"/>
        <v>0.11545461042052521</v>
      </c>
      <c r="L24" s="101">
        <f t="shared" si="14"/>
        <v>573.24115026001482</v>
      </c>
      <c r="M24" s="101">
        <f t="shared" si="6"/>
        <v>355.22655024893186</v>
      </c>
      <c r="N24" s="101">
        <f t="shared" si="7"/>
        <v>34.209086432580342</v>
      </c>
      <c r="O24" s="101">
        <f t="shared" si="8"/>
        <v>0.81656734719707724</v>
      </c>
      <c r="P24" s="101">
        <f t="shared" si="9"/>
        <v>0.81656734719707724</v>
      </c>
      <c r="Q24" s="101">
        <f t="shared" si="10"/>
        <v>3.1411368494341251E-2</v>
      </c>
      <c r="R24" s="101">
        <f t="shared" si="11"/>
        <v>9.5137096545953488E-3</v>
      </c>
      <c r="S24" s="101">
        <f t="shared" si="15"/>
        <v>319.34340404380839</v>
      </c>
      <c r="T24" s="101">
        <f t="shared" si="16"/>
        <v>1.593098968576615</v>
      </c>
      <c r="U24" s="101">
        <f t="shared" si="16"/>
        <v>2.6726896933430817</v>
      </c>
      <c r="V24" s="33">
        <f t="shared" si="17"/>
        <v>1000.000000000001</v>
      </c>
      <c r="W24" s="105">
        <f t="shared" si="12"/>
        <v>152366.55395489206</v>
      </c>
      <c r="X24" s="112">
        <f t="shared" si="18"/>
        <v>995.73421133808142</v>
      </c>
      <c r="Y24" s="32">
        <f t="shared" si="13"/>
        <v>651.9119616674833</v>
      </c>
      <c r="Z24" s="30"/>
      <c r="AA24" s="30"/>
    </row>
    <row r="25" spans="1:27" x14ac:dyDescent="0.25">
      <c r="A25" s="4">
        <v>19</v>
      </c>
      <c r="C25" s="110">
        <f>IF(male=0,VLOOKUP(((A23:A857/'Life tables'!$I$2)*2)+age,lifetable,13,1),IF(male=1,VLOOKUP(((A23:A857/'Life tables'!$I$2)*2)+age,lifetable,10,1),"error"))</f>
        <v>8.0321853324738512E-5</v>
      </c>
      <c r="E25" s="100"/>
      <c r="F25" s="101">
        <f t="shared" si="0"/>
        <v>626.1091962135564</v>
      </c>
      <c r="G25" s="101">
        <f t="shared" si="1"/>
        <v>62.893979134003899</v>
      </c>
      <c r="H25" s="101">
        <f t="shared" si="2"/>
        <v>1.4392514440419011</v>
      </c>
      <c r="I25" s="101">
        <f t="shared" si="3"/>
        <v>1.4392514440419011</v>
      </c>
      <c r="J25" s="101">
        <f t="shared" si="4"/>
        <v>5.5573218677317328E-2</v>
      </c>
      <c r="K25" s="101">
        <f t="shared" si="5"/>
        <v>0.11282165463428941</v>
      </c>
      <c r="L25" s="101">
        <f t="shared" si="14"/>
        <v>560.16831931815705</v>
      </c>
      <c r="M25" s="101">
        <f t="shared" si="6"/>
        <v>369.62501512452508</v>
      </c>
      <c r="N25" s="101">
        <f t="shared" si="7"/>
        <v>35.595689796209754</v>
      </c>
      <c r="O25" s="101">
        <f t="shared" si="8"/>
        <v>0.84966542575830617</v>
      </c>
      <c r="P25" s="101">
        <f t="shared" si="9"/>
        <v>0.84966542575830617</v>
      </c>
      <c r="Q25" s="101">
        <f t="shared" si="10"/>
        <v>3.2684571428196134E-2</v>
      </c>
      <c r="R25" s="101">
        <f t="shared" si="11"/>
        <v>9.8993306454877531E-3</v>
      </c>
      <c r="S25" s="101">
        <f t="shared" si="15"/>
        <v>332.28741057472502</v>
      </c>
      <c r="T25" s="101">
        <f t="shared" si="16"/>
        <v>1.6813567586821285</v>
      </c>
      <c r="U25" s="101">
        <f t="shared" si="16"/>
        <v>2.7954106786228587</v>
      </c>
      <c r="V25" s="33">
        <f t="shared" si="17"/>
        <v>1000.0000000000011</v>
      </c>
      <c r="W25" s="105">
        <f t="shared" si="12"/>
        <v>153328.83653310331</v>
      </c>
      <c r="X25" s="112">
        <f t="shared" si="18"/>
        <v>995.52323256269619</v>
      </c>
      <c r="Y25" s="32">
        <f t="shared" si="13"/>
        <v>651.59220932437256</v>
      </c>
      <c r="Z25" s="30"/>
      <c r="AA25" s="30"/>
    </row>
    <row r="26" spans="1:27" x14ac:dyDescent="0.25">
      <c r="A26" s="4">
        <v>20</v>
      </c>
      <c r="C26" s="110">
        <f>IF(male=0,VLOOKUP(((A24:A858/'Life tables'!$I$2)*2)+age,lifetable,13,1),IF(male=1,VLOOKUP(((A24:A858/'Life tables'!$I$2)*2)+age,lifetable,10,1),"error"))</f>
        <v>8.0321853324738512E-5</v>
      </c>
      <c r="E26" s="100"/>
      <c r="F26" s="101">
        <f t="shared" si="0"/>
        <v>611.95055115419325</v>
      </c>
      <c r="G26" s="101">
        <f t="shared" si="1"/>
        <v>61.471713605379371</v>
      </c>
      <c r="H26" s="101">
        <f t="shared" si="2"/>
        <v>1.4067046447445872</v>
      </c>
      <c r="I26" s="101">
        <f t="shared" si="3"/>
        <v>1.4067046447445872</v>
      </c>
      <c r="J26" s="101">
        <f t="shared" si="4"/>
        <v>5.4316502623924422E-2</v>
      </c>
      <c r="K26" s="101">
        <f t="shared" si="5"/>
        <v>0.11027033966776702</v>
      </c>
      <c r="L26" s="101">
        <f t="shared" si="14"/>
        <v>547.50084141703303</v>
      </c>
      <c r="M26" s="101">
        <f t="shared" si="6"/>
        <v>383.572681408503</v>
      </c>
      <c r="N26" s="101">
        <f t="shared" si="7"/>
        <v>36.938880278753992</v>
      </c>
      <c r="O26" s="101">
        <f t="shared" si="8"/>
        <v>0.88172724334800134</v>
      </c>
      <c r="P26" s="101">
        <f t="shared" si="9"/>
        <v>0.88172724334800134</v>
      </c>
      <c r="Q26" s="101">
        <f t="shared" si="10"/>
        <v>3.3917911911825839E-2</v>
      </c>
      <c r="R26" s="101">
        <f t="shared" si="11"/>
        <v>1.027287830765424E-2</v>
      </c>
      <c r="S26" s="101">
        <f t="shared" si="15"/>
        <v>344.82615585283349</v>
      </c>
      <c r="T26" s="101">
        <f t="shared" si="16"/>
        <v>1.7695911732178788</v>
      </c>
      <c r="U26" s="101">
        <f t="shared" si="16"/>
        <v>2.9159538965982801</v>
      </c>
      <c r="V26" s="33">
        <f t="shared" si="17"/>
        <v>1000.0000000000013</v>
      </c>
      <c r="W26" s="105">
        <f t="shared" si="12"/>
        <v>154252.59032927881</v>
      </c>
      <c r="X26" s="112">
        <f t="shared" si="18"/>
        <v>995.31445493018498</v>
      </c>
      <c r="Y26" s="32">
        <f t="shared" si="13"/>
        <v>651.2738457463372</v>
      </c>
      <c r="Z26" s="30"/>
      <c r="AA26" s="30"/>
    </row>
    <row r="27" spans="1:27" x14ac:dyDescent="0.25">
      <c r="A27" s="4">
        <v>21</v>
      </c>
      <c r="C27" s="110">
        <f>IF(male=0,VLOOKUP(((A25:A859/'Life tables'!$I$2)*2)+age,lifetable,13,1),IF(male=1,VLOOKUP(((A25:A859/'Life tables'!$I$2)*2)+age,lifetable,10,1),"error"))</f>
        <v>8.0321853324738512E-5</v>
      </c>
      <c r="E27" s="100"/>
      <c r="F27" s="101">
        <f t="shared" si="0"/>
        <v>598.23090416271293</v>
      </c>
      <c r="G27" s="101">
        <f t="shared" si="1"/>
        <v>60.093546351446008</v>
      </c>
      <c r="H27" s="101">
        <f t="shared" si="2"/>
        <v>1.375166980286616</v>
      </c>
      <c r="I27" s="101">
        <f t="shared" si="3"/>
        <v>1.375166980286616</v>
      </c>
      <c r="J27" s="101">
        <f t="shared" si="4"/>
        <v>5.3098751875262563E-2</v>
      </c>
      <c r="K27" s="101">
        <f t="shared" si="5"/>
        <v>0.10779812989359656</v>
      </c>
      <c r="L27" s="101">
        <f t="shared" si="14"/>
        <v>535.22612696892486</v>
      </c>
      <c r="M27" s="101">
        <f t="shared" si="6"/>
        <v>397.08355076747199</v>
      </c>
      <c r="N27" s="101">
        <f t="shared" si="7"/>
        <v>38.240006271043647</v>
      </c>
      <c r="O27" s="101">
        <f t="shared" si="8"/>
        <v>0.91278498591552149</v>
      </c>
      <c r="P27" s="101">
        <f t="shared" si="9"/>
        <v>0.91278498591552149</v>
      </c>
      <c r="Q27" s="101">
        <f t="shared" si="10"/>
        <v>3.5112628060762555E-2</v>
      </c>
      <c r="R27" s="101">
        <f t="shared" si="11"/>
        <v>1.0634727634998505E-2</v>
      </c>
      <c r="S27" s="101">
        <f t="shared" si="15"/>
        <v>356.97222716890155</v>
      </c>
      <c r="T27" s="101">
        <f t="shared" si="16"/>
        <v>1.857802553153904</v>
      </c>
      <c r="U27" s="101">
        <f t="shared" si="16"/>
        <v>3.0343867541268752</v>
      </c>
      <c r="V27" s="33">
        <f t="shared" si="17"/>
        <v>1000.0000000000011</v>
      </c>
      <c r="W27" s="105">
        <f t="shared" si="12"/>
        <v>155139.06467203484</v>
      </c>
      <c r="X27" s="112">
        <f t="shared" si="18"/>
        <v>995.10781069272036</v>
      </c>
      <c r="Y27" s="32">
        <f t="shared" si="13"/>
        <v>650.95683111812514</v>
      </c>
      <c r="Z27" s="30"/>
      <c r="AA27" s="30"/>
    </row>
    <row r="28" spans="1:27" x14ac:dyDescent="0.25">
      <c r="A28" s="4">
        <v>22</v>
      </c>
      <c r="C28" s="110">
        <f>IF(male=0,VLOOKUP(((A26:A860/'Life tables'!$I$2)*2)+age,lifetable,13,1),IF(male=1,VLOOKUP(((A26:A860/'Life tables'!$I$2)*2)+age,lifetable,10,1),"error"))</f>
        <v>8.0321853324738512E-5</v>
      </c>
      <c r="E28" s="100"/>
      <c r="F28" s="101">
        <f t="shared" si="0"/>
        <v>584.93662069638901</v>
      </c>
      <c r="G28" s="101">
        <f t="shared" si="1"/>
        <v>58.758107753851412</v>
      </c>
      <c r="H28" s="101">
        <f t="shared" si="2"/>
        <v>1.3446071086346385</v>
      </c>
      <c r="I28" s="101">
        <f t="shared" si="3"/>
        <v>1.3446071086346385</v>
      </c>
      <c r="J28" s="101">
        <f t="shared" si="4"/>
        <v>5.1918756234405908E-2</v>
      </c>
      <c r="K28" s="101">
        <f t="shared" si="5"/>
        <v>0.10540256843735442</v>
      </c>
      <c r="L28" s="101">
        <f t="shared" si="14"/>
        <v>523.33197740059654</v>
      </c>
      <c r="M28" s="101">
        <f t="shared" si="6"/>
        <v>410.17118999633118</v>
      </c>
      <c r="N28" s="101">
        <f t="shared" si="7"/>
        <v>39.500374284821689</v>
      </c>
      <c r="O28" s="101">
        <f t="shared" si="8"/>
        <v>0.94286983976074479</v>
      </c>
      <c r="P28" s="101">
        <f t="shared" si="9"/>
        <v>0.94286983976074479</v>
      </c>
      <c r="Q28" s="101">
        <f t="shared" si="10"/>
        <v>3.6269919536443658E-2</v>
      </c>
      <c r="R28" s="101">
        <f t="shared" si="11"/>
        <v>1.0985241974650777E-2</v>
      </c>
      <c r="S28" s="101">
        <f t="shared" si="15"/>
        <v>368.73782087047692</v>
      </c>
      <c r="T28" s="101">
        <f t="shared" si="16"/>
        <v>1.9459912289247536</v>
      </c>
      <c r="U28" s="101">
        <f t="shared" si="16"/>
        <v>3.1507745645388803</v>
      </c>
      <c r="V28" s="33">
        <f t="shared" si="17"/>
        <v>1000.0000000000009</v>
      </c>
      <c r="W28" s="105">
        <f t="shared" si="12"/>
        <v>155989.46868369039</v>
      </c>
      <c r="X28" s="112">
        <f t="shared" si="18"/>
        <v>994.90323420653726</v>
      </c>
      <c r="Y28" s="32">
        <f t="shared" si="13"/>
        <v>650.64112687059355</v>
      </c>
      <c r="Z28" s="30"/>
      <c r="AA28" s="30"/>
    </row>
    <row r="29" spans="1:27" x14ac:dyDescent="0.25">
      <c r="A29" s="4">
        <v>23</v>
      </c>
      <c r="C29" s="110">
        <f>IF(male=0,VLOOKUP(((A27:A861/'Life tables'!$I$2)*2)+age,lifetable,13,1),IF(male=1,VLOOKUP(((A27:A861/'Life tables'!$I$2)*2)+age,lifetable,10,1),"error"))</f>
        <v>8.0321853324738512E-5</v>
      </c>
      <c r="E29" s="100"/>
      <c r="F29" s="101">
        <f t="shared" si="0"/>
        <v>572.05448968177473</v>
      </c>
      <c r="G29" s="101">
        <f t="shared" si="1"/>
        <v>57.464070732618609</v>
      </c>
      <c r="H29" s="101">
        <f t="shared" si="2"/>
        <v>1.3149946611937664</v>
      </c>
      <c r="I29" s="101">
        <f t="shared" si="3"/>
        <v>1.3149946611937664</v>
      </c>
      <c r="J29" s="101">
        <f t="shared" si="4"/>
        <v>5.0775343091403878E-2</v>
      </c>
      <c r="K29" s="101">
        <f t="shared" si="5"/>
        <v>0.10308127473160161</v>
      </c>
      <c r="L29" s="101">
        <f t="shared" si="14"/>
        <v>511.80657300894558</v>
      </c>
      <c r="M29" s="101">
        <f t="shared" si="6"/>
        <v>422.84874452476254</v>
      </c>
      <c r="N29" s="101">
        <f t="shared" si="7"/>
        <v>40.721250253447749</v>
      </c>
      <c r="O29" s="101">
        <f t="shared" si="8"/>
        <v>0.97201202258174468</v>
      </c>
      <c r="P29" s="101">
        <f t="shared" si="9"/>
        <v>0.97201202258174468</v>
      </c>
      <c r="Q29" s="101">
        <f t="shared" si="10"/>
        <v>3.7390948740540587E-2</v>
      </c>
      <c r="R29" s="101">
        <f t="shared" si="11"/>
        <v>1.1324773388699857E-2</v>
      </c>
      <c r="S29" s="101">
        <f t="shared" si="15"/>
        <v>380.13475450402206</v>
      </c>
      <c r="T29" s="101">
        <f t="shared" si="16"/>
        <v>2.0341575207566982</v>
      </c>
      <c r="U29" s="101">
        <f t="shared" si="16"/>
        <v>3.2651806126591816</v>
      </c>
      <c r="V29" s="33">
        <f t="shared" si="17"/>
        <v>1000.0000000000011</v>
      </c>
      <c r="W29" s="105">
        <f t="shared" si="12"/>
        <v>156804.97257380959</v>
      </c>
      <c r="X29" s="112">
        <f t="shared" si="18"/>
        <v>994.70066186658505</v>
      </c>
      <c r="Y29" s="32">
        <f t="shared" si="13"/>
        <v>650.3266956416594</v>
      </c>
      <c r="Z29" s="30"/>
      <c r="AA29" s="30"/>
    </row>
    <row r="30" spans="1:27" x14ac:dyDescent="0.25">
      <c r="A30" s="4">
        <v>24</v>
      </c>
      <c r="C30" s="110">
        <f>IF(male=0,VLOOKUP(((A28:A862/'Life tables'!$I$2)*2)+age,lifetable,13,1),IF(male=1,VLOOKUP(((A28:A862/'Life tables'!$I$2)*2)+age,lifetable,10,1),"error"))</f>
        <v>8.0321853324738512E-5</v>
      </c>
      <c r="E30" s="100"/>
      <c r="F30" s="101">
        <f t="shared" si="0"/>
        <v>559.57171036235684</v>
      </c>
      <c r="G30" s="101">
        <f t="shared" si="1"/>
        <v>56.21014942496533</v>
      </c>
      <c r="H30" s="101">
        <f t="shared" si="2"/>
        <v>1.2863002125739753</v>
      </c>
      <c r="I30" s="101">
        <f t="shared" si="3"/>
        <v>1.2863002125739753</v>
      </c>
      <c r="J30" s="101">
        <f t="shared" si="4"/>
        <v>4.9667376255883883E-2</v>
      </c>
      <c r="K30" s="101">
        <f t="shared" si="5"/>
        <v>0.10083194214589869</v>
      </c>
      <c r="L30" s="101">
        <f t="shared" si="14"/>
        <v>500.63846119384175</v>
      </c>
      <c r="M30" s="101">
        <f t="shared" si="6"/>
        <v>435.12895150422816</v>
      </c>
      <c r="N30" s="101">
        <f t="shared" si="7"/>
        <v>41.903860792204291</v>
      </c>
      <c r="O30" s="101">
        <f t="shared" si="8"/>
        <v>1.0002408135581686</v>
      </c>
      <c r="P30" s="101">
        <f t="shared" si="9"/>
        <v>1.0002408135581686</v>
      </c>
      <c r="Q30" s="101">
        <f t="shared" si="10"/>
        <v>3.8476841972193643E-2</v>
      </c>
      <c r="R30" s="101">
        <f t="shared" si="11"/>
        <v>1.1653663004690271E-2</v>
      </c>
      <c r="S30" s="101">
        <f t="shared" si="15"/>
        <v>391.17447857993062</v>
      </c>
      <c r="T30" s="101">
        <f t="shared" si="16"/>
        <v>2.1223017389847758</v>
      </c>
      <c r="U30" s="101">
        <f t="shared" si="16"/>
        <v>3.3776662178097707</v>
      </c>
      <c r="V30" s="33">
        <f t="shared" si="17"/>
        <v>1000.0000000000009</v>
      </c>
      <c r="W30" s="105">
        <f t="shared" si="12"/>
        <v>157586.70889112819</v>
      </c>
      <c r="X30" s="112">
        <f t="shared" si="18"/>
        <v>994.5000320432066</v>
      </c>
      <c r="Y30" s="32">
        <f t="shared" si="13"/>
        <v>650.01350123847476</v>
      </c>
      <c r="Z30" s="30"/>
      <c r="AA30" s="30"/>
    </row>
    <row r="31" spans="1:27" x14ac:dyDescent="0.25">
      <c r="A31" s="4">
        <v>25</v>
      </c>
      <c r="C31" s="110">
        <f>IF(male=0,VLOOKUP(((A29:A863/'Life tables'!$I$2)*2)+age,lifetable,13,1),IF(male=1,VLOOKUP(((A29:A863/'Life tables'!$I$2)*2)+age,lifetable,10,1),"error"))</f>
        <v>8.0321853324738512E-5</v>
      </c>
      <c r="E31" s="100"/>
      <c r="F31" s="101">
        <f t="shared" si="0"/>
        <v>547.4758795547009</v>
      </c>
      <c r="G31" s="101">
        <f t="shared" si="1"/>
        <v>54.995097905157159</v>
      </c>
      <c r="H31" s="101">
        <f t="shared" si="2"/>
        <v>1.2584952512955159</v>
      </c>
      <c r="I31" s="101">
        <f t="shared" si="3"/>
        <v>1.2584952512955159</v>
      </c>
      <c r="J31" s="101">
        <f t="shared" si="4"/>
        <v>4.8593754825911432E-2</v>
      </c>
      <c r="K31" s="101">
        <f t="shared" si="5"/>
        <v>9.8652335690428763E-2</v>
      </c>
      <c r="L31" s="101">
        <f t="shared" si="14"/>
        <v>489.81654505643638</v>
      </c>
      <c r="M31" s="101">
        <f t="shared" si="6"/>
        <v>447.02415248850554</v>
      </c>
      <c r="N31" s="101">
        <f t="shared" si="7"/>
        <v>43.049394419459631</v>
      </c>
      <c r="O31" s="101">
        <f t="shared" si="8"/>
        <v>1.0275845825002725</v>
      </c>
      <c r="P31" s="101">
        <f t="shared" si="9"/>
        <v>1.0275845825002725</v>
      </c>
      <c r="Q31" s="101">
        <f t="shared" si="10"/>
        <v>3.9528690549304635E-2</v>
      </c>
      <c r="R31" s="101">
        <f t="shared" si="11"/>
        <v>1.1972241355233516E-2</v>
      </c>
      <c r="S31" s="101">
        <f t="shared" si="15"/>
        <v>401.86808797214081</v>
      </c>
      <c r="T31" s="101">
        <f t="shared" si="16"/>
        <v>2.2104241843599919</v>
      </c>
      <c r="U31" s="101">
        <f t="shared" si="16"/>
        <v>3.4882907948554331</v>
      </c>
      <c r="V31" s="33">
        <f t="shared" si="17"/>
        <v>1000.000000000001</v>
      </c>
      <c r="W31" s="105">
        <f t="shared" si="12"/>
        <v>158335.773735202</v>
      </c>
      <c r="X31" s="112">
        <f t="shared" si="18"/>
        <v>994.30128502078537</v>
      </c>
      <c r="Y31" s="32">
        <f t="shared" si="13"/>
        <v>649.70150860078763</v>
      </c>
      <c r="Z31" s="30"/>
      <c r="AA31" s="30"/>
    </row>
    <row r="32" spans="1:27" x14ac:dyDescent="0.25">
      <c r="A32" s="4">
        <v>26</v>
      </c>
      <c r="C32" s="110">
        <f>IF(male=0,VLOOKUP(((A30:A864/'Life tables'!$I$2)*2)+age,lifetable,13,1),IF(male=1,VLOOKUP(((A30:A864/'Life tables'!$I$2)*2)+age,lifetable,10,1),"error"))</f>
        <v>8.0321853324738512E-5</v>
      </c>
      <c r="E32" s="100"/>
      <c r="F32" s="101">
        <f t="shared" si="0"/>
        <v>535.75497930040274</v>
      </c>
      <c r="G32" s="101">
        <f t="shared" si="1"/>
        <v>53.817708944120199</v>
      </c>
      <c r="H32" s="101">
        <f t="shared" si="2"/>
        <v>1.2315521514041738</v>
      </c>
      <c r="I32" s="101">
        <f t="shared" si="3"/>
        <v>1.2315521514041738</v>
      </c>
      <c r="J32" s="101">
        <f t="shared" si="4"/>
        <v>4.7553412091982064E-2</v>
      </c>
      <c r="K32" s="101">
        <f t="shared" si="5"/>
        <v>9.654028979094266E-2</v>
      </c>
      <c r="L32" s="101">
        <f t="shared" si="14"/>
        <v>479.3300723515913</v>
      </c>
      <c r="M32" s="101">
        <f t="shared" si="6"/>
        <v>458.54630572038275</v>
      </c>
      <c r="N32" s="101">
        <f t="shared" si="7"/>
        <v>44.159002739903315</v>
      </c>
      <c r="O32" s="101">
        <f t="shared" si="8"/>
        <v>1.0540708180926259</v>
      </c>
      <c r="P32" s="101">
        <f t="shared" si="9"/>
        <v>1.0540708180926259</v>
      </c>
      <c r="Q32" s="101">
        <f t="shared" si="10"/>
        <v>4.0547551895003975E-2</v>
      </c>
      <c r="R32" s="101">
        <f t="shared" si="11"/>
        <v>1.2280828707071433E-2</v>
      </c>
      <c r="S32" s="101">
        <f t="shared" si="15"/>
        <v>412.22633296369213</v>
      </c>
      <c r="T32" s="101">
        <f t="shared" si="16"/>
        <v>2.298525148346978</v>
      </c>
      <c r="U32" s="101">
        <f t="shared" si="16"/>
        <v>3.597111913353447</v>
      </c>
      <c r="V32" s="33">
        <f t="shared" si="17"/>
        <v>1000.0000000000011</v>
      </c>
      <c r="W32" s="105">
        <f t="shared" si="12"/>
        <v>159053.22792907458</v>
      </c>
      <c r="X32" s="112">
        <f t="shared" si="18"/>
        <v>994.10436293830071</v>
      </c>
      <c r="Y32" s="32">
        <f t="shared" si="13"/>
        <v>649.39068376544776</v>
      </c>
      <c r="Z32" s="30"/>
      <c r="AA32" s="30"/>
    </row>
    <row r="33" spans="1:27" x14ac:dyDescent="0.25">
      <c r="A33" s="4">
        <v>27</v>
      </c>
      <c r="C33" s="110">
        <f>IF(male=0,VLOOKUP(((A31:A865/'Life tables'!$I$2)*2)+age,lifetable,13,1),IF(male=1,VLOOKUP(((A31:A865/'Life tables'!$I$2)*2)+age,lifetable,10,1),"error"))</f>
        <v>8.6010410302650442E-5</v>
      </c>
      <c r="E33" s="100"/>
      <c r="F33" s="101">
        <f t="shared" si="0"/>
        <v>524.39736490155417</v>
      </c>
      <c r="G33" s="101">
        <f t="shared" si="1"/>
        <v>52.676812807578543</v>
      </c>
      <c r="H33" s="101">
        <f t="shared" si="2"/>
        <v>1.2054441449681235</v>
      </c>
      <c r="I33" s="101">
        <f t="shared" si="3"/>
        <v>1.2054441449681235</v>
      </c>
      <c r="J33" s="101">
        <f t="shared" si="4"/>
        <v>4.9841748290838393E-2</v>
      </c>
      <c r="K33" s="101">
        <f t="shared" si="5"/>
        <v>9.4493706132811453E-2</v>
      </c>
      <c r="L33" s="101">
        <f t="shared" si="14"/>
        <v>469.16532834961572</v>
      </c>
      <c r="M33" s="101">
        <f t="shared" si="6"/>
        <v>469.70699803674643</v>
      </c>
      <c r="N33" s="101">
        <f t="shared" si="7"/>
        <v>45.233801591031892</v>
      </c>
      <c r="O33" s="101">
        <f t="shared" si="8"/>
        <v>1.0797261552606092</v>
      </c>
      <c r="P33" s="101">
        <f t="shared" si="9"/>
        <v>1.0797261552606092</v>
      </c>
      <c r="Q33" s="101">
        <f t="shared" si="10"/>
        <v>4.447600483681706E-2</v>
      </c>
      <c r="R33" s="101">
        <f t="shared" si="11"/>
        <v>1.2579735379919367E-2</v>
      </c>
      <c r="S33" s="101">
        <f t="shared" si="15"/>
        <v>422.25668839497655</v>
      </c>
      <c r="T33" s="101">
        <f t="shared" si="16"/>
        <v>2.3928429014746335</v>
      </c>
      <c r="U33" s="101">
        <f t="shared" si="16"/>
        <v>3.7041853548661781</v>
      </c>
      <c r="V33" s="33">
        <f t="shared" si="17"/>
        <v>1000.0000000000009</v>
      </c>
      <c r="W33" s="105">
        <f t="shared" si="12"/>
        <v>159739.27555597422</v>
      </c>
      <c r="X33" s="112">
        <f t="shared" si="18"/>
        <v>993.90297174366026</v>
      </c>
      <c r="Y33" s="32">
        <f t="shared" si="13"/>
        <v>649.07685290167638</v>
      </c>
      <c r="Z33" s="30"/>
      <c r="AA33" s="30"/>
    </row>
    <row r="34" spans="1:27" x14ac:dyDescent="0.25">
      <c r="A34" s="4">
        <v>28</v>
      </c>
      <c r="C34" s="110">
        <f>IF(male=0,VLOOKUP(((A32:A866/'Life tables'!$I$2)*2)+age,lifetable,13,1),IF(male=1,VLOOKUP(((A32:A866/'Life tables'!$I$2)*2)+age,lifetable,10,1),"error"))</f>
        <v>8.6010410302650442E-5</v>
      </c>
      <c r="E34" s="100"/>
      <c r="F34" s="101">
        <f t="shared" si="0"/>
        <v>513.38852527004974</v>
      </c>
      <c r="G34" s="101">
        <f t="shared" si="1"/>
        <v>51.570951826361984</v>
      </c>
      <c r="H34" s="101">
        <f t="shared" si="2"/>
        <v>1.1801378750192244</v>
      </c>
      <c r="I34" s="101">
        <f t="shared" si="3"/>
        <v>1.1801378750192244</v>
      </c>
      <c r="J34" s="101">
        <f t="shared" si="4"/>
        <v>4.8795404715121421E-2</v>
      </c>
      <c r="K34" s="101">
        <f t="shared" si="5"/>
        <v>9.2509969892645719E-2</v>
      </c>
      <c r="L34" s="101">
        <f t="shared" si="14"/>
        <v>459.31599231904153</v>
      </c>
      <c r="M34" s="101">
        <f t="shared" si="6"/>
        <v>480.51444647361063</v>
      </c>
      <c r="N34" s="101">
        <f t="shared" si="7"/>
        <v>46.274582291216774</v>
      </c>
      <c r="O34" s="101">
        <f t="shared" si="8"/>
        <v>1.1045694826917236</v>
      </c>
      <c r="P34" s="101">
        <f t="shared" si="9"/>
        <v>1.1045694826917236</v>
      </c>
      <c r="Q34" s="101">
        <f t="shared" si="10"/>
        <v>4.5499349455825733E-2</v>
      </c>
      <c r="R34" s="101">
        <f t="shared" si="11"/>
        <v>1.2869181443180361E-2</v>
      </c>
      <c r="S34" s="101">
        <f t="shared" si="15"/>
        <v>431.97235668611143</v>
      </c>
      <c r="T34" s="101">
        <f t="shared" si="16"/>
        <v>2.4871376556455806</v>
      </c>
      <c r="U34" s="101">
        <f t="shared" si="16"/>
        <v>3.8095645062020043</v>
      </c>
      <c r="V34" s="33">
        <f t="shared" si="17"/>
        <v>1000.0000000000014</v>
      </c>
      <c r="W34" s="105">
        <f t="shared" si="12"/>
        <v>160395.54425776287</v>
      </c>
      <c r="X34" s="112">
        <f t="shared" si="18"/>
        <v>993.70329783815373</v>
      </c>
      <c r="Y34" s="32">
        <f t="shared" si="13"/>
        <v>648.76419636725052</v>
      </c>
      <c r="Z34" s="30"/>
      <c r="AA34" s="30"/>
    </row>
    <row r="35" spans="1:27" x14ac:dyDescent="0.25">
      <c r="A35" s="4">
        <v>29</v>
      </c>
      <c r="C35" s="110">
        <f>IF(male=0,VLOOKUP(((A33:A867/'Life tables'!$I$2)*2)+age,lifetable,13,1),IF(male=1,VLOOKUP(((A33:A867/'Life tables'!$I$2)*2)+age,lifetable,10,1),"error"))</f>
        <v>8.6010410302650442E-5</v>
      </c>
      <c r="E35" s="100"/>
      <c r="F35" s="101">
        <f t="shared" si="0"/>
        <v>502.72089006245938</v>
      </c>
      <c r="G35" s="101">
        <f t="shared" si="1"/>
        <v>50.499365543629111</v>
      </c>
      <c r="H35" s="101">
        <f t="shared" si="2"/>
        <v>1.155615939436921</v>
      </c>
      <c r="I35" s="101">
        <f t="shared" si="3"/>
        <v>1.155615939436921</v>
      </c>
      <c r="J35" s="101">
        <f t="shared" si="4"/>
        <v>4.7781491174623325E-2</v>
      </c>
      <c r="K35" s="101">
        <f t="shared" si="5"/>
        <v>9.0587716933523188E-2</v>
      </c>
      <c r="L35" s="101">
        <f t="shared" si="14"/>
        <v>449.77192343184828</v>
      </c>
      <c r="M35" s="101">
        <f t="shared" si="6"/>
        <v>490.98240777569424</v>
      </c>
      <c r="N35" s="101">
        <f t="shared" si="7"/>
        <v>47.282669644780128</v>
      </c>
      <c r="O35" s="101">
        <f t="shared" si="8"/>
        <v>1.1286324233278164</v>
      </c>
      <c r="P35" s="101">
        <f t="shared" si="9"/>
        <v>1.1286324233278164</v>
      </c>
      <c r="Q35" s="101">
        <f t="shared" si="10"/>
        <v>4.6490548436145508E-2</v>
      </c>
      <c r="R35" s="101">
        <f t="shared" si="11"/>
        <v>1.3149535331237925E-2</v>
      </c>
      <c r="S35" s="101">
        <f t="shared" si="15"/>
        <v>441.38283320049112</v>
      </c>
      <c r="T35" s="101">
        <f t="shared" si="16"/>
        <v>2.5814096952563497</v>
      </c>
      <c r="U35" s="101">
        <f t="shared" si="16"/>
        <v>3.9133017584667655</v>
      </c>
      <c r="V35" s="33">
        <f t="shared" si="17"/>
        <v>1000.0000000000014</v>
      </c>
      <c r="W35" s="105">
        <f t="shared" si="12"/>
        <v>161023.17663225319</v>
      </c>
      <c r="X35" s="112">
        <f t="shared" si="18"/>
        <v>993.50528854627828</v>
      </c>
      <c r="Y35" s="32">
        <f t="shared" si="13"/>
        <v>648.45261603742654</v>
      </c>
      <c r="Z35" s="30"/>
      <c r="AA35" s="30"/>
    </row>
    <row r="36" spans="1:27" x14ac:dyDescent="0.25">
      <c r="A36" s="4">
        <v>30</v>
      </c>
      <c r="C36" s="110">
        <f>IF(male=0,VLOOKUP(((A34:A868/'Life tables'!$I$2)*2)+age,lifetable,13,1),IF(male=1,VLOOKUP(((A34:A868/'Life tables'!$I$2)*2)+age,lifetable,10,1),"error"))</f>
        <v>8.6010410302650442E-5</v>
      </c>
      <c r="E36" s="100"/>
      <c r="F36" s="101">
        <f t="shared" si="0"/>
        <v>492.38385999809975</v>
      </c>
      <c r="G36" s="101">
        <f t="shared" si="1"/>
        <v>49.460989239452203</v>
      </c>
      <c r="H36" s="101">
        <f t="shared" si="2"/>
        <v>1.1318539734137296</v>
      </c>
      <c r="I36" s="101">
        <f t="shared" si="3"/>
        <v>1.1318539734137296</v>
      </c>
      <c r="J36" s="101">
        <f t="shared" si="4"/>
        <v>4.6799000252611613E-2</v>
      </c>
      <c r="K36" s="101">
        <f t="shared" si="5"/>
        <v>8.8725037319618158E-2</v>
      </c>
      <c r="L36" s="101">
        <f t="shared" si="14"/>
        <v>440.52363877424784</v>
      </c>
      <c r="M36" s="101">
        <f t="shared" si="6"/>
        <v>501.12142854817836</v>
      </c>
      <c r="N36" s="101">
        <f t="shared" si="7"/>
        <v>48.259079312651451</v>
      </c>
      <c r="O36" s="101">
        <f t="shared" si="8"/>
        <v>1.1519392208899963</v>
      </c>
      <c r="P36" s="101">
        <f t="shared" si="9"/>
        <v>1.1519392208899963</v>
      </c>
      <c r="Q36" s="101">
        <f t="shared" si="10"/>
        <v>4.7450600423453372E-2</v>
      </c>
      <c r="R36" s="101">
        <f t="shared" si="11"/>
        <v>1.3421079504227608E-2</v>
      </c>
      <c r="S36" s="101">
        <f t="shared" si="15"/>
        <v>450.49759911381926</v>
      </c>
      <c r="T36" s="101">
        <f t="shared" si="16"/>
        <v>2.6756592959324146</v>
      </c>
      <c r="U36" s="101">
        <f t="shared" si="16"/>
        <v>4.0154478752906115</v>
      </c>
      <c r="V36" s="33">
        <f t="shared" si="17"/>
        <v>1000.0000000000013</v>
      </c>
      <c r="W36" s="105">
        <f t="shared" si="12"/>
        <v>161623.10390076321</v>
      </c>
      <c r="X36" s="112">
        <f t="shared" si="18"/>
        <v>993.3088928287782</v>
      </c>
      <c r="Y36" s="32">
        <f t="shared" si="13"/>
        <v>648.14208197936011</v>
      </c>
      <c r="Z36" s="30"/>
      <c r="AA36" s="30"/>
    </row>
    <row r="37" spans="1:27" x14ac:dyDescent="0.25">
      <c r="A37" s="4">
        <v>31</v>
      </c>
      <c r="C37" s="110">
        <f>IF(male=0,VLOOKUP(((A35:A869/'Life tables'!$I$2)*2)+age,lifetable,13,1),IF(male=1,VLOOKUP(((A35:A869/'Life tables'!$I$2)*2)+age,lifetable,10,1),"error"))</f>
        <v>8.6010410302650442E-5</v>
      </c>
      <c r="E37" s="100"/>
      <c r="F37" s="101">
        <f t="shared" si="0"/>
        <v>482.36716505922328</v>
      </c>
      <c r="G37" s="101">
        <f t="shared" si="1"/>
        <v>48.454791269054567</v>
      </c>
      <c r="H37" s="101">
        <f t="shared" si="2"/>
        <v>1.1088283690263634</v>
      </c>
      <c r="I37" s="101">
        <f t="shared" si="3"/>
        <v>1.1088283690263634</v>
      </c>
      <c r="J37" s="101">
        <f t="shared" si="4"/>
        <v>4.5846955827401122E-2</v>
      </c>
      <c r="K37" s="101">
        <f t="shared" si="5"/>
        <v>8.692008044659133E-2</v>
      </c>
      <c r="L37" s="101">
        <f t="shared" si="14"/>
        <v>431.561950015842</v>
      </c>
      <c r="M37" s="101">
        <f t="shared" si="6"/>
        <v>510.94172776955492</v>
      </c>
      <c r="N37" s="101">
        <f t="shared" si="7"/>
        <v>49.204795404600247</v>
      </c>
      <c r="O37" s="101">
        <f t="shared" si="8"/>
        <v>1.1745133659764533</v>
      </c>
      <c r="P37" s="101">
        <f t="shared" si="9"/>
        <v>1.1745133659764533</v>
      </c>
      <c r="Q37" s="101">
        <f t="shared" si="10"/>
        <v>4.8380473040839353E-2</v>
      </c>
      <c r="R37" s="101">
        <f t="shared" si="11"/>
        <v>1.3684087647757292E-2</v>
      </c>
      <c r="S37" s="101">
        <f t="shared" si="15"/>
        <v>459.32584107231315</v>
      </c>
      <c r="T37" s="101">
        <f t="shared" si="16"/>
        <v>2.7698867248006551</v>
      </c>
      <c r="U37" s="101">
        <f t="shared" si="16"/>
        <v>4.1160520433849603</v>
      </c>
      <c r="V37" s="33">
        <f t="shared" si="17"/>
        <v>1000.0000000000013</v>
      </c>
      <c r="W37" s="105">
        <f t="shared" si="12"/>
        <v>162196.22730683396</v>
      </c>
      <c r="X37" s="112">
        <f t="shared" si="18"/>
        <v>993.11406123181564</v>
      </c>
      <c r="Y37" s="32">
        <f t="shared" si="13"/>
        <v>647.83256519674671</v>
      </c>
      <c r="Z37" s="30"/>
      <c r="AA37" s="30"/>
    </row>
    <row r="38" spans="1:27" x14ac:dyDescent="0.25">
      <c r="A38" s="4">
        <v>32</v>
      </c>
      <c r="C38" s="110">
        <f>IF(male=0,VLOOKUP(((A36:A870/'Life tables'!$I$2)*2)+age,lifetable,13,1),IF(male=1,VLOOKUP(((A36:A870/'Life tables'!$I$2)*2)+age,lifetable,10,1),"error"))</f>
        <v>8.6010410302650442E-5</v>
      </c>
      <c r="E38" s="100"/>
      <c r="F38" s="101">
        <f t="shared" si="0"/>
        <v>472.66085426258013</v>
      </c>
      <c r="G38" s="101">
        <f t="shared" si="1"/>
        <v>47.479772035342478</v>
      </c>
      <c r="H38" s="101">
        <f t="shared" si="2"/>
        <v>1.0865162517233886</v>
      </c>
      <c r="I38" s="101">
        <f t="shared" si="3"/>
        <v>1.0865162517233886</v>
      </c>
      <c r="J38" s="101">
        <f t="shared" si="4"/>
        <v>4.4924412100184351E-2</v>
      </c>
      <c r="K38" s="101">
        <f t="shared" si="5"/>
        <v>8.5171053198477842E-2</v>
      </c>
      <c r="L38" s="101">
        <f t="shared" si="14"/>
        <v>422.8779542584922</v>
      </c>
      <c r="M38" s="101">
        <f t="shared" si="6"/>
        <v>520.45320696923545</v>
      </c>
      <c r="N38" s="101">
        <f t="shared" si="7"/>
        <v>50.120771459361769</v>
      </c>
      <c r="O38" s="101">
        <f t="shared" si="8"/>
        <v>1.1963776194579585</v>
      </c>
      <c r="P38" s="101">
        <f t="shared" si="9"/>
        <v>1.1963776194579585</v>
      </c>
      <c r="Q38" s="101">
        <f t="shared" si="10"/>
        <v>4.9281103852512241E-2</v>
      </c>
      <c r="R38" s="101">
        <f t="shared" si="11"/>
        <v>1.3938824945484814E-2</v>
      </c>
      <c r="S38" s="101">
        <f t="shared" si="15"/>
        <v>467.87646034215976</v>
      </c>
      <c r="T38" s="101">
        <f t="shared" si="16"/>
        <v>2.8640922407533518</v>
      </c>
      <c r="U38" s="101">
        <f t="shared" si="16"/>
        <v>4.2151619215289227</v>
      </c>
      <c r="V38" s="33">
        <f t="shared" si="17"/>
        <v>1000.0000000000011</v>
      </c>
      <c r="W38" s="105">
        <f t="shared" si="12"/>
        <v>162743.41908088053</v>
      </c>
      <c r="X38" s="112">
        <f t="shared" si="18"/>
        <v>992.92074583771887</v>
      </c>
      <c r="Y38" s="32">
        <f t="shared" si="13"/>
        <v>647.52403760046798</v>
      </c>
      <c r="Z38" s="30"/>
      <c r="AA38" s="30"/>
    </row>
    <row r="39" spans="1:27" x14ac:dyDescent="0.25">
      <c r="A39" s="4">
        <v>33</v>
      </c>
      <c r="C39" s="110">
        <f>IF(male=0,VLOOKUP(((A37:A871/'Life tables'!$I$2)*2)+age,lifetable,13,1),IF(male=1,VLOOKUP(((A37:A871/'Life tables'!$I$2)*2)+age,lifetable,10,1),"error"))</f>
        <v>8.6010410302650442E-5</v>
      </c>
      <c r="E39" s="100"/>
      <c r="F39" s="101">
        <f t="shared" si="0"/>
        <v>463.25528574872294</v>
      </c>
      <c r="G39" s="101">
        <f t="shared" si="1"/>
        <v>46.534962993355165</v>
      </c>
      <c r="H39" s="101">
        <f t="shared" si="2"/>
        <v>1.0648954575432841</v>
      </c>
      <c r="I39" s="101">
        <f t="shared" si="3"/>
        <v>1.0648954575432841</v>
      </c>
      <c r="J39" s="101">
        <f t="shared" si="4"/>
        <v>4.4030452653061818E-2</v>
      </c>
      <c r="K39" s="101">
        <f t="shared" si="5"/>
        <v>8.3476218161830984E-2</v>
      </c>
      <c r="L39" s="101">
        <f t="shared" si="14"/>
        <v>414.46302516946628</v>
      </c>
      <c r="M39" s="101">
        <f t="shared" si="6"/>
        <v>529.66546008899593</v>
      </c>
      <c r="N39" s="101">
        <f t="shared" si="7"/>
        <v>51.007931394315534</v>
      </c>
      <c r="O39" s="101">
        <f t="shared" si="8"/>
        <v>1.2175540351465926</v>
      </c>
      <c r="P39" s="101">
        <f t="shared" si="9"/>
        <v>1.2175540351465926</v>
      </c>
      <c r="Q39" s="101">
        <f t="shared" si="10"/>
        <v>5.0153401297568394E-2</v>
      </c>
      <c r="R39" s="101">
        <f t="shared" si="11"/>
        <v>1.4185548343228098E-2</v>
      </c>
      <c r="S39" s="101">
        <f t="shared" si="15"/>
        <v>476.15808167474643</v>
      </c>
      <c r="T39" s="101">
        <f t="shared" si="16"/>
        <v>2.9582760947039821</v>
      </c>
      <c r="U39" s="101">
        <f t="shared" si="16"/>
        <v>4.3128236880339816</v>
      </c>
      <c r="V39" s="33">
        <f t="shared" si="17"/>
        <v>1000.000000000001</v>
      </c>
      <c r="W39" s="105">
        <f t="shared" si="12"/>
        <v>163265.52337380117</v>
      </c>
      <c r="X39" s="112">
        <f t="shared" si="18"/>
        <v>992.72890021726312</v>
      </c>
      <c r="Y39" s="32">
        <f t="shared" si="13"/>
        <v>647.21647198015864</v>
      </c>
      <c r="Z39" s="30"/>
      <c r="AA39" s="30"/>
    </row>
    <row r="40" spans="1:27" x14ac:dyDescent="0.25">
      <c r="A40" s="4">
        <v>34</v>
      </c>
      <c r="C40" s="110">
        <f>IF(male=0,VLOOKUP(((A38:A872/'Life tables'!$I$2)*2)+age,lifetable,13,1),IF(male=1,VLOOKUP(((A38:A872/'Life tables'!$I$2)*2)+age,lifetable,10,1),"error"))</f>
        <v>8.6010410302650442E-5</v>
      </c>
      <c r="E40" s="100"/>
      <c r="F40" s="101">
        <f t="shared" si="0"/>
        <v>454.14111717918405</v>
      </c>
      <c r="G40" s="101">
        <f t="shared" si="1"/>
        <v>45.619425685641104</v>
      </c>
      <c r="H40" s="101">
        <f t="shared" si="2"/>
        <v>1.0439445110402146</v>
      </c>
      <c r="I40" s="101">
        <f t="shared" si="3"/>
        <v>1.0439445110402146</v>
      </c>
      <c r="J40" s="101">
        <f t="shared" si="4"/>
        <v>4.3164189536334469E-2</v>
      </c>
      <c r="K40" s="101">
        <f t="shared" si="5"/>
        <v>8.1833891895342986E-2</v>
      </c>
      <c r="L40" s="101">
        <f t="shared" si="14"/>
        <v>406.30880439003084</v>
      </c>
      <c r="M40" s="101">
        <f t="shared" si="6"/>
        <v>538.58778303807901</v>
      </c>
      <c r="N40" s="101">
        <f t="shared" si="7"/>
        <v>51.867170425662394</v>
      </c>
      <c r="O40" s="101">
        <f t="shared" si="8"/>
        <v>1.2380639817602757</v>
      </c>
      <c r="P40" s="101">
        <f t="shared" si="9"/>
        <v>1.2380639817602757</v>
      </c>
      <c r="Q40" s="101">
        <f t="shared" si="10"/>
        <v>5.0998245594753029E-2</v>
      </c>
      <c r="R40" s="101">
        <f t="shared" si="11"/>
        <v>1.4424506804870747E-2</v>
      </c>
      <c r="S40" s="101">
        <f t="shared" si="15"/>
        <v>484.17906189649642</v>
      </c>
      <c r="T40" s="101">
        <f t="shared" si="16"/>
        <v>3.0524385298350696</v>
      </c>
      <c r="U40" s="101">
        <f t="shared" si="16"/>
        <v>4.4090820867341955</v>
      </c>
      <c r="V40" s="33">
        <f t="shared" si="17"/>
        <v>1000.0000000000009</v>
      </c>
      <c r="W40" s="105">
        <f t="shared" si="12"/>
        <v>163763.35716054565</v>
      </c>
      <c r="X40" s="112">
        <f t="shared" si="18"/>
        <v>992.53847938343165</v>
      </c>
      <c r="Y40" s="32">
        <f t="shared" si="13"/>
        <v>646.90984197666432</v>
      </c>
      <c r="Z40" s="30"/>
      <c r="AA40" s="30"/>
    </row>
    <row r="41" spans="1:27" x14ac:dyDescent="0.25">
      <c r="A41" s="4">
        <v>35</v>
      </c>
      <c r="C41" s="110">
        <f>IF(male=0,VLOOKUP(((A39:A873/'Life tables'!$I$2)*2)+age,lifetable,13,1),IF(male=1,VLOOKUP(((A39:A873/'Life tables'!$I$2)*2)+age,lifetable,10,1),"error"))</f>
        <v>8.6010410302650442E-5</v>
      </c>
      <c r="E41" s="100"/>
      <c r="F41" s="101">
        <f t="shared" si="0"/>
        <v>445.30929643196066</v>
      </c>
      <c r="G41" s="101">
        <f t="shared" si="1"/>
        <v>44.732250807600074</v>
      </c>
      <c r="H41" s="101">
        <f t="shared" si="2"/>
        <v>1.0236426038955302</v>
      </c>
      <c r="I41" s="101">
        <f t="shared" si="3"/>
        <v>1.0236426038955302</v>
      </c>
      <c r="J41" s="101">
        <f t="shared" si="4"/>
        <v>4.2324762384148937E-2</v>
      </c>
      <c r="K41" s="101">
        <f t="shared" si="5"/>
        <v>8.0242443253219345E-2</v>
      </c>
      <c r="L41" s="101">
        <f t="shared" si="14"/>
        <v>398.40719321093218</v>
      </c>
      <c r="M41" s="101">
        <f t="shared" si="6"/>
        <v>547.22918295147122</v>
      </c>
      <c r="N41" s="101">
        <f t="shared" si="7"/>
        <v>52.699355960016653</v>
      </c>
      <c r="O41" s="101">
        <f t="shared" si="8"/>
        <v>1.25792816420498</v>
      </c>
      <c r="P41" s="101">
        <f t="shared" si="9"/>
        <v>1.25792816420498</v>
      </c>
      <c r="Q41" s="101">
        <f t="shared" si="10"/>
        <v>5.1816489619115724E-2</v>
      </c>
      <c r="R41" s="101">
        <f t="shared" si="11"/>
        <v>1.4655941560318072E-2</v>
      </c>
      <c r="S41" s="101">
        <f t="shared" si="15"/>
        <v>491.94749823186515</v>
      </c>
      <c r="T41" s="101">
        <f t="shared" si="16"/>
        <v>3.1465797818383341</v>
      </c>
      <c r="U41" s="101">
        <f t="shared" si="16"/>
        <v>4.5039804715477327</v>
      </c>
      <c r="V41" s="33">
        <f t="shared" si="17"/>
        <v>1000.0000000000013</v>
      </c>
      <c r="W41" s="105">
        <f t="shared" si="12"/>
        <v>164237.71111460705</v>
      </c>
      <c r="X41" s="112">
        <f t="shared" si="18"/>
        <v>992.34943974661519</v>
      </c>
      <c r="Y41" s="32">
        <f t="shared" si="13"/>
        <v>646.6041220553609</v>
      </c>
      <c r="Z41" s="30"/>
      <c r="AA41" s="30"/>
    </row>
    <row r="42" spans="1:27" x14ac:dyDescent="0.25">
      <c r="A42" s="4">
        <v>36</v>
      </c>
      <c r="C42" s="110">
        <f>IF(male=0,VLOOKUP(((A40:A874/'Life tables'!$I$2)*2)+age,lifetable,13,1),IF(male=1,VLOOKUP(((A40:A874/'Life tables'!$I$2)*2)+age,lifetable,10,1),"error"))</f>
        <v>8.6010410302650442E-5</v>
      </c>
      <c r="E42" s="100"/>
      <c r="F42" s="101">
        <f t="shared" si="0"/>
        <v>436.75105258604179</v>
      </c>
      <c r="G42" s="101">
        <f t="shared" si="1"/>
        <v>43.872557301859992</v>
      </c>
      <c r="H42" s="101">
        <f t="shared" si="2"/>
        <v>1.0039695741936951</v>
      </c>
      <c r="I42" s="101">
        <f t="shared" si="3"/>
        <v>1.0039695741936951</v>
      </c>
      <c r="J42" s="101">
        <f t="shared" si="4"/>
        <v>4.1511337557614984E-2</v>
      </c>
      <c r="K42" s="101">
        <f t="shared" si="5"/>
        <v>7.8700291760636962E-2</v>
      </c>
      <c r="L42" s="101">
        <f t="shared" si="14"/>
        <v>390.75034450647615</v>
      </c>
      <c r="M42" s="101">
        <f t="shared" si="6"/>
        <v>555.59838716057322</v>
      </c>
      <c r="N42" s="101">
        <f t="shared" si="7"/>
        <v>53.505328458301065</v>
      </c>
      <c r="O42" s="101">
        <f t="shared" si="8"/>
        <v>1.2771666441958138</v>
      </c>
      <c r="P42" s="101">
        <f t="shared" si="9"/>
        <v>1.2771666441958138</v>
      </c>
      <c r="Q42" s="101">
        <f t="shared" si="10"/>
        <v>5.260895975143258E-2</v>
      </c>
      <c r="R42" s="101">
        <f t="shared" si="11"/>
        <v>1.4880086345750401E-2</v>
      </c>
      <c r="S42" s="101">
        <f t="shared" si="15"/>
        <v>499.47123636778338</v>
      </c>
      <c r="T42" s="101">
        <f t="shared" si="16"/>
        <v>3.2407000791473815</v>
      </c>
      <c r="U42" s="101">
        <f t="shared" si="16"/>
        <v>4.59756084965412</v>
      </c>
      <c r="V42" s="33">
        <f t="shared" si="17"/>
        <v>1000.000000000001</v>
      </c>
      <c r="W42" s="105">
        <f t="shared" si="12"/>
        <v>164689.35045437471</v>
      </c>
      <c r="X42" s="112">
        <f t="shared" si="18"/>
        <v>992.16173907119969</v>
      </c>
      <c r="Y42" s="32">
        <f t="shared" si="13"/>
        <v>646.29928748031421</v>
      </c>
      <c r="Z42" s="30"/>
      <c r="AA42" s="30"/>
    </row>
    <row r="43" spans="1:27" x14ac:dyDescent="0.25">
      <c r="A43" s="4">
        <v>37</v>
      </c>
      <c r="C43" s="110">
        <f>IF(male=0,VLOOKUP(((A41:A875/'Life tables'!$I$2)*2)+age,lifetable,13,1),IF(male=1,VLOOKUP(((A41:A875/'Life tables'!$I$2)*2)+age,lifetable,10,1),"error"))</f>
        <v>8.6010410302650442E-5</v>
      </c>
      <c r="E43" s="100"/>
      <c r="F43" s="101">
        <f t="shared" si="0"/>
        <v>428.45788718599761</v>
      </c>
      <c r="G43" s="101">
        <f t="shared" si="1"/>
        <v>43.039491480786637</v>
      </c>
      <c r="H43" s="101">
        <f t="shared" si="2"/>
        <v>0.98490588634199849</v>
      </c>
      <c r="I43" s="101">
        <f t="shared" si="3"/>
        <v>0.98490588634199849</v>
      </c>
      <c r="J43" s="101">
        <f t="shared" si="4"/>
        <v>4.0723107314541797E-2</v>
      </c>
      <c r="K43" s="101">
        <f t="shared" si="5"/>
        <v>7.7205906039668107E-2</v>
      </c>
      <c r="L43" s="101">
        <f t="shared" si="14"/>
        <v>383.33065491917279</v>
      </c>
      <c r="M43" s="101">
        <f t="shared" si="6"/>
        <v>563.70385188520208</v>
      </c>
      <c r="N43" s="101">
        <f t="shared" si="7"/>
        <v>54.285902272805501</v>
      </c>
      <c r="O43" s="101">
        <f t="shared" si="8"/>
        <v>1.2957988602375246</v>
      </c>
      <c r="P43" s="101">
        <f t="shared" si="9"/>
        <v>1.2957988602375246</v>
      </c>
      <c r="Q43" s="101">
        <f t="shared" si="10"/>
        <v>5.3376456701241783E-2</v>
      </c>
      <c r="R43" s="101">
        <f t="shared" si="11"/>
        <v>1.5097167636413066E-2</v>
      </c>
      <c r="S43" s="101">
        <f t="shared" si="15"/>
        <v>506.75787826758386</v>
      </c>
      <c r="T43" s="101">
        <f t="shared" si="16"/>
        <v>3.3347996431631652</v>
      </c>
      <c r="U43" s="101">
        <f t="shared" si="16"/>
        <v>4.6898639233302015</v>
      </c>
      <c r="V43" s="33">
        <f t="shared" si="17"/>
        <v>1000.0000000000013</v>
      </c>
      <c r="W43" s="105">
        <f t="shared" si="12"/>
        <v>165119.01576225279</v>
      </c>
      <c r="X43" s="112">
        <f t="shared" si="18"/>
        <v>991.97533643350789</v>
      </c>
      <c r="Y43" s="32">
        <f t="shared" si="13"/>
        <v>645.99531428924547</v>
      </c>
      <c r="Z43" s="30"/>
      <c r="AA43" s="30"/>
    </row>
    <row r="44" spans="1:27" x14ac:dyDescent="0.25">
      <c r="A44" s="4">
        <v>38</v>
      </c>
      <c r="C44" s="110">
        <f>IF(male=0,VLOOKUP(((A42:A876/'Life tables'!$I$2)*2)+age,lifetable,13,1),IF(male=1,VLOOKUP(((A42:A876/'Life tables'!$I$2)*2)+age,lifetable,10,1),"error"))</f>
        <v>8.6010410302650442E-5</v>
      </c>
      <c r="E44" s="100"/>
      <c r="F44" s="101">
        <f t="shared" si="0"/>
        <v>420.42156577793133</v>
      </c>
      <c r="G44" s="101">
        <f t="shared" si="1"/>
        <v>42.232226176252325</v>
      </c>
      <c r="H44" s="101">
        <f t="shared" si="2"/>
        <v>0.96643261161405603</v>
      </c>
      <c r="I44" s="101">
        <f t="shared" si="3"/>
        <v>0.96643261161405603</v>
      </c>
      <c r="J44" s="101">
        <f t="shared" si="4"/>
        <v>3.9959289004965988E-2</v>
      </c>
      <c r="K44" s="101">
        <f t="shared" si="5"/>
        <v>7.5757802284102532E-2</v>
      </c>
      <c r="L44" s="101">
        <f t="shared" si="14"/>
        <v>376.14075728716182</v>
      </c>
      <c r="M44" s="101">
        <f t="shared" si="6"/>
        <v>571.55377065557639</v>
      </c>
      <c r="N44" s="101">
        <f t="shared" si="7"/>
        <v>55.041866458242332</v>
      </c>
      <c r="O44" s="101">
        <f t="shared" si="8"/>
        <v>1.3138436469843067</v>
      </c>
      <c r="P44" s="101">
        <f t="shared" si="9"/>
        <v>1.3138436469843067</v>
      </c>
      <c r="Q44" s="101">
        <f t="shared" si="10"/>
        <v>5.4119756304311518E-2</v>
      </c>
      <c r="R44" s="101">
        <f t="shared" si="11"/>
        <v>1.5307404872174763E-2</v>
      </c>
      <c r="S44" s="101">
        <f t="shared" si="15"/>
        <v>513.81478974218896</v>
      </c>
      <c r="T44" s="101">
        <f t="shared" si="16"/>
        <v>3.4288786884724427</v>
      </c>
      <c r="U44" s="101">
        <f t="shared" si="16"/>
        <v>4.7809291304864789</v>
      </c>
      <c r="V44" s="33">
        <f t="shared" si="17"/>
        <v>1000.000000000001</v>
      </c>
      <c r="W44" s="105">
        <f t="shared" si="12"/>
        <v>165527.42377742071</v>
      </c>
      <c r="X44" s="112">
        <f t="shared" si="18"/>
        <v>991.79019218104213</v>
      </c>
      <c r="Y44" s="32">
        <f t="shared" si="13"/>
        <v>645.69217926928388</v>
      </c>
      <c r="Z44" s="30"/>
      <c r="AA44" s="30"/>
    </row>
    <row r="45" spans="1:27" x14ac:dyDescent="0.25">
      <c r="A45" s="4">
        <v>39</v>
      </c>
      <c r="C45" s="110">
        <f>IF(male=0,VLOOKUP(((A43:A877/'Life tables'!$I$2)*2)+age,lifetable,13,1),IF(male=1,VLOOKUP(((A43:A877/'Life tables'!$I$2)*2)+age,lifetable,10,1),"error"))</f>
        <v>8.6010410302650442E-5</v>
      </c>
      <c r="E45" s="100"/>
      <c r="F45" s="101">
        <f t="shared" si="0"/>
        <v>412.63410970836367</v>
      </c>
      <c r="G45" s="101">
        <f t="shared" si="1"/>
        <v>41.449959915816656</v>
      </c>
      <c r="H45" s="101">
        <f t="shared" si="2"/>
        <v>0.94853140929771884</v>
      </c>
      <c r="I45" s="101">
        <f t="shared" si="3"/>
        <v>0.94853140929771884</v>
      </c>
      <c r="J45" s="101">
        <f t="shared" si="4"/>
        <v>3.9219124291670335E-2</v>
      </c>
      <c r="K45" s="101">
        <f t="shared" si="5"/>
        <v>7.4354542781648603E-2</v>
      </c>
      <c r="L45" s="101">
        <f t="shared" si="14"/>
        <v>369.17351330687825</v>
      </c>
      <c r="M45" s="101">
        <f t="shared" si="6"/>
        <v>579.15608247267846</v>
      </c>
      <c r="N45" s="101">
        <f t="shared" si="7"/>
        <v>55.773985557607013</v>
      </c>
      <c r="O45" s="101">
        <f t="shared" si="8"/>
        <v>1.3313192539982133</v>
      </c>
      <c r="P45" s="101">
        <f t="shared" si="9"/>
        <v>1.3313192539982133</v>
      </c>
      <c r="Q45" s="101">
        <f t="shared" si="10"/>
        <v>5.4839610295335024E-2</v>
      </c>
      <c r="R45" s="101">
        <f t="shared" si="11"/>
        <v>1.5511010676079131E-2</v>
      </c>
      <c r="S45" s="101">
        <f t="shared" si="15"/>
        <v>520.64910778610363</v>
      </c>
      <c r="T45" s="101">
        <f t="shared" si="16"/>
        <v>3.5229374230594481</v>
      </c>
      <c r="U45" s="101">
        <f t="shared" si="16"/>
        <v>4.8707946839442062</v>
      </c>
      <c r="V45" s="33">
        <f t="shared" si="17"/>
        <v>1000.0000000000011</v>
      </c>
      <c r="W45" s="105">
        <f t="shared" si="12"/>
        <v>165915.26816308397</v>
      </c>
      <c r="X45" s="112">
        <f t="shared" si="18"/>
        <v>991.60626789299749</v>
      </c>
      <c r="Y45" s="32">
        <f t="shared" si="13"/>
        <v>645.3898599334774</v>
      </c>
      <c r="Z45" s="30"/>
      <c r="AA45" s="30"/>
    </row>
    <row r="46" spans="1:27" x14ac:dyDescent="0.25">
      <c r="A46" s="4">
        <v>40</v>
      </c>
      <c r="C46" s="110">
        <f>IF(male=0,VLOOKUP(((A44:A878/'Life tables'!$I$2)*2)+age,lifetable,13,1),IF(male=1,VLOOKUP(((A44:A878/'Life tables'!$I$2)*2)+age,lifetable,10,1),"error"))</f>
        <v>8.6010410302650442E-5</v>
      </c>
      <c r="E46" s="100"/>
      <c r="F46" s="101">
        <f t="shared" si="0"/>
        <v>405.08778817788266</v>
      </c>
      <c r="G46" s="101">
        <f t="shared" si="1"/>
        <v>40.691916124499031</v>
      </c>
      <c r="H46" s="101">
        <f t="shared" si="2"/>
        <v>0.93118450842861755</v>
      </c>
      <c r="I46" s="101">
        <f t="shared" si="3"/>
        <v>0.93118450842861755</v>
      </c>
      <c r="J46" s="101">
        <f t="shared" si="4"/>
        <v>3.8501878394916866E-2</v>
      </c>
      <c r="K46" s="101">
        <f t="shared" si="5"/>
        <v>7.2994734482041967E-2</v>
      </c>
      <c r="L46" s="101">
        <f t="shared" si="14"/>
        <v>362.42200642364946</v>
      </c>
      <c r="M46" s="101">
        <f t="shared" si="6"/>
        <v>586.51847971511484</v>
      </c>
      <c r="N46" s="101">
        <f t="shared" si="7"/>
        <v>56.483000363625884</v>
      </c>
      <c r="O46" s="101">
        <f t="shared" si="8"/>
        <v>1.3482433639248343</v>
      </c>
      <c r="P46" s="101">
        <f t="shared" si="9"/>
        <v>1.3482433639248343</v>
      </c>
      <c r="Q46" s="101">
        <f t="shared" si="10"/>
        <v>5.553674705662201E-2</v>
      </c>
      <c r="R46" s="101">
        <f t="shared" si="11"/>
        <v>1.5708191066106981E-2</v>
      </c>
      <c r="S46" s="101">
        <f t="shared" si="15"/>
        <v>527.2677476855165</v>
      </c>
      <c r="T46" s="101">
        <f t="shared" si="16"/>
        <v>3.616976048510987</v>
      </c>
      <c r="U46" s="101">
        <f t="shared" si="16"/>
        <v>4.9594976094923551</v>
      </c>
      <c r="V46" s="33">
        <f t="shared" si="17"/>
        <v>1000.0000000000011</v>
      </c>
      <c r="W46" s="105">
        <f t="shared" si="12"/>
        <v>166283.22024903659</v>
      </c>
      <c r="X46" s="112">
        <f t="shared" si="18"/>
        <v>991.42352634199779</v>
      </c>
      <c r="Y46" s="32">
        <f t="shared" si="13"/>
        <v>645.08833449804183</v>
      </c>
      <c r="Z46" s="30"/>
      <c r="AA46" s="30"/>
    </row>
    <row r="47" spans="1:27" x14ac:dyDescent="0.25">
      <c r="A47" s="4">
        <v>41</v>
      </c>
      <c r="C47" s="110">
        <f>IF(male=0,VLOOKUP(((A45:A879/'Life tables'!$I$2)*2)+age,lifetable,13,1),IF(male=1,VLOOKUP(((A45:A879/'Life tables'!$I$2)*2)+age,lifetable,10,1),"error"))</f>
        <v>8.6010410302650442E-5</v>
      </c>
      <c r="E47" s="100"/>
      <c r="F47" s="101">
        <f t="shared" si="0"/>
        <v>397.77511054164302</v>
      </c>
      <c r="G47" s="101">
        <f t="shared" si="1"/>
        <v>39.957342351347677</v>
      </c>
      <c r="H47" s="101">
        <f t="shared" si="2"/>
        <v>0.91437469009114503</v>
      </c>
      <c r="I47" s="101">
        <f t="shared" si="3"/>
        <v>0.91437469009114503</v>
      </c>
      <c r="J47" s="101">
        <f t="shared" si="4"/>
        <v>3.7806839360641935E-2</v>
      </c>
      <c r="K47" s="101">
        <f t="shared" si="5"/>
        <v>7.1677027609635138E-2</v>
      </c>
      <c r="L47" s="101">
        <f t="shared" si="14"/>
        <v>355.87953494314274</v>
      </c>
      <c r="M47" s="101">
        <f t="shared" si="6"/>
        <v>593.64841580035466</v>
      </c>
      <c r="N47" s="101">
        <f t="shared" si="7"/>
        <v>57.169628656549982</v>
      </c>
      <c r="O47" s="101">
        <f t="shared" si="8"/>
        <v>1.3646331101043614</v>
      </c>
      <c r="P47" s="101">
        <f t="shared" si="9"/>
        <v>1.3646331101043614</v>
      </c>
      <c r="Q47" s="101">
        <f t="shared" si="10"/>
        <v>5.6211872343532282E-2</v>
      </c>
      <c r="R47" s="101">
        <f t="shared" si="11"/>
        <v>1.5899145660360308E-2</v>
      </c>
      <c r="S47" s="101">
        <f t="shared" si="15"/>
        <v>533.67740990559207</v>
      </c>
      <c r="T47" s="101">
        <f t="shared" si="16"/>
        <v>3.7109947602151614</v>
      </c>
      <c r="U47" s="101">
        <f t="shared" si="16"/>
        <v>5.0470737827623502</v>
      </c>
      <c r="V47" s="33">
        <f t="shared" si="17"/>
        <v>1000.000000000001</v>
      </c>
      <c r="W47" s="105">
        <f t="shared" si="12"/>
        <v>166631.92975032801</v>
      </c>
      <c r="X47" s="112">
        <f t="shared" si="18"/>
        <v>991.24193145702361</v>
      </c>
      <c r="Y47" s="32">
        <f t="shared" si="13"/>
        <v>644.78758186032235</v>
      </c>
      <c r="Z47" s="30"/>
      <c r="AA47" s="30"/>
    </row>
    <row r="48" spans="1:27" x14ac:dyDescent="0.25">
      <c r="A48" s="4">
        <v>42</v>
      </c>
      <c r="C48" s="110">
        <f>IF(male=0,VLOOKUP(((A46:A880/'Life tables'!$I$2)*2)+age,lifetable,13,1),IF(male=1,VLOOKUP(((A46:A880/'Life tables'!$I$2)*2)+age,lifetable,10,1),"error"))</f>
        <v>8.6010410302650442E-5</v>
      </c>
      <c r="E48" s="100"/>
      <c r="F48" s="101">
        <f t="shared" si="0"/>
        <v>390.6888188490488</v>
      </c>
      <c r="G48" s="101">
        <f t="shared" si="1"/>
        <v>39.245509520035185</v>
      </c>
      <c r="H48" s="101">
        <f t="shared" si="2"/>
        <v>0.89808527026925555</v>
      </c>
      <c r="I48" s="101">
        <f t="shared" si="3"/>
        <v>0.89808527026925555</v>
      </c>
      <c r="J48" s="101">
        <f t="shared" si="4"/>
        <v>3.7133317351384615E-2</v>
      </c>
      <c r="K48" s="101">
        <f t="shared" si="5"/>
        <v>7.0400114319086687E-2</v>
      </c>
      <c r="L48" s="101">
        <f t="shared" si="14"/>
        <v>349.53960535680466</v>
      </c>
      <c r="M48" s="101">
        <f t="shared" si="6"/>
        <v>600.55311260797487</v>
      </c>
      <c r="N48" s="101">
        <f t="shared" si="7"/>
        <v>57.834565919029707</v>
      </c>
      <c r="O48" s="101">
        <f t="shared" si="8"/>
        <v>1.3805050936355685</v>
      </c>
      <c r="P48" s="101">
        <f t="shared" si="9"/>
        <v>1.3805050936355685</v>
      </c>
      <c r="Q48" s="101">
        <f t="shared" si="10"/>
        <v>5.6865669987374169E-2</v>
      </c>
      <c r="R48" s="101">
        <f t="shared" si="11"/>
        <v>1.6084067875872288E-2</v>
      </c>
      <c r="S48" s="101">
        <f t="shared" si="15"/>
        <v>539.88458676381083</v>
      </c>
      <c r="T48" s="101">
        <f t="shared" si="16"/>
        <v>3.8049937475539202</v>
      </c>
      <c r="U48" s="101">
        <f t="shared" si="16"/>
        <v>5.1335579649573093</v>
      </c>
      <c r="V48" s="33">
        <f t="shared" si="17"/>
        <v>1000.0000000000013</v>
      </c>
      <c r="W48" s="105">
        <f t="shared" si="12"/>
        <v>166962.02546280588</v>
      </c>
      <c r="X48" s="112">
        <f t="shared" si="18"/>
        <v>991.06144828749007</v>
      </c>
      <c r="Y48" s="32">
        <f t="shared" si="13"/>
        <v>644.48758157744294</v>
      </c>
      <c r="Z48" s="30"/>
      <c r="AA48" s="30"/>
    </row>
    <row r="49" spans="1:27" x14ac:dyDescent="0.25">
      <c r="A49" s="4">
        <v>43</v>
      </c>
      <c r="C49" s="110">
        <f>IF(male=0,VLOOKUP(((A47:A881/'Life tables'!$I$2)*2)+age,lifetable,13,1),IF(male=1,VLOOKUP(((A47:A881/'Life tables'!$I$2)*2)+age,lifetable,10,1),"error"))</f>
        <v>8.6010410302650442E-5</v>
      </c>
      <c r="E49" s="100"/>
      <c r="F49" s="101">
        <f t="shared" si="0"/>
        <v>383.82188061518752</v>
      </c>
      <c r="G49" s="101">
        <f t="shared" si="1"/>
        <v>38.55571120273391</v>
      </c>
      <c r="H49" s="101">
        <f t="shared" si="2"/>
        <v>0.88230008322999609</v>
      </c>
      <c r="I49" s="101">
        <f t="shared" si="3"/>
        <v>0.88230008322999609</v>
      </c>
      <c r="J49" s="101">
        <f t="shared" si="4"/>
        <v>3.6480643959242186E-2</v>
      </c>
      <c r="K49" s="101">
        <f t="shared" si="5"/>
        <v>6.9162727392810888E-2</v>
      </c>
      <c r="L49" s="101">
        <f t="shared" si="14"/>
        <v>343.39592587464159</v>
      </c>
      <c r="M49" s="101">
        <f t="shared" si="6"/>
        <v>607.23956767230231</v>
      </c>
      <c r="N49" s="101">
        <f t="shared" si="7"/>
        <v>58.478486028781781</v>
      </c>
      <c r="O49" s="101">
        <f t="shared" si="8"/>
        <v>1.3958753999097031</v>
      </c>
      <c r="P49" s="101">
        <f t="shared" si="9"/>
        <v>1.3958753999097031</v>
      </c>
      <c r="Q49" s="101">
        <f t="shared" si="10"/>
        <v>5.7498802576467341E-2</v>
      </c>
      <c r="R49" s="101">
        <f t="shared" si="11"/>
        <v>1.6263145121241288E-2</v>
      </c>
      <c r="S49" s="101">
        <f t="shared" si="15"/>
        <v>545.8955688960034</v>
      </c>
      <c r="T49" s="101">
        <f t="shared" si="16"/>
        <v>3.8989731940896295</v>
      </c>
      <c r="U49" s="101">
        <f t="shared" si="16"/>
        <v>5.2189838374713613</v>
      </c>
      <c r="V49" s="33">
        <f t="shared" si="17"/>
        <v>1000.0000000000011</v>
      </c>
      <c r="W49" s="105">
        <f t="shared" si="12"/>
        <v>167274.11593627627</v>
      </c>
      <c r="X49" s="112">
        <f t="shared" si="18"/>
        <v>990.88204296844015</v>
      </c>
      <c r="Y49" s="32">
        <f t="shared" si="13"/>
        <v>644.18831384563043</v>
      </c>
      <c r="Z49" s="30"/>
      <c r="AA49" s="30"/>
    </row>
    <row r="50" spans="1:27" x14ac:dyDescent="0.25">
      <c r="A50" s="4">
        <v>44</v>
      </c>
      <c r="C50" s="110">
        <f>IF(male=0,VLOOKUP(((A48:A882/'Life tables'!$I$2)*2)+age,lifetable,13,1),IF(male=1,VLOOKUP(((A48:A882/'Life tables'!$I$2)*2)+age,lifetable,10,1),"error"))</f>
        <v>8.6010410302650442E-5</v>
      </c>
      <c r="E50" s="100"/>
      <c r="F50" s="101">
        <f t="shared" si="0"/>
        <v>377.16748181681783</v>
      </c>
      <c r="G50" s="101">
        <f t="shared" si="1"/>
        <v>37.887262916548295</v>
      </c>
      <c r="H50" s="101">
        <f t="shared" si="2"/>
        <v>0.86700346542322371</v>
      </c>
      <c r="I50" s="101">
        <f t="shared" si="3"/>
        <v>0.86700346542322371</v>
      </c>
      <c r="J50" s="101">
        <f t="shared" si="4"/>
        <v>3.5848171540168394E-2</v>
      </c>
      <c r="K50" s="101">
        <f t="shared" si="5"/>
        <v>6.7963638978890809E-2</v>
      </c>
      <c r="L50" s="101">
        <f t="shared" si="14"/>
        <v>337.44240015890404</v>
      </c>
      <c r="M50" s="101">
        <f t="shared" si="6"/>
        <v>613.71456115162232</v>
      </c>
      <c r="N50" s="101">
        <f t="shared" si="7"/>
        <v>59.102041929739158</v>
      </c>
      <c r="O50" s="101">
        <f t="shared" si="8"/>
        <v>1.4107596146307637</v>
      </c>
      <c r="P50" s="101">
        <f t="shared" si="9"/>
        <v>1.4107596146307637</v>
      </c>
      <c r="Q50" s="101">
        <f t="shared" si="10"/>
        <v>5.8111912116049012E-2</v>
      </c>
      <c r="R50" s="101">
        <f t="shared" si="11"/>
        <v>1.6436558983280822E-2</v>
      </c>
      <c r="S50" s="101">
        <f t="shared" si="15"/>
        <v>551.71645152152234</v>
      </c>
      <c r="T50" s="101">
        <f t="shared" si="16"/>
        <v>3.9929332777458471</v>
      </c>
      <c r="U50" s="101">
        <f t="shared" si="16"/>
        <v>5.3033840354335329</v>
      </c>
      <c r="V50" s="33">
        <f t="shared" si="17"/>
        <v>1000.0000000000011</v>
      </c>
      <c r="W50" s="105">
        <f t="shared" si="12"/>
        <v>167568.7901260037</v>
      </c>
      <c r="X50" s="112">
        <f t="shared" si="18"/>
        <v>990.70368268682182</v>
      </c>
      <c r="Y50" s="32">
        <f t="shared" si="13"/>
        <v>643.88975948018197</v>
      </c>
      <c r="Z50" s="30"/>
      <c r="AA50" s="30"/>
    </row>
    <row r="51" spans="1:27" x14ac:dyDescent="0.25">
      <c r="A51" s="4">
        <v>45</v>
      </c>
      <c r="C51" s="110">
        <f>IF(male=0,VLOOKUP(((A49:A883/'Life tables'!$I$2)*2)+age,lifetable,13,1),IF(male=1,VLOOKUP(((A49:A883/'Life tables'!$I$2)*2)+age,lifetable,10,1),"error"))</f>
        <v>8.6010410302650442E-5</v>
      </c>
      <c r="E51" s="100"/>
      <c r="F51" s="101">
        <f t="shared" si="0"/>
        <v>370.71902010593351</v>
      </c>
      <c r="G51" s="101">
        <f t="shared" si="1"/>
        <v>37.239501441803164</v>
      </c>
      <c r="H51" s="101">
        <f t="shared" si="2"/>
        <v>0.85218023988147074</v>
      </c>
      <c r="I51" s="101">
        <f t="shared" si="3"/>
        <v>0.85218023988147074</v>
      </c>
      <c r="J51" s="101">
        <f t="shared" si="4"/>
        <v>3.5235272568951523E-2</v>
      </c>
      <c r="K51" s="101">
        <f t="shared" si="5"/>
        <v>6.6801659368197333E-2</v>
      </c>
      <c r="L51" s="101">
        <f t="shared" si="14"/>
        <v>331.67312125243024</v>
      </c>
      <c r="M51" s="101">
        <f t="shared" si="6"/>
        <v>619.98466258088843</v>
      </c>
      <c r="N51" s="101">
        <f t="shared" si="7"/>
        <v>59.705866282351593</v>
      </c>
      <c r="O51" s="101">
        <f t="shared" si="8"/>
        <v>1.4251728393381076</v>
      </c>
      <c r="P51" s="101">
        <f t="shared" si="9"/>
        <v>1.4251728393381076</v>
      </c>
      <c r="Q51" s="101">
        <f t="shared" si="10"/>
        <v>5.8705620667680078E-2</v>
      </c>
      <c r="R51" s="101">
        <f t="shared" si="11"/>
        <v>1.6604485407871267E-2</v>
      </c>
      <c r="S51" s="101">
        <f t="shared" si="15"/>
        <v>557.35314051378509</v>
      </c>
      <c r="T51" s="101">
        <f t="shared" si="16"/>
        <v>4.0868741709824787</v>
      </c>
      <c r="U51" s="101">
        <f t="shared" si="16"/>
        <v>5.3867901802096014</v>
      </c>
      <c r="V51" s="33">
        <f t="shared" si="17"/>
        <v>1000.0000000000014</v>
      </c>
      <c r="W51" s="105">
        <f t="shared" si="12"/>
        <v>167846.61802324565</v>
      </c>
      <c r="X51" s="112">
        <f t="shared" si="18"/>
        <v>990.52633564880932</v>
      </c>
      <c r="Y51" s="32">
        <f t="shared" si="13"/>
        <v>643.59189989606182</v>
      </c>
      <c r="Z51" s="30"/>
      <c r="AA51" s="30"/>
    </row>
    <row r="52" spans="1:27" x14ac:dyDescent="0.25">
      <c r="A52" s="4">
        <v>46</v>
      </c>
      <c r="C52" s="110">
        <f>IF(male=0,VLOOKUP(((A50:A884/'Life tables'!$I$2)*2)+age,lifetable,13,1),IF(male=1,VLOOKUP(((A50:A884/'Life tables'!$I$2)*2)+age,lifetable,10,1),"error"))</f>
        <v>8.6010410302650442E-5</v>
      </c>
      <c r="E52" s="100"/>
      <c r="F52" s="101">
        <f t="shared" si="0"/>
        <v>364.47009823414646</v>
      </c>
      <c r="G52" s="101">
        <f t="shared" si="1"/>
        <v>36.611784161509227</v>
      </c>
      <c r="H52" s="101">
        <f t="shared" si="2"/>
        <v>0.83781570110442516</v>
      </c>
      <c r="I52" s="101">
        <f t="shared" si="3"/>
        <v>0.83781570110442516</v>
      </c>
      <c r="J52" s="101">
        <f t="shared" si="4"/>
        <v>3.4641339014229736E-2</v>
      </c>
      <c r="K52" s="101">
        <f t="shared" si="5"/>
        <v>6.5675635809496966E-2</v>
      </c>
      <c r="L52" s="101">
        <f t="shared" si="14"/>
        <v>326.08236569560466</v>
      </c>
      <c r="M52" s="101">
        <f t="shared" si="6"/>
        <v>626.05623741466275</v>
      </c>
      <c r="N52" s="101">
        <f t="shared" si="7"/>
        <v>60.290572093684986</v>
      </c>
      <c r="O52" s="101">
        <f t="shared" si="8"/>
        <v>1.4391297064468562</v>
      </c>
      <c r="P52" s="101">
        <f t="shared" si="9"/>
        <v>1.4391297064468562</v>
      </c>
      <c r="Q52" s="101">
        <f t="shared" si="10"/>
        <v>5.9280530968788513E-2</v>
      </c>
      <c r="R52" s="101">
        <f t="shared" si="11"/>
        <v>1.6767094875193452E-2</v>
      </c>
      <c r="S52" s="101">
        <f t="shared" si="15"/>
        <v>562.81135828224001</v>
      </c>
      <c r="T52" s="101">
        <f t="shared" si="16"/>
        <v>4.1807960409654967</v>
      </c>
      <c r="U52" s="101">
        <f t="shared" si="16"/>
        <v>5.4692329108942914</v>
      </c>
      <c r="V52" s="33">
        <f t="shared" si="17"/>
        <v>1000.0000000000013</v>
      </c>
      <c r="W52" s="105">
        <f t="shared" si="12"/>
        <v>168108.15126549918</v>
      </c>
      <c r="X52" s="112">
        <f t="shared" si="18"/>
        <v>990.34997104814147</v>
      </c>
      <c r="Y52" s="32">
        <f t="shared" si="13"/>
        <v>643.29471708910796</v>
      </c>
      <c r="Z52" s="30"/>
      <c r="AA52" s="30"/>
    </row>
    <row r="53" spans="1:27" x14ac:dyDescent="0.25">
      <c r="A53" s="4">
        <v>47</v>
      </c>
      <c r="C53" s="110">
        <f>IF(male=0,VLOOKUP(((A51:A885/'Life tables'!$I$2)*2)+age,lifetable,13,1),IF(male=1,VLOOKUP(((A51:A885/'Life tables'!$I$2)*2)+age,lifetable,10,1),"error"))</f>
        <v>8.6010410302650442E-5</v>
      </c>
      <c r="E53" s="100"/>
      <c r="F53" s="101">
        <f t="shared" si="0"/>
        <v>358.41451768133885</v>
      </c>
      <c r="G53" s="101">
        <f t="shared" si="1"/>
        <v>36.003488421347868</v>
      </c>
      <c r="H53" s="101">
        <f t="shared" si="2"/>
        <v>0.82389560041296728</v>
      </c>
      <c r="I53" s="101">
        <f t="shared" si="3"/>
        <v>0.82389560041296728</v>
      </c>
      <c r="J53" s="101">
        <f t="shared" si="4"/>
        <v>3.4065781732921505E-2</v>
      </c>
      <c r="K53" s="101">
        <f t="shared" si="5"/>
        <v>6.4584451361367659E-2</v>
      </c>
      <c r="L53" s="101">
        <f t="shared" si="14"/>
        <v>320.66458782607077</v>
      </c>
      <c r="M53" s="101">
        <f t="shared" si="6"/>
        <v>631.93545336680245</v>
      </c>
      <c r="N53" s="101">
        <f t="shared" si="7"/>
        <v>60.856753327946933</v>
      </c>
      <c r="O53" s="101">
        <f t="shared" si="8"/>
        <v>1.4526443938210778</v>
      </c>
      <c r="P53" s="101">
        <f t="shared" si="9"/>
        <v>1.4526443938210778</v>
      </c>
      <c r="Q53" s="101">
        <f t="shared" si="10"/>
        <v>5.9837227032966796E-2</v>
      </c>
      <c r="R53" s="101">
        <f t="shared" si="11"/>
        <v>1.692455256951874E-2</v>
      </c>
      <c r="S53" s="101">
        <f t="shared" si="15"/>
        <v>568.09664947161093</v>
      </c>
      <c r="T53" s="101">
        <f t="shared" si="16"/>
        <v>4.2746990497313853</v>
      </c>
      <c r="U53" s="101">
        <f t="shared" si="16"/>
        <v>5.5507419148251778</v>
      </c>
      <c r="V53" s="33">
        <f t="shared" si="17"/>
        <v>1000.0000000000011</v>
      </c>
      <c r="W53" s="105">
        <f t="shared" si="12"/>
        <v>168353.92372710953</v>
      </c>
      <c r="X53" s="112">
        <f t="shared" si="18"/>
        <v>990.17455903544464</v>
      </c>
      <c r="Y53" s="32">
        <f t="shared" si="13"/>
        <v>642.99819361782488</v>
      </c>
      <c r="Z53" s="30"/>
      <c r="AA53" s="30"/>
    </row>
    <row r="54" spans="1:27" x14ac:dyDescent="0.25">
      <c r="A54" s="4">
        <v>48</v>
      </c>
      <c r="C54" s="110">
        <f>IF(male=0,VLOOKUP(((A52:A886/'Life tables'!$I$2)*2)+age,lifetable,13,1),IF(male=1,VLOOKUP(((A52:A886/'Life tables'!$I$2)*2)+age,lifetable,10,1),"error"))</f>
        <v>8.6010410302650442E-5</v>
      </c>
      <c r="E54" s="100"/>
      <c r="F54" s="101">
        <f t="shared" si="0"/>
        <v>352.54627248223863</v>
      </c>
      <c r="G54" s="101">
        <f t="shared" si="1"/>
        <v>35.414010909537701</v>
      </c>
      <c r="H54" s="101">
        <f t="shared" si="2"/>
        <v>0.81040613175817988</v>
      </c>
      <c r="I54" s="101">
        <f t="shared" si="3"/>
        <v>0.81040613175817988</v>
      </c>
      <c r="J54" s="101">
        <f t="shared" si="4"/>
        <v>3.3508029883467835E-2</v>
      </c>
      <c r="K54" s="101">
        <f t="shared" si="5"/>
        <v>6.3527023779779493E-2</v>
      </c>
      <c r="L54" s="101">
        <f t="shared" si="14"/>
        <v>315.41441425552131</v>
      </c>
      <c r="M54" s="101">
        <f t="shared" si="6"/>
        <v>637.62828655320595</v>
      </c>
      <c r="N54" s="101">
        <f t="shared" si="7"/>
        <v>61.40498549804645</v>
      </c>
      <c r="O54" s="101">
        <f t="shared" si="8"/>
        <v>1.4657306388942555</v>
      </c>
      <c r="P54" s="101">
        <f t="shared" si="9"/>
        <v>1.4657306388942555</v>
      </c>
      <c r="Q54" s="101">
        <f t="shared" si="10"/>
        <v>6.037627473162141E-2</v>
      </c>
      <c r="R54" s="101">
        <f t="shared" si="11"/>
        <v>1.7077018543724596E-2</v>
      </c>
      <c r="S54" s="101">
        <f t="shared" si="15"/>
        <v>573.2143864840956</v>
      </c>
      <c r="T54" s="101">
        <f t="shared" si="16"/>
        <v>4.3685833543464749</v>
      </c>
      <c r="U54" s="101">
        <f t="shared" si="16"/>
        <v>5.6313459571486817</v>
      </c>
      <c r="V54" s="33">
        <f t="shared" si="17"/>
        <v>1000.0000000000011</v>
      </c>
      <c r="W54" s="105">
        <f t="shared" si="12"/>
        <v>168584.45209087449</v>
      </c>
      <c r="X54" s="112">
        <f t="shared" si="18"/>
        <v>990.00007068850584</v>
      </c>
      <c r="Y54" s="32">
        <f t="shared" si="13"/>
        <v>642.70231258574881</v>
      </c>
      <c r="Z54" s="30"/>
      <c r="AA54" s="30"/>
    </row>
    <row r="55" spans="1:27" x14ac:dyDescent="0.25">
      <c r="A55" s="4">
        <v>49</v>
      </c>
      <c r="C55" s="110">
        <f>IF(male=0,VLOOKUP(((A53:A887/'Life tables'!$I$2)*2)+age,lifetable,13,1),IF(male=1,VLOOKUP(((A53:A887/'Life tables'!$I$2)*2)+age,lifetable,10,1),"error"))</f>
        <v>8.6010410302650442E-5</v>
      </c>
      <c r="E55" s="100"/>
      <c r="F55" s="101">
        <f t="shared" si="0"/>
        <v>346.85954324477024</v>
      </c>
      <c r="G55" s="101">
        <f t="shared" si="1"/>
        <v>34.842767055965439</v>
      </c>
      <c r="H55" s="101">
        <f t="shared" si="2"/>
        <v>0.79733391797119368</v>
      </c>
      <c r="I55" s="101">
        <f t="shared" si="3"/>
        <v>0.79733391797119368</v>
      </c>
      <c r="J55" s="101">
        <f t="shared" si="4"/>
        <v>3.2967530357301718E-2</v>
      </c>
      <c r="K55" s="101">
        <f t="shared" si="5"/>
        <v>6.2502304440232304E-2</v>
      </c>
      <c r="L55" s="101">
        <f t="shared" si="14"/>
        <v>310.3266385180649</v>
      </c>
      <c r="M55" s="101">
        <f t="shared" si="6"/>
        <v>643.14052744373566</v>
      </c>
      <c r="N55" s="101">
        <f t="shared" si="7"/>
        <v>61.935826238777096</v>
      </c>
      <c r="O55" s="101">
        <f t="shared" si="8"/>
        <v>1.4784017523511095</v>
      </c>
      <c r="P55" s="101">
        <f t="shared" si="9"/>
        <v>1.4784017523511095</v>
      </c>
      <c r="Q55" s="101">
        <f t="shared" si="10"/>
        <v>6.0898222357553364E-2</v>
      </c>
      <c r="R55" s="101">
        <f t="shared" si="11"/>
        <v>1.7224647878699522E-2</v>
      </c>
      <c r="S55" s="101">
        <f t="shared" si="15"/>
        <v>578.16977483002006</v>
      </c>
      <c r="T55" s="101">
        <f t="shared" si="16"/>
        <v>4.4624491070613299</v>
      </c>
      <c r="U55" s="101">
        <f t="shared" si="16"/>
        <v>5.7110729094676138</v>
      </c>
      <c r="V55" s="33">
        <f t="shared" si="17"/>
        <v>1000.000000000001</v>
      </c>
      <c r="W55" s="105">
        <f t="shared" si="12"/>
        <v>168800.23640125504</v>
      </c>
      <c r="X55" s="112">
        <f t="shared" si="18"/>
        <v>989.82647798347205</v>
      </c>
      <c r="Y55" s="32">
        <f t="shared" si="13"/>
        <v>642.40705762436619</v>
      </c>
      <c r="Z55" s="30"/>
      <c r="AA55" s="30"/>
    </row>
    <row r="56" spans="1:27" x14ac:dyDescent="0.25">
      <c r="A56" s="4">
        <v>50</v>
      </c>
      <c r="C56" s="110">
        <f>IF(male=0,VLOOKUP(((A54:A888/'Life tables'!$I$2)*2)+age,lifetable,13,1),IF(male=1,VLOOKUP(((A54:A888/'Life tables'!$I$2)*2)+age,lifetable,10,1),"error"))</f>
        <v>8.6010410302650442E-5</v>
      </c>
      <c r="E56" s="100"/>
      <c r="F56" s="101">
        <f t="shared" si="0"/>
        <v>341.348691354224</v>
      </c>
      <c r="G56" s="101">
        <f t="shared" si="1"/>
        <v>34.289190449982506</v>
      </c>
      <c r="H56" s="101">
        <f t="shared" si="2"/>
        <v>0.78466599744018073</v>
      </c>
      <c r="I56" s="101">
        <f t="shared" si="3"/>
        <v>0.78466599744018073</v>
      </c>
      <c r="J56" s="101">
        <f t="shared" si="4"/>
        <v>3.2443747227979047E-2</v>
      </c>
      <c r="K56" s="101">
        <f t="shared" si="5"/>
        <v>6.150927729337681E-2</v>
      </c>
      <c r="L56" s="101">
        <f t="shared" si="14"/>
        <v>305.39621588483976</v>
      </c>
      <c r="M56" s="101">
        <f t="shared" si="6"/>
        <v>648.47778662924816</v>
      </c>
      <c r="N56" s="101">
        <f t="shared" si="7"/>
        <v>62.449815862194413</v>
      </c>
      <c r="O56" s="101">
        <f t="shared" si="8"/>
        <v>1.4906706313843998</v>
      </c>
      <c r="P56" s="101">
        <f t="shared" si="9"/>
        <v>1.4906706313843998</v>
      </c>
      <c r="Q56" s="101">
        <f t="shared" si="10"/>
        <v>6.140360117103151E-2</v>
      </c>
      <c r="R56" s="101">
        <f t="shared" si="11"/>
        <v>1.7367590837796203E-2</v>
      </c>
      <c r="S56" s="101">
        <f t="shared" si="15"/>
        <v>582.96785831227612</v>
      </c>
      <c r="T56" s="101">
        <f t="shared" si="16"/>
        <v>4.5562964554603402</v>
      </c>
      <c r="U56" s="101">
        <f t="shared" si="16"/>
        <v>5.7899497775987872</v>
      </c>
      <c r="V56" s="33">
        <f t="shared" si="17"/>
        <v>1000.000000000001</v>
      </c>
      <c r="W56" s="105">
        <f t="shared" si="12"/>
        <v>169001.76059978548</v>
      </c>
      <c r="X56" s="112">
        <f t="shared" si="18"/>
        <v>989.65375376694192</v>
      </c>
      <c r="Y56" s="32">
        <f t="shared" si="13"/>
        <v>642.1124128765656</v>
      </c>
      <c r="Z56" s="30"/>
      <c r="AA56" s="30"/>
    </row>
    <row r="57" spans="1:27" x14ac:dyDescent="0.25">
      <c r="A57" s="4">
        <v>51</v>
      </c>
      <c r="C57" s="110">
        <f>IF(male=0,VLOOKUP(((A55:A889/'Life tables'!$I$2)*2)+age,lifetable,13,1),IF(male=1,VLOOKUP(((A55:A889/'Life tables'!$I$2)*2)+age,lifetable,10,1),"error"))</f>
        <v>8.6010410302650442E-5</v>
      </c>
      <c r="E57" s="100"/>
      <c r="F57" s="101">
        <f t="shared" si="0"/>
        <v>336.00825335746987</v>
      </c>
      <c r="G57" s="101">
        <f t="shared" si="1"/>
        <v>33.752732276287624</v>
      </c>
      <c r="H57" s="101">
        <f t="shared" si="2"/>
        <v>0.77238981120121841</v>
      </c>
      <c r="I57" s="101">
        <f t="shared" si="3"/>
        <v>0.77238981120121841</v>
      </c>
      <c r="J57" s="101">
        <f t="shared" si="4"/>
        <v>3.1936161217421925E-2</v>
      </c>
      <c r="K57" s="101">
        <f t="shared" si="5"/>
        <v>6.0546957853078863E-2</v>
      </c>
      <c r="L57" s="101">
        <f t="shared" si="14"/>
        <v>300.61825833970931</v>
      </c>
      <c r="M57" s="101">
        <f t="shared" si="6"/>
        <v>653.64550040947222</v>
      </c>
      <c r="N57" s="101">
        <f t="shared" si="7"/>
        <v>62.947477895740718</v>
      </c>
      <c r="O57" s="101">
        <f t="shared" si="8"/>
        <v>1.5025497725399082</v>
      </c>
      <c r="P57" s="101">
        <f t="shared" si="9"/>
        <v>1.5025497725399082</v>
      </c>
      <c r="Q57" s="101">
        <f t="shared" si="10"/>
        <v>6.1892925928902276E-2</v>
      </c>
      <c r="R57" s="101">
        <f t="shared" si="11"/>
        <v>1.7505993016486535E-2</v>
      </c>
      <c r="S57" s="101">
        <f t="shared" si="15"/>
        <v>587.61352404970626</v>
      </c>
      <c r="T57" s="101">
        <f t="shared" si="16"/>
        <v>4.6501255426066646</v>
      </c>
      <c r="U57" s="101">
        <f t="shared" si="16"/>
        <v>5.8680027284683529</v>
      </c>
      <c r="V57" s="33">
        <f t="shared" si="17"/>
        <v>1000.0000000000013</v>
      </c>
      <c r="W57" s="105">
        <f t="shared" si="12"/>
        <v>169189.49304325378</v>
      </c>
      <c r="X57" s="112">
        <f t="shared" si="18"/>
        <v>989.48187172892619</v>
      </c>
      <c r="Y57" s="32">
        <f t="shared" si="13"/>
        <v>641.81836298060978</v>
      </c>
      <c r="Z57" s="30"/>
      <c r="AA57" s="30"/>
    </row>
    <row r="58" spans="1:27" x14ac:dyDescent="0.25">
      <c r="A58" s="4">
        <v>52</v>
      </c>
      <c r="C58" s="110">
        <f>IF(male=0,VLOOKUP(((A56:A890/'Life tables'!$I$2)*2)+age,lifetable,13,1),IF(male=1,VLOOKUP(((A56:A890/'Life tables'!$I$2)*2)+age,lifetable,10,1),"error"))</f>
        <v>8.6010410302650442E-5</v>
      </c>
      <c r="E58" s="100"/>
      <c r="F58" s="101">
        <f t="shared" si="0"/>
        <v>330.83293552162434</v>
      </c>
      <c r="G58" s="101">
        <f t="shared" si="1"/>
        <v>33.232860768333467</v>
      </c>
      <c r="H58" s="101">
        <f t="shared" si="2"/>
        <v>0.76049319043017338</v>
      </c>
      <c r="I58" s="101">
        <f t="shared" si="3"/>
        <v>0.76049319043017338</v>
      </c>
      <c r="J58" s="101">
        <f t="shared" si="4"/>
        <v>3.1444269178742962E-2</v>
      </c>
      <c r="K58" s="101">
        <f t="shared" si="5"/>
        <v>5.961439221591916E-2</v>
      </c>
      <c r="L58" s="101">
        <f t="shared" si="14"/>
        <v>295.98802971103584</v>
      </c>
      <c r="M58" s="101">
        <f t="shared" si="6"/>
        <v>658.64893620730197</v>
      </c>
      <c r="N58" s="101">
        <f t="shared" si="7"/>
        <v>63.429319603653255</v>
      </c>
      <c r="O58" s="101">
        <f t="shared" si="8"/>
        <v>1.5140512841623972</v>
      </c>
      <c r="P58" s="101">
        <f t="shared" si="9"/>
        <v>1.5140512841623972</v>
      </c>
      <c r="Q58" s="101">
        <f t="shared" si="10"/>
        <v>6.236669539726257E-2</v>
      </c>
      <c r="R58" s="101">
        <f t="shared" si="11"/>
        <v>1.7639995487367735E-2</v>
      </c>
      <c r="S58" s="101">
        <f t="shared" si="15"/>
        <v>592.11150734443936</v>
      </c>
      <c r="T58" s="101">
        <f t="shared" si="16"/>
        <v>4.7439365071826698</v>
      </c>
      <c r="U58" s="101">
        <f t="shared" si="16"/>
        <v>5.9452571161716401</v>
      </c>
      <c r="V58" s="33">
        <f t="shared" si="17"/>
        <v>1000.0000000000014</v>
      </c>
      <c r="W58" s="105">
        <f t="shared" si="12"/>
        <v>169363.88700520893</v>
      </c>
      <c r="X58" s="112">
        <f t="shared" si="18"/>
        <v>989.31080637664707</v>
      </c>
      <c r="Y58" s="32">
        <f t="shared" si="13"/>
        <v>641.52489305460961</v>
      </c>
      <c r="Z58" s="30"/>
      <c r="AA58" s="30"/>
    </row>
    <row r="59" spans="1:27" x14ac:dyDescent="0.25">
      <c r="A59" s="4">
        <v>53</v>
      </c>
      <c r="C59" s="110">
        <f>IF(male=0,VLOOKUP(((A57:A891/'Life tables'!$I$2)*2)+age,lifetable,13,1),IF(male=1,VLOOKUP(((A57:A891/'Life tables'!$I$2)*2)+age,lifetable,10,1),"error"))</f>
        <v>9.285312807338908E-5</v>
      </c>
      <c r="E59" s="100"/>
      <c r="F59" s="101">
        <f t="shared" si="0"/>
        <v>325.81760856175021</v>
      </c>
      <c r="G59" s="101">
        <f t="shared" si="1"/>
        <v>32.72906067871309</v>
      </c>
      <c r="H59" s="101">
        <f t="shared" si="2"/>
        <v>0.7489643443231454</v>
      </c>
      <c r="I59" s="101">
        <f t="shared" si="3"/>
        <v>0.7489643443231454</v>
      </c>
      <c r="J59" s="101">
        <f t="shared" si="4"/>
        <v>3.3431267163643495E-2</v>
      </c>
      <c r="K59" s="101">
        <f t="shared" si="5"/>
        <v>5.8710656111151963E-2</v>
      </c>
      <c r="L59" s="101">
        <f t="shared" si="14"/>
        <v>291.49847727111603</v>
      </c>
      <c r="M59" s="101">
        <f t="shared" si="6"/>
        <v>663.49319781489692</v>
      </c>
      <c r="N59" s="101">
        <f t="shared" si="7"/>
        <v>63.895832492175003</v>
      </c>
      <c r="O59" s="101">
        <f t="shared" si="8"/>
        <v>1.5251868984549393</v>
      </c>
      <c r="P59" s="101">
        <f t="shared" si="9"/>
        <v>1.5251868984549393</v>
      </c>
      <c r="Q59" s="101">
        <f t="shared" si="10"/>
        <v>6.7823583539117022E-2</v>
      </c>
      <c r="R59" s="101">
        <f t="shared" si="11"/>
        <v>1.7769734940663848E-2</v>
      </c>
      <c r="S59" s="101">
        <f t="shared" si="15"/>
        <v>596.46139820733231</v>
      </c>
      <c r="T59" s="101">
        <f t="shared" si="16"/>
        <v>4.8451913578854304</v>
      </c>
      <c r="U59" s="101">
        <f t="shared" si="16"/>
        <v>6.021737507223456</v>
      </c>
      <c r="V59" s="33">
        <f t="shared" si="17"/>
        <v>1000.0000000000015</v>
      </c>
      <c r="W59" s="105">
        <f t="shared" si="12"/>
        <v>169524.29748048296</v>
      </c>
      <c r="X59" s="112">
        <f t="shared" si="18"/>
        <v>989.13307113489259</v>
      </c>
      <c r="Y59" s="32">
        <f t="shared" si="13"/>
        <v>641.22707221029793</v>
      </c>
      <c r="Z59" s="30"/>
      <c r="AA59" s="30"/>
    </row>
    <row r="60" spans="1:27" x14ac:dyDescent="0.25">
      <c r="A60" s="4">
        <v>54</v>
      </c>
      <c r="C60" s="110">
        <f>IF(male=0,VLOOKUP(((A58:A892/'Life tables'!$I$2)*2)+age,lifetable,13,1),IF(male=1,VLOOKUP(((A58:A892/'Life tables'!$I$2)*2)+age,lifetable,10,1),"error"))</f>
        <v>9.285312807338908E-5</v>
      </c>
      <c r="E60" s="100"/>
      <c r="F60" s="101">
        <f t="shared" si="0"/>
        <v>320.95487503648803</v>
      </c>
      <c r="G60" s="101">
        <f t="shared" si="1"/>
        <v>32.240588918959951</v>
      </c>
      <c r="H60" s="101">
        <f t="shared" si="2"/>
        <v>0.73778626821349913</v>
      </c>
      <c r="I60" s="101">
        <f t="shared" si="3"/>
        <v>0.73778626821349913</v>
      </c>
      <c r="J60" s="101">
        <f t="shared" si="4"/>
        <v>3.2932315175301714E-2</v>
      </c>
      <c r="K60" s="101">
        <f t="shared" si="5"/>
        <v>5.7834416557918211E-2</v>
      </c>
      <c r="L60" s="101">
        <f t="shared" si="14"/>
        <v>287.14794684936788</v>
      </c>
      <c r="M60" s="101">
        <f t="shared" si="6"/>
        <v>668.17819609840478</v>
      </c>
      <c r="N60" s="101">
        <f t="shared" si="7"/>
        <v>64.347007977522878</v>
      </c>
      <c r="O60" s="101">
        <f t="shared" si="8"/>
        <v>1.5359564105235219</v>
      </c>
      <c r="P60" s="101">
        <f t="shared" si="9"/>
        <v>1.5359564105235219</v>
      </c>
      <c r="Q60" s="101">
        <f t="shared" si="10"/>
        <v>6.8302493305650538E-2</v>
      </c>
      <c r="R60" s="101">
        <f t="shared" si="11"/>
        <v>1.7895208989183974E-2</v>
      </c>
      <c r="S60" s="101">
        <f t="shared" si="15"/>
        <v>600.67307759753999</v>
      </c>
      <c r="T60" s="101">
        <f t="shared" si="16"/>
        <v>4.9464261663663827</v>
      </c>
      <c r="U60" s="101">
        <f t="shared" si="16"/>
        <v>6.0974671327705581</v>
      </c>
      <c r="V60" s="33">
        <f t="shared" si="17"/>
        <v>1000.0000000000016</v>
      </c>
      <c r="W60" s="105">
        <f t="shared" si="12"/>
        <v>169672.03518317195</v>
      </c>
      <c r="X60" s="112">
        <f t="shared" si="18"/>
        <v>988.95610670086467</v>
      </c>
      <c r="Y60" s="32">
        <f t="shared" si="13"/>
        <v>640.929886695351</v>
      </c>
      <c r="Z60" s="30"/>
      <c r="AA60" s="30"/>
    </row>
    <row r="61" spans="1:27" x14ac:dyDescent="0.25">
      <c r="A61" s="4">
        <v>55</v>
      </c>
      <c r="C61" s="110">
        <f>IF(male=0,VLOOKUP(((A59:A893/'Life tables'!$I$2)*2)+age,lifetable,13,1),IF(male=1,VLOOKUP(((A59:A893/'Life tables'!$I$2)*2)+age,lifetable,10,1),"error"))</f>
        <v>9.285312807338908E-5</v>
      </c>
      <c r="E61" s="100"/>
      <c r="F61" s="101">
        <f t="shared" si="0"/>
        <v>316.24241825669441</v>
      </c>
      <c r="G61" s="101">
        <f t="shared" si="1"/>
        <v>31.767212772801024</v>
      </c>
      <c r="H61" s="101">
        <f t="shared" si="2"/>
        <v>0.7269536366752305</v>
      </c>
      <c r="I61" s="101">
        <f t="shared" si="3"/>
        <v>0.7269536366752305</v>
      </c>
      <c r="J61" s="101">
        <f t="shared" si="4"/>
        <v>3.2448782679013854E-2</v>
      </c>
      <c r="K61" s="101">
        <f t="shared" si="5"/>
        <v>5.6985256100758039E-2</v>
      </c>
      <c r="L61" s="101">
        <f t="shared" si="14"/>
        <v>282.93186417176315</v>
      </c>
      <c r="M61" s="101">
        <f t="shared" si="6"/>
        <v>672.71368844417032</v>
      </c>
      <c r="N61" s="101">
        <f t="shared" si="7"/>
        <v>64.783785717142479</v>
      </c>
      <c r="O61" s="101">
        <f t="shared" si="8"/>
        <v>1.5463822498939719</v>
      </c>
      <c r="P61" s="101">
        <f t="shared" si="9"/>
        <v>1.5463822498939719</v>
      </c>
      <c r="Q61" s="101">
        <f t="shared" si="10"/>
        <v>6.8766120280300977E-2</v>
      </c>
      <c r="R61" s="101">
        <f t="shared" si="11"/>
        <v>1.8016678956133278E-2</v>
      </c>
      <c r="S61" s="101">
        <f t="shared" si="15"/>
        <v>604.75035542800345</v>
      </c>
      <c r="T61" s="101">
        <f t="shared" si="16"/>
        <v>5.0476410693256977</v>
      </c>
      <c r="U61" s="101">
        <f t="shared" si="16"/>
        <v>6.172469067827449</v>
      </c>
      <c r="V61" s="33">
        <f t="shared" si="17"/>
        <v>1000.0000000000016</v>
      </c>
      <c r="W61" s="105">
        <f t="shared" si="12"/>
        <v>169807.70655175918</v>
      </c>
      <c r="X61" s="112">
        <f t="shared" si="18"/>
        <v>988.77988986284845</v>
      </c>
      <c r="Y61" s="32">
        <f t="shared" si="13"/>
        <v>640.6332437598569</v>
      </c>
      <c r="Z61" s="30"/>
      <c r="AA61" s="30"/>
    </row>
    <row r="62" spans="1:27" x14ac:dyDescent="0.25">
      <c r="A62" s="4">
        <v>56</v>
      </c>
      <c r="C62" s="110">
        <f>IF(male=0,VLOOKUP(((A60:A894/'Life tables'!$I$2)*2)+age,lifetable,13,1),IF(male=1,VLOOKUP(((A60:A894/'Life tables'!$I$2)*2)+age,lifetable,10,1),"error"))</f>
        <v>9.285312807338908E-5</v>
      </c>
      <c r="E62" s="100"/>
      <c r="F62" s="101">
        <f t="shared" si="0"/>
        <v>311.67556895434086</v>
      </c>
      <c r="G62" s="101">
        <f t="shared" si="1"/>
        <v>31.308463202490618</v>
      </c>
      <c r="H62" s="101">
        <f t="shared" si="2"/>
        <v>0.71645571635576566</v>
      </c>
      <c r="I62" s="101">
        <f t="shared" si="3"/>
        <v>0.71645571635576566</v>
      </c>
      <c r="J62" s="101">
        <f t="shared" si="4"/>
        <v>3.1980190573765055E-2</v>
      </c>
      <c r="K62" s="101">
        <f t="shared" si="5"/>
        <v>5.6162333361604984E-2</v>
      </c>
      <c r="L62" s="101">
        <f t="shared" si="14"/>
        <v>278.84605179520332</v>
      </c>
      <c r="M62" s="101">
        <f t="shared" si="6"/>
        <v>677.1043209085077</v>
      </c>
      <c r="N62" s="101">
        <f t="shared" si="7"/>
        <v>65.206613136323156</v>
      </c>
      <c r="O62" s="101">
        <f t="shared" si="8"/>
        <v>1.5564750965615672</v>
      </c>
      <c r="P62" s="101">
        <f t="shared" si="9"/>
        <v>1.5564750965615672</v>
      </c>
      <c r="Q62" s="101">
        <f t="shared" si="10"/>
        <v>6.9214939392109903E-2</v>
      </c>
      <c r="R62" s="101">
        <f t="shared" si="11"/>
        <v>1.8134269272612927E-2</v>
      </c>
      <c r="S62" s="101">
        <f t="shared" si="15"/>
        <v>608.69740837039672</v>
      </c>
      <c r="T62" s="101">
        <f t="shared" si="16"/>
        <v>5.1488361992915728</v>
      </c>
      <c r="U62" s="101">
        <f t="shared" si="16"/>
        <v>6.2467656704616665</v>
      </c>
      <c r="V62" s="33">
        <f t="shared" si="17"/>
        <v>1000.0000000000017</v>
      </c>
      <c r="W62" s="105">
        <f t="shared" si="12"/>
        <v>169931.70948750715</v>
      </c>
      <c r="X62" s="112">
        <f t="shared" si="18"/>
        <v>988.60439813024846</v>
      </c>
      <c r="Y62" s="32">
        <f t="shared" si="13"/>
        <v>640.33713028085776</v>
      </c>
      <c r="Z62" s="30"/>
      <c r="AA62" s="30"/>
    </row>
    <row r="63" spans="1:27" x14ac:dyDescent="0.25">
      <c r="A63" s="4">
        <v>57</v>
      </c>
      <c r="C63" s="110">
        <f>IF(male=0,VLOOKUP(((A61:A895/'Life tables'!$I$2)*2)+age,lifetable,13,1),IF(male=1,VLOOKUP(((A61:A895/'Life tables'!$I$2)*2)+age,lifetable,10,1),"error"))</f>
        <v>9.285312807338908E-5</v>
      </c>
      <c r="E63" s="100"/>
      <c r="F63" s="101">
        <f t="shared" si="0"/>
        <v>307.24980294475625</v>
      </c>
      <c r="G63" s="101">
        <f t="shared" si="1"/>
        <v>30.863885744209913</v>
      </c>
      <c r="H63" s="101">
        <f t="shared" si="2"/>
        <v>0.70628210740894293</v>
      </c>
      <c r="I63" s="101">
        <f t="shared" si="3"/>
        <v>0.70628210740894293</v>
      </c>
      <c r="J63" s="101">
        <f t="shared" si="4"/>
        <v>3.1526074645152946E-2</v>
      </c>
      <c r="K63" s="101">
        <f t="shared" si="5"/>
        <v>5.5364833105666846E-2</v>
      </c>
      <c r="L63" s="101">
        <f t="shared" si="14"/>
        <v>274.88646207797763</v>
      </c>
      <c r="M63" s="101">
        <f t="shared" si="6"/>
        <v>681.35459518549226</v>
      </c>
      <c r="N63" s="101">
        <f t="shared" si="7"/>
        <v>65.615923757957859</v>
      </c>
      <c r="O63" s="101">
        <f t="shared" si="8"/>
        <v>1.5662452986728259</v>
      </c>
      <c r="P63" s="101">
        <f t="shared" si="9"/>
        <v>1.5662452986728259</v>
      </c>
      <c r="Q63" s="101">
        <f t="shared" si="10"/>
        <v>6.9649410813126103E-2</v>
      </c>
      <c r="R63" s="101">
        <f t="shared" si="11"/>
        <v>1.8248100503401532E-2</v>
      </c>
      <c r="S63" s="101">
        <f t="shared" si="15"/>
        <v>612.51828331887225</v>
      </c>
      <c r="T63" s="101">
        <f t="shared" si="16"/>
        <v>5.2500116847498521</v>
      </c>
      <c r="U63" s="101">
        <f t="shared" si="16"/>
        <v>6.3203786040707346</v>
      </c>
      <c r="V63" s="33">
        <f t="shared" si="17"/>
        <v>1000.0000000000017</v>
      </c>
      <c r="W63" s="105">
        <f t="shared" si="12"/>
        <v>170044.42907253318</v>
      </c>
      <c r="X63" s="112">
        <f t="shared" si="18"/>
        <v>988.42960971118112</v>
      </c>
      <c r="Y63" s="32">
        <f t="shared" si="13"/>
        <v>640.04153354508753</v>
      </c>
      <c r="Z63" s="30"/>
      <c r="AA63" s="30"/>
    </row>
    <row r="64" spans="1:27" x14ac:dyDescent="0.25">
      <c r="A64" s="4">
        <v>58</v>
      </c>
      <c r="C64" s="110">
        <f>IF(male=0,VLOOKUP(((A62:A896/'Life tables'!$I$2)*2)+age,lifetable,13,1),IF(male=1,VLOOKUP(((A62:A896/'Life tables'!$I$2)*2)+age,lifetable,10,1),"error"))</f>
        <v>9.285312807338908E-5</v>
      </c>
      <c r="E64" s="100"/>
      <c r="F64" s="101">
        <f t="shared" si="0"/>
        <v>302.96073661860066</v>
      </c>
      <c r="G64" s="101">
        <f t="shared" si="1"/>
        <v>30.433040055226325</v>
      </c>
      <c r="H64" s="101">
        <f t="shared" si="2"/>
        <v>0.69642273313231051</v>
      </c>
      <c r="I64" s="101">
        <f t="shared" si="3"/>
        <v>0.69642273313231051</v>
      </c>
      <c r="J64" s="101">
        <f t="shared" si="4"/>
        <v>3.108598510283124E-2</v>
      </c>
      <c r="K64" s="101">
        <f t="shared" si="5"/>
        <v>5.4591965429102593E-2</v>
      </c>
      <c r="L64" s="101">
        <f t="shared" si="14"/>
        <v>271.0491731465778</v>
      </c>
      <c r="M64" s="101">
        <f t="shared" si="6"/>
        <v>685.46887309258045</v>
      </c>
      <c r="N64" s="101">
        <f t="shared" si="7"/>
        <v>66.012137634518055</v>
      </c>
      <c r="O64" s="101">
        <f t="shared" si="8"/>
        <v>1.5757028828367019</v>
      </c>
      <c r="P64" s="101">
        <f t="shared" si="9"/>
        <v>1.5757028828367019</v>
      </c>
      <c r="Q64" s="101">
        <f t="shared" si="10"/>
        <v>7.0069980416934435E-2</v>
      </c>
      <c r="R64" s="101">
        <f t="shared" si="11"/>
        <v>1.8358289467089423E-2</v>
      </c>
      <c r="S64" s="101">
        <f t="shared" si="15"/>
        <v>616.21690142250498</v>
      </c>
      <c r="T64" s="101">
        <f t="shared" si="16"/>
        <v>5.3511676502696179</v>
      </c>
      <c r="U64" s="101">
        <f t="shared" si="16"/>
        <v>6.3933288589669264</v>
      </c>
      <c r="V64" s="33">
        <f t="shared" si="17"/>
        <v>1000.0000000000018</v>
      </c>
      <c r="W64" s="105">
        <f t="shared" si="12"/>
        <v>170146.23798241816</v>
      </c>
      <c r="X64" s="112">
        <f t="shared" si="18"/>
        <v>988.25550349076525</v>
      </c>
      <c r="Y64" s="32">
        <f t="shared" si="13"/>
        <v>639.74644123612632</v>
      </c>
      <c r="Z64" s="30"/>
      <c r="AA64" s="30"/>
    </row>
    <row r="65" spans="1:27" x14ac:dyDescent="0.25">
      <c r="A65" s="4">
        <v>59</v>
      </c>
      <c r="C65" s="110">
        <f>IF(male=0,VLOOKUP(((A63:A897/'Life tables'!$I$2)*2)+age,lifetable,13,1),IF(male=1,VLOOKUP(((A63:A897/'Life tables'!$I$2)*2)+age,lifetable,10,1),"error"))</f>
        <v>9.285312807338908E-5</v>
      </c>
      <c r="E65" s="100"/>
      <c r="F65" s="101">
        <f t="shared" si="0"/>
        <v>298.80412257391214</v>
      </c>
      <c r="G65" s="101">
        <f t="shared" si="1"/>
        <v>30.015499475123459</v>
      </c>
      <c r="H65" s="101">
        <f t="shared" si="2"/>
        <v>0.68686782992641304</v>
      </c>
      <c r="I65" s="101">
        <f t="shared" si="3"/>
        <v>0.68686782992641304</v>
      </c>
      <c r="J65" s="101">
        <f t="shared" si="4"/>
        <v>3.0659486132325789E-2</v>
      </c>
      <c r="K65" s="101">
        <f t="shared" si="5"/>
        <v>5.3842964971939633E-2</v>
      </c>
      <c r="L65" s="101">
        <f t="shared" si="14"/>
        <v>267.33038498783156</v>
      </c>
      <c r="M65" s="101">
        <f t="shared" si="6"/>
        <v>689.45138091685305</v>
      </c>
      <c r="N65" s="101">
        <f t="shared" si="7"/>
        <v>66.395661766606423</v>
      </c>
      <c r="O65" s="101">
        <f t="shared" si="8"/>
        <v>1.5848575641153928</v>
      </c>
      <c r="P65" s="101">
        <f t="shared" si="9"/>
        <v>1.5848575641153928</v>
      </c>
      <c r="Q65" s="101">
        <f t="shared" si="10"/>
        <v>7.0477080222937402E-2</v>
      </c>
      <c r="R65" s="101">
        <f t="shared" si="11"/>
        <v>1.8464949352480119E-2</v>
      </c>
      <c r="S65" s="101">
        <f t="shared" si="15"/>
        <v>619.79706199244038</v>
      </c>
      <c r="T65" s="101">
        <f t="shared" si="16"/>
        <v>5.4523042166248814</v>
      </c>
      <c r="U65" s="101">
        <f t="shared" si="16"/>
        <v>6.4656367732913465</v>
      </c>
      <c r="V65" s="33">
        <f t="shared" si="17"/>
        <v>1000.0000000000016</v>
      </c>
      <c r="W65" s="105">
        <f t="shared" si="12"/>
        <v>170237.49688553467</v>
      </c>
      <c r="X65" s="112">
        <f t="shared" si="18"/>
        <v>988.08205901008546</v>
      </c>
      <c r="Y65" s="32">
        <f t="shared" si="13"/>
        <v>639.45184142196217</v>
      </c>
      <c r="Z65" s="30"/>
      <c r="AA65" s="30"/>
    </row>
    <row r="66" spans="1:27" x14ac:dyDescent="0.25">
      <c r="A66" s="4">
        <v>60</v>
      </c>
      <c r="C66" s="110">
        <f>IF(male=0,VLOOKUP(((A64:A898/'Life tables'!$I$2)*2)+age,lifetable,13,1),IF(male=1,VLOOKUP(((A64:A898/'Life tables'!$I$2)*2)+age,lifetable,10,1),"error"))</f>
        <v>9.285312807338908E-5</v>
      </c>
      <c r="E66" s="100"/>
      <c r="F66" s="101">
        <f t="shared" si="0"/>
        <v>294.77584538387458</v>
      </c>
      <c r="G66" s="101">
        <f t="shared" si="1"/>
        <v>29.610850600664524</v>
      </c>
      <c r="H66" s="101">
        <f t="shared" si="2"/>
        <v>0.67760793756606341</v>
      </c>
      <c r="I66" s="101">
        <f t="shared" si="3"/>
        <v>0.67760793756606341</v>
      </c>
      <c r="J66" s="101">
        <f t="shared" si="4"/>
        <v>3.0246155460776674E-2</v>
      </c>
      <c r="K66" s="101">
        <f t="shared" si="5"/>
        <v>5.3117090155447418E-2</v>
      </c>
      <c r="L66" s="101">
        <f t="shared" si="14"/>
        <v>263.7264156624617</v>
      </c>
      <c r="M66" s="101">
        <f t="shared" si="6"/>
        <v>693.30621362621093</v>
      </c>
      <c r="N66" s="101">
        <f t="shared" si="7"/>
        <v>66.766890508504105</v>
      </c>
      <c r="O66" s="101">
        <f t="shared" si="8"/>
        <v>1.5937187557047126</v>
      </c>
      <c r="P66" s="101">
        <f t="shared" si="9"/>
        <v>1.5937187557047126</v>
      </c>
      <c r="Q66" s="101">
        <f t="shared" si="10"/>
        <v>7.0871128826831914E-2</v>
      </c>
      <c r="R66" s="101">
        <f t="shared" si="11"/>
        <v>1.8568189831374978E-2</v>
      </c>
      <c r="S66" s="101">
        <f t="shared" si="15"/>
        <v>623.26244628763925</v>
      </c>
      <c r="T66" s="101">
        <f t="shared" si="16"/>
        <v>5.5534215009124903</v>
      </c>
      <c r="U66" s="101">
        <f t="shared" si="16"/>
        <v>6.5373220532781691</v>
      </c>
      <c r="V66" s="33">
        <f t="shared" si="17"/>
        <v>1000.0000000000017</v>
      </c>
      <c r="W66" s="105">
        <f t="shared" si="12"/>
        <v>170318.55482952323</v>
      </c>
      <c r="X66" s="112">
        <f t="shared" si="18"/>
        <v>987.90925644581102</v>
      </c>
      <c r="Y66" s="32">
        <f t="shared" si="13"/>
        <v>639.15772254293859</v>
      </c>
      <c r="Z66" s="30"/>
      <c r="AA66" s="30"/>
    </row>
    <row r="67" spans="1:27" x14ac:dyDescent="0.25">
      <c r="A67" s="4">
        <v>61</v>
      </c>
      <c r="C67" s="110">
        <f>IF(male=0,VLOOKUP(((A65:A899/'Life tables'!$I$2)*2)+age,lifetable,13,1),IF(male=1,VLOOKUP(((A65:A899/'Life tables'!$I$2)*2)+age,lifetable,10,1),"error"))</f>
        <v>9.285312807338908E-5</v>
      </c>
      <c r="F67" s="101">
        <f t="shared" si="0"/>
        <v>290.87191749608922</v>
      </c>
      <c r="G67" s="101">
        <f t="shared" si="1"/>
        <v>29.218692873865567</v>
      </c>
      <c r="H67" s="101">
        <f t="shared" si="2"/>
        <v>0.6686338897739047</v>
      </c>
      <c r="I67" s="101">
        <f t="shared" si="3"/>
        <v>0.6686338897739047</v>
      </c>
      <c r="J67" s="101">
        <f t="shared" si="4"/>
        <v>2.9845583936173464E-2</v>
      </c>
      <c r="K67" s="101">
        <f t="shared" si="5"/>
        <v>5.2413622443207235E-2</v>
      </c>
      <c r="L67" s="101">
        <f t="shared" si="14"/>
        <v>260.23369763629648</v>
      </c>
      <c r="M67" s="101">
        <f t="shared" si="6"/>
        <v>697.03733894972174</v>
      </c>
      <c r="N67" s="101">
        <f t="shared" si="7"/>
        <v>67.126205961116881</v>
      </c>
      <c r="O67" s="101">
        <f t="shared" si="8"/>
        <v>1.6022955783136759</v>
      </c>
      <c r="P67" s="101">
        <f t="shared" si="9"/>
        <v>1.6022955783136759</v>
      </c>
      <c r="Q67" s="101">
        <f t="shared" si="10"/>
        <v>7.1252531817710268E-2</v>
      </c>
      <c r="R67" s="101">
        <f t="shared" si="11"/>
        <v>1.8668117167853389E-2</v>
      </c>
      <c r="S67" s="101">
        <f t="shared" si="15"/>
        <v>626.61662118299193</v>
      </c>
      <c r="T67" s="101">
        <f t="shared" si="16"/>
        <v>5.6545196166663745</v>
      </c>
      <c r="U67" s="101">
        <f t="shared" si="16"/>
        <v>6.6084037928892299</v>
      </c>
      <c r="V67" s="33">
        <f t="shared" si="17"/>
        <v>1000.0000000000016</v>
      </c>
      <c r="W67" s="105">
        <f t="shared" si="12"/>
        <v>170389.74961532783</v>
      </c>
      <c r="X67" s="112">
        <f t="shared" si="18"/>
        <v>987.73707659044601</v>
      </c>
      <c r="Y67" s="32">
        <f t="shared" si="13"/>
        <v>638.86407340008259</v>
      </c>
    </row>
    <row r="68" spans="1:27" x14ac:dyDescent="0.25">
      <c r="A68" s="4">
        <v>62</v>
      </c>
      <c r="C68" s="110">
        <f>IF(male=0,VLOOKUP(((A66:A900/'Life tables'!$I$2)*2)+age,lifetable,13,1),IF(male=1,VLOOKUP(((A66:A900/'Life tables'!$I$2)*2)+age,lifetable,10,1),"error"))</f>
        <v>9.285312807338908E-5</v>
      </c>
      <c r="F68" s="101">
        <f t="shared" si="0"/>
        <v>287.08847525926438</v>
      </c>
      <c r="G68" s="101">
        <f t="shared" si="1"/>
        <v>28.838638182868173</v>
      </c>
      <c r="H68" s="101">
        <f t="shared" si="2"/>
        <v>0.65993680508687191</v>
      </c>
      <c r="I68" s="101">
        <f t="shared" si="3"/>
        <v>0.65993680508687191</v>
      </c>
      <c r="J68" s="101">
        <f t="shared" si="4"/>
        <v>2.9457375119664606E-2</v>
      </c>
      <c r="K68" s="101">
        <f t="shared" si="5"/>
        <v>5.1731865625142162E-2</v>
      </c>
      <c r="L68" s="101">
        <f t="shared" si="14"/>
        <v>256.84877422547765</v>
      </c>
      <c r="M68" s="101">
        <f t="shared" si="6"/>
        <v>700.64860133118157</v>
      </c>
      <c r="N68" s="101">
        <f t="shared" si="7"/>
        <v>67.473978352711796</v>
      </c>
      <c r="O68" s="101">
        <f t="shared" si="8"/>
        <v>1.6105968692526407</v>
      </c>
      <c r="P68" s="101">
        <f t="shared" si="9"/>
        <v>1.6105968692526407</v>
      </c>
      <c r="Q68" s="101">
        <f t="shared" si="10"/>
        <v>7.1621682182201191E-2</v>
      </c>
      <c r="R68" s="101">
        <f t="shared" si="11"/>
        <v>1.8764834324157428E-2</v>
      </c>
      <c r="S68" s="101">
        <f t="shared" si="15"/>
        <v>629.86304272345808</v>
      </c>
      <c r="T68" s="101">
        <f t="shared" si="16"/>
        <v>5.7555986739682403</v>
      </c>
      <c r="U68" s="101">
        <f t="shared" si="16"/>
        <v>6.6789004928385296</v>
      </c>
      <c r="V68" s="33">
        <f t="shared" si="17"/>
        <v>1000.0000000000015</v>
      </c>
      <c r="W68" s="105">
        <f t="shared" si="12"/>
        <v>170451.40815919521</v>
      </c>
      <c r="X68" s="112">
        <f t="shared" si="18"/>
        <v>987.56550083319473</v>
      </c>
      <c r="Y68" s="32">
        <f t="shared" si="13"/>
        <v>638.5708831437978</v>
      </c>
    </row>
    <row r="69" spans="1:27" x14ac:dyDescent="0.25">
      <c r="A69" s="4">
        <v>63</v>
      </c>
      <c r="C69" s="110">
        <f>IF(male=0,VLOOKUP(((A67:A901/'Life tables'!$I$2)*2)+age,lifetable,13,1),IF(male=1,VLOOKUP(((A67:A901/'Life tables'!$I$2)*2)+age,lifetable,10,1),"error"))</f>
        <v>9.285312807338908E-5</v>
      </c>
      <c r="F69" s="101">
        <f t="shared" si="0"/>
        <v>283.42177507336311</v>
      </c>
      <c r="G69" s="101">
        <f t="shared" si="1"/>
        <v>28.470310475213701</v>
      </c>
      <c r="H69" s="101">
        <f t="shared" si="2"/>
        <v>0.65150807800644894</v>
      </c>
      <c r="I69" s="101">
        <f t="shared" si="3"/>
        <v>0.65150807800644894</v>
      </c>
      <c r="J69" s="101">
        <f t="shared" si="4"/>
        <v>2.9081144890534389E-2</v>
      </c>
      <c r="K69" s="101">
        <f t="shared" si="5"/>
        <v>5.1071145123793481E-2</v>
      </c>
      <c r="L69" s="101">
        <f t="shared" si="14"/>
        <v>253.56829615212217</v>
      </c>
      <c r="M69" s="101">
        <f t="shared" si="6"/>
        <v>704.14372575983168</v>
      </c>
      <c r="N69" s="101">
        <f t="shared" si="7"/>
        <v>67.810566407823472</v>
      </c>
      <c r="O69" s="101">
        <f t="shared" si="8"/>
        <v>1.6186311912390647</v>
      </c>
      <c r="P69" s="101">
        <f t="shared" si="9"/>
        <v>1.6186311912390647</v>
      </c>
      <c r="Q69" s="101">
        <f t="shared" si="10"/>
        <v>7.1978960696053113E-2</v>
      </c>
      <c r="R69" s="101">
        <f t="shared" si="11"/>
        <v>1.885844106328647E-2</v>
      </c>
      <c r="S69" s="101">
        <f t="shared" si="15"/>
        <v>633.00505956777079</v>
      </c>
      <c r="T69" s="101">
        <f t="shared" si="16"/>
        <v>5.8566587795548282</v>
      </c>
      <c r="U69" s="101">
        <f t="shared" si="16"/>
        <v>6.7488300790256099</v>
      </c>
      <c r="V69" s="33">
        <f t="shared" si="17"/>
        <v>1000.0000000000016</v>
      </c>
      <c r="W69" s="105">
        <f t="shared" si="12"/>
        <v>170503.84684302093</v>
      </c>
      <c r="X69" s="112">
        <f t="shared" si="18"/>
        <v>987.39451114142105</v>
      </c>
      <c r="Y69" s="32">
        <f t="shared" si="13"/>
        <v>638.2781412629123</v>
      </c>
    </row>
    <row r="70" spans="1:27" x14ac:dyDescent="0.25">
      <c r="A70" s="4">
        <v>64</v>
      </c>
      <c r="C70" s="110">
        <f>IF(male=0,VLOOKUP(((A68:A902/'Life tables'!$I$2)*2)+age,lifetable,13,1),IF(male=1,VLOOKUP(((A68:A902/'Life tables'!$I$2)*2)+age,lifetable,10,1),"error"))</f>
        <v>9.285312807338908E-5</v>
      </c>
      <c r="F70" s="101">
        <f t="shared" si="0"/>
        <v>279.86818965937351</v>
      </c>
      <c r="G70" s="101">
        <f t="shared" si="1"/>
        <v>28.113345383133932</v>
      </c>
      <c r="H70" s="101">
        <f t="shared" si="2"/>
        <v>0.64333937042390399</v>
      </c>
      <c r="I70" s="101">
        <f t="shared" si="3"/>
        <v>0.64333937042390399</v>
      </c>
      <c r="J70" s="101">
        <f t="shared" si="4"/>
        <v>2.871652106345416E-2</v>
      </c>
      <c r="K70" s="101">
        <f t="shared" si="5"/>
        <v>5.0430807322152521E-2</v>
      </c>
      <c r="L70" s="101">
        <f t="shared" si="14"/>
        <v>250.38901820700616</v>
      </c>
      <c r="M70" s="101">
        <f t="shared" si="6"/>
        <v>707.52632148204748</v>
      </c>
      <c r="N70" s="101">
        <f t="shared" si="7"/>
        <v>68.136317704697717</v>
      </c>
      <c r="O70" s="101">
        <f t="shared" si="8"/>
        <v>1.6264068409296477</v>
      </c>
      <c r="P70" s="101">
        <f t="shared" si="9"/>
        <v>1.6264068409296477</v>
      </c>
      <c r="Q70" s="101">
        <f t="shared" si="10"/>
        <v>7.2324736303550366E-2</v>
      </c>
      <c r="R70" s="101">
        <f t="shared" si="11"/>
        <v>1.8949034048403954E-2</v>
      </c>
      <c r="S70" s="101">
        <f t="shared" si="15"/>
        <v>636.04591632513848</v>
      </c>
      <c r="T70" s="101">
        <f t="shared" si="16"/>
        <v>5.9577000369218327</v>
      </c>
      <c r="U70" s="101">
        <f t="shared" si="16"/>
        <v>6.8182099203961668</v>
      </c>
      <c r="V70" s="33">
        <f t="shared" si="17"/>
        <v>1000.0000000000014</v>
      </c>
      <c r="W70" s="105">
        <f t="shared" si="12"/>
        <v>170547.3718534208</v>
      </c>
      <c r="X70" s="112">
        <f t="shared" si="18"/>
        <v>987.22409004268343</v>
      </c>
      <c r="Y70" s="32">
        <f t="shared" si="13"/>
        <v>637.98583757406823</v>
      </c>
    </row>
    <row r="71" spans="1:27" x14ac:dyDescent="0.25">
      <c r="A71" s="4">
        <v>65</v>
      </c>
      <c r="C71" s="110">
        <f>IF(male=0,VLOOKUP(((A69:A903/'Life tables'!$I$2)*2)+age,lifetable,13,1),IF(male=1,VLOOKUP(((A69:A903/'Life tables'!$I$2)*2)+age,lifetable,10,1),"error"))</f>
        <v>9.285312807338908E-5</v>
      </c>
      <c r="F71" s="101">
        <f t="shared" ref="F71:F134" si="19">E70*(1-pCAUC)+(L70+G70+H70+I70 )*(1-pCAUC)+(S70+N70+O70+P70)*(pUAUC)</f>
        <v>276.42420444498543</v>
      </c>
      <c r="G71" s="101">
        <f t="shared" ref="G71:G134" si="20">F71*(rrOSEX)</f>
        <v>27.767389860484716</v>
      </c>
      <c r="H71" s="101">
        <f t="shared" ref="H71:H134" si="21">F71*rrEREX</f>
        <v>0.63542260331196354</v>
      </c>
      <c r="I71" s="101">
        <f t="shared" ref="I71:I134" si="22">F71*rrHOEX</f>
        <v>0.63542260331196354</v>
      </c>
      <c r="J71" s="101">
        <f t="shared" ref="J71:J134" si="23">F71*mr + G71*mr + H71*mr+I71*mr</f>
        <v>2.8363143017626335E-2</v>
      </c>
      <c r="K71" s="101">
        <f t="shared" ref="K71:K134" si="24">F71*amr + I71*amrHOEX</f>
        <v>4.9810218912378128E-2</v>
      </c>
      <c r="L71" s="101">
        <f t="shared" si="14"/>
        <v>247.30779601594679</v>
      </c>
      <c r="M71" s="101">
        <f t="shared" ref="M71:M134" si="25">E70*pCAUC+(L70+G70+H70+I70)*pCAUC+(S70+N70+O70+P70)*(1-pUAUC)</f>
        <v>710.79988559769811</v>
      </c>
      <c r="N71" s="101">
        <f t="shared" ref="N71:N134" si="26">M71*rrOSEXc</f>
        <v>68.45156902162887</v>
      </c>
      <c r="O71" s="101">
        <f t="shared" ref="O71:O134" si="27">M71*rrEREXc</f>
        <v>1.6339318571873658</v>
      </c>
      <c r="P71" s="101">
        <f t="shared" ref="P71:P134" si="28">M71*rrHOEXc</f>
        <v>1.6339318571873658</v>
      </c>
      <c r="Q71" s="101">
        <f t="shared" ref="Q71:Q134" si="29">M71*mr + N71*mr + O71*mr+P71*mr</f>
        <v>7.265936648514032E-2</v>
      </c>
      <c r="R71" s="101">
        <f t="shared" ref="R71:R134" si="30">M71*amrc + P71*amrHOEX</f>
        <v>1.9036706939155441E-2</v>
      </c>
      <c r="S71" s="101">
        <f t="shared" si="15"/>
        <v>638.98875678827017</v>
      </c>
      <c r="T71" s="101">
        <f t="shared" si="16"/>
        <v>6.0587225464245993</v>
      </c>
      <c r="U71" s="101">
        <f t="shared" si="16"/>
        <v>6.8870568462477006</v>
      </c>
      <c r="V71" s="33">
        <f t="shared" si="17"/>
        <v>1000.0000000000015</v>
      </c>
      <c r="W71" s="105">
        <f t="shared" ref="W71:W134" si="31">(cNES*L71+(cNES+cOSEX)*G71+(cNES+cEREX)*H71+(cNES+cHOEX)*I71 +(cNES+ cNES)*S71 +(cNES+ cOSEX)*N71 + (cNES+cEREX)*O71 + (cNES+cHOEX)*P71)/(1+cDR)^A$5:A$65536</f>
        <v>170582.27950988768</v>
      </c>
      <c r="X71" s="112">
        <f t="shared" si="18"/>
        <v>987.05422060732917</v>
      </c>
      <c r="Y71" s="32">
        <f t="shared" ref="Y71:Y134" si="32">(uNES*L71+ uOCEX*G71+uEREX*H71+uHOEX*I71+uNES*S71+ uOCEX*N71+uEREX*O71+uHOEX*P71)/(1+oDR)^A$5:A$65536</f>
        <v>637.69396221144746</v>
      </c>
    </row>
    <row r="72" spans="1:27" x14ac:dyDescent="0.25">
      <c r="A72" s="4">
        <v>66</v>
      </c>
      <c r="C72" s="110">
        <f>IF(male=0,VLOOKUP(((A70:A904/'Life tables'!$I$2)*2)+age,lifetable,13,1),IF(male=1,VLOOKUP(((A70:A904/'Life tables'!$I$2)*2)+age,lifetable,10,1),"error"))</f>
        <v>9.285312807338908E-5</v>
      </c>
      <c r="F72" s="101">
        <f t="shared" si="19"/>
        <v>273.08641406256999</v>
      </c>
      <c r="G72" s="101">
        <f t="shared" si="20"/>
        <v>27.43210183096069</v>
      </c>
      <c r="H72" s="101">
        <f t="shared" si="21"/>
        <v>0.62774994867463718</v>
      </c>
      <c r="I72" s="101">
        <f t="shared" si="22"/>
        <v>0.62774994867463718</v>
      </c>
      <c r="J72" s="101">
        <f t="shared" si="23"/>
        <v>2.8020661337451517E-2</v>
      </c>
      <c r="K72" s="101">
        <f t="shared" si="24"/>
        <v>4.9208766264750695E-2</v>
      </c>
      <c r="L72" s="101">
        <f t="shared" ref="L72:L135" si="33">F72-SUM(G72:K72)</f>
        <v>244.32158290665782</v>
      </c>
      <c r="M72" s="101">
        <f t="shared" si="25"/>
        <v>713.96780654475924</v>
      </c>
      <c r="N72" s="101">
        <f t="shared" si="26"/>
        <v>68.756646672535467</v>
      </c>
      <c r="O72" s="101">
        <f t="shared" si="27"/>
        <v>1.6412140290916308</v>
      </c>
      <c r="P72" s="101">
        <f t="shared" si="28"/>
        <v>1.6412140290916308</v>
      </c>
      <c r="Q72" s="101">
        <f t="shared" si="29"/>
        <v>7.2983197613637071E-2</v>
      </c>
      <c r="R72" s="101">
        <f t="shared" si="30"/>
        <v>1.912155048499381E-2</v>
      </c>
      <c r="S72" s="101">
        <f t="shared" ref="S72:S135" si="34">M72-SUM(N72:R72)</f>
        <v>641.83662706594191</v>
      </c>
      <c r="T72" s="101">
        <f t="shared" ref="T72:U135" si="35">J72+Q72+T71</f>
        <v>6.1597264053756877</v>
      </c>
      <c r="U72" s="101">
        <f t="shared" si="35"/>
        <v>6.9553871629974449</v>
      </c>
      <c r="V72" s="33">
        <f t="shared" ref="V72:V135" si="36">SUM(G72:I72,L72,N72,O72,P72,S72,T72,U72)</f>
        <v>1000.0000000000016</v>
      </c>
      <c r="W72" s="105">
        <f t="shared" si="31"/>
        <v>170608.85658238758</v>
      </c>
      <c r="X72" s="112">
        <f t="shared" ref="X72:X135" si="37">(L72+G72+H72+I72+N72+O72+P72+S72)</f>
        <v>986.8848864316285</v>
      </c>
      <c r="Y72" s="32">
        <f t="shared" si="32"/>
        <v>637.40250561681535</v>
      </c>
    </row>
    <row r="73" spans="1:27" x14ac:dyDescent="0.25">
      <c r="A73" s="4">
        <v>67</v>
      </c>
      <c r="C73" s="110">
        <f>IF(male=0,VLOOKUP(((A71:A905/'Life tables'!$I$2)*2)+age,lifetable,13,1),IF(male=1,VLOOKUP(((A71:A905/'Life tables'!$I$2)*2)+age,lifetable,10,1),"error"))</f>
        <v>9.285312807338908E-5</v>
      </c>
      <c r="F73" s="101">
        <f t="shared" si="19"/>
        <v>269.85151895597494</v>
      </c>
      <c r="G73" s="101">
        <f t="shared" si="20"/>
        <v>27.10714984724077</v>
      </c>
      <c r="H73" s="101">
        <f t="shared" si="21"/>
        <v>0.62031382174718186</v>
      </c>
      <c r="I73" s="101">
        <f t="shared" si="22"/>
        <v>0.62031382174718186</v>
      </c>
      <c r="J73" s="101">
        <f t="shared" si="23"/>
        <v>2.7688737464360888E-2</v>
      </c>
      <c r="K73" s="101">
        <f t="shared" si="24"/>
        <v>4.8625854816234076E-2</v>
      </c>
      <c r="L73" s="101">
        <f t="shared" si="33"/>
        <v>241.42742687295922</v>
      </c>
      <c r="M73" s="101">
        <f t="shared" si="25"/>
        <v>717.03336747565356</v>
      </c>
      <c r="N73" s="101">
        <f t="shared" si="26"/>
        <v>69.05186683210917</v>
      </c>
      <c r="O73" s="101">
        <f t="shared" si="27"/>
        <v>1.6482609036995597</v>
      </c>
      <c r="P73" s="101">
        <f t="shared" si="28"/>
        <v>1.6482609036995597</v>
      </c>
      <c r="Q73" s="101">
        <f t="shared" si="29"/>
        <v>7.3296565299357908E-2</v>
      </c>
      <c r="R73" s="101">
        <f t="shared" si="30"/>
        <v>1.9203652615604715E-2</v>
      </c>
      <c r="S73" s="101">
        <f t="shared" si="34"/>
        <v>644.5924786182303</v>
      </c>
      <c r="T73" s="101">
        <f t="shared" si="35"/>
        <v>6.2607117081394064</v>
      </c>
      <c r="U73" s="101">
        <f t="shared" si="35"/>
        <v>7.0232166704292833</v>
      </c>
      <c r="V73" s="33">
        <f t="shared" si="36"/>
        <v>1000.0000000000017</v>
      </c>
      <c r="W73" s="105">
        <f t="shared" si="31"/>
        <v>170627.38059873297</v>
      </c>
      <c r="X73" s="112">
        <f t="shared" si="37"/>
        <v>986.716071621433</v>
      </c>
      <c r="Y73" s="32">
        <f t="shared" si="32"/>
        <v>637.11145852987988</v>
      </c>
    </row>
    <row r="74" spans="1:27" x14ac:dyDescent="0.25">
      <c r="A74" s="4">
        <v>68</v>
      </c>
      <c r="C74" s="110">
        <f>IF(male=0,VLOOKUP(((A72:A906/'Life tables'!$I$2)*2)+age,lifetable,13,1),IF(male=1,VLOOKUP(((A72:A906/'Life tables'!$I$2)*2)+age,lifetable,10,1),"error"))</f>
        <v>9.285312807338908E-5</v>
      </c>
      <c r="F74" s="101">
        <f t="shared" si="19"/>
        <v>266.71632209275293</v>
      </c>
      <c r="G74" s="101">
        <f t="shared" si="20"/>
        <v>26.792212760724595</v>
      </c>
      <c r="H74" s="101">
        <f t="shared" si="21"/>
        <v>0.61310687343842585</v>
      </c>
      <c r="I74" s="101">
        <f t="shared" si="22"/>
        <v>0.61310687343842585</v>
      </c>
      <c r="J74" s="101">
        <f t="shared" si="23"/>
        <v>2.7367043359466839E-2</v>
      </c>
      <c r="K74" s="101">
        <f t="shared" si="24"/>
        <v>4.8060908478036075E-2</v>
      </c>
      <c r="L74" s="101">
        <f t="shared" si="33"/>
        <v>238.62246763331399</v>
      </c>
      <c r="M74" s="101">
        <f t="shared" si="25"/>
        <v>719.99974952868001</v>
      </c>
      <c r="N74" s="101">
        <f t="shared" si="26"/>
        <v>69.337535850860505</v>
      </c>
      <c r="O74" s="101">
        <f t="shared" si="27"/>
        <v>1.6550797935660841</v>
      </c>
      <c r="P74" s="101">
        <f t="shared" si="28"/>
        <v>1.6550797935660841</v>
      </c>
      <c r="Q74" s="101">
        <f t="shared" si="29"/>
        <v>7.3599794724535081E-2</v>
      </c>
      <c r="R74" s="101">
        <f t="shared" si="30"/>
        <v>1.9283098528522315E-2</v>
      </c>
      <c r="S74" s="101">
        <f t="shared" si="34"/>
        <v>647.25917119743428</v>
      </c>
      <c r="T74" s="101">
        <f t="shared" si="35"/>
        <v>6.3616785462234082</v>
      </c>
      <c r="U74" s="101">
        <f t="shared" si="35"/>
        <v>7.0905606774358416</v>
      </c>
      <c r="V74" s="33">
        <f t="shared" si="36"/>
        <v>1000.0000000000016</v>
      </c>
      <c r="W74" s="105">
        <f t="shared" si="31"/>
        <v>170638.12014206333</v>
      </c>
      <c r="X74" s="112">
        <f t="shared" si="37"/>
        <v>986.54776077634233</v>
      </c>
      <c r="Y74" s="32">
        <f t="shared" si="32"/>
        <v>636.82081197895047</v>
      </c>
    </row>
    <row r="75" spans="1:27" x14ac:dyDescent="0.25">
      <c r="A75" s="4">
        <v>69</v>
      </c>
      <c r="C75" s="110">
        <f>IF(male=0,VLOOKUP(((A73:A907/'Life tables'!$I$2)*2)+age,lifetable,13,1),IF(male=1,VLOOKUP(((A73:A907/'Life tables'!$I$2)*2)+age,lifetable,10,1),"error"))</f>
        <v>9.285312807338908E-5</v>
      </c>
      <c r="F75" s="101">
        <f t="shared" si="19"/>
        <v>263.67772577854777</v>
      </c>
      <c r="G75" s="101">
        <f t="shared" si="20"/>
        <v>26.486979401530977</v>
      </c>
      <c r="H75" s="101">
        <f t="shared" si="21"/>
        <v>0.60612198300792575</v>
      </c>
      <c r="I75" s="101">
        <f t="shared" si="22"/>
        <v>0.60612198300792575</v>
      </c>
      <c r="J75" s="101">
        <f t="shared" si="23"/>
        <v>2.70552611766957E-2</v>
      </c>
      <c r="K75" s="101">
        <f t="shared" si="24"/>
        <v>4.7513369061577243E-2</v>
      </c>
      <c r="L75" s="101">
        <f t="shared" si="33"/>
        <v>235.90393378076266</v>
      </c>
      <c r="M75" s="101">
        <f t="shared" si="25"/>
        <v>722.87003499779451</v>
      </c>
      <c r="N75" s="101">
        <f t="shared" si="26"/>
        <v>69.613950560375628</v>
      </c>
      <c r="O75" s="101">
        <f t="shared" si="27"/>
        <v>1.6616777840303967</v>
      </c>
      <c r="P75" s="101">
        <f t="shared" si="28"/>
        <v>1.6616777840303967</v>
      </c>
      <c r="Q75" s="101">
        <f t="shared" si="29"/>
        <v>7.3893200967337147E-2</v>
      </c>
      <c r="R75" s="101">
        <f t="shared" si="30"/>
        <v>1.9359970774022611E-2</v>
      </c>
      <c r="S75" s="101">
        <f t="shared" si="34"/>
        <v>649.83947569761676</v>
      </c>
      <c r="T75" s="101">
        <f t="shared" si="35"/>
        <v>6.4626270083674413</v>
      </c>
      <c r="U75" s="101">
        <f t="shared" si="35"/>
        <v>7.1574340172714415</v>
      </c>
      <c r="V75" s="33">
        <f t="shared" si="36"/>
        <v>1000.0000000000016</v>
      </c>
      <c r="W75" s="105">
        <f t="shared" si="31"/>
        <v>170641.33513875108</v>
      </c>
      <c r="X75" s="112">
        <f t="shared" si="37"/>
        <v>986.37993897436274</v>
      </c>
      <c r="Y75" s="32">
        <f t="shared" si="32"/>
        <v>636.53055727189269</v>
      </c>
    </row>
    <row r="76" spans="1:27" x14ac:dyDescent="0.25">
      <c r="A76" s="4">
        <v>70</v>
      </c>
      <c r="C76" s="110">
        <f>IF(male=0,VLOOKUP(((A74:A908/'Life tables'!$I$2)*2)+age,lifetable,13,1),IF(male=1,VLOOKUP(((A74:A908/'Life tables'!$I$2)*2)+age,lifetable,10,1),"error"))</f>
        <v>9.285312807338908E-5</v>
      </c>
      <c r="F76" s="101">
        <f t="shared" si="19"/>
        <v>260.73272857046373</v>
      </c>
      <c r="G76" s="101">
        <f t="shared" si="20"/>
        <v>26.191148268439363</v>
      </c>
      <c r="H76" s="101">
        <f t="shared" si="21"/>
        <v>0.59935225097065892</v>
      </c>
      <c r="I76" s="101">
        <f t="shared" si="22"/>
        <v>0.59935225097065892</v>
      </c>
      <c r="J76" s="101">
        <f t="shared" si="23"/>
        <v>2.6753082946076888E-2</v>
      </c>
      <c r="K76" s="101">
        <f t="shared" si="24"/>
        <v>4.6982695722295902E-2</v>
      </c>
      <c r="L76" s="101">
        <f t="shared" si="33"/>
        <v>233.26914002141467</v>
      </c>
      <c r="M76" s="101">
        <f t="shared" si="25"/>
        <v>725.64721040389907</v>
      </c>
      <c r="N76" s="101">
        <f t="shared" si="26"/>
        <v>69.881398569088077</v>
      </c>
      <c r="O76" s="101">
        <f t="shared" si="27"/>
        <v>1.6680617402759943</v>
      </c>
      <c r="P76" s="101">
        <f t="shared" si="28"/>
        <v>1.6680617402759943</v>
      </c>
      <c r="Q76" s="101">
        <f t="shared" si="29"/>
        <v>7.4177089315822162E-2</v>
      </c>
      <c r="R76" s="101">
        <f t="shared" si="30"/>
        <v>1.9434349337379E-2</v>
      </c>
      <c r="S76" s="101">
        <f t="shared" si="34"/>
        <v>652.33607691560587</v>
      </c>
      <c r="T76" s="101">
        <f t="shared" si="35"/>
        <v>6.5635571806293402</v>
      </c>
      <c r="U76" s="101">
        <f t="shared" si="35"/>
        <v>7.2238510623311161</v>
      </c>
      <c r="V76" s="33">
        <f t="shared" si="36"/>
        <v>1000.0000000000018</v>
      </c>
      <c r="W76" s="105">
        <f t="shared" si="31"/>
        <v>170637.27713704095</v>
      </c>
      <c r="X76" s="112">
        <f t="shared" si="37"/>
        <v>986.21259175704131</v>
      </c>
      <c r="Y76" s="32">
        <f t="shared" si="32"/>
        <v>636.24068598736335</v>
      </c>
    </row>
    <row r="77" spans="1:27" x14ac:dyDescent="0.25">
      <c r="A77" s="4">
        <v>71</v>
      </c>
      <c r="C77" s="110">
        <f>IF(male=0,VLOOKUP(((A75:A909/'Life tables'!$I$2)*2)+age,lifetable,13,1),IF(male=1,VLOOKUP(((A75:A909/'Life tables'!$I$2)*2)+age,lifetable,10,1),"error"))</f>
        <v>9.285312807338908E-5</v>
      </c>
      <c r="F77" s="101">
        <f t="shared" si="19"/>
        <v>257.87842228634247</v>
      </c>
      <c r="G77" s="101">
        <f t="shared" si="20"/>
        <v>25.904427228465455</v>
      </c>
      <c r="H77" s="101">
        <f t="shared" si="21"/>
        <v>0.59279099222217979</v>
      </c>
      <c r="I77" s="101">
        <f t="shared" si="22"/>
        <v>0.59279099222217979</v>
      </c>
      <c r="J77" s="101">
        <f t="shared" si="23"/>
        <v>2.6460210266872876E-2</v>
      </c>
      <c r="K77" s="101">
        <f t="shared" si="24"/>
        <v>4.6468364420735257E-2</v>
      </c>
      <c r="L77" s="101">
        <f t="shared" si="33"/>
        <v>230.71548449874504</v>
      </c>
      <c r="M77" s="101">
        <f t="shared" si="25"/>
        <v>728.33416947069884</v>
      </c>
      <c r="N77" s="101">
        <f t="shared" si="26"/>
        <v>70.140158548860256</v>
      </c>
      <c r="O77" s="101">
        <f t="shared" si="27"/>
        <v>1.6742383141713473</v>
      </c>
      <c r="P77" s="101">
        <f t="shared" si="28"/>
        <v>1.6742383141713473</v>
      </c>
      <c r="Q77" s="101">
        <f t="shared" si="29"/>
        <v>7.4451755572135653E-2</v>
      </c>
      <c r="R77" s="101">
        <f t="shared" si="30"/>
        <v>1.9506311718561944E-2</v>
      </c>
      <c r="S77" s="101">
        <f t="shared" si="34"/>
        <v>654.7515762262052</v>
      </c>
      <c r="T77" s="101">
        <f t="shared" si="35"/>
        <v>6.664469146468349</v>
      </c>
      <c r="U77" s="101">
        <f t="shared" si="35"/>
        <v>7.2898257384704133</v>
      </c>
      <c r="V77" s="33">
        <f t="shared" si="36"/>
        <v>1000.0000000000018</v>
      </c>
      <c r="W77" s="105">
        <f t="shared" si="31"/>
        <v>170626.18957672088</v>
      </c>
      <c r="X77" s="112">
        <f t="shared" si="37"/>
        <v>986.04570511506313</v>
      </c>
      <c r="Y77" s="32">
        <f t="shared" si="32"/>
        <v>635.95118996632175</v>
      </c>
    </row>
    <row r="78" spans="1:27" x14ac:dyDescent="0.25">
      <c r="A78" s="4">
        <v>72</v>
      </c>
      <c r="C78" s="110">
        <f>IF(male=0,VLOOKUP(((A76:A910/'Life tables'!$I$2)*2)+age,lifetable,13,1),IF(male=1,VLOOKUP(((A76:A910/'Life tables'!$I$2)*2)+age,lifetable,10,1),"error"))</f>
        <v>9.285312807338908E-5</v>
      </c>
      <c r="F78" s="101">
        <f t="shared" si="19"/>
        <v>255.11198910696808</v>
      </c>
      <c r="G78" s="101">
        <f t="shared" si="20"/>
        <v>25.626533225771645</v>
      </c>
      <c r="H78" s="101">
        <f t="shared" si="21"/>
        <v>0.5864317293773933</v>
      </c>
      <c r="I78" s="101">
        <f t="shared" si="22"/>
        <v>0.5864317293773933</v>
      </c>
      <c r="J78" s="101">
        <f t="shared" si="23"/>
        <v>2.6176354010244235E-2</v>
      </c>
      <c r="K78" s="101">
        <f t="shared" si="24"/>
        <v>4.5969867400375633E-2</v>
      </c>
      <c r="L78" s="101">
        <f t="shared" si="33"/>
        <v>228.24044620103103</v>
      </c>
      <c r="M78" s="101">
        <f t="shared" si="25"/>
        <v>730.93371600809508</v>
      </c>
      <c r="N78" s="101">
        <f t="shared" si="26"/>
        <v>70.390500512660509</v>
      </c>
      <c r="O78" s="101">
        <f t="shared" si="27"/>
        <v>1.6802139508980207</v>
      </c>
      <c r="P78" s="101">
        <f t="shared" si="28"/>
        <v>1.6802139508980207</v>
      </c>
      <c r="Q78" s="101">
        <f t="shared" si="29"/>
        <v>7.4717486347256737E-2</v>
      </c>
      <c r="R78" s="101">
        <f t="shared" si="30"/>
        <v>1.9575933009462261E-2</v>
      </c>
      <c r="S78" s="101">
        <f t="shared" si="34"/>
        <v>657.08849417428178</v>
      </c>
      <c r="T78" s="101">
        <f t="shared" si="35"/>
        <v>6.76536298682585</v>
      </c>
      <c r="U78" s="101">
        <f t="shared" si="35"/>
        <v>7.3553715388802514</v>
      </c>
      <c r="V78" s="33">
        <f t="shared" si="36"/>
        <v>1000.0000000000019</v>
      </c>
      <c r="W78" s="105">
        <f t="shared" si="31"/>
        <v>170608.30805011452</v>
      </c>
      <c r="X78" s="112">
        <f t="shared" si="37"/>
        <v>985.87926547429572</v>
      </c>
      <c r="Y78" s="32">
        <f t="shared" si="32"/>
        <v>635.66206130380738</v>
      </c>
    </row>
    <row r="79" spans="1:27" x14ac:dyDescent="0.25">
      <c r="A79" s="4">
        <v>73</v>
      </c>
      <c r="C79" s="110">
        <f>IF(male=0,VLOOKUP(((A77:A911/'Life tables'!$I$2)*2)+age,lifetable,13,1),IF(male=1,VLOOKUP(((A77:A911/'Life tables'!$I$2)*2)+age,lifetable,10,1),"error"))</f>
        <v>9.285312807338908E-5</v>
      </c>
      <c r="F79" s="101">
        <f t="shared" si="19"/>
        <v>252.43069876831157</v>
      </c>
      <c r="G79" s="101">
        <f t="shared" si="20"/>
        <v>25.357191999622092</v>
      </c>
      <c r="H79" s="101">
        <f t="shared" si="21"/>
        <v>0.58026818631630284</v>
      </c>
      <c r="I79" s="101">
        <f t="shared" si="22"/>
        <v>0.58026818631630284</v>
      </c>
      <c r="J79" s="101">
        <f t="shared" si="23"/>
        <v>2.590123403115344E-2</v>
      </c>
      <c r="K79" s="101">
        <f t="shared" si="24"/>
        <v>4.548671268169141E-2</v>
      </c>
      <c r="L79" s="101">
        <f t="shared" si="33"/>
        <v>225.84158244934403</v>
      </c>
      <c r="M79" s="101">
        <f t="shared" si="25"/>
        <v>733.44856670598426</v>
      </c>
      <c r="N79" s="101">
        <f t="shared" si="26"/>
        <v>70.632686083611887</v>
      </c>
      <c r="O79" s="101">
        <f t="shared" si="27"/>
        <v>1.6859948953728439</v>
      </c>
      <c r="P79" s="101">
        <f t="shared" si="28"/>
        <v>1.6859948953728439</v>
      </c>
      <c r="Q79" s="101">
        <f t="shared" si="29"/>
        <v>7.4974559346585784E-2</v>
      </c>
      <c r="R79" s="101">
        <f t="shared" si="30"/>
        <v>1.9643285968714903E-2</v>
      </c>
      <c r="S79" s="101">
        <f t="shared" si="34"/>
        <v>659.34927298631135</v>
      </c>
      <c r="T79" s="101">
        <f t="shared" si="35"/>
        <v>6.8662387802035889</v>
      </c>
      <c r="U79" s="101">
        <f t="shared" si="35"/>
        <v>7.420501537530658</v>
      </c>
      <c r="V79" s="33">
        <f t="shared" si="36"/>
        <v>1000.0000000000019</v>
      </c>
      <c r="W79" s="105">
        <f t="shared" si="31"/>
        <v>170583.86055467173</v>
      </c>
      <c r="X79" s="112">
        <f t="shared" si="37"/>
        <v>985.71325968226768</v>
      </c>
      <c r="Y79" s="32">
        <f t="shared" si="32"/>
        <v>635.3732923409766</v>
      </c>
    </row>
    <row r="80" spans="1:27" x14ac:dyDescent="0.25">
      <c r="A80" s="4">
        <v>74</v>
      </c>
      <c r="C80" s="110">
        <f>IF(male=0,VLOOKUP(((A78:A912/'Life tables'!$I$2)*2)+age,lifetable,13,1),IF(male=1,VLOOKUP(((A78:A912/'Life tables'!$I$2)*2)+age,lifetable,10,1),"error"))</f>
        <v>9.285312807338908E-5</v>
      </c>
      <c r="F80" s="101">
        <f t="shared" si="19"/>
        <v>249.83190584101885</v>
      </c>
      <c r="G80" s="101">
        <f t="shared" si="20"/>
        <v>25.096137811101606</v>
      </c>
      <c r="H80" s="101">
        <f t="shared" si="21"/>
        <v>0.57429428193030796</v>
      </c>
      <c r="I80" s="101">
        <f t="shared" si="22"/>
        <v>0.57429428193030796</v>
      </c>
      <c r="J80" s="101">
        <f t="shared" si="23"/>
        <v>2.5634578889220425E-2</v>
      </c>
      <c r="K80" s="101">
        <f t="shared" si="24"/>
        <v>4.501842357192877E-2</v>
      </c>
      <c r="L80" s="101">
        <f t="shared" si="33"/>
        <v>223.51652646359548</v>
      </c>
      <c r="M80" s="101">
        <f t="shared" si="25"/>
        <v>735.88135384124882</v>
      </c>
      <c r="N80" s="101">
        <f t="shared" si="26"/>
        <v>70.866968755681341</v>
      </c>
      <c r="O80" s="101">
        <f t="shared" si="27"/>
        <v>1.691587198470532</v>
      </c>
      <c r="P80" s="101">
        <f t="shared" si="28"/>
        <v>1.691587198470532</v>
      </c>
      <c r="Q80" s="101">
        <f t="shared" si="29"/>
        <v>7.5223243646658347E-2</v>
      </c>
      <c r="R80" s="101">
        <f t="shared" si="30"/>
        <v>1.9708441094197848E-2</v>
      </c>
      <c r="S80" s="101">
        <f t="shared" si="34"/>
        <v>661.53627900388551</v>
      </c>
      <c r="T80" s="101">
        <f t="shared" si="35"/>
        <v>6.9670966027394678</v>
      </c>
      <c r="U80" s="101">
        <f t="shared" si="35"/>
        <v>7.4852284021967845</v>
      </c>
      <c r="V80" s="33">
        <f t="shared" si="36"/>
        <v>1000.0000000000018</v>
      </c>
      <c r="W80" s="105">
        <f t="shared" si="31"/>
        <v>170553.06773743086</v>
      </c>
      <c r="X80" s="112">
        <f t="shared" si="37"/>
        <v>985.54767499506568</v>
      </c>
      <c r="Y80" s="32">
        <f t="shared" si="32"/>
        <v>635.08487565738403</v>
      </c>
    </row>
    <row r="81" spans="1:25" x14ac:dyDescent="0.25">
      <c r="A81" s="4">
        <v>75</v>
      </c>
      <c r="C81" s="110">
        <f>IF(male=0,VLOOKUP(((A79:A913/'Life tables'!$I$2)*2)+age,lifetable,13,1),IF(male=1,VLOOKUP(((A79:A913/'Life tables'!$I$2)*2)+age,lifetable,10,1),"error"))</f>
        <v>9.285312807338908E-5</v>
      </c>
      <c r="F81" s="101">
        <f t="shared" si="19"/>
        <v>247.31304709442958</v>
      </c>
      <c r="G81" s="101">
        <f t="shared" si="20"/>
        <v>24.843113178325801</v>
      </c>
      <c r="H81" s="101">
        <f t="shared" si="21"/>
        <v>0.56850412406281403</v>
      </c>
      <c r="I81" s="101">
        <f t="shared" si="22"/>
        <v>0.56850412406281403</v>
      </c>
      <c r="J81" s="101">
        <f t="shared" si="23"/>
        <v>2.5376125578251668E-2</v>
      </c>
      <c r="K81" s="101">
        <f t="shared" si="24"/>
        <v>4.4564538190115396E-2</v>
      </c>
      <c r="L81" s="101">
        <f t="shared" si="33"/>
        <v>221.26298500420978</v>
      </c>
      <c r="M81" s="101">
        <f t="shared" si="25"/>
        <v>738.23462790063616</v>
      </c>
      <c r="N81" s="101">
        <f t="shared" si="26"/>
        <v>71.0935941462686</v>
      </c>
      <c r="O81" s="101">
        <f t="shared" si="27"/>
        <v>1.696996723052957</v>
      </c>
      <c r="P81" s="101">
        <f t="shared" si="28"/>
        <v>1.696996723052957</v>
      </c>
      <c r="Q81" s="101">
        <f t="shared" si="29"/>
        <v>7.5463799963261025E-2</v>
      </c>
      <c r="R81" s="101">
        <f t="shared" si="30"/>
        <v>1.9771466693278245E-2</v>
      </c>
      <c r="S81" s="101">
        <f t="shared" si="34"/>
        <v>663.65180504160503</v>
      </c>
      <c r="T81" s="101">
        <f t="shared" si="35"/>
        <v>7.0679365282809803</v>
      </c>
      <c r="U81" s="101">
        <f t="shared" si="35"/>
        <v>7.5495644070801777</v>
      </c>
      <c r="V81" s="33">
        <f t="shared" si="36"/>
        <v>1000.0000000000019</v>
      </c>
      <c r="W81" s="105">
        <f t="shared" si="31"/>
        <v>170516.14313161204</v>
      </c>
      <c r="X81" s="112">
        <f t="shared" si="37"/>
        <v>985.3824990646408</v>
      </c>
      <c r="Y81" s="32">
        <f t="shared" si="32"/>
        <v>634.79680406351338</v>
      </c>
    </row>
    <row r="82" spans="1:25" x14ac:dyDescent="0.25">
      <c r="A82" s="4">
        <v>76</v>
      </c>
      <c r="C82" s="110">
        <f>IF(male=0,VLOOKUP(((A80:A914/'Life tables'!$I$2)*2)+age,lifetable,13,1),IF(male=1,VLOOKUP(((A80:A914/'Life tables'!$I$2)*2)+age,lifetable,10,1),"error"))</f>
        <v>9.285312807338908E-5</v>
      </c>
      <c r="F82" s="101">
        <f t="shared" si="19"/>
        <v>244.87163894250142</v>
      </c>
      <c r="G82" s="101">
        <f t="shared" si="20"/>
        <v>24.59786861987887</v>
      </c>
      <c r="H82" s="101">
        <f t="shared" si="21"/>
        <v>0.56289200363812097</v>
      </c>
      <c r="I82" s="101">
        <f t="shared" si="22"/>
        <v>0.56289200363812097</v>
      </c>
      <c r="J82" s="101">
        <f t="shared" si="23"/>
        <v>2.5125619264173379E-2</v>
      </c>
      <c r="K82" s="101">
        <f t="shared" si="24"/>
        <v>4.4124609006829248E-2</v>
      </c>
      <c r="L82" s="101">
        <f t="shared" si="33"/>
        <v>219.0787360870753</v>
      </c>
      <c r="M82" s="101">
        <f t="shared" si="25"/>
        <v>740.51086012213932</v>
      </c>
      <c r="N82" s="101">
        <f t="shared" si="26"/>
        <v>71.312800240946657</v>
      </c>
      <c r="O82" s="101">
        <f t="shared" si="27"/>
        <v>1.7022291498110775</v>
      </c>
      <c r="P82" s="101">
        <f t="shared" si="28"/>
        <v>1.7022291498110775</v>
      </c>
      <c r="Q82" s="101">
        <f t="shared" si="29"/>
        <v>7.569648091121646E-2</v>
      </c>
      <c r="R82" s="101">
        <f t="shared" si="30"/>
        <v>1.983242895087594E-2</v>
      </c>
      <c r="S82" s="101">
        <f t="shared" si="34"/>
        <v>665.69807267170836</v>
      </c>
      <c r="T82" s="101">
        <f t="shared" si="35"/>
        <v>7.16875862845637</v>
      </c>
      <c r="U82" s="101">
        <f t="shared" si="35"/>
        <v>7.6135214450378825</v>
      </c>
      <c r="V82" s="33">
        <f t="shared" si="36"/>
        <v>1000.0000000000019</v>
      </c>
      <c r="W82" s="105">
        <f t="shared" si="31"/>
        <v>170473.29338559567</v>
      </c>
      <c r="X82" s="112">
        <f t="shared" si="37"/>
        <v>985.2177199265077</v>
      </c>
      <c r="Y82" s="32">
        <f t="shared" si="32"/>
        <v>634.50907059353517</v>
      </c>
    </row>
    <row r="83" spans="1:25" x14ac:dyDescent="0.25">
      <c r="A83" s="4">
        <v>77</v>
      </c>
      <c r="C83" s="110">
        <f>IF(male=0,VLOOKUP(((A81:A915/'Life tables'!$I$2)*2)+age,lifetable,13,1),IF(male=1,VLOOKUP(((A81:A915/'Life tables'!$I$2)*2)+age,lifetable,10,1),"error"))</f>
        <v>9.285312807338908E-5</v>
      </c>
      <c r="F83" s="101">
        <f t="shared" si="19"/>
        <v>242.50527496909467</v>
      </c>
      <c r="G83" s="101">
        <f t="shared" si="20"/>
        <v>24.360162406223225</v>
      </c>
      <c r="H83" s="101">
        <f t="shared" si="21"/>
        <v>0.55745238897273797</v>
      </c>
      <c r="I83" s="101">
        <f t="shared" si="22"/>
        <v>0.55745238897273797</v>
      </c>
      <c r="J83" s="101">
        <f t="shared" si="23"/>
        <v>2.4882813031107589E-2</v>
      </c>
      <c r="K83" s="101">
        <f t="shared" si="24"/>
        <v>4.3698202398267535E-2</v>
      </c>
      <c r="L83" s="101">
        <f t="shared" si="33"/>
        <v>216.9616267694966</v>
      </c>
      <c r="M83" s="101">
        <f t="shared" si="25"/>
        <v>742.71244495741291</v>
      </c>
      <c r="N83" s="101">
        <f t="shared" si="26"/>
        <v>71.524817630597724</v>
      </c>
      <c r="O83" s="101">
        <f t="shared" si="27"/>
        <v>1.7072899829253503</v>
      </c>
      <c r="P83" s="101">
        <f t="shared" si="28"/>
        <v>1.7072899829253503</v>
      </c>
      <c r="Q83" s="101">
        <f t="shared" si="29"/>
        <v>7.5921531256096256E-2</v>
      </c>
      <c r="R83" s="101">
        <f t="shared" si="30"/>
        <v>1.9891391995412098E-2</v>
      </c>
      <c r="S83" s="101">
        <f t="shared" si="34"/>
        <v>667.67723443771297</v>
      </c>
      <c r="T83" s="101">
        <f t="shared" si="35"/>
        <v>7.2695629727435742</v>
      </c>
      <c r="U83" s="101">
        <f t="shared" si="35"/>
        <v>7.677111039431562</v>
      </c>
      <c r="V83" s="33">
        <f t="shared" si="36"/>
        <v>1000.0000000000018</v>
      </c>
      <c r="W83" s="105">
        <f t="shared" si="31"/>
        <v>170424.71848453092</v>
      </c>
      <c r="X83" s="112">
        <f t="shared" si="37"/>
        <v>985.05332598782672</v>
      </c>
      <c r="Y83" s="32">
        <f t="shared" si="32"/>
        <v>634.22166849829682</v>
      </c>
    </row>
    <row r="84" spans="1:25" x14ac:dyDescent="0.25">
      <c r="A84" s="4">
        <v>78</v>
      </c>
      <c r="C84" s="110">
        <f>IF(male=0,VLOOKUP(((A82:A916/'Life tables'!$I$2)*2)+age,lifetable,13,1),IF(male=1,VLOOKUP(((A82:A916/'Life tables'!$I$2)*2)+age,lifetable,10,1),"error"))</f>
        <v>9.285312807338908E-5</v>
      </c>
      <c r="F84" s="101">
        <f t="shared" si="19"/>
        <v>240.21162353015094</v>
      </c>
      <c r="G84" s="101">
        <f t="shared" si="20"/>
        <v>24.129760318833345</v>
      </c>
      <c r="H84" s="101">
        <f t="shared" si="21"/>
        <v>0.55217992026345786</v>
      </c>
      <c r="I84" s="101">
        <f t="shared" si="22"/>
        <v>0.55217992026345786</v>
      </c>
      <c r="J84" s="101">
        <f t="shared" si="23"/>
        <v>2.4647467635338195E-2</v>
      </c>
      <c r="K84" s="101">
        <f t="shared" si="24"/>
        <v>4.328489821417169E-2</v>
      </c>
      <c r="L84" s="101">
        <f t="shared" si="33"/>
        <v>214.90957100494117</v>
      </c>
      <c r="M84" s="101">
        <f t="shared" si="25"/>
        <v>744.84170245767564</v>
      </c>
      <c r="N84" s="101">
        <f t="shared" si="26"/>
        <v>71.729869741180849</v>
      </c>
      <c r="O84" s="101">
        <f t="shared" si="27"/>
        <v>1.7121845555502584</v>
      </c>
      <c r="P84" s="101">
        <f t="shared" si="28"/>
        <v>1.7121845555502584</v>
      </c>
      <c r="Q84" s="101">
        <f t="shared" si="29"/>
        <v>7.6139188158112658E-2</v>
      </c>
      <c r="R84" s="101">
        <f t="shared" si="30"/>
        <v>1.9948417962708666E-2</v>
      </c>
      <c r="S84" s="101">
        <f t="shared" si="34"/>
        <v>669.59137599927351</v>
      </c>
      <c r="T84" s="101">
        <f t="shared" si="35"/>
        <v>7.3703496285370251</v>
      </c>
      <c r="U84" s="101">
        <f t="shared" si="35"/>
        <v>7.7403443556084426</v>
      </c>
      <c r="V84" s="33">
        <f t="shared" si="36"/>
        <v>1000.0000000000018</v>
      </c>
      <c r="W84" s="105">
        <f t="shared" si="31"/>
        <v>170370.61196481236</v>
      </c>
      <c r="X84" s="112">
        <f t="shared" si="37"/>
        <v>984.88930601585639</v>
      </c>
      <c r="Y84" s="32">
        <f t="shared" si="32"/>
        <v>633.93459123852949</v>
      </c>
    </row>
    <row r="85" spans="1:25" x14ac:dyDescent="0.25">
      <c r="A85" s="4">
        <v>79</v>
      </c>
      <c r="C85" s="110">
        <f>IF(male=0,VLOOKUP(((A83:A917/'Life tables'!$I$2)*2)+age,lifetable,13,1),IF(male=1,VLOOKUP(((A83:A917/'Life tables'!$I$2)*2)+age,lifetable,10,1),"error"))</f>
        <v>1.0096596056652363E-4</v>
      </c>
      <c r="F85" s="101">
        <f t="shared" si="19"/>
        <v>237.98842543037694</v>
      </c>
      <c r="G85" s="101">
        <f t="shared" si="20"/>
        <v>23.906435416813775</v>
      </c>
      <c r="H85" s="101">
        <f t="shared" si="21"/>
        <v>0.54706940424669648</v>
      </c>
      <c r="I85" s="101">
        <f t="shared" si="22"/>
        <v>0.54706940424669648</v>
      </c>
      <c r="J85" s="101">
        <f t="shared" si="23"/>
        <v>2.6552936968665296E-2</v>
      </c>
      <c r="K85" s="101">
        <f t="shared" si="24"/>
        <v>4.2884289359177714E-2</v>
      </c>
      <c r="L85" s="101">
        <f t="shared" si="33"/>
        <v>212.91841397874191</v>
      </c>
      <c r="M85" s="101">
        <f t="shared" si="25"/>
        <v>746.9008805854794</v>
      </c>
      <c r="N85" s="101">
        <f t="shared" si="26"/>
        <v>71.928173056360293</v>
      </c>
      <c r="O85" s="101">
        <f t="shared" si="27"/>
        <v>1.7169180351284281</v>
      </c>
      <c r="P85" s="101">
        <f t="shared" si="28"/>
        <v>1.7169180351284281</v>
      </c>
      <c r="Q85" s="101">
        <f t="shared" si="29"/>
        <v>8.302056249798731E-2</v>
      </c>
      <c r="R85" s="101">
        <f t="shared" si="30"/>
        <v>2.0003567057902395E-2</v>
      </c>
      <c r="S85" s="101">
        <f t="shared" si="34"/>
        <v>671.4358473293064</v>
      </c>
      <c r="T85" s="101">
        <f t="shared" si="35"/>
        <v>7.4799231280036773</v>
      </c>
      <c r="U85" s="101">
        <f t="shared" si="35"/>
        <v>7.8032322120255229</v>
      </c>
      <c r="V85" s="33">
        <f t="shared" si="36"/>
        <v>1000.0000000000017</v>
      </c>
      <c r="W85" s="105">
        <f t="shared" si="31"/>
        <v>170309.85484292833</v>
      </c>
      <c r="X85" s="112">
        <f t="shared" si="37"/>
        <v>984.71684465997259</v>
      </c>
      <c r="Y85" s="32">
        <f t="shared" si="32"/>
        <v>633.64207462203865</v>
      </c>
    </row>
    <row r="86" spans="1:25" x14ac:dyDescent="0.25">
      <c r="A86" s="4">
        <v>80</v>
      </c>
      <c r="C86" s="110">
        <f>IF(male=0,VLOOKUP(((A84:A918/'Life tables'!$I$2)*2)+age,lifetable,13,1),IF(male=1,VLOOKUP(((A84:A918/'Life tables'!$I$2)*2)+age,lifetable,10,1),"error"))</f>
        <v>1.0096596056652363E-4</v>
      </c>
      <c r="F86" s="101">
        <f t="shared" si="19"/>
        <v>235.83137694693625</v>
      </c>
      <c r="G86" s="101">
        <f t="shared" si="20"/>
        <v>23.689755382198406</v>
      </c>
      <c r="H86" s="101">
        <f t="shared" si="21"/>
        <v>0.54211094785692404</v>
      </c>
      <c r="I86" s="101">
        <f t="shared" si="22"/>
        <v>0.54211094785692404</v>
      </c>
      <c r="J86" s="101">
        <f t="shared" si="23"/>
        <v>2.6312269918090977E-2</v>
      </c>
      <c r="K86" s="101">
        <f t="shared" si="24"/>
        <v>4.2495600324581329E-2</v>
      </c>
      <c r="L86" s="101">
        <f t="shared" si="33"/>
        <v>210.98859179878133</v>
      </c>
      <c r="M86" s="101">
        <f t="shared" si="25"/>
        <v>748.88546771303618</v>
      </c>
      <c r="N86" s="101">
        <f t="shared" si="26"/>
        <v>72.119293096605034</v>
      </c>
      <c r="O86" s="101">
        <f t="shared" si="27"/>
        <v>1.7214800506784902</v>
      </c>
      <c r="P86" s="101">
        <f t="shared" si="28"/>
        <v>1.7214800506784902</v>
      </c>
      <c r="Q86" s="101">
        <f t="shared" si="29"/>
        <v>8.3241156078660117E-2</v>
      </c>
      <c r="R86" s="101">
        <f t="shared" si="30"/>
        <v>2.0056718450169084E-2</v>
      </c>
      <c r="S86" s="101">
        <f t="shared" si="34"/>
        <v>673.21991664054531</v>
      </c>
      <c r="T86" s="101">
        <f t="shared" si="35"/>
        <v>7.5894765540004281</v>
      </c>
      <c r="U86" s="101">
        <f t="shared" si="35"/>
        <v>7.8657845308002736</v>
      </c>
      <c r="V86" s="33">
        <f t="shared" si="36"/>
        <v>1000.0000000000016</v>
      </c>
      <c r="W86" s="105">
        <f t="shared" si="31"/>
        <v>170243.71935566291</v>
      </c>
      <c r="X86" s="112">
        <f t="shared" si="37"/>
        <v>984.54473891520092</v>
      </c>
      <c r="Y86" s="32">
        <f t="shared" si="32"/>
        <v>633.34996802917522</v>
      </c>
    </row>
    <row r="87" spans="1:25" x14ac:dyDescent="0.25">
      <c r="A87" s="4">
        <v>81</v>
      </c>
      <c r="C87" s="110">
        <f>IF(male=0,VLOOKUP(((A85:A919/'Life tables'!$I$2)*2)+age,lifetable,13,1),IF(male=1,VLOOKUP(((A85:A919/'Life tables'!$I$2)*2)+age,lifetable,10,1),"error"))</f>
        <v>1.0096596056652363E-4</v>
      </c>
      <c r="F87" s="101">
        <f t="shared" si="19"/>
        <v>233.74050944102569</v>
      </c>
      <c r="G87" s="101">
        <f t="shared" si="20"/>
        <v>23.479723365285096</v>
      </c>
      <c r="H87" s="101">
        <f t="shared" si="21"/>
        <v>0.53730462318483663</v>
      </c>
      <c r="I87" s="101">
        <f t="shared" si="22"/>
        <v>0.53730462318483663</v>
      </c>
      <c r="J87" s="101">
        <f t="shared" si="23"/>
        <v>2.6078986837227387E-2</v>
      </c>
      <c r="K87" s="101">
        <f t="shared" si="24"/>
        <v>4.21188367615088E-2</v>
      </c>
      <c r="L87" s="101">
        <f t="shared" si="33"/>
        <v>209.11797900577218</v>
      </c>
      <c r="M87" s="101">
        <f t="shared" si="25"/>
        <v>750.80422947417503</v>
      </c>
      <c r="N87" s="101">
        <f t="shared" si="26"/>
        <v>72.304074011444683</v>
      </c>
      <c r="O87" s="101">
        <f t="shared" si="27"/>
        <v>1.7258907519622155</v>
      </c>
      <c r="P87" s="101">
        <f t="shared" si="28"/>
        <v>1.7258907519622155</v>
      </c>
      <c r="Q87" s="101">
        <f t="shared" si="29"/>
        <v>8.3454432946916748E-2</v>
      </c>
      <c r="R87" s="101">
        <f t="shared" si="30"/>
        <v>2.0108106901508157E-2</v>
      </c>
      <c r="S87" s="101">
        <f t="shared" si="34"/>
        <v>674.94481141895744</v>
      </c>
      <c r="T87" s="101">
        <f t="shared" si="35"/>
        <v>7.6990099737845723</v>
      </c>
      <c r="U87" s="101">
        <f t="shared" si="35"/>
        <v>7.9280114744632906</v>
      </c>
      <c r="V87" s="33">
        <f t="shared" si="36"/>
        <v>1000.0000000000014</v>
      </c>
      <c r="W87" s="105">
        <f t="shared" si="31"/>
        <v>170172.59751230836</v>
      </c>
      <c r="X87" s="112">
        <f t="shared" si="37"/>
        <v>984.37297855175348</v>
      </c>
      <c r="Y87" s="32">
        <f t="shared" si="32"/>
        <v>633.05817305943924</v>
      </c>
    </row>
    <row r="88" spans="1:25" x14ac:dyDescent="0.25">
      <c r="A88" s="4">
        <v>82</v>
      </c>
      <c r="C88" s="110">
        <f>IF(male=0,VLOOKUP(((A86:A920/'Life tables'!$I$2)*2)+age,lifetable,13,1),IF(male=1,VLOOKUP(((A86:A920/'Life tables'!$I$2)*2)+age,lifetable,10,1),"error"))</f>
        <v>1.0096596056652363E-4</v>
      </c>
      <c r="F88" s="101">
        <f t="shared" si="19"/>
        <v>231.71376610598321</v>
      </c>
      <c r="G88" s="101">
        <f t="shared" si="20"/>
        <v>23.27613275553998</v>
      </c>
      <c r="H88" s="101">
        <f t="shared" si="21"/>
        <v>0.5326457022021982</v>
      </c>
      <c r="I88" s="101">
        <f t="shared" si="22"/>
        <v>0.5326457022021982</v>
      </c>
      <c r="J88" s="101">
        <f t="shared" si="23"/>
        <v>2.5852858243243348E-2</v>
      </c>
      <c r="K88" s="101">
        <f t="shared" si="24"/>
        <v>4.1753628043985795E-2</v>
      </c>
      <c r="L88" s="101">
        <f t="shared" si="33"/>
        <v>207.30473545975161</v>
      </c>
      <c r="M88" s="101">
        <f t="shared" si="25"/>
        <v>752.65921244577021</v>
      </c>
      <c r="N88" s="101">
        <f t="shared" si="26"/>
        <v>72.482712890666392</v>
      </c>
      <c r="O88" s="101">
        <f t="shared" si="27"/>
        <v>1.7301548434923948</v>
      </c>
      <c r="P88" s="101">
        <f t="shared" si="28"/>
        <v>1.7301548434923948</v>
      </c>
      <c r="Q88" s="101">
        <f t="shared" si="29"/>
        <v>8.3660620586708118E-2</v>
      </c>
      <c r="R88" s="101">
        <f t="shared" si="30"/>
        <v>2.0157787223526905E-2</v>
      </c>
      <c r="S88" s="101">
        <f t="shared" si="34"/>
        <v>676.61237146030874</v>
      </c>
      <c r="T88" s="101">
        <f t="shared" si="35"/>
        <v>7.8085234526145237</v>
      </c>
      <c r="U88" s="101">
        <f t="shared" si="35"/>
        <v>7.9899228897308037</v>
      </c>
      <c r="V88" s="33">
        <f t="shared" si="36"/>
        <v>1000.0000000000013</v>
      </c>
      <c r="W88" s="105">
        <f t="shared" si="31"/>
        <v>170096.65919198704</v>
      </c>
      <c r="X88" s="112">
        <f t="shared" si="37"/>
        <v>984.20155365765595</v>
      </c>
      <c r="Y88" s="32">
        <f t="shared" si="32"/>
        <v>632.76668393975331</v>
      </c>
    </row>
    <row r="89" spans="1:25" x14ac:dyDescent="0.25">
      <c r="A89" s="4">
        <v>83</v>
      </c>
      <c r="C89" s="110">
        <f>IF(male=0,VLOOKUP(((A87:A921/'Life tables'!$I$2)*2)+age,lifetable,13,1),IF(male=1,VLOOKUP(((A87:A921/'Life tables'!$I$2)*2)+age,lifetable,10,1),"error"))</f>
        <v>1.0096596056652363E-4</v>
      </c>
      <c r="F89" s="101">
        <f t="shared" si="19"/>
        <v>229.7491540620272</v>
      </c>
      <c r="G89" s="101">
        <f t="shared" si="20"/>
        <v>23.078783364018125</v>
      </c>
      <c r="H89" s="101">
        <f t="shared" si="21"/>
        <v>0.52812960383094643</v>
      </c>
      <c r="I89" s="101">
        <f t="shared" si="22"/>
        <v>0.52812960383094643</v>
      </c>
      <c r="J89" s="101">
        <f t="shared" si="23"/>
        <v>2.563366178578241E-2</v>
      </c>
      <c r="K89" s="101">
        <f t="shared" si="24"/>
        <v>4.1399615065332837E-2</v>
      </c>
      <c r="L89" s="101">
        <f t="shared" si="33"/>
        <v>205.54707821349606</v>
      </c>
      <c r="M89" s="101">
        <f t="shared" si="25"/>
        <v>754.45239959562878</v>
      </c>
      <c r="N89" s="101">
        <f t="shared" si="26"/>
        <v>72.655400698366336</v>
      </c>
      <c r="O89" s="101">
        <f t="shared" si="27"/>
        <v>1.7342768835622087</v>
      </c>
      <c r="P89" s="101">
        <f t="shared" si="28"/>
        <v>1.7342768835622087</v>
      </c>
      <c r="Q89" s="101">
        <f t="shared" si="29"/>
        <v>8.3859939411621953E-2</v>
      </c>
      <c r="R89" s="101">
        <f t="shared" si="30"/>
        <v>2.0205812524248797E-2</v>
      </c>
      <c r="S89" s="101">
        <f t="shared" si="34"/>
        <v>678.22437937820212</v>
      </c>
      <c r="T89" s="101">
        <f t="shared" si="35"/>
        <v>7.9180170538119281</v>
      </c>
      <c r="U89" s="101">
        <f t="shared" si="35"/>
        <v>8.0515283173203844</v>
      </c>
      <c r="V89" s="33">
        <f t="shared" si="36"/>
        <v>1000.0000000000013</v>
      </c>
      <c r="W89" s="105">
        <f t="shared" si="31"/>
        <v>170016.06879240443</v>
      </c>
      <c r="X89" s="112">
        <f t="shared" si="37"/>
        <v>984.03045462886894</v>
      </c>
      <c r="Y89" s="32">
        <f t="shared" si="32"/>
        <v>632.4754950762723</v>
      </c>
    </row>
    <row r="90" spans="1:25" x14ac:dyDescent="0.25">
      <c r="A90" s="4">
        <v>84</v>
      </c>
      <c r="C90" s="110">
        <f>IF(male=0,VLOOKUP(((A88:A922/'Life tables'!$I$2)*2)+age,lifetable,13,1),IF(male=1,VLOOKUP(((A88:A922/'Life tables'!$I$2)*2)+age,lifetable,10,1),"error"))</f>
        <v>1.0096596056652363E-4</v>
      </c>
      <c r="F90" s="101">
        <f t="shared" si="19"/>
        <v>227.84474236936714</v>
      </c>
      <c r="G90" s="101">
        <f t="shared" si="20"/>
        <v>22.887481223776344</v>
      </c>
      <c r="H90" s="101">
        <f t="shared" si="21"/>
        <v>0.52375188937588457</v>
      </c>
      <c r="I90" s="101">
        <f t="shared" si="22"/>
        <v>0.52375188937588457</v>
      </c>
      <c r="J90" s="101">
        <f t="shared" si="23"/>
        <v>2.5421182025280844E-2</v>
      </c>
      <c r="K90" s="101">
        <f t="shared" si="24"/>
        <v>4.1056449880138027E-2</v>
      </c>
      <c r="L90" s="101">
        <f t="shared" si="33"/>
        <v>203.84327973493362</v>
      </c>
      <c r="M90" s="101">
        <f t="shared" si="25"/>
        <v>756.18571225950177</v>
      </c>
      <c r="N90" s="101">
        <f t="shared" si="26"/>
        <v>72.822322463340171</v>
      </c>
      <c r="O90" s="101">
        <f t="shared" si="27"/>
        <v>1.7382612887898305</v>
      </c>
      <c r="P90" s="101">
        <f t="shared" si="28"/>
        <v>1.7382612887898305</v>
      </c>
      <c r="Q90" s="101">
        <f t="shared" si="29"/>
        <v>8.4052602984634239E-2</v>
      </c>
      <c r="R90" s="101">
        <f t="shared" si="30"/>
        <v>2.025223426106201E-2</v>
      </c>
      <c r="S90" s="101">
        <f t="shared" si="34"/>
        <v>679.78256238133622</v>
      </c>
      <c r="T90" s="101">
        <f t="shared" si="35"/>
        <v>8.0274908388218424</v>
      </c>
      <c r="U90" s="101">
        <f t="shared" si="35"/>
        <v>8.1128370014615836</v>
      </c>
      <c r="V90" s="33">
        <f t="shared" si="36"/>
        <v>1000.0000000000011</v>
      </c>
      <c r="W90" s="105">
        <f t="shared" si="31"/>
        <v>169930.98540633579</v>
      </c>
      <c r="X90" s="112">
        <f t="shared" si="37"/>
        <v>983.85967215971777</v>
      </c>
      <c r="Y90" s="32">
        <f t="shared" si="32"/>
        <v>632.18460104876419</v>
      </c>
    </row>
    <row r="91" spans="1:25" x14ac:dyDescent="0.25">
      <c r="A91" s="4">
        <v>85</v>
      </c>
      <c r="C91" s="110">
        <f>IF(male=0,VLOOKUP(((A89:A923/'Life tables'!$I$2)*2)+age,lifetable,13,1),IF(male=1,VLOOKUP(((A89:A923/'Life tables'!$I$2)*2)+age,lifetable,10,1),"error"))</f>
        <v>1.0096596056652363E-4</v>
      </c>
      <c r="F91" s="101">
        <f t="shared" si="19"/>
        <v>225.99866010306786</v>
      </c>
      <c r="G91" s="101">
        <f t="shared" si="20"/>
        <v>22.702038396489268</v>
      </c>
      <c r="H91" s="101">
        <f t="shared" si="21"/>
        <v>0.51950825809932821</v>
      </c>
      <c r="I91" s="101">
        <f t="shared" si="22"/>
        <v>0.51950825809932821</v>
      </c>
      <c r="J91" s="101">
        <f t="shared" si="23"/>
        <v>2.5215210218175649E-2</v>
      </c>
      <c r="K91" s="101">
        <f t="shared" si="24"/>
        <v>4.0723795357357533E-2</v>
      </c>
      <c r="L91" s="101">
        <f t="shared" si="33"/>
        <v>202.1916661848044</v>
      </c>
      <c r="M91" s="101">
        <f t="shared" si="25"/>
        <v>757.86101205665</v>
      </c>
      <c r="N91" s="101">
        <f t="shared" si="26"/>
        <v>72.983657463556142</v>
      </c>
      <c r="O91" s="101">
        <f t="shared" si="27"/>
        <v>1.7421123385217789</v>
      </c>
      <c r="P91" s="101">
        <f t="shared" si="28"/>
        <v>1.7421123385217789</v>
      </c>
      <c r="Q91" s="101">
        <f t="shared" si="29"/>
        <v>8.4238818231030771E-2</v>
      </c>
      <c r="R91" s="101">
        <f t="shared" si="30"/>
        <v>2.0297102292022254E-2</v>
      </c>
      <c r="S91" s="101">
        <f t="shared" si="34"/>
        <v>681.28859399552721</v>
      </c>
      <c r="T91" s="101">
        <f t="shared" si="35"/>
        <v>8.1369448672710494</v>
      </c>
      <c r="U91" s="101">
        <f t="shared" si="35"/>
        <v>8.1738578991109634</v>
      </c>
      <c r="V91" s="33">
        <f t="shared" si="36"/>
        <v>1000.0000000000014</v>
      </c>
      <c r="W91" s="105">
        <f t="shared" si="31"/>
        <v>169841.5629924307</v>
      </c>
      <c r="X91" s="112">
        <f t="shared" si="37"/>
        <v>983.68919723361932</v>
      </c>
      <c r="Y91" s="32">
        <f t="shared" si="32"/>
        <v>631.8939966051654</v>
      </c>
    </row>
    <row r="92" spans="1:25" x14ac:dyDescent="0.25">
      <c r="A92" s="4">
        <v>86</v>
      </c>
      <c r="C92" s="110">
        <f>IF(male=0,VLOOKUP(((A90:A924/'Life tables'!$I$2)*2)+age,lifetable,13,1),IF(male=1,VLOOKUP(((A90:A924/'Life tables'!$I$2)*2)+age,lifetable,10,1),"error"))</f>
        <v>1.0096596056652363E-4</v>
      </c>
      <c r="F92" s="101">
        <f t="shared" si="19"/>
        <v>224.20909448774839</v>
      </c>
      <c r="G92" s="101">
        <f t="shared" si="20"/>
        <v>22.522272785075945</v>
      </c>
      <c r="H92" s="101">
        <f t="shared" si="21"/>
        <v>0.51539454293329545</v>
      </c>
      <c r="I92" s="101">
        <f t="shared" si="22"/>
        <v>0.51539454293329545</v>
      </c>
      <c r="J92" s="101">
        <f t="shared" si="23"/>
        <v>2.5015544108788448E-2</v>
      </c>
      <c r="K92" s="101">
        <f t="shared" si="24"/>
        <v>4.0401324844197867E-2</v>
      </c>
      <c r="L92" s="101">
        <f t="shared" si="33"/>
        <v>200.59061574785287</v>
      </c>
      <c r="M92" s="101">
        <f t="shared" si="25"/>
        <v>759.48010274587091</v>
      </c>
      <c r="N92" s="101">
        <f t="shared" si="26"/>
        <v>73.139579404894505</v>
      </c>
      <c r="O92" s="101">
        <f t="shared" si="27"/>
        <v>1.7458341790994107</v>
      </c>
      <c r="P92" s="101">
        <f t="shared" si="28"/>
        <v>1.7458341790994107</v>
      </c>
      <c r="Q92" s="101">
        <f t="shared" si="29"/>
        <v>8.4418785644710906E-2</v>
      </c>
      <c r="R92" s="101">
        <f t="shared" si="30"/>
        <v>2.0340464925561085E-2</v>
      </c>
      <c r="S92" s="101">
        <f t="shared" si="34"/>
        <v>682.74409573220737</v>
      </c>
      <c r="T92" s="101">
        <f t="shared" si="35"/>
        <v>8.2463791970245488</v>
      </c>
      <c r="U92" s="101">
        <f t="shared" si="35"/>
        <v>8.2345996888807225</v>
      </c>
      <c r="V92" s="33">
        <f t="shared" si="36"/>
        <v>1000.0000000000014</v>
      </c>
      <c r="W92" s="105">
        <f t="shared" si="31"/>
        <v>169747.95054051853</v>
      </c>
      <c r="X92" s="112">
        <f t="shared" si="37"/>
        <v>983.51902111409618</v>
      </c>
      <c r="Y92" s="32">
        <f t="shared" si="32"/>
        <v>631.60367665630883</v>
      </c>
    </row>
    <row r="93" spans="1:25" x14ac:dyDescent="0.25">
      <c r="A93" s="4">
        <v>87</v>
      </c>
      <c r="C93" s="110">
        <f>IF(male=0,VLOOKUP(((A91:A925/'Life tables'!$I$2)*2)+age,lifetable,13,1),IF(male=1,VLOOKUP(((A91:A925/'Life tables'!$I$2)*2)+age,lifetable,10,1),"error"))</f>
        <v>1.0096596056652363E-4</v>
      </c>
      <c r="F93" s="101">
        <f t="shared" si="19"/>
        <v>222.47428909025558</v>
      </c>
      <c r="G93" s="101">
        <f t="shared" si="20"/>
        <v>22.348007952150134</v>
      </c>
      <c r="H93" s="101">
        <f t="shared" si="21"/>
        <v>0.51140670632496432</v>
      </c>
      <c r="I93" s="101">
        <f t="shared" si="22"/>
        <v>0.51140670632496432</v>
      </c>
      <c r="J93" s="101">
        <f t="shared" si="23"/>
        <v>2.4821987727677793E-2</v>
      </c>
      <c r="K93" s="101">
        <f t="shared" si="24"/>
        <v>4.008872184044502E-2</v>
      </c>
      <c r="L93" s="101">
        <f t="shared" si="33"/>
        <v>199.03855701588739</v>
      </c>
      <c r="M93" s="101">
        <f t="shared" si="25"/>
        <v>761.04473202384065</v>
      </c>
      <c r="N93" s="101">
        <f t="shared" si="26"/>
        <v>73.290256594331794</v>
      </c>
      <c r="O93" s="101">
        <f t="shared" si="27"/>
        <v>1.7494308279928092</v>
      </c>
      <c r="P93" s="101">
        <f t="shared" si="28"/>
        <v>1.7494308279928092</v>
      </c>
      <c r="Q93" s="101">
        <f t="shared" si="29"/>
        <v>8.4592699488079293E-2</v>
      </c>
      <c r="R93" s="101">
        <f t="shared" si="30"/>
        <v>2.0382368968649225E-2</v>
      </c>
      <c r="S93" s="101">
        <f t="shared" si="34"/>
        <v>684.15063870506651</v>
      </c>
      <c r="T93" s="101">
        <f t="shared" si="35"/>
        <v>8.3557938842403061</v>
      </c>
      <c r="U93" s="101">
        <f t="shared" si="35"/>
        <v>8.2950707796898175</v>
      </c>
      <c r="V93" s="33">
        <f t="shared" si="36"/>
        <v>1000.0000000000015</v>
      </c>
      <c r="W93" s="105">
        <f t="shared" si="31"/>
        <v>169650.29223159261</v>
      </c>
      <c r="X93" s="112">
        <f t="shared" si="37"/>
        <v>983.34913533607141</v>
      </c>
      <c r="Y93" s="32">
        <f t="shared" si="32"/>
        <v>631.31363627081521</v>
      </c>
    </row>
    <row r="94" spans="1:25" x14ac:dyDescent="0.25">
      <c r="A94" s="4">
        <v>88</v>
      </c>
      <c r="C94" s="110">
        <f>IF(male=0,VLOOKUP(((A92:A926/'Life tables'!$I$2)*2)+age,lifetable,13,1),IF(male=1,VLOOKUP(((A92:A926/'Life tables'!$I$2)*2)+age,lifetable,10,1),"error"))</f>
        <v>1.0096596056652363E-4</v>
      </c>
      <c r="F94" s="101">
        <f t="shared" si="19"/>
        <v>220.79254206851053</v>
      </c>
      <c r="G94" s="101">
        <f t="shared" si="20"/>
        <v>22.179072944113244</v>
      </c>
      <c r="H94" s="101">
        <f t="shared" si="21"/>
        <v>0.50754083621125634</v>
      </c>
      <c r="I94" s="101">
        <f t="shared" si="22"/>
        <v>0.50754083621125634</v>
      </c>
      <c r="J94" s="101">
        <f t="shared" si="23"/>
        <v>2.4634351196258744E-2</v>
      </c>
      <c r="K94" s="101">
        <f t="shared" si="24"/>
        <v>3.9785679682915603E-2</v>
      </c>
      <c r="L94" s="101">
        <f t="shared" si="33"/>
        <v>197.53396742109561</v>
      </c>
      <c r="M94" s="101">
        <f t="shared" si="25"/>
        <v>762.55659326756086</v>
      </c>
      <c r="N94" s="101">
        <f t="shared" si="26"/>
        <v>73.435852107742178</v>
      </c>
      <c r="O94" s="101">
        <f t="shared" si="27"/>
        <v>1.7529061778061876</v>
      </c>
      <c r="P94" s="101">
        <f t="shared" si="28"/>
        <v>1.7529061778061876</v>
      </c>
      <c r="Q94" s="101">
        <f t="shared" si="29"/>
        <v>8.4760747985724916E-2</v>
      </c>
      <c r="R94" s="101">
        <f t="shared" si="30"/>
        <v>2.0422859773462969E-2</v>
      </c>
      <c r="S94" s="101">
        <f t="shared" si="34"/>
        <v>685.50974519644717</v>
      </c>
      <c r="T94" s="101">
        <f t="shared" si="35"/>
        <v>8.4651889834222906</v>
      </c>
      <c r="U94" s="101">
        <f t="shared" si="35"/>
        <v>8.3552793191461969</v>
      </c>
      <c r="V94" s="33">
        <f t="shared" si="36"/>
        <v>1000.0000000000016</v>
      </c>
      <c r="W94" s="105">
        <f t="shared" si="31"/>
        <v>169548.72759264312</v>
      </c>
      <c r="X94" s="112">
        <f t="shared" si="37"/>
        <v>983.17953169743316</v>
      </c>
      <c r="Y94" s="32">
        <f t="shared" si="32"/>
        <v>631.02387067014672</v>
      </c>
    </row>
    <row r="95" spans="1:25" x14ac:dyDescent="0.25">
      <c r="A95" s="4">
        <v>89</v>
      </c>
      <c r="C95" s="110">
        <f>IF(male=0,VLOOKUP(((A93:A927/'Life tables'!$I$2)*2)+age,lifetable,13,1),IF(male=1,VLOOKUP(((A93:A927/'Life tables'!$I$2)*2)+age,lifetable,10,1),"error"))</f>
        <v>1.0096596056652363E-4</v>
      </c>
      <c r="F95" s="101">
        <f t="shared" si="19"/>
        <v>219.16220447478227</v>
      </c>
      <c r="G95" s="101">
        <f t="shared" si="20"/>
        <v>22.015302120714647</v>
      </c>
      <c r="H95" s="101">
        <f t="shared" si="21"/>
        <v>0.5037931421185331</v>
      </c>
      <c r="I95" s="101">
        <f t="shared" si="22"/>
        <v>0.5037931421185331</v>
      </c>
      <c r="J95" s="101">
        <f t="shared" si="23"/>
        <v>2.4452450537495087E-2</v>
      </c>
      <c r="K95" s="101">
        <f t="shared" si="24"/>
        <v>3.9491901239715466E-2</v>
      </c>
      <c r="L95" s="101">
        <f t="shared" si="33"/>
        <v>196.07537171805336</v>
      </c>
      <c r="M95" s="101">
        <f t="shared" si="25"/>
        <v>764.01732722265081</v>
      </c>
      <c r="N95" s="101">
        <f t="shared" si="26"/>
        <v>73.576523952483683</v>
      </c>
      <c r="O95" s="101">
        <f t="shared" si="27"/>
        <v>1.7562640001588037</v>
      </c>
      <c r="P95" s="101">
        <f t="shared" si="28"/>
        <v>1.7562640001588037</v>
      </c>
      <c r="Q95" s="101">
        <f t="shared" si="29"/>
        <v>8.4923113512080178E-2</v>
      </c>
      <c r="R95" s="101">
        <f t="shared" si="30"/>
        <v>2.0461981282600156E-2</v>
      </c>
      <c r="S95" s="101">
        <f t="shared" si="34"/>
        <v>686.82289017505479</v>
      </c>
      <c r="T95" s="101">
        <f t="shared" si="35"/>
        <v>8.5745645474718657</v>
      </c>
      <c r="U95" s="101">
        <f t="shared" si="35"/>
        <v>8.4152332016685119</v>
      </c>
      <c r="V95" s="33">
        <f t="shared" si="36"/>
        <v>1000.0000000000015</v>
      </c>
      <c r="W95" s="105">
        <f t="shared" si="31"/>
        <v>169443.39164650513</v>
      </c>
      <c r="X95" s="112">
        <f t="shared" si="37"/>
        <v>983.01020225086108</v>
      </c>
      <c r="Y95" s="32">
        <f t="shared" si="32"/>
        <v>630.73437522381539</v>
      </c>
    </row>
    <row r="96" spans="1:25" x14ac:dyDescent="0.25">
      <c r="A96" s="4">
        <v>90</v>
      </c>
      <c r="C96" s="110">
        <f>IF(male=0,VLOOKUP(((A94:A928/'Life tables'!$I$2)*2)+age,lifetable,13,1),IF(male=1,VLOOKUP(((A94:A928/'Life tables'!$I$2)*2)+age,lifetable,10,1),"error"))</f>
        <v>1.0096596056652363E-4</v>
      </c>
      <c r="F96" s="101">
        <f t="shared" si="19"/>
        <v>217.58167861169647</v>
      </c>
      <c r="G96" s="101">
        <f t="shared" si="20"/>
        <v>21.856534989909296</v>
      </c>
      <c r="H96" s="101">
        <f t="shared" si="21"/>
        <v>0.50015995138351654</v>
      </c>
      <c r="I96" s="101">
        <f t="shared" si="22"/>
        <v>0.50015995138351654</v>
      </c>
      <c r="J96" s="101">
        <f t="shared" si="23"/>
        <v>2.4276107492475271E-2</v>
      </c>
      <c r="K96" s="101">
        <f t="shared" si="24"/>
        <v>3.920709861400095E-2</v>
      </c>
      <c r="L96" s="101">
        <f t="shared" si="33"/>
        <v>194.66134051291368</v>
      </c>
      <c r="M96" s="101">
        <f t="shared" si="25"/>
        <v>765.42852363916461</v>
      </c>
      <c r="N96" s="101">
        <f t="shared" si="26"/>
        <v>73.712425224930911</v>
      </c>
      <c r="O96" s="101">
        <f t="shared" si="27"/>
        <v>1.7595079494452497</v>
      </c>
      <c r="P96" s="101">
        <f t="shared" si="28"/>
        <v>1.7595079494452497</v>
      </c>
      <c r="Q96" s="101">
        <f t="shared" si="29"/>
        <v>8.5079972773247844E-2</v>
      </c>
      <c r="R96" s="101">
        <f t="shared" si="30"/>
        <v>2.0499776072890774E-2</v>
      </c>
      <c r="S96" s="101">
        <f t="shared" si="34"/>
        <v>688.09150276649711</v>
      </c>
      <c r="T96" s="101">
        <f t="shared" si="35"/>
        <v>8.6839206277375887</v>
      </c>
      <c r="U96" s="101">
        <f t="shared" si="35"/>
        <v>8.4749400763554039</v>
      </c>
      <c r="V96" s="33">
        <f t="shared" si="36"/>
        <v>1000.0000000000016</v>
      </c>
      <c r="W96" s="105">
        <f t="shared" si="31"/>
        <v>169334.41505688342</v>
      </c>
      <c r="X96" s="112">
        <f t="shared" si="37"/>
        <v>982.84113929590853</v>
      </c>
      <c r="Y96" s="32">
        <f t="shared" si="32"/>
        <v>630.44514544473941</v>
      </c>
    </row>
    <row r="97" spans="1:25" x14ac:dyDescent="0.25">
      <c r="A97" s="4">
        <v>91</v>
      </c>
      <c r="C97" s="110">
        <f>IF(male=0,VLOOKUP(((A95:A929/'Life tables'!$I$2)*2)+age,lifetable,13,1),IF(male=1,VLOOKUP(((A95:A929/'Life tables'!$I$2)*2)+age,lifetable,10,1),"error"))</f>
        <v>1.0096596056652363E-4</v>
      </c>
      <c r="F97" s="101">
        <f t="shared" si="19"/>
        <v>216.04941643934083</v>
      </c>
      <c r="G97" s="101">
        <f t="shared" si="20"/>
        <v>21.702616047848128</v>
      </c>
      <c r="H97" s="101">
        <f t="shared" si="21"/>
        <v>0.49663770549166503</v>
      </c>
      <c r="I97" s="101">
        <f t="shared" si="22"/>
        <v>0.49663770549166503</v>
      </c>
      <c r="J97" s="101">
        <f t="shared" si="23"/>
        <v>2.4105149342689407E-2</v>
      </c>
      <c r="K97" s="101">
        <f t="shared" si="24"/>
        <v>3.8930992856947462E-2</v>
      </c>
      <c r="L97" s="101">
        <f t="shared" si="33"/>
        <v>193.29048883830973</v>
      </c>
      <c r="M97" s="101">
        <f t="shared" si="25"/>
        <v>766.79172285656784</v>
      </c>
      <c r="N97" s="101">
        <f t="shared" si="26"/>
        <v>73.843704263111732</v>
      </c>
      <c r="O97" s="101">
        <f t="shared" si="27"/>
        <v>1.762641566478875</v>
      </c>
      <c r="P97" s="101">
        <f t="shared" si="28"/>
        <v>1.762641566478875</v>
      </c>
      <c r="Q97" s="101">
        <f t="shared" si="29"/>
        <v>8.523149698317635E-2</v>
      </c>
      <c r="R97" s="101">
        <f t="shared" si="30"/>
        <v>2.0536285397845952E-2</v>
      </c>
      <c r="S97" s="101">
        <f t="shared" si="34"/>
        <v>689.31696767811729</v>
      </c>
      <c r="T97" s="101">
        <f t="shared" si="35"/>
        <v>8.7932572740634551</v>
      </c>
      <c r="U97" s="101">
        <f t="shared" si="35"/>
        <v>8.5344073546101971</v>
      </c>
      <c r="V97" s="33">
        <f t="shared" si="36"/>
        <v>1000.0000000000015</v>
      </c>
      <c r="W97" s="105">
        <f t="shared" si="31"/>
        <v>169221.92426870685</v>
      </c>
      <c r="X97" s="112">
        <f t="shared" si="37"/>
        <v>982.67233537132802</v>
      </c>
      <c r="Y97" s="32">
        <f t="shared" si="32"/>
        <v>630.15617698474841</v>
      </c>
    </row>
    <row r="98" spans="1:25" x14ac:dyDescent="0.25">
      <c r="A98" s="4">
        <v>92</v>
      </c>
      <c r="C98" s="110">
        <f>IF(male=0,VLOOKUP(((A96:A930/'Life tables'!$I$2)*2)+age,lifetable,13,1),IF(male=1,VLOOKUP(((A96:A930/'Life tables'!$I$2)*2)+age,lifetable,10,1),"error"))</f>
        <v>1.0096596056652363E-4</v>
      </c>
      <c r="F98" s="101">
        <f t="shared" si="19"/>
        <v>214.5639180318783</v>
      </c>
      <c r="G98" s="101">
        <f t="shared" si="20"/>
        <v>21.553394623841641</v>
      </c>
      <c r="H98" s="101">
        <f t="shared" si="21"/>
        <v>0.49322295652935599</v>
      </c>
      <c r="I98" s="101">
        <f t="shared" si="22"/>
        <v>0.49322295652935599</v>
      </c>
      <c r="J98" s="101">
        <f t="shared" si="23"/>
        <v>2.3939408737829841E-2</v>
      </c>
      <c r="K98" s="101">
        <f t="shared" si="24"/>
        <v>3.8663313689639142E-2</v>
      </c>
      <c r="L98" s="101">
        <f t="shared" si="33"/>
        <v>191.96147477255047</v>
      </c>
      <c r="M98" s="101">
        <f t="shared" si="25"/>
        <v>768.10841733944983</v>
      </c>
      <c r="N98" s="101">
        <f t="shared" si="26"/>
        <v>73.970504794599734</v>
      </c>
      <c r="O98" s="101">
        <f t="shared" si="27"/>
        <v>1.7656682820219631</v>
      </c>
      <c r="P98" s="101">
        <f t="shared" si="28"/>
        <v>1.7656682820219631</v>
      </c>
      <c r="Q98" s="101">
        <f t="shared" si="29"/>
        <v>8.5377852034359547E-2</v>
      </c>
      <c r="R98" s="101">
        <f t="shared" si="30"/>
        <v>2.0571549228787556E-2</v>
      </c>
      <c r="S98" s="101">
        <f t="shared" si="34"/>
        <v>690.500626579543</v>
      </c>
      <c r="T98" s="101">
        <f t="shared" si="35"/>
        <v>8.9025745348356438</v>
      </c>
      <c r="U98" s="101">
        <f t="shared" si="35"/>
        <v>8.5936422175286236</v>
      </c>
      <c r="V98" s="33">
        <f t="shared" si="36"/>
        <v>1000.0000000000018</v>
      </c>
      <c r="W98" s="105">
        <f t="shared" si="31"/>
        <v>169106.04164396567</v>
      </c>
      <c r="X98" s="112">
        <f t="shared" si="37"/>
        <v>982.50378324763756</v>
      </c>
      <c r="Y98" s="32">
        <f t="shared" si="32"/>
        <v>629.86746563022712</v>
      </c>
    </row>
    <row r="99" spans="1:25" x14ac:dyDescent="0.25">
      <c r="A99" s="4">
        <v>93</v>
      </c>
      <c r="C99" s="110">
        <f>IF(male=0,VLOOKUP(((A97:A931/'Life tables'!$I$2)*2)+age,lifetable,13,1),IF(male=1,VLOOKUP(((A97:A931/'Life tables'!$I$2)*2)+age,lifetable,10,1),"error"))</f>
        <v>1.0096596056652363E-4</v>
      </c>
      <c r="F99" s="101">
        <f t="shared" si="19"/>
        <v>213.12373008213007</v>
      </c>
      <c r="G99" s="101">
        <f t="shared" si="20"/>
        <v>21.408724730142115</v>
      </c>
      <c r="H99" s="101">
        <f t="shared" si="21"/>
        <v>0.48991236374633623</v>
      </c>
      <c r="I99" s="101">
        <f t="shared" si="22"/>
        <v>0.48991236374633623</v>
      </c>
      <c r="J99" s="101">
        <f t="shared" si="23"/>
        <v>2.3778723528943984E-2</v>
      </c>
      <c r="K99" s="101">
        <f t="shared" si="24"/>
        <v>3.8403799233602411E-2</v>
      </c>
      <c r="L99" s="101">
        <f t="shared" si="33"/>
        <v>190.67299810173273</v>
      </c>
      <c r="M99" s="101">
        <f t="shared" si="25"/>
        <v>769.38005316550732</v>
      </c>
      <c r="N99" s="101">
        <f t="shared" si="26"/>
        <v>74.092966079810196</v>
      </c>
      <c r="O99" s="101">
        <f t="shared" si="27"/>
        <v>1.7685914202061919</v>
      </c>
      <c r="P99" s="101">
        <f t="shared" si="28"/>
        <v>1.7685914202061919</v>
      </c>
      <c r="Q99" s="101">
        <f t="shared" si="29"/>
        <v>8.5519198663231016E-2</v>
      </c>
      <c r="R99" s="101">
        <f t="shared" si="30"/>
        <v>2.0605606294699475E-2</v>
      </c>
      <c r="S99" s="101">
        <f t="shared" si="34"/>
        <v>691.64377944032685</v>
      </c>
      <c r="T99" s="101">
        <f t="shared" si="35"/>
        <v>9.0118724570278186</v>
      </c>
      <c r="U99" s="101">
        <f t="shared" si="35"/>
        <v>8.6526516230569257</v>
      </c>
      <c r="V99" s="33">
        <f t="shared" si="36"/>
        <v>1000.0000000000017</v>
      </c>
      <c r="W99" s="105">
        <f t="shared" si="31"/>
        <v>168986.88559317371</v>
      </c>
      <c r="X99" s="112">
        <f t="shared" si="37"/>
        <v>982.33547591991692</v>
      </c>
      <c r="Y99" s="32">
        <f t="shared" si="32"/>
        <v>629.57900729789731</v>
      </c>
    </row>
    <row r="100" spans="1:25" x14ac:dyDescent="0.25">
      <c r="A100" s="4">
        <v>94</v>
      </c>
      <c r="C100" s="110">
        <f>IF(male=0,VLOOKUP(((A98:A932/'Life tables'!$I$2)*2)+age,lifetable,13,1),IF(male=1,VLOOKUP(((A98:A932/'Life tables'!$I$2)*2)+age,lifetable,10,1),"error"))</f>
        <v>1.0096596056652363E-4</v>
      </c>
      <c r="F100" s="101">
        <f t="shared" si="19"/>
        <v>211.72744445263709</v>
      </c>
      <c r="G100" s="101">
        <f t="shared" si="20"/>
        <v>21.268464916394727</v>
      </c>
      <c r="H100" s="101">
        <f t="shared" si="21"/>
        <v>0.48670269022501444</v>
      </c>
      <c r="I100" s="101">
        <f t="shared" si="22"/>
        <v>0.48670269022501444</v>
      </c>
      <c r="J100" s="101">
        <f t="shared" si="23"/>
        <v>2.3622936606772737E-2</v>
      </c>
      <c r="K100" s="101">
        <f t="shared" si="24"/>
        <v>3.8152195749714672E-2</v>
      </c>
      <c r="L100" s="101">
        <f t="shared" si="33"/>
        <v>189.42379902343583</v>
      </c>
      <c r="M100" s="101">
        <f t="shared" si="25"/>
        <v>770.60803146727994</v>
      </c>
      <c r="N100" s="101">
        <f t="shared" si="26"/>
        <v>74.211223050842449</v>
      </c>
      <c r="O100" s="101">
        <f t="shared" si="27"/>
        <v>1.7714142018467853</v>
      </c>
      <c r="P100" s="101">
        <f t="shared" si="28"/>
        <v>1.7714142018467853</v>
      </c>
      <c r="Q100" s="101">
        <f t="shared" si="29"/>
        <v>8.5655692610417916E-2</v>
      </c>
      <c r="R100" s="101">
        <f t="shared" si="30"/>
        <v>2.0638494120840345E-2</v>
      </c>
      <c r="S100" s="101">
        <f t="shared" si="34"/>
        <v>692.74768582601268</v>
      </c>
      <c r="T100" s="101">
        <f t="shared" si="35"/>
        <v>9.1211510862450087</v>
      </c>
      <c r="U100" s="101">
        <f t="shared" si="35"/>
        <v>8.7114423129274812</v>
      </c>
      <c r="V100" s="33">
        <f t="shared" si="36"/>
        <v>1000.0000000000018</v>
      </c>
      <c r="W100" s="105">
        <f t="shared" si="31"/>
        <v>168864.57070260047</v>
      </c>
      <c r="X100" s="112">
        <f t="shared" si="37"/>
        <v>982.16740660082928</v>
      </c>
      <c r="Y100" s="32">
        <f t="shared" si="32"/>
        <v>629.2907980307308</v>
      </c>
    </row>
    <row r="101" spans="1:25" x14ac:dyDescent="0.25">
      <c r="A101" s="4">
        <v>95</v>
      </c>
      <c r="C101" s="110">
        <f>IF(male=0,VLOOKUP(((A99:A933/'Life tables'!$I$2)*2)+age,lifetable,13,1),IF(male=1,VLOOKUP(((A99:A933/'Life tables'!$I$2)*2)+age,lifetable,10,1),"error"))</f>
        <v>1.0096596056652363E-4</v>
      </c>
      <c r="F101" s="101">
        <f t="shared" si="19"/>
        <v>210.37369677175542</v>
      </c>
      <c r="G101" s="101">
        <f t="shared" si="20"/>
        <v>21.132478128612366</v>
      </c>
      <c r="H101" s="101">
        <f t="shared" si="21"/>
        <v>0.4835907996532734</v>
      </c>
      <c r="I101" s="101">
        <f t="shared" si="22"/>
        <v>0.4835907996532734</v>
      </c>
      <c r="J101" s="101">
        <f t="shared" si="23"/>
        <v>2.3471895745113502E-2</v>
      </c>
      <c r="K101" s="101">
        <f t="shared" si="24"/>
        <v>3.7908257385228003E-2</v>
      </c>
      <c r="L101" s="101">
        <f t="shared" si="33"/>
        <v>188.21265689070617</v>
      </c>
      <c r="M101" s="101">
        <f t="shared" si="25"/>
        <v>771.79370982907392</v>
      </c>
      <c r="N101" s="101">
        <f t="shared" si="26"/>
        <v>74.325406446006539</v>
      </c>
      <c r="O101" s="101">
        <f t="shared" si="27"/>
        <v>1.7741397476536531</v>
      </c>
      <c r="P101" s="101">
        <f t="shared" si="28"/>
        <v>1.7741397476536531</v>
      </c>
      <c r="Q101" s="101">
        <f t="shared" si="29"/>
        <v>8.5787484776013806E-2</v>
      </c>
      <c r="R101" s="101">
        <f t="shared" si="30"/>
        <v>2.0670249066156058E-2</v>
      </c>
      <c r="S101" s="101">
        <f t="shared" si="34"/>
        <v>693.81356615391792</v>
      </c>
      <c r="T101" s="101">
        <f t="shared" si="35"/>
        <v>9.230410466766136</v>
      </c>
      <c r="U101" s="101">
        <f t="shared" si="35"/>
        <v>8.7700208193788658</v>
      </c>
      <c r="V101" s="33">
        <f t="shared" si="36"/>
        <v>1000.0000000000018</v>
      </c>
      <c r="W101" s="105">
        <f t="shared" si="31"/>
        <v>168739.20785740495</v>
      </c>
      <c r="X101" s="112">
        <f t="shared" si="37"/>
        <v>981.99956871385689</v>
      </c>
      <c r="Y101" s="32">
        <f t="shared" si="32"/>
        <v>629.00283399399132</v>
      </c>
    </row>
    <row r="102" spans="1:25" x14ac:dyDescent="0.25">
      <c r="A102" s="4">
        <v>96</v>
      </c>
      <c r="C102" s="110">
        <f>IF(male=0,VLOOKUP(((A100:A934/'Life tables'!$I$2)*2)+age,lifetable,13,1),IF(male=1,VLOOKUP(((A100:A934/'Life tables'!$I$2)*2)+age,lifetable,10,1),"error"))</f>
        <v>1.0096596056652363E-4</v>
      </c>
      <c r="F102" s="101">
        <f t="shared" si="19"/>
        <v>209.06116507338598</v>
      </c>
      <c r="G102" s="101">
        <f t="shared" si="20"/>
        <v>21.000631572533656</v>
      </c>
      <c r="H102" s="101">
        <f t="shared" si="21"/>
        <v>0.48057365319758605</v>
      </c>
      <c r="I102" s="101">
        <f t="shared" si="22"/>
        <v>0.48057365319758605</v>
      </c>
      <c r="J102" s="101">
        <f t="shared" si="23"/>
        <v>2.3325453449051615E-2</v>
      </c>
      <c r="K102" s="101">
        <f t="shared" si="24"/>
        <v>3.7671745928655354E-2</v>
      </c>
      <c r="L102" s="101">
        <f t="shared" si="33"/>
        <v>187.03838899507946</v>
      </c>
      <c r="M102" s="101">
        <f t="shared" si="25"/>
        <v>772.93840364047094</v>
      </c>
      <c r="N102" s="101">
        <f t="shared" si="26"/>
        <v>74.435642940169146</v>
      </c>
      <c r="O102" s="101">
        <f t="shared" si="27"/>
        <v>1.7767710813427324</v>
      </c>
      <c r="P102" s="101">
        <f t="shared" si="28"/>
        <v>1.7767710813427324</v>
      </c>
      <c r="Q102" s="101">
        <f t="shared" si="29"/>
        <v>8.5914721370025648E-2</v>
      </c>
      <c r="R102" s="101">
        <f t="shared" si="30"/>
        <v>2.0700906359529574E-2</v>
      </c>
      <c r="S102" s="101">
        <f t="shared" si="34"/>
        <v>694.84260290988675</v>
      </c>
      <c r="T102" s="101">
        <f t="shared" si="35"/>
        <v>9.3396506415852141</v>
      </c>
      <c r="U102" s="101">
        <f t="shared" si="35"/>
        <v>8.8283934716670505</v>
      </c>
      <c r="V102" s="33">
        <f t="shared" si="36"/>
        <v>1000.0000000000019</v>
      </c>
      <c r="W102" s="105">
        <f t="shared" si="31"/>
        <v>168610.90436080683</v>
      </c>
      <c r="X102" s="112">
        <f t="shared" si="37"/>
        <v>981.83195588674971</v>
      </c>
      <c r="Y102" s="32">
        <f t="shared" si="32"/>
        <v>628.71511147140063</v>
      </c>
    </row>
    <row r="103" spans="1:25" x14ac:dyDescent="0.25">
      <c r="A103" s="4">
        <v>97</v>
      </c>
      <c r="C103" s="110">
        <f>IF(male=0,VLOOKUP(((A101:A935/'Life tables'!$I$2)*2)+age,lifetable,13,1),IF(male=1,VLOOKUP(((A101:A935/'Life tables'!$I$2)*2)+age,lifetable,10,1),"error"))</f>
        <v>1.0096596056652363E-4</v>
      </c>
      <c r="F103" s="101">
        <f t="shared" si="19"/>
        <v>207.788568478982</v>
      </c>
      <c r="G103" s="101">
        <f t="shared" si="20"/>
        <v>20.872796581227846</v>
      </c>
      <c r="H103" s="101">
        <f t="shared" si="21"/>
        <v>0.47764830647331591</v>
      </c>
      <c r="I103" s="101">
        <f t="shared" si="22"/>
        <v>0.47764830647331591</v>
      </c>
      <c r="J103" s="101">
        <f t="shared" si="23"/>
        <v>2.3183466807908715E-2</v>
      </c>
      <c r="K103" s="101">
        <f t="shared" si="24"/>
        <v>3.7442430572275184E-2</v>
      </c>
      <c r="L103" s="101">
        <f t="shared" si="33"/>
        <v>185.89984938742734</v>
      </c>
      <c r="M103" s="101">
        <f t="shared" si="25"/>
        <v>774.04338740776757</v>
      </c>
      <c r="N103" s="101">
        <f t="shared" si="26"/>
        <v>74.542055271048014</v>
      </c>
      <c r="O103" s="101">
        <f t="shared" si="27"/>
        <v>1.7793111326506228</v>
      </c>
      <c r="P103" s="101">
        <f t="shared" si="28"/>
        <v>1.7793111326506228</v>
      </c>
      <c r="Q103" s="101">
        <f t="shared" si="29"/>
        <v>8.6037544058144858E-2</v>
      </c>
      <c r="R103" s="101">
        <f t="shared" si="30"/>
        <v>2.0730500134904004E-2</v>
      </c>
      <c r="S103" s="101">
        <f t="shared" si="34"/>
        <v>695.83594182722527</v>
      </c>
      <c r="T103" s="101">
        <f t="shared" si="35"/>
        <v>9.4488716524512668</v>
      </c>
      <c r="U103" s="101">
        <f t="shared" si="35"/>
        <v>8.8865664023742301</v>
      </c>
      <c r="V103" s="33">
        <f t="shared" si="36"/>
        <v>1000.0000000000018</v>
      </c>
      <c r="W103" s="105">
        <f t="shared" si="31"/>
        <v>168479.76404941961</v>
      </c>
      <c r="X103" s="112">
        <f t="shared" si="37"/>
        <v>981.66456194517627</v>
      </c>
      <c r="Y103" s="32">
        <f t="shared" si="32"/>
        <v>628.42762686142441</v>
      </c>
    </row>
    <row r="104" spans="1:25" x14ac:dyDescent="0.25">
      <c r="A104" s="4">
        <v>98</v>
      </c>
      <c r="C104" s="110">
        <f>IF(male=0,VLOOKUP(((A102:A936/'Life tables'!$I$2)*2)+age,lifetable,13,1),IF(male=1,VLOOKUP(((A102:A936/'Life tables'!$I$2)*2)+age,lifetable,10,1),"error"))</f>
        <v>1.0096596056652363E-4</v>
      </c>
      <c r="F104" s="101">
        <f t="shared" si="19"/>
        <v>206.55466592052139</v>
      </c>
      <c r="G104" s="101">
        <f t="shared" si="20"/>
        <v>20.748848486814701</v>
      </c>
      <c r="H104" s="101">
        <f t="shared" si="21"/>
        <v>0.47481190660918471</v>
      </c>
      <c r="I104" s="101">
        <f t="shared" si="22"/>
        <v>0.47481190660918471</v>
      </c>
      <c r="J104" s="101">
        <f t="shared" si="23"/>
        <v>2.3045797352761768E-2</v>
      </c>
      <c r="K104" s="101">
        <f t="shared" si="24"/>
        <v>3.7220087682017539E-2</v>
      </c>
      <c r="L104" s="101">
        <f t="shared" si="33"/>
        <v>184.79592773545355</v>
      </c>
      <c r="M104" s="101">
        <f t="shared" si="25"/>
        <v>775.10989602465486</v>
      </c>
      <c r="N104" s="101">
        <f t="shared" si="26"/>
        <v>74.644762361581144</v>
      </c>
      <c r="O104" s="101">
        <f t="shared" si="27"/>
        <v>1.7817627402555281</v>
      </c>
      <c r="P104" s="101">
        <f t="shared" si="28"/>
        <v>1.7817627402555281</v>
      </c>
      <c r="Q104" s="101">
        <f t="shared" si="29"/>
        <v>8.6156090102987526E-2</v>
      </c>
      <c r="R104" s="101">
        <f t="shared" si="30"/>
        <v>2.0759063465314077E-2</v>
      </c>
      <c r="S104" s="101">
        <f t="shared" si="34"/>
        <v>696.79469302899429</v>
      </c>
      <c r="T104" s="101">
        <f t="shared" si="35"/>
        <v>9.5580735399070154</v>
      </c>
      <c r="U104" s="101">
        <f t="shared" si="35"/>
        <v>8.9445455535215626</v>
      </c>
      <c r="V104" s="33">
        <f t="shared" si="36"/>
        <v>1000.0000000000018</v>
      </c>
      <c r="W104" s="105">
        <f t="shared" si="31"/>
        <v>168345.88740487234</v>
      </c>
      <c r="X104" s="112">
        <f t="shared" si="37"/>
        <v>981.49738090657308</v>
      </c>
      <c r="Y104" s="32">
        <f t="shared" si="32"/>
        <v>628.14037667367438</v>
      </c>
    </row>
    <row r="105" spans="1:25" x14ac:dyDescent="0.25">
      <c r="A105" s="4">
        <v>99</v>
      </c>
      <c r="C105" s="110">
        <f>IF(male=0,VLOOKUP(((A103:A937/'Life tables'!$I$2)*2)+age,lifetable,13,1),IF(male=1,VLOOKUP(((A103:A937/'Life tables'!$I$2)*2)+age,lifetable,10,1),"error"))</f>
        <v>1.0096596056652363E-4</v>
      </c>
      <c r="F105" s="101">
        <f t="shared" si="19"/>
        <v>205.35825490316907</v>
      </c>
      <c r="G105" s="101">
        <f t="shared" si="20"/>
        <v>20.628666496171356</v>
      </c>
      <c r="H105" s="101">
        <f t="shared" si="21"/>
        <v>0.4720616894029761</v>
      </c>
      <c r="I105" s="101">
        <f t="shared" si="22"/>
        <v>0.4720616894029761</v>
      </c>
      <c r="J105" s="101">
        <f t="shared" si="23"/>
        <v>2.2912310918390334E-2</v>
      </c>
      <c r="K105" s="101">
        <f t="shared" si="24"/>
        <v>3.7004500574502289E-2</v>
      </c>
      <c r="L105" s="101">
        <f t="shared" si="33"/>
        <v>183.72554821669888</v>
      </c>
      <c r="M105" s="101">
        <f t="shared" si="25"/>
        <v>776.13912600340393</v>
      </c>
      <c r="N105" s="101">
        <f t="shared" si="26"/>
        <v>74.743879438492641</v>
      </c>
      <c r="O105" s="101">
        <f t="shared" si="27"/>
        <v>1.7841286546074082</v>
      </c>
      <c r="P105" s="101">
        <f t="shared" si="28"/>
        <v>1.7841286546074082</v>
      </c>
      <c r="Q105" s="101">
        <f t="shared" si="29"/>
        <v>8.627049250094504E-2</v>
      </c>
      <c r="R105" s="101">
        <f t="shared" si="30"/>
        <v>2.0786628395859843E-2</v>
      </c>
      <c r="S105" s="101">
        <f t="shared" si="34"/>
        <v>697.71993213479971</v>
      </c>
      <c r="T105" s="101">
        <f t="shared" si="35"/>
        <v>9.6672563433263505</v>
      </c>
      <c r="U105" s="101">
        <f t="shared" si="35"/>
        <v>9.002336682491924</v>
      </c>
      <c r="V105" s="33">
        <f t="shared" si="36"/>
        <v>1000.0000000000016</v>
      </c>
      <c r="W105" s="105">
        <f t="shared" si="31"/>
        <v>168209.37166183582</v>
      </c>
      <c r="X105" s="112">
        <f t="shared" si="37"/>
        <v>981.33040697418335</v>
      </c>
      <c r="Y105" s="32">
        <f t="shared" si="32"/>
        <v>627.85335752542403</v>
      </c>
    </row>
    <row r="106" spans="1:25" x14ac:dyDescent="0.25">
      <c r="A106" s="4">
        <v>100</v>
      </c>
      <c r="C106" s="110">
        <f>IF(male=0,VLOOKUP(((A104:A938/'Life tables'!$I$2)*2)+age,lifetable,13,1),IF(male=1,VLOOKUP(((A104:A938/'Life tables'!$I$2)*2)+age,lifetable,10,1),"error"))</f>
        <v>1.0096596056652363E-4</v>
      </c>
      <c r="F106" s="101">
        <f t="shared" si="19"/>
        <v>204.19817030639717</v>
      </c>
      <c r="G106" s="101">
        <f t="shared" si="20"/>
        <v>20.512133570502325</v>
      </c>
      <c r="H106" s="101">
        <f t="shared" si="21"/>
        <v>0.46939497656564344</v>
      </c>
      <c r="I106" s="101">
        <f t="shared" si="22"/>
        <v>0.46939497656564344</v>
      </c>
      <c r="J106" s="101">
        <f t="shared" si="23"/>
        <v>2.2782877509514673E-2</v>
      </c>
      <c r="K106" s="101">
        <f t="shared" si="24"/>
        <v>3.6795459301007055E-2</v>
      </c>
      <c r="L106" s="101">
        <f t="shared" si="33"/>
        <v>182.68766844595305</v>
      </c>
      <c r="M106" s="101">
        <f t="shared" si="25"/>
        <v>777.13223666778629</v>
      </c>
      <c r="N106" s="101">
        <f t="shared" si="26"/>
        <v>74.839518147173536</v>
      </c>
      <c r="O106" s="101">
        <f t="shared" si="27"/>
        <v>1.7864115406701744</v>
      </c>
      <c r="P106" s="101">
        <f t="shared" si="28"/>
        <v>1.7864115406701744</v>
      </c>
      <c r="Q106" s="101">
        <f t="shared" si="29"/>
        <v>8.6380880114780928E-2</v>
      </c>
      <c r="R106" s="101">
        <f t="shared" si="30"/>
        <v>2.0813225975655596E-2</v>
      </c>
      <c r="S106" s="101">
        <f t="shared" si="34"/>
        <v>698.61270133318203</v>
      </c>
      <c r="T106" s="101">
        <f t="shared" si="35"/>
        <v>9.7764201009506468</v>
      </c>
      <c r="U106" s="101">
        <f t="shared" si="35"/>
        <v>9.0599453677685862</v>
      </c>
      <c r="V106" s="33">
        <f t="shared" si="36"/>
        <v>1000.0000000000019</v>
      </c>
      <c r="W106" s="105">
        <f t="shared" si="31"/>
        <v>168070.31091257292</v>
      </c>
      <c r="X106" s="112">
        <f t="shared" si="37"/>
        <v>981.1636345312827</v>
      </c>
      <c r="Y106" s="32">
        <f t="shared" si="32"/>
        <v>627.56656613823361</v>
      </c>
    </row>
    <row r="107" spans="1:25" x14ac:dyDescent="0.25">
      <c r="A107" s="4">
        <v>101</v>
      </c>
      <c r="C107" s="110">
        <f>IF(male=0,VLOOKUP(((A105:A939/'Life tables'!$I$2)*2)+age,lifetable,13,1),IF(male=1,VLOOKUP(((A105:A939/'Life tables'!$I$2)*2)+age,lifetable,10,1),"error"))</f>
        <v>1.0096596056652363E-4</v>
      </c>
      <c r="F107" s="101">
        <f t="shared" si="19"/>
        <v>203.07328322236683</v>
      </c>
      <c r="G107" s="101">
        <f t="shared" si="20"/>
        <v>20.399136308652519</v>
      </c>
      <c r="H107" s="101">
        <f t="shared" si="21"/>
        <v>0.46680917305107161</v>
      </c>
      <c r="I107" s="101">
        <f t="shared" si="22"/>
        <v>0.46680917305107161</v>
      </c>
      <c r="J107" s="101">
        <f t="shared" si="23"/>
        <v>2.2657371171191255E-2</v>
      </c>
      <c r="K107" s="101">
        <f t="shared" si="24"/>
        <v>3.6592760438149657E-2</v>
      </c>
      <c r="L107" s="101">
        <f t="shared" si="33"/>
        <v>181.68127843600283</v>
      </c>
      <c r="M107" s="101">
        <f t="shared" si="25"/>
        <v>778.09035130891584</v>
      </c>
      <c r="N107" s="101">
        <f t="shared" si="26"/>
        <v>74.931786662991826</v>
      </c>
      <c r="O107" s="101">
        <f t="shared" si="27"/>
        <v>1.7886139805786485</v>
      </c>
      <c r="P107" s="101">
        <f t="shared" si="28"/>
        <v>1.7886139805786485</v>
      </c>
      <c r="Q107" s="101">
        <f t="shared" si="29"/>
        <v>8.6487377802106968E-2</v>
      </c>
      <c r="R107" s="101">
        <f t="shared" si="30"/>
        <v>2.0838886288785725E-2</v>
      </c>
      <c r="S107" s="101">
        <f t="shared" si="34"/>
        <v>699.47401042067588</v>
      </c>
      <c r="T107" s="101">
        <f t="shared" si="35"/>
        <v>9.885564849923945</v>
      </c>
      <c r="U107" s="101">
        <f t="shared" si="35"/>
        <v>9.1173770144955224</v>
      </c>
      <c r="V107" s="33">
        <f t="shared" si="36"/>
        <v>1000.000000000002</v>
      </c>
      <c r="W107" s="105">
        <f t="shared" si="31"/>
        <v>167928.79620812088</v>
      </c>
      <c r="X107" s="112">
        <f t="shared" si="37"/>
        <v>980.99705813558251</v>
      </c>
      <c r="Y107" s="32">
        <f t="shared" si="32"/>
        <v>627.27999933467936</v>
      </c>
    </row>
    <row r="108" spans="1:25" x14ac:dyDescent="0.25">
      <c r="A108" s="4">
        <v>102</v>
      </c>
      <c r="C108" s="110">
        <f>IF(male=0,VLOOKUP(((A106:A940/'Life tables'!$I$2)*2)+age,lifetable,13,1),IF(male=1,VLOOKUP(((A106:A940/'Life tables'!$I$2)*2)+age,lifetable,10,1),"error"))</f>
        <v>1.0096596056652363E-4</v>
      </c>
      <c r="F108" s="101">
        <f t="shared" si="19"/>
        <v>201.98249983041407</v>
      </c>
      <c r="G108" s="101">
        <f t="shared" si="20"/>
        <v>20.289564834047003</v>
      </c>
      <c r="H108" s="101">
        <f t="shared" si="21"/>
        <v>0.46430176446883215</v>
      </c>
      <c r="I108" s="101">
        <f t="shared" si="22"/>
        <v>0.46430176446883215</v>
      </c>
      <c r="J108" s="101">
        <f t="shared" si="23"/>
        <v>2.2535669863236421E-2</v>
      </c>
      <c r="K108" s="101">
        <f t="shared" si="24"/>
        <v>3.6396206885076249E-2</v>
      </c>
      <c r="L108" s="101">
        <f t="shared" si="33"/>
        <v>180.70539959068108</v>
      </c>
      <c r="M108" s="101">
        <f t="shared" si="25"/>
        <v>779.01455830516852</v>
      </c>
      <c r="N108" s="101">
        <f t="shared" si="26"/>
        <v>75.020789799143245</v>
      </c>
      <c r="O108" s="101">
        <f t="shared" si="27"/>
        <v>1.7907384762129477</v>
      </c>
      <c r="P108" s="101">
        <f t="shared" si="28"/>
        <v>1.7907384762129477</v>
      </c>
      <c r="Q108" s="101">
        <f t="shared" si="29"/>
        <v>8.6590106539865777E-2</v>
      </c>
      <c r="R108" s="101">
        <f t="shared" si="30"/>
        <v>2.0863638484298511E-2</v>
      </c>
      <c r="S108" s="101">
        <f t="shared" si="34"/>
        <v>700.30483780857526</v>
      </c>
      <c r="T108" s="101">
        <f t="shared" si="35"/>
        <v>9.9946906263270474</v>
      </c>
      <c r="U108" s="101">
        <f t="shared" si="35"/>
        <v>9.1746368598648971</v>
      </c>
      <c r="V108" s="33">
        <f t="shared" si="36"/>
        <v>1000.000000000002</v>
      </c>
      <c r="W108" s="105">
        <f t="shared" si="31"/>
        <v>167784.91565621807</v>
      </c>
      <c r="X108" s="112">
        <f t="shared" si="37"/>
        <v>980.83067251381021</v>
      </c>
      <c r="Y108" s="32">
        <f t="shared" si="32"/>
        <v>626.99365403518789</v>
      </c>
    </row>
    <row r="109" spans="1:25" x14ac:dyDescent="0.25">
      <c r="A109" s="4">
        <v>103</v>
      </c>
      <c r="C109" s="110">
        <f>IF(male=0,VLOOKUP(((A107:A941/'Life tables'!$I$2)*2)+age,lifetable,13,1),IF(male=1,VLOOKUP(((A107:A941/'Life tables'!$I$2)*2)+age,lifetable,10,1),"error"))</f>
        <v>1.0096596056652363E-4</v>
      </c>
      <c r="F109" s="101">
        <f t="shared" si="19"/>
        <v>200.92476030651738</v>
      </c>
      <c r="G109" s="101">
        <f t="shared" si="20"/>
        <v>20.183312685144724</v>
      </c>
      <c r="H109" s="101">
        <f t="shared" si="21"/>
        <v>0.4618703145773515</v>
      </c>
      <c r="I109" s="101">
        <f t="shared" si="22"/>
        <v>0.4618703145773515</v>
      </c>
      <c r="J109" s="101">
        <f t="shared" si="23"/>
        <v>2.2417655338553114E-2</v>
      </c>
      <c r="K109" s="101">
        <f t="shared" si="24"/>
        <v>3.6205607666952952E-2</v>
      </c>
      <c r="L109" s="101">
        <f t="shared" si="33"/>
        <v>179.75908372921245</v>
      </c>
      <c r="M109" s="101">
        <f t="shared" si="25"/>
        <v>779.90591220729277</v>
      </c>
      <c r="N109" s="101">
        <f t="shared" si="26"/>
        <v>75.106629111149672</v>
      </c>
      <c r="O109" s="101">
        <f t="shared" si="27"/>
        <v>1.792787451692853</v>
      </c>
      <c r="P109" s="101">
        <f t="shared" si="28"/>
        <v>1.792787451692853</v>
      </c>
      <c r="Q109" s="101">
        <f t="shared" si="29"/>
        <v>8.6689183544944565E-2</v>
      </c>
      <c r="R109" s="101">
        <f t="shared" si="30"/>
        <v>2.0887510805267646E-2</v>
      </c>
      <c r="S109" s="101">
        <f t="shared" si="34"/>
        <v>701.10613149840719</v>
      </c>
      <c r="T109" s="101">
        <f t="shared" si="35"/>
        <v>10.103797465210546</v>
      </c>
      <c r="U109" s="101">
        <f t="shared" si="35"/>
        <v>9.2317299783371176</v>
      </c>
      <c r="V109" s="33">
        <f t="shared" si="36"/>
        <v>1000.0000000000022</v>
      </c>
      <c r="W109" s="105">
        <f t="shared" si="31"/>
        <v>167638.75451607662</v>
      </c>
      <c r="X109" s="112">
        <f t="shared" si="37"/>
        <v>980.66447255645448</v>
      </c>
      <c r="Y109" s="32">
        <f t="shared" si="32"/>
        <v>626.70752725496823</v>
      </c>
    </row>
    <row r="110" spans="1:25" x14ac:dyDescent="0.25">
      <c r="A110" s="4">
        <v>104</v>
      </c>
      <c r="C110" s="110">
        <f>IF(male=0,VLOOKUP(((A108:A942/'Life tables'!$I$2)*2)+age,lifetable,13,1),IF(male=1,VLOOKUP(((A108:A942/'Life tables'!$I$2)*2)+age,lifetable,10,1),"error"))</f>
        <v>1.0096596056652363E-4</v>
      </c>
      <c r="F110" s="101">
        <f t="shared" si="19"/>
        <v>199.89903776665957</v>
      </c>
      <c r="G110" s="101">
        <f t="shared" si="20"/>
        <v>20.080276709297003</v>
      </c>
      <c r="H110" s="101">
        <f t="shared" si="21"/>
        <v>0.45951246285499292</v>
      </c>
      <c r="I110" s="101">
        <f t="shared" si="22"/>
        <v>0.45951246285499292</v>
      </c>
      <c r="J110" s="101">
        <f t="shared" si="23"/>
        <v>2.2303213025239216E-2</v>
      </c>
      <c r="K110" s="101">
        <f t="shared" si="24"/>
        <v>3.6020777744565143E-2</v>
      </c>
      <c r="L110" s="101">
        <f t="shared" si="33"/>
        <v>178.8414121408828</v>
      </c>
      <c r="M110" s="101">
        <f t="shared" si="25"/>
        <v>780.76543478979499</v>
      </c>
      <c r="N110" s="101">
        <f t="shared" si="26"/>
        <v>75.189402998109884</v>
      </c>
      <c r="O110" s="101">
        <f t="shared" si="27"/>
        <v>1.7947632557946522</v>
      </c>
      <c r="P110" s="101">
        <f t="shared" si="28"/>
        <v>1.7947632557946522</v>
      </c>
      <c r="Q110" s="101">
        <f t="shared" si="29"/>
        <v>8.6784722391040348E-2</v>
      </c>
      <c r="R110" s="101">
        <f t="shared" si="30"/>
        <v>2.0910530616950539E-2</v>
      </c>
      <c r="S110" s="101">
        <f t="shared" si="34"/>
        <v>701.87881002708787</v>
      </c>
      <c r="T110" s="101">
        <f t="shared" si="35"/>
        <v>10.212885400626826</v>
      </c>
      <c r="U110" s="101">
        <f t="shared" si="35"/>
        <v>9.288661286698634</v>
      </c>
      <c r="V110" s="33">
        <f t="shared" si="36"/>
        <v>1000.0000000000023</v>
      </c>
      <c r="W110" s="105">
        <f t="shared" si="31"/>
        <v>167490.39529010493</v>
      </c>
      <c r="X110" s="112">
        <f t="shared" si="37"/>
        <v>980.49845331267682</v>
      </c>
      <c r="Y110" s="32">
        <f t="shared" si="32"/>
        <v>626.42161610103858</v>
      </c>
    </row>
    <row r="111" spans="1:25" x14ac:dyDescent="0.25">
      <c r="A111" s="4">
        <v>105</v>
      </c>
      <c r="C111" s="110">
        <f>IF(male=0,VLOOKUP(((A109:A943/'Life tables'!$I$2)*2)+age,lifetable,13,1),IF(male=1,VLOOKUP(((A109:A943/'Life tables'!$I$2)*2)+age,lifetable,10,1),"error"))</f>
        <v>1.1034968280976276E-4</v>
      </c>
      <c r="F111" s="101">
        <f t="shared" si="19"/>
        <v>198.90433724303105</v>
      </c>
      <c r="G111" s="101">
        <f t="shared" si="20"/>
        <v>19.98035695990502</v>
      </c>
      <c r="H111" s="101">
        <f t="shared" si="21"/>
        <v>0.45722592214663177</v>
      </c>
      <c r="I111" s="101">
        <f t="shared" si="22"/>
        <v>0.45722592214663177</v>
      </c>
      <c r="J111" s="101">
        <f t="shared" si="23"/>
        <v>2.4254766048168477E-2</v>
      </c>
      <c r="K111" s="101">
        <f t="shared" si="24"/>
        <v>3.5841537829834541E-2</v>
      </c>
      <c r="L111" s="101">
        <f t="shared" si="33"/>
        <v>177.94943213495478</v>
      </c>
      <c r="M111" s="101">
        <f t="shared" si="25"/>
        <v>781.59411606964591</v>
      </c>
      <c r="N111" s="101">
        <f t="shared" si="26"/>
        <v>75.269206800803175</v>
      </c>
      <c r="O111" s="101">
        <f t="shared" si="27"/>
        <v>1.7966681642928641</v>
      </c>
      <c r="P111" s="101">
        <f t="shared" si="28"/>
        <v>1.7966681642928641</v>
      </c>
      <c r="Q111" s="101">
        <f t="shared" si="29"/>
        <v>9.4951119414161622E-2</v>
      </c>
      <c r="R111" s="101">
        <f t="shared" si="30"/>
        <v>2.09327244340714E-2</v>
      </c>
      <c r="S111" s="101">
        <f t="shared" si="34"/>
        <v>702.6156890964088</v>
      </c>
      <c r="T111" s="101">
        <f t="shared" si="35"/>
        <v>10.332091286089156</v>
      </c>
      <c r="U111" s="101">
        <f t="shared" si="35"/>
        <v>9.3454355489625396</v>
      </c>
      <c r="V111" s="33">
        <f t="shared" si="36"/>
        <v>1000.0000000000024</v>
      </c>
      <c r="W111" s="105">
        <f t="shared" si="31"/>
        <v>167338.42589069187</v>
      </c>
      <c r="X111" s="112">
        <f t="shared" si="37"/>
        <v>980.32247316495068</v>
      </c>
      <c r="Y111" s="32">
        <f t="shared" si="32"/>
        <v>626.12933798446977</v>
      </c>
    </row>
    <row r="112" spans="1:25" x14ac:dyDescent="0.25">
      <c r="A112" s="4">
        <v>106</v>
      </c>
      <c r="C112" s="110">
        <f>IF(male=0,VLOOKUP(((A110:A944/'Life tables'!$I$2)*2)+age,lifetable,13,1),IF(male=1,VLOOKUP(((A110:A944/'Life tables'!$I$2)*2)+age,lifetable,10,1),"error"))</f>
        <v>1.1034968280976276E-4</v>
      </c>
      <c r="F112" s="101">
        <f t="shared" si="19"/>
        <v>197.93764173050977</v>
      </c>
      <c r="G112" s="101">
        <f t="shared" si="20"/>
        <v>19.883250372490018</v>
      </c>
      <c r="H112" s="101">
        <f t="shared" si="21"/>
        <v>0.45500375719400177</v>
      </c>
      <c r="I112" s="101">
        <f t="shared" si="22"/>
        <v>0.45500375719400177</v>
      </c>
      <c r="J112" s="101">
        <f t="shared" si="23"/>
        <v>2.4136885393472796E-2</v>
      </c>
      <c r="K112" s="101">
        <f t="shared" si="24"/>
        <v>3.5667344273966381E-2</v>
      </c>
      <c r="L112" s="101">
        <f t="shared" si="33"/>
        <v>177.08457961396431</v>
      </c>
      <c r="M112" s="101">
        <f t="shared" si="25"/>
        <v>782.38483143444103</v>
      </c>
      <c r="N112" s="101">
        <f t="shared" si="26"/>
        <v>75.345354403618586</v>
      </c>
      <c r="O112" s="101">
        <f t="shared" si="27"/>
        <v>1.7984857996789756</v>
      </c>
      <c r="P112" s="101">
        <f t="shared" si="28"/>
        <v>1.7984857996789756</v>
      </c>
      <c r="Q112" s="101">
        <f t="shared" si="29"/>
        <v>9.5047178618653638E-2</v>
      </c>
      <c r="R112" s="101">
        <f t="shared" si="30"/>
        <v>2.0953901444615283E-2</v>
      </c>
      <c r="S112" s="101">
        <f t="shared" si="34"/>
        <v>703.32650435140124</v>
      </c>
      <c r="T112" s="101">
        <f t="shared" si="35"/>
        <v>10.451275350101282</v>
      </c>
      <c r="U112" s="101">
        <f t="shared" si="35"/>
        <v>9.4020567946811209</v>
      </c>
      <c r="V112" s="33">
        <f t="shared" si="36"/>
        <v>1000.0000000000025</v>
      </c>
      <c r="W112" s="105">
        <f t="shared" si="31"/>
        <v>167184.18031912495</v>
      </c>
      <c r="X112" s="112">
        <f t="shared" si="37"/>
        <v>980.14666785522013</v>
      </c>
      <c r="Y112" s="32">
        <f t="shared" si="32"/>
        <v>625.83738144742392</v>
      </c>
    </row>
    <row r="113" spans="1:25" x14ac:dyDescent="0.25">
      <c r="A113" s="4">
        <v>107</v>
      </c>
      <c r="C113" s="110">
        <f>IF(male=0,VLOOKUP(((A111:A945/'Life tables'!$I$2)*2)+age,lifetable,13,1),IF(male=1,VLOOKUP(((A111:A945/'Life tables'!$I$2)*2)+age,lifetable,10,1),"error"))</f>
        <v>1.1034968280976276E-4</v>
      </c>
      <c r="F113" s="101">
        <f t="shared" si="19"/>
        <v>197.00008970236593</v>
      </c>
      <c r="G113" s="101">
        <f t="shared" si="20"/>
        <v>19.789071309074682</v>
      </c>
      <c r="H113" s="101">
        <f t="shared" si="21"/>
        <v>0.45284858503149261</v>
      </c>
      <c r="I113" s="101">
        <f t="shared" si="22"/>
        <v>0.45284858503149261</v>
      </c>
      <c r="J113" s="101">
        <f t="shared" si="23"/>
        <v>2.4022558549645211E-2</v>
      </c>
      <c r="K113" s="101">
        <f t="shared" si="24"/>
        <v>3.549840222398435E-2</v>
      </c>
      <c r="L113" s="101">
        <f t="shared" si="33"/>
        <v>176.24580026245462</v>
      </c>
      <c r="M113" s="101">
        <f t="shared" si="25"/>
        <v>783.14657815285398</v>
      </c>
      <c r="N113" s="101">
        <f t="shared" si="26"/>
        <v>75.418712263023139</v>
      </c>
      <c r="O113" s="101">
        <f t="shared" si="27"/>
        <v>1.8002368441790408</v>
      </c>
      <c r="P113" s="101">
        <f t="shared" si="28"/>
        <v>1.8002368441790408</v>
      </c>
      <c r="Q113" s="101">
        <f t="shared" si="29"/>
        <v>9.5139718598339099E-2</v>
      </c>
      <c r="R113" s="101">
        <f t="shared" si="30"/>
        <v>2.0974302614247011E-2</v>
      </c>
      <c r="S113" s="101">
        <f t="shared" si="34"/>
        <v>704.01127818026021</v>
      </c>
      <c r="T113" s="101">
        <f t="shared" si="35"/>
        <v>10.570437627249266</v>
      </c>
      <c r="U113" s="101">
        <f t="shared" si="35"/>
        <v>9.4585294995193525</v>
      </c>
      <c r="V113" s="33">
        <f t="shared" si="36"/>
        <v>1000.0000000000024</v>
      </c>
      <c r="W113" s="105">
        <f t="shared" si="31"/>
        <v>167027.97172744898</v>
      </c>
      <c r="X113" s="112">
        <f t="shared" si="37"/>
        <v>979.97103287323375</v>
      </c>
      <c r="Y113" s="32">
        <f t="shared" si="32"/>
        <v>625.54563836829436</v>
      </c>
    </row>
    <row r="114" spans="1:25" x14ac:dyDescent="0.25">
      <c r="A114" s="4">
        <v>108</v>
      </c>
      <c r="C114" s="110">
        <f>IF(male=0,VLOOKUP(((A112:A946/'Life tables'!$I$2)*2)+age,lifetable,13,1),IF(male=1,VLOOKUP(((A112:A946/'Life tables'!$I$2)*2)+age,lifetable,10,1),"error"))</f>
        <v>1.1034968280976276E-4</v>
      </c>
      <c r="F114" s="101">
        <f t="shared" si="19"/>
        <v>196.0907752265714</v>
      </c>
      <c r="G114" s="101">
        <f t="shared" si="20"/>
        <v>19.697728766890773</v>
      </c>
      <c r="H114" s="101">
        <f t="shared" si="21"/>
        <v>0.45075832317255471</v>
      </c>
      <c r="I114" s="101">
        <f t="shared" si="22"/>
        <v>0.45075832317255471</v>
      </c>
      <c r="J114" s="101">
        <f t="shared" si="23"/>
        <v>2.3911675045643684E-2</v>
      </c>
      <c r="K114" s="101">
        <f t="shared" si="24"/>
        <v>3.5334548435599709E-2</v>
      </c>
      <c r="L114" s="101">
        <f t="shared" si="33"/>
        <v>175.43228358985428</v>
      </c>
      <c r="M114" s="101">
        <f t="shared" si="25"/>
        <v>783.88025764666224</v>
      </c>
      <c r="N114" s="101">
        <f t="shared" si="26"/>
        <v>75.489367187887026</v>
      </c>
      <c r="O114" s="101">
        <f t="shared" si="27"/>
        <v>1.8019233699117938</v>
      </c>
      <c r="P114" s="101">
        <f t="shared" si="28"/>
        <v>1.8019233699117938</v>
      </c>
      <c r="Q114" s="101">
        <f t="shared" si="29"/>
        <v>9.5228848861471871E-2</v>
      </c>
      <c r="R114" s="101">
        <f t="shared" si="30"/>
        <v>2.0993952084926302E-2</v>
      </c>
      <c r="S114" s="101">
        <f t="shared" si="34"/>
        <v>704.67082091800523</v>
      </c>
      <c r="T114" s="101">
        <f t="shared" si="35"/>
        <v>10.689578151156381</v>
      </c>
      <c r="U114" s="101">
        <f t="shared" si="35"/>
        <v>9.5148580000398777</v>
      </c>
      <c r="V114" s="33">
        <f t="shared" si="36"/>
        <v>1000.0000000000023</v>
      </c>
      <c r="W114" s="105">
        <f t="shared" si="31"/>
        <v>166869.87250865719</v>
      </c>
      <c r="X114" s="112">
        <f t="shared" si="37"/>
        <v>979.79556384880595</v>
      </c>
      <c r="Y114" s="32">
        <f t="shared" si="32"/>
        <v>625.25410618625847</v>
      </c>
    </row>
    <row r="115" spans="1:25" x14ac:dyDescent="0.25">
      <c r="A115" s="4">
        <v>109</v>
      </c>
      <c r="C115" s="110">
        <f>IF(male=0,VLOOKUP(((A113:A947/'Life tables'!$I$2)*2)+age,lifetable,13,1),IF(male=1,VLOOKUP(((A113:A947/'Life tables'!$I$2)*2)+age,lifetable,10,1),"error"))</f>
        <v>1.1034968280976276E-4</v>
      </c>
      <c r="F115" s="101">
        <f t="shared" si="19"/>
        <v>195.20882053713206</v>
      </c>
      <c r="G115" s="101">
        <f t="shared" si="20"/>
        <v>19.609134572507124</v>
      </c>
      <c r="H115" s="101">
        <f t="shared" si="21"/>
        <v>0.44873095387654116</v>
      </c>
      <c r="I115" s="101">
        <f t="shared" si="22"/>
        <v>0.44873095387654116</v>
      </c>
      <c r="J115" s="101">
        <f t="shared" si="23"/>
        <v>2.3804127845044938E-2</v>
      </c>
      <c r="K115" s="101">
        <f t="shared" si="24"/>
        <v>3.5175624739898111E-2</v>
      </c>
      <c r="L115" s="101">
        <f t="shared" si="33"/>
        <v>174.6432443042869</v>
      </c>
      <c r="M115" s="101">
        <f t="shared" si="25"/>
        <v>784.58674331167401</v>
      </c>
      <c r="N115" s="101">
        <f t="shared" si="26"/>
        <v>75.55740328811892</v>
      </c>
      <c r="O115" s="101">
        <f t="shared" si="27"/>
        <v>1.8035473845720358</v>
      </c>
      <c r="P115" s="101">
        <f t="shared" si="28"/>
        <v>1.8035473845720358</v>
      </c>
      <c r="Q115" s="101">
        <f t="shared" si="29"/>
        <v>9.5314675511601027E-2</v>
      </c>
      <c r="R115" s="101">
        <f t="shared" si="30"/>
        <v>2.1012873248018829E-2</v>
      </c>
      <c r="S115" s="101">
        <f t="shared" si="34"/>
        <v>705.30591770565138</v>
      </c>
      <c r="T115" s="101">
        <f t="shared" si="35"/>
        <v>10.808696954513026</v>
      </c>
      <c r="U115" s="101">
        <f t="shared" si="35"/>
        <v>9.5710464980277941</v>
      </c>
      <c r="V115" s="33">
        <f t="shared" si="36"/>
        <v>1000.0000000000023</v>
      </c>
      <c r="W115" s="105">
        <f t="shared" si="31"/>
        <v>166709.95271222765</v>
      </c>
      <c r="X115" s="112">
        <f t="shared" si="37"/>
        <v>979.62025654746139</v>
      </c>
      <c r="Y115" s="32">
        <f t="shared" si="32"/>
        <v>624.96278241891309</v>
      </c>
    </row>
    <row r="116" spans="1:25" x14ac:dyDescent="0.25">
      <c r="A116" s="4">
        <v>110</v>
      </c>
      <c r="C116" s="110">
        <f>IF(male=0,VLOOKUP(((A114:A948/'Life tables'!$I$2)*2)+age,lifetable,13,1),IF(male=1,VLOOKUP(((A114:A948/'Life tables'!$I$2)*2)+age,lifetable,10,1),"error"))</f>
        <v>1.1034968280976276E-4</v>
      </c>
      <c r="F116" s="101">
        <f t="shared" si="19"/>
        <v>194.35337515838609</v>
      </c>
      <c r="G116" s="101">
        <f t="shared" si="20"/>
        <v>19.523203293863553</v>
      </c>
      <c r="H116" s="101">
        <f t="shared" si="21"/>
        <v>0.44676452213571238</v>
      </c>
      <c r="I116" s="101">
        <f t="shared" si="22"/>
        <v>0.44676452213571238</v>
      </c>
      <c r="J116" s="101">
        <f t="shared" si="23"/>
        <v>2.3699813239259748E-2</v>
      </c>
      <c r="K116" s="101">
        <f t="shared" si="24"/>
        <v>3.50214778855426E-2</v>
      </c>
      <c r="L116" s="101">
        <f t="shared" si="33"/>
        <v>173.8779215291263</v>
      </c>
      <c r="M116" s="101">
        <f t="shared" si="25"/>
        <v>785.26688138907559</v>
      </c>
      <c r="N116" s="101">
        <f t="shared" si="26"/>
        <v>75.622902058578546</v>
      </c>
      <c r="O116" s="101">
        <f t="shared" si="27"/>
        <v>1.805110833433621</v>
      </c>
      <c r="P116" s="101">
        <f t="shared" si="28"/>
        <v>1.805110833433621</v>
      </c>
      <c r="Q116" s="101">
        <f t="shared" si="29"/>
        <v>9.5397301353425709E-2</v>
      </c>
      <c r="R116" s="101">
        <f t="shared" si="30"/>
        <v>2.1031088767632718E-2</v>
      </c>
      <c r="S116" s="101">
        <f t="shared" si="34"/>
        <v>705.91732927350881</v>
      </c>
      <c r="T116" s="101">
        <f t="shared" si="35"/>
        <v>10.927794069105712</v>
      </c>
      <c r="U116" s="101">
        <f t="shared" si="35"/>
        <v>9.6270990646809693</v>
      </c>
      <c r="V116" s="33">
        <f t="shared" si="36"/>
        <v>1000.0000000000025</v>
      </c>
      <c r="W116" s="105">
        <f t="shared" si="31"/>
        <v>166548.28011961118</v>
      </c>
      <c r="X116" s="112">
        <f t="shared" si="37"/>
        <v>979.44510686621584</v>
      </c>
      <c r="Y116" s="32">
        <f t="shared" si="32"/>
        <v>624.67166465981688</v>
      </c>
    </row>
    <row r="117" spans="1:25" x14ac:dyDescent="0.25">
      <c r="A117" s="4">
        <v>111</v>
      </c>
      <c r="C117" s="110">
        <f>IF(male=0,VLOOKUP(((A115:A949/'Life tables'!$I$2)*2)+age,lifetable,13,1),IF(male=1,VLOOKUP(((A115:A949/'Life tables'!$I$2)*2)+age,lifetable,10,1),"error"))</f>
        <v>1.1034968280976276E-4</v>
      </c>
      <c r="F117" s="101">
        <f t="shared" si="19"/>
        <v>193.5236150565284</v>
      </c>
      <c r="G117" s="101">
        <f t="shared" si="20"/>
        <v>19.439852155039734</v>
      </c>
      <c r="H117" s="101">
        <f t="shared" si="21"/>
        <v>0.44485713372482616</v>
      </c>
      <c r="I117" s="101">
        <f t="shared" si="22"/>
        <v>0.44485713372482616</v>
      </c>
      <c r="J117" s="101">
        <f t="shared" si="23"/>
        <v>2.3598630744068243E-2</v>
      </c>
      <c r="K117" s="101">
        <f t="shared" si="24"/>
        <v>3.487195938588273E-2</v>
      </c>
      <c r="L117" s="101">
        <f t="shared" si="33"/>
        <v>173.13557804390905</v>
      </c>
      <c r="M117" s="101">
        <f t="shared" si="25"/>
        <v>785.92149180968761</v>
      </c>
      <c r="N117" s="101">
        <f t="shared" si="26"/>
        <v>75.685942460380417</v>
      </c>
      <c r="O117" s="101">
        <f t="shared" si="27"/>
        <v>1.806615601290168</v>
      </c>
      <c r="P117" s="101">
        <f t="shared" si="28"/>
        <v>1.806615601290168</v>
      </c>
      <c r="Q117" s="101">
        <f t="shared" si="29"/>
        <v>9.5476825995358588E-2</v>
      </c>
      <c r="R117" s="101">
        <f t="shared" si="30"/>
        <v>2.1048620603229495E-2</v>
      </c>
      <c r="S117" s="101">
        <f t="shared" si="34"/>
        <v>706.50579270012827</v>
      </c>
      <c r="T117" s="101">
        <f t="shared" si="35"/>
        <v>11.046869525845139</v>
      </c>
      <c r="U117" s="101">
        <f t="shared" si="35"/>
        <v>9.6830196446700807</v>
      </c>
      <c r="V117" s="33">
        <f t="shared" si="36"/>
        <v>1000.0000000000027</v>
      </c>
      <c r="W117" s="105">
        <f t="shared" si="31"/>
        <v>166384.92031728718</v>
      </c>
      <c r="X117" s="112">
        <f t="shared" si="37"/>
        <v>979.27011082948752</v>
      </c>
      <c r="Y117" s="32">
        <f t="shared" si="32"/>
        <v>624.38075057610524</v>
      </c>
    </row>
    <row r="118" spans="1:25" x14ac:dyDescent="0.25">
      <c r="A118" s="4">
        <v>112</v>
      </c>
      <c r="C118" s="110">
        <f>IF(male=0,VLOOKUP(((A116:A950/'Life tables'!$I$2)*2)+age,lifetable,13,1),IF(male=1,VLOOKUP(((A116:A950/'Life tables'!$I$2)*2)+age,lifetable,10,1),"error"))</f>
        <v>1.1034968280976276E-4</v>
      </c>
      <c r="F118" s="101">
        <f t="shared" si="19"/>
        <v>192.7187418175148</v>
      </c>
      <c r="G118" s="101">
        <f t="shared" si="20"/>
        <v>19.359000953673938</v>
      </c>
      <c r="H118" s="101">
        <f t="shared" si="21"/>
        <v>0.44300695331136697</v>
      </c>
      <c r="I118" s="101">
        <f t="shared" si="22"/>
        <v>0.44300695331136697</v>
      </c>
      <c r="J118" s="101">
        <f t="shared" si="23"/>
        <v>2.3500482999371991E-2</v>
      </c>
      <c r="K118" s="101">
        <f t="shared" si="24"/>
        <v>3.4726925370817084E-2</v>
      </c>
      <c r="L118" s="101">
        <f t="shared" si="33"/>
        <v>172.41549954884795</v>
      </c>
      <c r="M118" s="101">
        <f t="shared" si="25"/>
        <v>786.55136901197272</v>
      </c>
      <c r="N118" s="101">
        <f t="shared" si="26"/>
        <v>75.746600999669738</v>
      </c>
      <c r="O118" s="101">
        <f t="shared" si="27"/>
        <v>1.8080635143354329</v>
      </c>
      <c r="P118" s="101">
        <f t="shared" si="28"/>
        <v>1.8080635143354329</v>
      </c>
      <c r="Q118" s="101">
        <f t="shared" si="29"/>
        <v>9.555334594890072E-2</v>
      </c>
      <c r="R118" s="101">
        <f t="shared" si="30"/>
        <v>2.1065490031532054E-2</v>
      </c>
      <c r="S118" s="101">
        <f t="shared" si="34"/>
        <v>707.07202214765175</v>
      </c>
      <c r="T118" s="101">
        <f t="shared" si="35"/>
        <v>11.165923354793412</v>
      </c>
      <c r="U118" s="101">
        <f t="shared" si="35"/>
        <v>9.7388120600724299</v>
      </c>
      <c r="V118" s="33">
        <f t="shared" si="36"/>
        <v>1000.0000000000028</v>
      </c>
      <c r="W118" s="105">
        <f t="shared" si="31"/>
        <v>166219.93676746762</v>
      </c>
      <c r="X118" s="112">
        <f t="shared" si="37"/>
        <v>979.09526458513699</v>
      </c>
      <c r="Y118" s="32">
        <f t="shared" si="32"/>
        <v>624.09003790618567</v>
      </c>
    </row>
    <row r="119" spans="1:25" x14ac:dyDescent="0.25">
      <c r="A119" s="4">
        <v>113</v>
      </c>
      <c r="C119" s="110">
        <f>IF(male=0,VLOOKUP(((A117:A951/'Life tables'!$I$2)*2)+age,lifetable,13,1),IF(male=1,VLOOKUP(((A117:A951/'Life tables'!$I$2)*2)+age,lifetable,10,1),"error"))</f>
        <v>1.1034968280976276E-4</v>
      </c>
      <c r="F119" s="101">
        <f t="shared" si="19"/>
        <v>191.93798185052563</v>
      </c>
      <c r="G119" s="101">
        <f t="shared" si="20"/>
        <v>19.280571980949293</v>
      </c>
      <c r="H119" s="101">
        <f t="shared" si="21"/>
        <v>0.44121220262452993</v>
      </c>
      <c r="I119" s="101">
        <f t="shared" si="22"/>
        <v>0.44121220262452993</v>
      </c>
      <c r="J119" s="101">
        <f t="shared" si="23"/>
        <v>2.3405275672062888E-2</v>
      </c>
      <c r="K119" s="101">
        <f t="shared" si="24"/>
        <v>3.4586236443261573E-2</v>
      </c>
      <c r="L119" s="101">
        <f t="shared" si="33"/>
        <v>171.71699395221196</v>
      </c>
      <c r="M119" s="101">
        <f t="shared" si="25"/>
        <v>787.15728273461139</v>
      </c>
      <c r="N119" s="101">
        <f t="shared" si="26"/>
        <v>75.804951803949166</v>
      </c>
      <c r="O119" s="101">
        <f t="shared" si="27"/>
        <v>1.8094563419852205</v>
      </c>
      <c r="P119" s="101">
        <f t="shared" si="28"/>
        <v>1.8094563419852205</v>
      </c>
      <c r="Q119" s="101">
        <f t="shared" si="29"/>
        <v>9.5626954724926605E-2</v>
      </c>
      <c r="R119" s="101">
        <f t="shared" si="30"/>
        <v>2.1081717667751475E-2</v>
      </c>
      <c r="S119" s="101">
        <f t="shared" si="34"/>
        <v>707.61670957429908</v>
      </c>
      <c r="T119" s="101">
        <f t="shared" si="35"/>
        <v>11.284955585190401</v>
      </c>
      <c r="U119" s="101">
        <f t="shared" si="35"/>
        <v>9.7944800141834438</v>
      </c>
      <c r="V119" s="33">
        <f t="shared" si="36"/>
        <v>1000.0000000000028</v>
      </c>
      <c r="W119" s="105">
        <f t="shared" si="31"/>
        <v>166053.39087652339</v>
      </c>
      <c r="X119" s="112">
        <f t="shared" si="37"/>
        <v>978.92056440062902</v>
      </c>
      <c r="Y119" s="32">
        <f t="shared" si="32"/>
        <v>623.79952445750325</v>
      </c>
    </row>
    <row r="120" spans="1:25" x14ac:dyDescent="0.25">
      <c r="A120" s="4">
        <v>114</v>
      </c>
      <c r="C120" s="110">
        <f>IF(male=0,VLOOKUP(((A118:A952/'Life tables'!$I$2)*2)+age,lifetable,13,1),IF(male=1,VLOOKUP(((A118:A952/'Life tables'!$I$2)*2)+age,lifetable,10,1),"error"))</f>
        <v>1.1034968280976276E-4</v>
      </c>
      <c r="F120" s="101">
        <f t="shared" si="19"/>
        <v>191.18058561619441</v>
      </c>
      <c r="G120" s="101">
        <f t="shared" si="20"/>
        <v>19.204489944067735</v>
      </c>
      <c r="H120" s="101">
        <f t="shared" si="21"/>
        <v>0.4394711586811324</v>
      </c>
      <c r="I120" s="101">
        <f t="shared" si="22"/>
        <v>0.4394711586811324</v>
      </c>
      <c r="J120" s="101">
        <f t="shared" si="23"/>
        <v>2.3312917361911902E-2</v>
      </c>
      <c r="K120" s="101">
        <f t="shared" si="24"/>
        <v>3.4449757540080145E-2</v>
      </c>
      <c r="L120" s="101">
        <f t="shared" si="33"/>
        <v>171.03939067986241</v>
      </c>
      <c r="M120" s="101">
        <f t="shared" si="25"/>
        <v>787.73997878443458</v>
      </c>
      <c r="N120" s="101">
        <f t="shared" si="26"/>
        <v>75.86106669603241</v>
      </c>
      <c r="O120" s="101">
        <f t="shared" si="27"/>
        <v>1.8107957986426491</v>
      </c>
      <c r="P120" s="101">
        <f t="shared" si="28"/>
        <v>1.8107957986426491</v>
      </c>
      <c r="Q120" s="101">
        <f t="shared" si="29"/>
        <v>9.5697742926975971E-2</v>
      </c>
      <c r="R120" s="101">
        <f t="shared" si="30"/>
        <v>2.1097323486153879E-2</v>
      </c>
      <c r="S120" s="101">
        <f t="shared" si="34"/>
        <v>708.14052542470381</v>
      </c>
      <c r="T120" s="101">
        <f t="shared" si="35"/>
        <v>11.403966245479289</v>
      </c>
      <c r="U120" s="101">
        <f t="shared" si="35"/>
        <v>9.8500270952096773</v>
      </c>
      <c r="V120" s="33">
        <f t="shared" si="36"/>
        <v>1000.000000000003</v>
      </c>
      <c r="W120" s="105">
        <f t="shared" si="31"/>
        <v>165885.34206120763</v>
      </c>
      <c r="X120" s="112">
        <f t="shared" si="37"/>
        <v>978.74600665931393</v>
      </c>
      <c r="Y120" s="32">
        <f t="shared" si="32"/>
        <v>623.5092081043731</v>
      </c>
    </row>
    <row r="121" spans="1:25" x14ac:dyDescent="0.25">
      <c r="A121" s="4">
        <v>115</v>
      </c>
      <c r="C121" s="110">
        <f>IF(male=0,VLOOKUP(((A119:A953/'Life tables'!$I$2)*2)+age,lifetable,13,1),IF(male=1,VLOOKUP(((A119:A953/'Life tables'!$I$2)*2)+age,lifetable,10,1),"error"))</f>
        <v>1.1034968280976276E-4</v>
      </c>
      <c r="F121" s="101">
        <f t="shared" si="19"/>
        <v>190.4458268788311</v>
      </c>
      <c r="G121" s="101">
        <f t="shared" si="20"/>
        <v>19.130681891134277</v>
      </c>
      <c r="H121" s="101">
        <f t="shared" si="21"/>
        <v>0.43778215206668258</v>
      </c>
      <c r="I121" s="101">
        <f t="shared" si="22"/>
        <v>0.43778215206668258</v>
      </c>
      <c r="J121" s="101">
        <f t="shared" si="23"/>
        <v>2.3223319510383814E-2</v>
      </c>
      <c r="K121" s="101">
        <f t="shared" si="24"/>
        <v>3.431735779733934E-2</v>
      </c>
      <c r="L121" s="101">
        <f t="shared" si="33"/>
        <v>170.38204000625575</v>
      </c>
      <c r="M121" s="101">
        <f t="shared" si="25"/>
        <v>788.30017978048272</v>
      </c>
      <c r="N121" s="101">
        <f t="shared" si="26"/>
        <v>75.915015265698727</v>
      </c>
      <c r="O121" s="101">
        <f t="shared" si="27"/>
        <v>1.812083545408536</v>
      </c>
      <c r="P121" s="101">
        <f t="shared" si="28"/>
        <v>1.812083545408536</v>
      </c>
      <c r="Q121" s="101">
        <f t="shared" si="29"/>
        <v>9.5765798341644628E-2</v>
      </c>
      <c r="R121" s="101">
        <f t="shared" si="30"/>
        <v>2.1112326839987882E-2</v>
      </c>
      <c r="S121" s="101">
        <f t="shared" si="34"/>
        <v>708.64411929878531</v>
      </c>
      <c r="T121" s="101">
        <f t="shared" si="35"/>
        <v>11.522955363331317</v>
      </c>
      <c r="U121" s="101">
        <f t="shared" si="35"/>
        <v>9.9054567798470039</v>
      </c>
      <c r="V121" s="33">
        <f t="shared" si="36"/>
        <v>1000.0000000000028</v>
      </c>
      <c r="W121" s="105">
        <f t="shared" si="31"/>
        <v>165715.84781274555</v>
      </c>
      <c r="X121" s="112">
        <f t="shared" si="37"/>
        <v>978.57158785682452</v>
      </c>
      <c r="Y121" s="32">
        <f t="shared" si="32"/>
        <v>623.21908678588727</v>
      </c>
    </row>
    <row r="122" spans="1:25" x14ac:dyDescent="0.25">
      <c r="A122" s="4">
        <v>116</v>
      </c>
      <c r="C122" s="110">
        <f>IF(male=0,VLOOKUP(((A120:A954/'Life tables'!$I$2)*2)+age,lifetable,13,1),IF(male=1,VLOOKUP(((A120:A954/'Life tables'!$I$2)*2)+age,lifetable,10,1),"error"))</f>
        <v>1.1034968280976276E-4</v>
      </c>
      <c r="F122" s="101">
        <f t="shared" si="19"/>
        <v>189.73300198189477</v>
      </c>
      <c r="G122" s="101">
        <f t="shared" si="20"/>
        <v>19.059077138376711</v>
      </c>
      <c r="H122" s="101">
        <f t="shared" si="21"/>
        <v>0.43614356526989212</v>
      </c>
      <c r="I122" s="101">
        <f t="shared" si="22"/>
        <v>0.43614356526989212</v>
      </c>
      <c r="J122" s="101">
        <f t="shared" si="23"/>
        <v>2.3136396312286953E-2</v>
      </c>
      <c r="K122" s="101">
        <f t="shared" si="24"/>
        <v>3.4188910419752118E-2</v>
      </c>
      <c r="L122" s="101">
        <f t="shared" si="33"/>
        <v>169.74431240624625</v>
      </c>
      <c r="M122" s="101">
        <f t="shared" si="25"/>
        <v>788.83858587492966</v>
      </c>
      <c r="N122" s="101">
        <f t="shared" si="26"/>
        <v>75.966864939119418</v>
      </c>
      <c r="O122" s="101">
        <f t="shared" si="27"/>
        <v>1.813321191738601</v>
      </c>
      <c r="P122" s="101">
        <f t="shared" si="28"/>
        <v>1.813321191738601</v>
      </c>
      <c r="Q122" s="101">
        <f t="shared" si="29"/>
        <v>9.5831206026165364E-2</v>
      </c>
      <c r="R122" s="101">
        <f t="shared" si="30"/>
        <v>2.1126746480792442E-2</v>
      </c>
      <c r="S122" s="101">
        <f t="shared" si="34"/>
        <v>709.12812059982616</v>
      </c>
      <c r="T122" s="101">
        <f t="shared" si="35"/>
        <v>11.641922965669769</v>
      </c>
      <c r="U122" s="101">
        <f t="shared" si="35"/>
        <v>9.9607724367475488</v>
      </c>
      <c r="V122" s="33">
        <f t="shared" si="36"/>
        <v>1000.000000000003</v>
      </c>
      <c r="W122" s="105">
        <f t="shared" si="31"/>
        <v>165544.96375886127</v>
      </c>
      <c r="X122" s="112">
        <f t="shared" si="37"/>
        <v>978.39730459758562</v>
      </c>
      <c r="Y122" s="32">
        <f t="shared" si="32"/>
        <v>622.92915850387965</v>
      </c>
    </row>
    <row r="123" spans="1:25" x14ac:dyDescent="0.25">
      <c r="A123" s="4">
        <v>117</v>
      </c>
      <c r="C123" s="110">
        <f>IF(male=0,VLOOKUP(((A121:A955/'Life tables'!$I$2)*2)+age,lifetable,13,1),IF(male=1,VLOOKUP(((A121:A955/'Life tables'!$I$2)*2)+age,lifetable,10,1),"error"))</f>
        <v>1.1034968280976276E-4</v>
      </c>
      <c r="F123" s="101">
        <f t="shared" si="19"/>
        <v>189.04142914599174</v>
      </c>
      <c r="G123" s="101">
        <f t="shared" si="20"/>
        <v>18.989607199628047</v>
      </c>
      <c r="H123" s="101">
        <f t="shared" si="21"/>
        <v>0.43455383106896833</v>
      </c>
      <c r="I123" s="101">
        <f t="shared" si="22"/>
        <v>0.43455383106896833</v>
      </c>
      <c r="J123" s="101">
        <f t="shared" si="23"/>
        <v>2.305206463016983E-2</v>
      </c>
      <c r="K123" s="101">
        <f t="shared" si="24"/>
        <v>3.4064292554180794E-2</v>
      </c>
      <c r="L123" s="101">
        <f t="shared" si="33"/>
        <v>169.12559792704141</v>
      </c>
      <c r="M123" s="101">
        <f t="shared" si="25"/>
        <v>789.35587545159387</v>
      </c>
      <c r="N123" s="101">
        <f t="shared" si="26"/>
        <v>76.016681046125996</v>
      </c>
      <c r="O123" s="101">
        <f t="shared" si="27"/>
        <v>1.8145102970491511</v>
      </c>
      <c r="P123" s="101">
        <f t="shared" si="28"/>
        <v>1.8145102970491511</v>
      </c>
      <c r="Q123" s="101">
        <f t="shared" si="29"/>
        <v>9.5894048393265721E-2</v>
      </c>
      <c r="R123" s="101">
        <f t="shared" si="30"/>
        <v>2.1140600577104453E-2</v>
      </c>
      <c r="S123" s="101">
        <f t="shared" si="34"/>
        <v>709.59313916239921</v>
      </c>
      <c r="T123" s="101">
        <f t="shared" si="35"/>
        <v>11.760869078693204</v>
      </c>
      <c r="U123" s="101">
        <f t="shared" si="35"/>
        <v>10.015977329878835</v>
      </c>
      <c r="V123" s="33">
        <f t="shared" si="36"/>
        <v>1000.000000000003</v>
      </c>
      <c r="W123" s="105">
        <f t="shared" si="31"/>
        <v>165372.74372380602</v>
      </c>
      <c r="X123" s="112">
        <f t="shared" si="37"/>
        <v>978.2231535914309</v>
      </c>
      <c r="Y123" s="32">
        <f t="shared" si="32"/>
        <v>622.63942132096167</v>
      </c>
    </row>
    <row r="124" spans="1:25" x14ac:dyDescent="0.25">
      <c r="A124" s="4">
        <v>118</v>
      </c>
      <c r="C124" s="110">
        <f>IF(male=0,VLOOKUP(((A122:A956/'Life tables'!$I$2)*2)+age,lifetable,13,1),IF(male=1,VLOOKUP(((A122:A956/'Life tables'!$I$2)*2)+age,lifetable,10,1),"error"))</f>
        <v>1.1034968280976276E-4</v>
      </c>
      <c r="F124" s="101">
        <f t="shared" si="19"/>
        <v>188.37044778869986</v>
      </c>
      <c r="G124" s="101">
        <f t="shared" si="20"/>
        <v>18.922205718001468</v>
      </c>
      <c r="H124" s="101">
        <f t="shared" si="21"/>
        <v>0.43301143096807898</v>
      </c>
      <c r="I124" s="101">
        <f t="shared" si="22"/>
        <v>0.43301143096807898</v>
      </c>
      <c r="J124" s="101">
        <f t="shared" si="23"/>
        <v>2.2970243911379206E-2</v>
      </c>
      <c r="K124" s="101">
        <f t="shared" si="24"/>
        <v>3.3943385167072862E-2</v>
      </c>
      <c r="L124" s="101">
        <f t="shared" si="33"/>
        <v>168.52530557968379</v>
      </c>
      <c r="M124" s="101">
        <f t="shared" si="25"/>
        <v>789.85270580273118</v>
      </c>
      <c r="N124" s="101">
        <f t="shared" si="26"/>
        <v>76.064526885386812</v>
      </c>
      <c r="O124" s="101">
        <f t="shared" si="27"/>
        <v>1.8156523722728384</v>
      </c>
      <c r="P124" s="101">
        <f t="shared" si="28"/>
        <v>1.8156523722728384</v>
      </c>
      <c r="Q124" s="101">
        <f t="shared" si="29"/>
        <v>9.5954405293387571E-2</v>
      </c>
      <c r="R124" s="101">
        <f t="shared" si="30"/>
        <v>2.1153906732584663E-2</v>
      </c>
      <c r="S124" s="101">
        <f t="shared" si="34"/>
        <v>710.03976586077272</v>
      </c>
      <c r="T124" s="101">
        <f t="shared" si="35"/>
        <v>11.879793727897971</v>
      </c>
      <c r="U124" s="101">
        <f t="shared" si="35"/>
        <v>10.071074621778493</v>
      </c>
      <c r="V124" s="33">
        <f t="shared" si="36"/>
        <v>1000.0000000000032</v>
      </c>
      <c r="W124" s="105">
        <f t="shared" si="31"/>
        <v>165199.23978645398</v>
      </c>
      <c r="X124" s="112">
        <f t="shared" si="37"/>
        <v>978.04913165032656</v>
      </c>
      <c r="Y124" s="32">
        <f t="shared" si="32"/>
        <v>622.34987335861615</v>
      </c>
    </row>
    <row r="125" spans="1:25" x14ac:dyDescent="0.25">
      <c r="A125" s="4">
        <v>119</v>
      </c>
      <c r="C125" s="110">
        <f>IF(male=0,VLOOKUP(((A123:A957/'Life tables'!$I$2)*2)+age,lifetable,13,1),IF(male=1,VLOOKUP(((A123:A957/'Life tables'!$I$2)*2)+age,lifetable,10,1),"error"))</f>
        <v>1.1034968280976276E-4</v>
      </c>
      <c r="F125" s="101">
        <f t="shared" si="19"/>
        <v>187.71941786553984</v>
      </c>
      <c r="G125" s="101">
        <f t="shared" si="20"/>
        <v>18.856808399689484</v>
      </c>
      <c r="H125" s="101">
        <f t="shared" si="21"/>
        <v>0.43151489368242801</v>
      </c>
      <c r="I125" s="101">
        <f t="shared" si="22"/>
        <v>0.43151489368242801</v>
      </c>
      <c r="J125" s="101">
        <f t="shared" si="23"/>
        <v>2.2890856107696925E-2</v>
      </c>
      <c r="K125" s="101">
        <f t="shared" si="24"/>
        <v>3.3826072925707384E-2</v>
      </c>
      <c r="L125" s="101">
        <f t="shared" si="33"/>
        <v>167.9428627494521</v>
      </c>
      <c r="M125" s="101">
        <f t="shared" si="25"/>
        <v>790.32971378478692</v>
      </c>
      <c r="N125" s="101">
        <f t="shared" si="26"/>
        <v>76.110463787557379</v>
      </c>
      <c r="O125" s="101">
        <f t="shared" si="27"/>
        <v>1.8167488813660526</v>
      </c>
      <c r="P125" s="101">
        <f t="shared" si="28"/>
        <v>1.8167488813660526</v>
      </c>
      <c r="Q125" s="101">
        <f t="shared" si="29"/>
        <v>9.6012354094350189E-2</v>
      </c>
      <c r="R125" s="101">
        <f t="shared" si="30"/>
        <v>2.1166682003580097E-2</v>
      </c>
      <c r="S125" s="101">
        <f t="shared" si="34"/>
        <v>710.46857319839955</v>
      </c>
      <c r="T125" s="101">
        <f t="shared" si="35"/>
        <v>11.998696938100018</v>
      </c>
      <c r="U125" s="101">
        <f t="shared" si="35"/>
        <v>10.12606737670778</v>
      </c>
      <c r="V125" s="33">
        <f t="shared" si="36"/>
        <v>1000.0000000000032</v>
      </c>
      <c r="W125" s="105">
        <f t="shared" si="31"/>
        <v>165024.5023365267</v>
      </c>
      <c r="X125" s="112">
        <f t="shared" si="37"/>
        <v>977.87523568519543</v>
      </c>
      <c r="Y125" s="32">
        <f t="shared" si="32"/>
        <v>622.06051279535018</v>
      </c>
    </row>
    <row r="126" spans="1:25" x14ac:dyDescent="0.25">
      <c r="A126" s="4">
        <v>120</v>
      </c>
      <c r="C126" s="110">
        <f>IF(male=0,VLOOKUP(((A124:A958/'Life tables'!$I$2)*2)+age,lifetable,13,1),IF(male=1,VLOOKUP(((A124:A958/'Life tables'!$I$2)*2)+age,lifetable,10,1),"error"))</f>
        <v>1.1034968280976276E-4</v>
      </c>
      <c r="F126" s="101">
        <f t="shared" si="19"/>
        <v>187.08771923143624</v>
      </c>
      <c r="G126" s="101">
        <f t="shared" si="20"/>
        <v>18.793352949821376</v>
      </c>
      <c r="H126" s="101">
        <f t="shared" si="21"/>
        <v>0.43006279367043138</v>
      </c>
      <c r="I126" s="101">
        <f t="shared" si="22"/>
        <v>0.43006279367043138</v>
      </c>
      <c r="J126" s="101">
        <f t="shared" si="23"/>
        <v>2.2813825597475273E-2</v>
      </c>
      <c r="K126" s="101">
        <f t="shared" si="24"/>
        <v>3.3712244083133606E-2</v>
      </c>
      <c r="L126" s="101">
        <f t="shared" si="33"/>
        <v>167.37771462459341</v>
      </c>
      <c r="M126" s="101">
        <f t="shared" si="25"/>
        <v>790.78751645375917</v>
      </c>
      <c r="N126" s="101">
        <f t="shared" si="26"/>
        <v>76.154551176467265</v>
      </c>
      <c r="O126" s="101">
        <f t="shared" si="27"/>
        <v>1.8178012427694457</v>
      </c>
      <c r="P126" s="101">
        <f t="shared" si="28"/>
        <v>1.8178012427694457</v>
      </c>
      <c r="Q126" s="101">
        <f t="shared" si="29"/>
        <v>9.6067969758537E-2</v>
      </c>
      <c r="R126" s="101">
        <f t="shared" si="30"/>
        <v>2.1178942916140402E-2</v>
      </c>
      <c r="S126" s="101">
        <f t="shared" si="34"/>
        <v>710.88011587907829</v>
      </c>
      <c r="T126" s="101">
        <f t="shared" si="35"/>
        <v>12.11757873345603</v>
      </c>
      <c r="U126" s="101">
        <f t="shared" si="35"/>
        <v>10.180958563707055</v>
      </c>
      <c r="V126" s="33">
        <f t="shared" si="36"/>
        <v>1000.0000000000032</v>
      </c>
      <c r="W126" s="105">
        <f t="shared" si="31"/>
        <v>164848.58012900734</v>
      </c>
      <c r="X126" s="112">
        <f t="shared" si="37"/>
        <v>977.7014627028401</v>
      </c>
      <c r="Y126" s="32">
        <f t="shared" si="32"/>
        <v>621.7713378649072</v>
      </c>
    </row>
    <row r="127" spans="1:25" x14ac:dyDescent="0.25">
      <c r="A127" s="4">
        <v>121</v>
      </c>
      <c r="C127" s="110">
        <f>IF(male=0,VLOOKUP(((A125:A959/'Life tables'!$I$2)*2)+age,lifetable,13,1),IF(male=1,VLOOKUP(((A125:A959/'Life tables'!$I$2)*2)+age,lifetable,10,1),"error"))</f>
        <v>1.1034968280976276E-4</v>
      </c>
      <c r="F127" s="101">
        <f t="shared" si="19"/>
        <v>186.47475102203094</v>
      </c>
      <c r="G127" s="101">
        <f t="shared" si="20"/>
        <v>18.731779010314831</v>
      </c>
      <c r="H127" s="101">
        <f t="shared" si="21"/>
        <v>0.42865374971152836</v>
      </c>
      <c r="I127" s="101">
        <f t="shared" si="22"/>
        <v>0.42865374971152836</v>
      </c>
      <c r="J127" s="101">
        <f t="shared" si="23"/>
        <v>2.273907911019318E-2</v>
      </c>
      <c r="K127" s="101">
        <f t="shared" si="24"/>
        <v>3.3601790366686785E-2</v>
      </c>
      <c r="L127" s="101">
        <f t="shared" si="33"/>
        <v>166.82932364281618</v>
      </c>
      <c r="M127" s="101">
        <f t="shared" si="25"/>
        <v>791.2267116808091</v>
      </c>
      <c r="N127" s="101">
        <f t="shared" si="26"/>
        <v>76.196846628404614</v>
      </c>
      <c r="O127" s="101">
        <f t="shared" si="27"/>
        <v>1.8188108308230482</v>
      </c>
      <c r="P127" s="101">
        <f t="shared" si="28"/>
        <v>1.8188108308230482</v>
      </c>
      <c r="Q127" s="101">
        <f t="shared" si="29"/>
        <v>9.6121324917682049E-2</v>
      </c>
      <c r="R127" s="101">
        <f t="shared" si="30"/>
        <v>2.1190705482505186E-2</v>
      </c>
      <c r="S127" s="101">
        <f t="shared" si="34"/>
        <v>711.27493136035821</v>
      </c>
      <c r="T127" s="101">
        <f t="shared" si="35"/>
        <v>12.236439137483906</v>
      </c>
      <c r="U127" s="101">
        <f t="shared" si="35"/>
        <v>10.235751059556247</v>
      </c>
      <c r="V127" s="33">
        <f t="shared" si="36"/>
        <v>1000.0000000000032</v>
      </c>
      <c r="W127" s="105">
        <f t="shared" si="31"/>
        <v>164671.52033680168</v>
      </c>
      <c r="X127" s="112">
        <f t="shared" si="37"/>
        <v>977.52780980296302</v>
      </c>
      <c r="Y127" s="32">
        <f t="shared" si="32"/>
        <v>621.48234685453804</v>
      </c>
    </row>
    <row r="128" spans="1:25" x14ac:dyDescent="0.25">
      <c r="A128" s="4">
        <v>122</v>
      </c>
      <c r="C128" s="110">
        <f>IF(male=0,VLOOKUP(((A126:A960/'Life tables'!$I$2)*2)+age,lifetable,13,1),IF(male=1,VLOOKUP(((A126:A960/'Life tables'!$I$2)*2)+age,lifetable,10,1),"error"))</f>
        <v>1.1034968280976276E-4</v>
      </c>
      <c r="F128" s="101">
        <f t="shared" si="19"/>
        <v>185.87993105423212</v>
      </c>
      <c r="G128" s="101">
        <f t="shared" si="20"/>
        <v>18.672028099659833</v>
      </c>
      <c r="H128" s="101">
        <f t="shared" si="21"/>
        <v>0.42728642352820967</v>
      </c>
      <c r="I128" s="101">
        <f t="shared" si="22"/>
        <v>0.42728642352820967</v>
      </c>
      <c r="J128" s="101">
        <f t="shared" si="23"/>
        <v>2.2666545653358041E-2</v>
      </c>
      <c r="K128" s="101">
        <f t="shared" si="24"/>
        <v>3.3494606869970196E-2</v>
      </c>
      <c r="L128" s="101">
        <f t="shared" si="33"/>
        <v>166.29716895499254</v>
      </c>
      <c r="M128" s="101">
        <f t="shared" si="25"/>
        <v>791.64787874873082</v>
      </c>
      <c r="N128" s="101">
        <f t="shared" si="26"/>
        <v>76.237405929557625</v>
      </c>
      <c r="O128" s="101">
        <f t="shared" si="27"/>
        <v>1.8197789771373893</v>
      </c>
      <c r="P128" s="101">
        <f t="shared" si="28"/>
        <v>1.8197789771373893</v>
      </c>
      <c r="Q128" s="101">
        <f t="shared" si="29"/>
        <v>9.6172489945331757E-2</v>
      </c>
      <c r="R128" s="101">
        <f t="shared" si="30"/>
        <v>2.1201985217078733E-2</v>
      </c>
      <c r="S128" s="101">
        <f t="shared" si="34"/>
        <v>711.65354038973601</v>
      </c>
      <c r="T128" s="101">
        <f t="shared" si="35"/>
        <v>12.355278173082596</v>
      </c>
      <c r="U128" s="101">
        <f t="shared" si="35"/>
        <v>10.290447651643296</v>
      </c>
      <c r="V128" s="33">
        <f t="shared" si="36"/>
        <v>1000.0000000000031</v>
      </c>
      <c r="W128" s="105">
        <f t="shared" si="31"/>
        <v>164493.36860170399</v>
      </c>
      <c r="X128" s="112">
        <f t="shared" si="37"/>
        <v>977.35427417527717</v>
      </c>
      <c r="Y128" s="32">
        <f t="shared" si="32"/>
        <v>621.19353810331893</v>
      </c>
    </row>
    <row r="129" spans="1:25" x14ac:dyDescent="0.25">
      <c r="A129" s="4">
        <v>123</v>
      </c>
      <c r="C129" s="110">
        <f>IF(male=0,VLOOKUP(((A127:A961/'Life tables'!$I$2)*2)+age,lifetable,13,1),IF(male=1,VLOOKUP(((A127:A961/'Life tables'!$I$2)*2)+age,lifetable,10,1),"error"))</f>
        <v>1.1034968280976276E-4</v>
      </c>
      <c r="F129" s="101">
        <f t="shared" si="19"/>
        <v>185.3026952454008</v>
      </c>
      <c r="G129" s="101">
        <f t="shared" si="20"/>
        <v>18.614043554574742</v>
      </c>
      <c r="H129" s="101">
        <f t="shared" si="21"/>
        <v>0.42595951845088859</v>
      </c>
      <c r="I129" s="101">
        <f t="shared" si="22"/>
        <v>0.42595951845088859</v>
      </c>
      <c r="J129" s="101">
        <f t="shared" si="23"/>
        <v>2.2596156441680254E-2</v>
      </c>
      <c r="K129" s="101">
        <f t="shared" si="24"/>
        <v>3.3390591948195596E-2</v>
      </c>
      <c r="L129" s="101">
        <f t="shared" si="33"/>
        <v>165.78074590553442</v>
      </c>
      <c r="M129" s="101">
        <f t="shared" si="25"/>
        <v>792.05157892987643</v>
      </c>
      <c r="N129" s="101">
        <f t="shared" si="26"/>
        <v>76.276283131669857</v>
      </c>
      <c r="O129" s="101">
        <f t="shared" si="27"/>
        <v>1.8207069719219853</v>
      </c>
      <c r="P129" s="101">
        <f t="shared" si="28"/>
        <v>1.8207069719219853</v>
      </c>
      <c r="Q129" s="101">
        <f t="shared" si="29"/>
        <v>9.6221533027053288E-2</v>
      </c>
      <c r="R129" s="101">
        <f t="shared" si="30"/>
        <v>2.1212797151908026E-2</v>
      </c>
      <c r="S129" s="101">
        <f t="shared" si="34"/>
        <v>712.0164475241836</v>
      </c>
      <c r="T129" s="101">
        <f t="shared" si="35"/>
        <v>12.474095862551328</v>
      </c>
      <c r="U129" s="101">
        <f t="shared" si="35"/>
        <v>10.3450510407434</v>
      </c>
      <c r="V129" s="33">
        <f t="shared" si="36"/>
        <v>1000.0000000000031</v>
      </c>
      <c r="W129" s="105">
        <f t="shared" si="31"/>
        <v>164314.16908372127</v>
      </c>
      <c r="X129" s="112">
        <f t="shared" si="37"/>
        <v>977.18085309670846</v>
      </c>
      <c r="Y129" s="32">
        <f t="shared" si="32"/>
        <v>620.90491000053021</v>
      </c>
    </row>
    <row r="130" spans="1:25" x14ac:dyDescent="0.25">
      <c r="A130" s="4">
        <v>124</v>
      </c>
      <c r="C130" s="110">
        <f>IF(male=0,VLOOKUP(((A128:A962/'Life tables'!$I$2)*2)+age,lifetable,13,1),IF(male=1,VLOOKUP(((A128:A962/'Life tables'!$I$2)*2)+age,lifetable,10,1),"error"))</f>
        <v>1.1034968280976276E-4</v>
      </c>
      <c r="F130" s="101">
        <f t="shared" si="19"/>
        <v>184.74249705059486</v>
      </c>
      <c r="G130" s="101">
        <f t="shared" si="20"/>
        <v>18.557770473476257</v>
      </c>
      <c r="H130" s="101">
        <f t="shared" si="21"/>
        <v>0.42467177812428092</v>
      </c>
      <c r="I130" s="101">
        <f t="shared" si="22"/>
        <v>0.42467177812428092</v>
      </c>
      <c r="J130" s="101">
        <f t="shared" si="23"/>
        <v>2.2527844828449703E-2</v>
      </c>
      <c r="K130" s="101">
        <f t="shared" si="24"/>
        <v>3.328964711677742E-2</v>
      </c>
      <c r="L130" s="101">
        <f t="shared" si="33"/>
        <v>165.27956552892482</v>
      </c>
      <c r="M130" s="101">
        <f t="shared" si="25"/>
        <v>792.43835604611354</v>
      </c>
      <c r="N130" s="101">
        <f t="shared" si="26"/>
        <v>76.313530605965425</v>
      </c>
      <c r="O130" s="101">
        <f t="shared" si="27"/>
        <v>1.8215960652725272</v>
      </c>
      <c r="P130" s="101">
        <f t="shared" si="28"/>
        <v>1.8215960652725272</v>
      </c>
      <c r="Q130" s="101">
        <f t="shared" si="29"/>
        <v>9.6268520228460552E-2</v>
      </c>
      <c r="R130" s="101">
        <f t="shared" si="30"/>
        <v>2.1223155851679602E-2</v>
      </c>
      <c r="S130" s="101">
        <f t="shared" si="34"/>
        <v>712.36414163352288</v>
      </c>
      <c r="T130" s="101">
        <f t="shared" si="35"/>
        <v>12.592892227608239</v>
      </c>
      <c r="U130" s="101">
        <f t="shared" si="35"/>
        <v>10.399563843711856</v>
      </c>
      <c r="V130" s="33">
        <f t="shared" si="36"/>
        <v>1000.000000000003</v>
      </c>
      <c r="W130" s="105">
        <f t="shared" si="31"/>
        <v>164133.96450880912</v>
      </c>
      <c r="X130" s="112">
        <f t="shared" si="37"/>
        <v>977.00754392868294</v>
      </c>
      <c r="Y130" s="32">
        <f t="shared" si="32"/>
        <v>620.61646098408028</v>
      </c>
    </row>
    <row r="131" spans="1:25" x14ac:dyDescent="0.25">
      <c r="A131" s="4">
        <v>125</v>
      </c>
      <c r="C131" s="110">
        <f>IF(male=0,VLOOKUP(((A129:A963/'Life tables'!$I$2)*2)+age,lifetable,13,1),IF(male=1,VLOOKUP(((A129:A963/'Life tables'!$I$2)*2)+age,lifetable,10,1),"error"))</f>
        <v>1.1034968280976276E-4</v>
      </c>
      <c r="F131" s="101">
        <f t="shared" si="19"/>
        <v>184.19880691730984</v>
      </c>
      <c r="G131" s="101">
        <f t="shared" si="20"/>
        <v>18.503155661707019</v>
      </c>
      <c r="H131" s="101">
        <f t="shared" si="21"/>
        <v>0.42342198525400515</v>
      </c>
      <c r="I131" s="101">
        <f t="shared" si="22"/>
        <v>0.42342198525400515</v>
      </c>
      <c r="J131" s="101">
        <f t="shared" si="23"/>
        <v>2.2461546239045834E-2</v>
      </c>
      <c r="K131" s="101">
        <f t="shared" si="24"/>
        <v>3.3191676953079917E-2</v>
      </c>
      <c r="L131" s="101">
        <f t="shared" si="33"/>
        <v>164.79315406190267</v>
      </c>
      <c r="M131" s="101">
        <f t="shared" si="25"/>
        <v>792.80873701137307</v>
      </c>
      <c r="N131" s="101">
        <f t="shared" si="26"/>
        <v>76.349199095397495</v>
      </c>
      <c r="O131" s="101">
        <f t="shared" si="27"/>
        <v>1.8224474684180476</v>
      </c>
      <c r="P131" s="101">
        <f t="shared" si="28"/>
        <v>1.8224474684180476</v>
      </c>
      <c r="Q131" s="101">
        <f t="shared" si="29"/>
        <v>9.6313515561124954E-2</v>
      </c>
      <c r="R131" s="101">
        <f t="shared" si="30"/>
        <v>2.1233075428250103E-2</v>
      </c>
      <c r="S131" s="101">
        <f t="shared" si="34"/>
        <v>712.69709638815016</v>
      </c>
      <c r="T131" s="101">
        <f t="shared" si="35"/>
        <v>12.71166728940841</v>
      </c>
      <c r="U131" s="101">
        <f t="shared" si="35"/>
        <v>10.453988596093186</v>
      </c>
      <c r="V131" s="33">
        <f t="shared" si="36"/>
        <v>1000.000000000003</v>
      </c>
      <c r="W131" s="105">
        <f t="shared" si="31"/>
        <v>163952.79621506948</v>
      </c>
      <c r="X131" s="112">
        <f t="shared" si="37"/>
        <v>976.83434411450139</v>
      </c>
      <c r="Y131" s="32">
        <f t="shared" si="32"/>
        <v>620.32818953898209</v>
      </c>
    </row>
    <row r="132" spans="1:25" x14ac:dyDescent="0.25">
      <c r="A132" s="4">
        <v>126</v>
      </c>
      <c r="C132" s="110">
        <f>IF(male=0,VLOOKUP(((A130:A964/'Life tables'!$I$2)*2)+age,lifetable,13,1),IF(male=1,VLOOKUP(((A130:A964/'Life tables'!$I$2)*2)+age,lifetable,10,1),"error"))</f>
        <v>1.1034968280976276E-4</v>
      </c>
      <c r="F132" s="101">
        <f t="shared" si="19"/>
        <v>183.67111175717207</v>
      </c>
      <c r="G132" s="101">
        <f t="shared" si="20"/>
        <v>18.450147578466058</v>
      </c>
      <c r="H132" s="101">
        <f t="shared" si="21"/>
        <v>0.42220896039215156</v>
      </c>
      <c r="I132" s="101">
        <f t="shared" si="22"/>
        <v>0.42220896039215156</v>
      </c>
      <c r="J132" s="101">
        <f t="shared" si="23"/>
        <v>2.2397198106514894E-2</v>
      </c>
      <c r="K132" s="101">
        <f t="shared" si="24"/>
        <v>3.3096589001218972E-2</v>
      </c>
      <c r="L132" s="101">
        <f t="shared" si="33"/>
        <v>164.32105247081398</v>
      </c>
      <c r="M132" s="101">
        <f t="shared" si="25"/>
        <v>793.16323235732943</v>
      </c>
      <c r="N132" s="101">
        <f t="shared" si="26"/>
        <v>76.383337765272458</v>
      </c>
      <c r="O132" s="101">
        <f t="shared" si="27"/>
        <v>1.8232623549293132</v>
      </c>
      <c r="P132" s="101">
        <f t="shared" si="28"/>
        <v>1.8232623549293132</v>
      </c>
      <c r="Q132" s="101">
        <f t="shared" si="29"/>
        <v>9.6356581046437115E-2</v>
      </c>
      <c r="R132" s="101">
        <f t="shared" si="30"/>
        <v>2.1242569554725081E-2</v>
      </c>
      <c r="S132" s="101">
        <f t="shared" si="34"/>
        <v>713.01577073159717</v>
      </c>
      <c r="T132" s="101">
        <f t="shared" si="35"/>
        <v>12.830421068561362</v>
      </c>
      <c r="U132" s="101">
        <f t="shared" si="35"/>
        <v>10.50832775464913</v>
      </c>
      <c r="V132" s="33">
        <f t="shared" si="36"/>
        <v>1000.0000000000031</v>
      </c>
      <c r="W132" s="105">
        <f t="shared" si="31"/>
        <v>163770.70419746221</v>
      </c>
      <c r="X132" s="112">
        <f t="shared" si="37"/>
        <v>976.66125117679258</v>
      </c>
      <c r="Y132" s="32">
        <f t="shared" si="32"/>
        <v>620.04009419587646</v>
      </c>
    </row>
    <row r="133" spans="1:25" x14ac:dyDescent="0.25">
      <c r="A133" s="4">
        <v>127</v>
      </c>
      <c r="C133" s="110">
        <f>IF(male=0,VLOOKUP(((A131:A965/'Life tables'!$I$2)*2)+age,lifetable,13,1),IF(male=1,VLOOKUP(((A131:A965/'Life tables'!$I$2)*2)+age,lifetable,10,1),"error"))</f>
        <v>1.1034968280976276E-4</v>
      </c>
      <c r="F133" s="101">
        <f t="shared" si="19"/>
        <v>183.15891443405746</v>
      </c>
      <c r="G133" s="101">
        <f t="shared" si="20"/>
        <v>18.39869628538926</v>
      </c>
      <c r="H133" s="101">
        <f t="shared" si="21"/>
        <v>0.42103156076060927</v>
      </c>
      <c r="I133" s="101">
        <f t="shared" si="22"/>
        <v>0.42103156076060927</v>
      </c>
      <c r="J133" s="101">
        <f t="shared" si="23"/>
        <v>2.2334739809150246E-2</v>
      </c>
      <c r="K133" s="101">
        <f t="shared" si="24"/>
        <v>3.3004293679823736E-2</v>
      </c>
      <c r="L133" s="101">
        <f t="shared" si="33"/>
        <v>163.86281599365802</v>
      </c>
      <c r="M133" s="101">
        <f t="shared" si="25"/>
        <v>793.502336742735</v>
      </c>
      <c r="N133" s="101">
        <f t="shared" si="26"/>
        <v>76.415994252299896</v>
      </c>
      <c r="O133" s="101">
        <f t="shared" si="27"/>
        <v>1.8240418618896446</v>
      </c>
      <c r="P133" s="101">
        <f t="shared" si="28"/>
        <v>1.8240418618896446</v>
      </c>
      <c r="Q133" s="101">
        <f t="shared" si="29"/>
        <v>9.6397776777482819E-2</v>
      </c>
      <c r="R133" s="101">
        <f t="shared" si="30"/>
        <v>2.1251651479100072E-2</v>
      </c>
      <c r="S133" s="101">
        <f t="shared" si="34"/>
        <v>713.32060933839921</v>
      </c>
      <c r="T133" s="101">
        <f t="shared" si="35"/>
        <v>12.949153585147995</v>
      </c>
      <c r="U133" s="101">
        <f t="shared" si="35"/>
        <v>10.562583699808053</v>
      </c>
      <c r="V133" s="33">
        <f t="shared" si="36"/>
        <v>1000.0000000000031</v>
      </c>
      <c r="W133" s="105">
        <f t="shared" si="31"/>
        <v>163587.72715107497</v>
      </c>
      <c r="X133" s="112">
        <f t="shared" si="37"/>
        <v>976.48826271504697</v>
      </c>
      <c r="Y133" s="32">
        <f t="shared" si="32"/>
        <v>619.75217352959999</v>
      </c>
    </row>
    <row r="134" spans="1:25" x14ac:dyDescent="0.25">
      <c r="A134" s="4">
        <v>128</v>
      </c>
      <c r="C134" s="110">
        <f>IF(male=0,VLOOKUP(((A132:A966/'Life tables'!$I$2)*2)+age,lifetable,13,1),IF(male=1,VLOOKUP(((A132:A966/'Life tables'!$I$2)*2)+age,lifetable,10,1),"error"))</f>
        <v>1.1034968280976276E-4</v>
      </c>
      <c r="F134" s="101">
        <f t="shared" si="19"/>
        <v>182.66173326812492</v>
      </c>
      <c r="G134" s="101">
        <f t="shared" si="20"/>
        <v>18.348753396728483</v>
      </c>
      <c r="H134" s="101">
        <f t="shared" si="21"/>
        <v>0.41988867911097638</v>
      </c>
      <c r="I134" s="101">
        <f t="shared" si="22"/>
        <v>0.41988867911097638</v>
      </c>
      <c r="J134" s="101">
        <f t="shared" si="23"/>
        <v>2.2274112610013237E-2</v>
      </c>
      <c r="K134" s="101">
        <f t="shared" si="24"/>
        <v>3.2914704192665997E-2</v>
      </c>
      <c r="L134" s="101">
        <f t="shared" si="33"/>
        <v>163.41801369637182</v>
      </c>
      <c r="M134" s="101">
        <f t="shared" si="25"/>
        <v>793.826529446922</v>
      </c>
      <c r="N134" s="101">
        <f t="shared" si="26"/>
        <v>76.447214712117926</v>
      </c>
      <c r="O134" s="101">
        <f t="shared" si="27"/>
        <v>1.8247870910293389</v>
      </c>
      <c r="P134" s="101">
        <f t="shared" si="28"/>
        <v>1.8247870910293389</v>
      </c>
      <c r="Q134" s="101">
        <f t="shared" si="29"/>
        <v>9.6437160978995559E-2</v>
      </c>
      <c r="R134" s="101">
        <f t="shared" si="30"/>
        <v>2.1260334037477565E-2</v>
      </c>
      <c r="S134" s="101">
        <f t="shared" si="34"/>
        <v>713.6120430577289</v>
      </c>
      <c r="T134" s="101">
        <f t="shared" si="35"/>
        <v>13.067864858737003</v>
      </c>
      <c r="U134" s="101">
        <f t="shared" si="35"/>
        <v>10.616758738038197</v>
      </c>
      <c r="V134" s="33">
        <f t="shared" si="36"/>
        <v>1000.0000000000031</v>
      </c>
      <c r="W134" s="105">
        <f t="shared" si="31"/>
        <v>163403.90251300138</v>
      </c>
      <c r="X134" s="112">
        <f t="shared" si="37"/>
        <v>976.31537640322779</v>
      </c>
      <c r="Y134" s="32">
        <f t="shared" si="32"/>
        <v>619.46442615780165</v>
      </c>
    </row>
    <row r="135" spans="1:25" x14ac:dyDescent="0.25">
      <c r="A135" s="4">
        <v>129</v>
      </c>
      <c r="C135" s="110">
        <f>IF(male=0,VLOOKUP(((A133:A967/'Life tables'!$I$2)*2)+age,lifetable,13,1),IF(male=1,VLOOKUP(((A133:A967/'Life tables'!$I$2)*2)+age,lifetable,10,1),"error"))</f>
        <v>1.1034968280976276E-4</v>
      </c>
      <c r="F135" s="101">
        <f t="shared" ref="F135:F198" si="38">E134*(1-pCAUC)+(L134+G134+H134+I134 )*(1-pCAUC)+(S134+N134+O134+P134)*(pUAUC)</f>
        <v>182.17910155526931</v>
      </c>
      <c r="G135" s="101">
        <f t="shared" ref="G135:G198" si="39">F135*(rrOSEX)</f>
        <v>18.300272031079615</v>
      </c>
      <c r="H135" s="101">
        <f t="shared" ref="H135:H198" si="40">F135*rrEREX</f>
        <v>0.41877924261991595</v>
      </c>
      <c r="I135" s="101">
        <f t="shared" ref="I135:I198" si="41">F135*rrHOEX</f>
        <v>0.41877924261991595</v>
      </c>
      <c r="J135" s="101">
        <f t="shared" ref="J135:J198" si="42">F135*mr + G135*mr + H135*mr+I135*mr</f>
        <v>2.2215259598334376E-2</v>
      </c>
      <c r="K135" s="101">
        <f t="shared" ref="K135:K198" si="43">F135*amr + I135*amrHOEX</f>
        <v>3.2827736442068101E-2</v>
      </c>
      <c r="L135" s="101">
        <f t="shared" si="33"/>
        <v>162.98622804290946</v>
      </c>
      <c r="M135" s="101">
        <f t="shared" ref="M135:M198" si="44">E134*pCAUC+(L134+G134+H134+I134)*pCAUC+(S134+N134+O134+P134)*(1-pUAUC)</f>
        <v>794.13627484795825</v>
      </c>
      <c r="N135" s="101">
        <f t="shared" ref="N135:N198" si="45">M135*rrOSEXc</f>
        <v>76.477043865340619</v>
      </c>
      <c r="O135" s="101">
        <f t="shared" ref="O135:O198" si="46">M135*rrEREXc</f>
        <v>1.8254991098248186</v>
      </c>
      <c r="P135" s="101">
        <f t="shared" ref="P135:P198" si="47">M135*rrHOEXc</f>
        <v>1.8254991098248186</v>
      </c>
      <c r="Q135" s="101">
        <f t="shared" ref="Q135:Q198" si="48">M135*mr + N135*mr + O135*mr+P135*mr</f>
        <v>9.6474790065444765E-2</v>
      </c>
      <c r="R135" s="101">
        <f t="shared" ref="R135:R198" si="49">M135*amrc + P135*amrHOEX</f>
        <v>2.1268629666873061E-2</v>
      </c>
      <c r="S135" s="101">
        <f t="shared" si="34"/>
        <v>713.89048934323569</v>
      </c>
      <c r="T135" s="101">
        <f t="shared" si="35"/>
        <v>13.186554908400783</v>
      </c>
      <c r="U135" s="101">
        <f t="shared" si="35"/>
        <v>10.670855104147138</v>
      </c>
      <c r="V135" s="33">
        <f t="shared" si="36"/>
        <v>1000.0000000000027</v>
      </c>
      <c r="W135" s="105">
        <f t="shared" ref="W135:W198" si="50">(cNES*L135+(cNES+cOSEX)*G135+(cNES+cEREX)*H135+(cNES+cHOEX)*I135 +(cNES+ cNES)*S135 +(cNES+ cOSEX)*N135 + (cNES+cEREX)*O135 + (cNES+cHOEX)*P135)/(1+cDR)^A$5:A$65536</f>
        <v>163219.26650286836</v>
      </c>
      <c r="X135" s="112">
        <f t="shared" si="37"/>
        <v>976.14258998745481</v>
      </c>
      <c r="Y135" s="32">
        <f t="shared" ref="Y135:Y198" si="51">(uNES*L135+ uOCEX*G135+uEREX*H135+uHOEX*I135+uNES*S135+ uOCEX*N135+uEREX*O135+uHOEX*P135)/(1+oDR)^A$5:A$65536</f>
        <v>619.17685073960001</v>
      </c>
    </row>
    <row r="136" spans="1:25" x14ac:dyDescent="0.25">
      <c r="A136" s="4">
        <v>130</v>
      </c>
      <c r="C136" s="110">
        <f>IF(male=0,VLOOKUP(((A134:A968/'Life tables'!$I$2)*2)+age,lifetable,13,1),IF(male=1,VLOOKUP(((A134:A968/'Life tables'!$I$2)*2)+age,lifetable,10,1),"error"))</f>
        <v>1.1034968280976276E-4</v>
      </c>
      <c r="F136" s="101">
        <f t="shared" si="38"/>
        <v>181.71056710151569</v>
      </c>
      <c r="G136" s="101">
        <f t="shared" si="39"/>
        <v>18.25320676461148</v>
      </c>
      <c r="H136" s="101">
        <f t="shared" si="40"/>
        <v>0.41770221181885697</v>
      </c>
      <c r="I136" s="101">
        <f t="shared" si="41"/>
        <v>0.41770221181885697</v>
      </c>
      <c r="J136" s="101">
        <f t="shared" si="42"/>
        <v>2.2158125632736558E-2</v>
      </c>
      <c r="K136" s="101">
        <f t="shared" si="43"/>
        <v>3.2743308945003158E-2</v>
      </c>
      <c r="L136" s="101">
        <f t="shared" ref="L136:L199" si="52">F136-SUM(G136:K136)</f>
        <v>162.56705447868876</v>
      </c>
      <c r="M136" s="101">
        <f t="shared" si="44"/>
        <v>794.43202288593909</v>
      </c>
      <c r="N136" s="101">
        <f t="shared" si="45"/>
        <v>76.505525042174</v>
      </c>
      <c r="O136" s="101">
        <f t="shared" si="46"/>
        <v>1.8261789525636103</v>
      </c>
      <c r="P136" s="101">
        <f t="shared" si="47"/>
        <v>1.8261789525636103</v>
      </c>
      <c r="Q136" s="101">
        <f t="shared" si="48"/>
        <v>9.6510718697318365E-2</v>
      </c>
      <c r="R136" s="101">
        <f t="shared" si="49"/>
        <v>2.1276550417622952E-2</v>
      </c>
      <c r="S136" s="101">
        <f t="shared" ref="S136:S199" si="53">M136-SUM(N136:R136)</f>
        <v>714.1563526695229</v>
      </c>
      <c r="T136" s="101">
        <f t="shared" ref="T136:U199" si="54">J136+Q136+T135</f>
        <v>13.305223752730837</v>
      </c>
      <c r="U136" s="101">
        <f t="shared" si="54"/>
        <v>10.724874963509764</v>
      </c>
      <c r="V136" s="33">
        <f t="shared" ref="V136:V199" si="55">SUM(G136:I136,L136,N136,O136,P136,S136,T136,U136)</f>
        <v>1000.0000000000027</v>
      </c>
      <c r="W136" s="105">
        <f t="shared" si="50"/>
        <v>163033.85416206051</v>
      </c>
      <c r="X136" s="112">
        <f t="shared" ref="X136:X199" si="56">(L136+G136+H136+I136+N136+O136+P136+S136)</f>
        <v>975.96990128376206</v>
      </c>
      <c r="Y136" s="32">
        <f t="shared" si="51"/>
        <v>618.88944597428235</v>
      </c>
    </row>
    <row r="137" spans="1:25" x14ac:dyDescent="0.25">
      <c r="A137" s="4">
        <v>131</v>
      </c>
      <c r="C137" s="110">
        <f>IF(male=0,VLOOKUP(((A135:A969/'Life tables'!$I$2)*2)+age,lifetable,13,1),IF(male=1,VLOOKUP(((A135:A969/'Life tables'!$I$2)*2)+age,lifetable,10,1),"error"))</f>
        <v>1.2085130128736132E-4</v>
      </c>
      <c r="F137" s="101">
        <f t="shared" si="38"/>
        <v>181.25569177188916</v>
      </c>
      <c r="G137" s="101">
        <f t="shared" si="39"/>
        <v>18.207513585748881</v>
      </c>
      <c r="H137" s="101">
        <f t="shared" si="40"/>
        <v>0.41665657955697161</v>
      </c>
      <c r="I137" s="101">
        <f t="shared" si="41"/>
        <v>0.41665657955697161</v>
      </c>
      <c r="J137" s="101">
        <f t="shared" si="42"/>
        <v>2.4206094906077544E-2</v>
      </c>
      <c r="K137" s="101">
        <f t="shared" si="43"/>
        <v>3.2661342751803719E-2</v>
      </c>
      <c r="L137" s="101">
        <f t="shared" si="52"/>
        <v>162.15799758936845</v>
      </c>
      <c r="M137" s="101">
        <f t="shared" si="44"/>
        <v>794.71420951187292</v>
      </c>
      <c r="N137" s="101">
        <f t="shared" si="45"/>
        <v>76.532700225644732</v>
      </c>
      <c r="O137" s="101">
        <f t="shared" si="46"/>
        <v>1.8268276213762085</v>
      </c>
      <c r="P137" s="101">
        <f t="shared" si="47"/>
        <v>1.8268276213762085</v>
      </c>
      <c r="Q137" s="101">
        <f t="shared" si="48"/>
        <v>0.10573287177491328</v>
      </c>
      <c r="R137" s="101">
        <f t="shared" si="49"/>
        <v>2.128410796540665E-2</v>
      </c>
      <c r="S137" s="101">
        <f t="shared" si="53"/>
        <v>714.40083706373548</v>
      </c>
      <c r="T137" s="101">
        <f t="shared" si="54"/>
        <v>13.435162719411828</v>
      </c>
      <c r="U137" s="101">
        <f t="shared" si="54"/>
        <v>10.778820414226974</v>
      </c>
      <c r="V137" s="33">
        <f t="shared" si="55"/>
        <v>1000.0000000000026</v>
      </c>
      <c r="W137" s="105">
        <f t="shared" si="50"/>
        <v>162846.07108310272</v>
      </c>
      <c r="X137" s="112">
        <f t="shared" si="56"/>
        <v>975.78601686636387</v>
      </c>
      <c r="Y137" s="32">
        <f t="shared" si="51"/>
        <v>618.59493604489035</v>
      </c>
    </row>
    <row r="138" spans="1:25" x14ac:dyDescent="0.25">
      <c r="A138" s="4">
        <v>132</v>
      </c>
      <c r="C138" s="110">
        <f>IF(male=0,VLOOKUP(((A136:A970/'Life tables'!$I$2)*2)+age,lifetable,13,1),IF(male=1,VLOOKUP(((A136:A970/'Life tables'!$I$2)*2)+age,lifetable,10,1),"error"))</f>
        <v>1.2085130128736132E-4</v>
      </c>
      <c r="F138" s="101">
        <f t="shared" si="38"/>
        <v>180.81195229874825</v>
      </c>
      <c r="G138" s="101">
        <f t="shared" si="39"/>
        <v>18.162939026976325</v>
      </c>
      <c r="H138" s="101">
        <f t="shared" si="40"/>
        <v>0.41563654554156543</v>
      </c>
      <c r="I138" s="101">
        <f t="shared" si="41"/>
        <v>0.41563654554156543</v>
      </c>
      <c r="J138" s="101">
        <f t="shared" si="42"/>
        <v>2.4146834975007678E-2</v>
      </c>
      <c r="K138" s="101">
        <f t="shared" si="43"/>
        <v>3.2581383182627814E-2</v>
      </c>
      <c r="L138" s="101">
        <f t="shared" si="52"/>
        <v>161.76101196253117</v>
      </c>
      <c r="M138" s="101">
        <f t="shared" si="44"/>
        <v>794.97406456761564</v>
      </c>
      <c r="N138" s="101">
        <f t="shared" si="45"/>
        <v>76.557724830521863</v>
      </c>
      <c r="O138" s="101">
        <f t="shared" si="46"/>
        <v>1.8274249561006959</v>
      </c>
      <c r="P138" s="101">
        <f t="shared" si="47"/>
        <v>1.8274249561006959</v>
      </c>
      <c r="Q138" s="101">
        <f t="shared" si="48"/>
        <v>0.10576744422996699</v>
      </c>
      <c r="R138" s="101">
        <f t="shared" si="49"/>
        <v>2.1291067427054104E-2</v>
      </c>
      <c r="S138" s="101">
        <f t="shared" si="53"/>
        <v>714.63443131323538</v>
      </c>
      <c r="T138" s="101">
        <f t="shared" si="54"/>
        <v>13.565076998616803</v>
      </c>
      <c r="U138" s="101">
        <f t="shared" si="54"/>
        <v>10.832692864836655</v>
      </c>
      <c r="V138" s="33">
        <f t="shared" si="55"/>
        <v>1000.0000000000027</v>
      </c>
      <c r="W138" s="105">
        <f t="shared" si="50"/>
        <v>162657.32673620759</v>
      </c>
      <c r="X138" s="112">
        <f t="shared" si="56"/>
        <v>975.60223013654922</v>
      </c>
      <c r="Y138" s="32">
        <f t="shared" si="51"/>
        <v>618.30071756262976</v>
      </c>
    </row>
    <row r="139" spans="1:25" x14ac:dyDescent="0.25">
      <c r="A139" s="4">
        <v>133</v>
      </c>
      <c r="C139" s="110">
        <f>IF(male=0,VLOOKUP(((A137:A971/'Life tables'!$I$2)*2)+age,lifetable,13,1),IF(male=1,VLOOKUP(((A137:A971/'Life tables'!$I$2)*2)+age,lifetable,10,1),"error"))</f>
        <v>1.2085130128736132E-4</v>
      </c>
      <c r="F139" s="101">
        <f t="shared" si="38"/>
        <v>180.38104628808492</v>
      </c>
      <c r="G139" s="101">
        <f t="shared" si="39"/>
        <v>18.119653616368598</v>
      </c>
      <c r="H139" s="101">
        <f t="shared" si="40"/>
        <v>0.41464601209812751</v>
      </c>
      <c r="I139" s="101">
        <f t="shared" si="41"/>
        <v>0.41464601209812751</v>
      </c>
      <c r="J139" s="101">
        <f t="shared" si="42"/>
        <v>2.4089288910176553E-2</v>
      </c>
      <c r="K139" s="101">
        <f t="shared" si="43"/>
        <v>3.2503736137337785E-2</v>
      </c>
      <c r="L139" s="101">
        <f t="shared" si="52"/>
        <v>161.37550762247255</v>
      </c>
      <c r="M139" s="101">
        <f t="shared" si="44"/>
        <v>795.22118384846431</v>
      </c>
      <c r="N139" s="101">
        <f t="shared" si="45"/>
        <v>76.581522952683017</v>
      </c>
      <c r="O139" s="101">
        <f t="shared" si="46"/>
        <v>1.8279930148098842</v>
      </c>
      <c r="P139" s="101">
        <f t="shared" si="47"/>
        <v>1.8279930148098842</v>
      </c>
      <c r="Q139" s="101">
        <f t="shared" si="48"/>
        <v>0.10580032225193056</v>
      </c>
      <c r="R139" s="101">
        <f t="shared" si="49"/>
        <v>2.1297685798024404E-2</v>
      </c>
      <c r="S139" s="101">
        <f t="shared" si="53"/>
        <v>714.85657685811157</v>
      </c>
      <c r="T139" s="101">
        <f t="shared" si="54"/>
        <v>13.694966609778911</v>
      </c>
      <c r="U139" s="101">
        <f t="shared" si="54"/>
        <v>10.886494286772017</v>
      </c>
      <c r="V139" s="33">
        <f t="shared" si="55"/>
        <v>1000.0000000000027</v>
      </c>
      <c r="W139" s="105">
        <f t="shared" si="50"/>
        <v>162467.90884541717</v>
      </c>
      <c r="X139" s="112">
        <f t="shared" si="56"/>
        <v>975.41853910345174</v>
      </c>
      <c r="Y139" s="32">
        <f t="shared" si="51"/>
        <v>618.00667279195613</v>
      </c>
    </row>
    <row r="140" spans="1:25" x14ac:dyDescent="0.25">
      <c r="A140" s="4">
        <v>134</v>
      </c>
      <c r="C140" s="110">
        <f>IF(male=0,VLOOKUP(((A138:A972/'Life tables'!$I$2)*2)+age,lifetable,13,1),IF(male=1,VLOOKUP(((A138:A972/'Life tables'!$I$2)*2)+age,lifetable,10,1),"error"))</f>
        <v>1.2085130128736132E-4</v>
      </c>
      <c r="F140" s="101">
        <f t="shared" si="38"/>
        <v>179.96257477461072</v>
      </c>
      <c r="G140" s="101">
        <f t="shared" si="39"/>
        <v>18.077617277027493</v>
      </c>
      <c r="H140" s="101">
        <f t="shared" si="40"/>
        <v>0.41368406211607883</v>
      </c>
      <c r="I140" s="101">
        <f t="shared" si="41"/>
        <v>0.41368406211607883</v>
      </c>
      <c r="J140" s="101">
        <f t="shared" si="42"/>
        <v>2.403340343109657E-2</v>
      </c>
      <c r="K140" s="101">
        <f t="shared" si="43"/>
        <v>3.2428329724442088E-2</v>
      </c>
      <c r="L140" s="101">
        <f t="shared" si="52"/>
        <v>161.00112764019553</v>
      </c>
      <c r="M140" s="101">
        <f t="shared" si="44"/>
        <v>795.45596432884099</v>
      </c>
      <c r="N140" s="101">
        <f t="shared" si="45"/>
        <v>76.604132821625129</v>
      </c>
      <c r="O140" s="101">
        <f t="shared" si="46"/>
        <v>1.8285327100379027</v>
      </c>
      <c r="P140" s="101">
        <f t="shared" si="47"/>
        <v>1.8285327100379027</v>
      </c>
      <c r="Q140" s="101">
        <f t="shared" si="48"/>
        <v>0.10583155865632575</v>
      </c>
      <c r="R140" s="101">
        <f t="shared" si="49"/>
        <v>2.1303973710122485E-2</v>
      </c>
      <c r="S140" s="101">
        <f t="shared" si="53"/>
        <v>715.06763055477359</v>
      </c>
      <c r="T140" s="101">
        <f t="shared" si="54"/>
        <v>13.824831571866333</v>
      </c>
      <c r="U140" s="101">
        <f t="shared" si="54"/>
        <v>10.940226590206581</v>
      </c>
      <c r="V140" s="33">
        <f t="shared" si="55"/>
        <v>1000.0000000000026</v>
      </c>
      <c r="W140" s="105">
        <f t="shared" si="50"/>
        <v>162277.84812914854</v>
      </c>
      <c r="X140" s="112">
        <f t="shared" si="56"/>
        <v>975.23494183792968</v>
      </c>
      <c r="Y140" s="32">
        <f t="shared" si="51"/>
        <v>617.71280057438821</v>
      </c>
    </row>
    <row r="141" spans="1:25" x14ac:dyDescent="0.25">
      <c r="A141" s="4">
        <v>135</v>
      </c>
      <c r="C141" s="110">
        <f>IF(male=0,VLOOKUP(((A139:A973/'Life tables'!$I$2)*2)+age,lifetable,13,1),IF(male=1,VLOOKUP(((A139:A973/'Life tables'!$I$2)*2)+age,lifetable,10,1),"error"))</f>
        <v>1.2085130128736132E-4</v>
      </c>
      <c r="F141" s="101">
        <f t="shared" si="38"/>
        <v>179.55615120159831</v>
      </c>
      <c r="G141" s="101">
        <f t="shared" si="39"/>
        <v>18.036791178520723</v>
      </c>
      <c r="H141" s="101">
        <f t="shared" si="40"/>
        <v>0.4127498070086818</v>
      </c>
      <c r="I141" s="101">
        <f t="shared" si="41"/>
        <v>0.4127498070086818</v>
      </c>
      <c r="J141" s="101">
        <f t="shared" si="42"/>
        <v>2.39791269144022E-2</v>
      </c>
      <c r="K141" s="101">
        <f t="shared" si="43"/>
        <v>3.2355094288408021E-2</v>
      </c>
      <c r="L141" s="101">
        <f t="shared" si="52"/>
        <v>160.63752618785742</v>
      </c>
      <c r="M141" s="101">
        <f t="shared" si="44"/>
        <v>795.67879063633131</v>
      </c>
      <c r="N141" s="101">
        <f t="shared" si="45"/>
        <v>76.625591477818048</v>
      </c>
      <c r="O141" s="101">
        <f t="shared" si="46"/>
        <v>1.8290449259369272</v>
      </c>
      <c r="P141" s="101">
        <f t="shared" si="47"/>
        <v>1.8290449259369272</v>
      </c>
      <c r="Q141" s="101">
        <f t="shared" si="48"/>
        <v>0.10586120461598768</v>
      </c>
      <c r="R141" s="101">
        <f t="shared" si="49"/>
        <v>2.1309941464479201E-2</v>
      </c>
      <c r="S141" s="101">
        <f t="shared" si="53"/>
        <v>715.26793816055897</v>
      </c>
      <c r="T141" s="101">
        <f t="shared" si="54"/>
        <v>13.954671903396724</v>
      </c>
      <c r="U141" s="101">
        <f t="shared" si="54"/>
        <v>10.993891625959469</v>
      </c>
      <c r="V141" s="33">
        <f t="shared" si="55"/>
        <v>1000.0000000000026</v>
      </c>
      <c r="W141" s="105">
        <f t="shared" si="50"/>
        <v>162087.17430416209</v>
      </c>
      <c r="X141" s="112">
        <f t="shared" si="56"/>
        <v>975.05143647064642</v>
      </c>
      <c r="Y141" s="32">
        <f t="shared" si="51"/>
        <v>617.41909978576382</v>
      </c>
    </row>
    <row r="142" spans="1:25" x14ac:dyDescent="0.25">
      <c r="A142" s="4">
        <v>136</v>
      </c>
      <c r="C142" s="110">
        <f>IF(male=0,VLOOKUP(((A140:A974/'Life tables'!$I$2)*2)+age,lifetable,13,1),IF(male=1,VLOOKUP(((A140:A974/'Life tables'!$I$2)*2)+age,lifetable,10,1),"error"))</f>
        <v>1.2085130128736132E-4</v>
      </c>
      <c r="F142" s="101">
        <f t="shared" si="38"/>
        <v>179.16140103495138</v>
      </c>
      <c r="G142" s="101">
        <f t="shared" si="39"/>
        <v>17.997137698114457</v>
      </c>
      <c r="H142" s="101">
        <f t="shared" si="40"/>
        <v>0.41184238582589411</v>
      </c>
      <c r="I142" s="101">
        <f t="shared" si="41"/>
        <v>0.41184238582589411</v>
      </c>
      <c r="J142" s="101">
        <f t="shared" si="42"/>
        <v>2.3926409342310342E-2</v>
      </c>
      <c r="K142" s="101">
        <f t="shared" si="43"/>
        <v>3.228396234011912E-2</v>
      </c>
      <c r="L142" s="101">
        <f t="shared" si="52"/>
        <v>160.2843681935027</v>
      </c>
      <c r="M142" s="101">
        <f t="shared" si="44"/>
        <v>795.89003543569504</v>
      </c>
      <c r="N142" s="101">
        <f t="shared" si="45"/>
        <v>76.645934809685571</v>
      </c>
      <c r="O142" s="101">
        <f t="shared" si="46"/>
        <v>1.8295305191599134</v>
      </c>
      <c r="P142" s="101">
        <f t="shared" si="47"/>
        <v>1.8295305191599134</v>
      </c>
      <c r="Q142" s="101">
        <f t="shared" si="48"/>
        <v>0.10588930971215547</v>
      </c>
      <c r="R142" s="101">
        <f t="shared" si="49"/>
        <v>2.1315599041835907E-2</v>
      </c>
      <c r="S142" s="101">
        <f t="shared" si="53"/>
        <v>715.45783467893568</v>
      </c>
      <c r="T142" s="101">
        <f t="shared" si="54"/>
        <v>14.08448762245119</v>
      </c>
      <c r="U142" s="101">
        <f t="shared" si="54"/>
        <v>11.047491187341423</v>
      </c>
      <c r="V142" s="33">
        <f t="shared" si="55"/>
        <v>1000.0000000000026</v>
      </c>
      <c r="W142" s="105">
        <f t="shared" si="50"/>
        <v>161895.91611784667</v>
      </c>
      <c r="X142" s="112">
        <f t="shared" si="56"/>
        <v>974.86802119021002</v>
      </c>
      <c r="Y142" s="32">
        <f t="shared" si="51"/>
        <v>617.12556933516407</v>
      </c>
    </row>
    <row r="143" spans="1:25" x14ac:dyDescent="0.25">
      <c r="A143" s="4">
        <v>137</v>
      </c>
      <c r="C143" s="110">
        <f>IF(male=0,VLOOKUP(((A141:A975/'Life tables'!$I$2)*2)+age,lifetable,13,1),IF(male=1,VLOOKUP(((A141:A975/'Life tables'!$I$2)*2)+age,lifetable,10,1),"error"))</f>
        <v>1.2085130128736132E-4</v>
      </c>
      <c r="F143" s="101">
        <f t="shared" si="38"/>
        <v>178.77796138927738</v>
      </c>
      <c r="G143" s="101">
        <f t="shared" si="39"/>
        <v>17.958620383211539</v>
      </c>
      <c r="H143" s="101">
        <f t="shared" si="40"/>
        <v>0.41096096439481355</v>
      </c>
      <c r="I143" s="101">
        <f t="shared" si="41"/>
        <v>0.41096096439481355</v>
      </c>
      <c r="J143" s="101">
        <f t="shared" si="42"/>
        <v>2.3875202252683501E-2</v>
      </c>
      <c r="K143" s="101">
        <f t="shared" si="43"/>
        <v>3.2214868489495382E-2</v>
      </c>
      <c r="L143" s="101">
        <f t="shared" si="52"/>
        <v>159.94132900653403</v>
      </c>
      <c r="M143" s="101">
        <f t="shared" si="44"/>
        <v>796.09005980093264</v>
      </c>
      <c r="N143" s="101">
        <f t="shared" si="45"/>
        <v>76.665197589436232</v>
      </c>
      <c r="O143" s="101">
        <f t="shared" si="46"/>
        <v>1.8299903197158751</v>
      </c>
      <c r="P143" s="101">
        <f t="shared" si="47"/>
        <v>1.8299903197158751</v>
      </c>
      <c r="Q143" s="101">
        <f t="shared" si="48"/>
        <v>0.10591592198397394</v>
      </c>
      <c r="R143" s="101">
        <f t="shared" si="49"/>
        <v>2.1320956112509205E-2</v>
      </c>
      <c r="S143" s="101">
        <f t="shared" si="53"/>
        <v>715.63764469396813</v>
      </c>
      <c r="T143" s="101">
        <f t="shared" si="54"/>
        <v>14.214278746687848</v>
      </c>
      <c r="U143" s="101">
        <f t="shared" si="54"/>
        <v>11.101027011943428</v>
      </c>
      <c r="V143" s="33">
        <f t="shared" si="55"/>
        <v>1000.0000000000025</v>
      </c>
      <c r="W143" s="105">
        <f t="shared" si="50"/>
        <v>161704.10137946458</v>
      </c>
      <c r="X143" s="112">
        <f t="shared" si="56"/>
        <v>974.68469424137129</v>
      </c>
      <c r="Y143" s="32">
        <f t="shared" si="51"/>
        <v>616.83220816387211</v>
      </c>
    </row>
    <row r="144" spans="1:25" x14ac:dyDescent="0.25">
      <c r="A144" s="4">
        <v>138</v>
      </c>
      <c r="C144" s="110">
        <f>IF(male=0,VLOOKUP(((A142:A976/'Life tables'!$I$2)*2)+age,lifetable,13,1),IF(male=1,VLOOKUP(((A142:A976/'Life tables'!$I$2)*2)+age,lifetable,10,1),"error"))</f>
        <v>1.2085130128736132E-4</v>
      </c>
      <c r="F144" s="101">
        <f t="shared" si="38"/>
        <v>178.40548066559015</v>
      </c>
      <c r="G144" s="101">
        <f t="shared" si="39"/>
        <v>17.92120391495795</v>
      </c>
      <c r="H144" s="101">
        <f t="shared" si="40"/>
        <v>0.41010473448685714</v>
      </c>
      <c r="I144" s="101">
        <f t="shared" si="41"/>
        <v>0.41010473448685714</v>
      </c>
      <c r="J144" s="101">
        <f t="shared" si="42"/>
        <v>2.382545869064626E-2</v>
      </c>
      <c r="K144" s="101">
        <f t="shared" si="43"/>
        <v>3.2147749380209152E-2</v>
      </c>
      <c r="L144" s="101">
        <f t="shared" si="52"/>
        <v>159.60809407358764</v>
      </c>
      <c r="M144" s="101">
        <f t="shared" si="44"/>
        <v>796.27921357578123</v>
      </c>
      <c r="N144" s="101">
        <f t="shared" si="45"/>
        <v>76.683413507779917</v>
      </c>
      <c r="O144" s="101">
        <f t="shared" si="46"/>
        <v>1.8304251317985649</v>
      </c>
      <c r="P144" s="101">
        <f t="shared" si="47"/>
        <v>1.8304251317985649</v>
      </c>
      <c r="Q144" s="101">
        <f t="shared" si="48"/>
        <v>0.10594108797645578</v>
      </c>
      <c r="R144" s="101">
        <f t="shared" si="49"/>
        <v>2.1326022046045758E-2</v>
      </c>
      <c r="S144" s="101">
        <f t="shared" si="53"/>
        <v>715.8076826943817</v>
      </c>
      <c r="T144" s="101">
        <f t="shared" si="54"/>
        <v>14.34404529335495</v>
      </c>
      <c r="U144" s="101">
        <f t="shared" si="54"/>
        <v>11.154500783369683</v>
      </c>
      <c r="V144" s="33">
        <f t="shared" si="55"/>
        <v>1000.0000000000027</v>
      </c>
      <c r="W144" s="105">
        <f t="shared" si="50"/>
        <v>161511.75699038969</v>
      </c>
      <c r="X144" s="112">
        <f t="shared" si="56"/>
        <v>974.50145392327795</v>
      </c>
      <c r="Y144" s="32">
        <f t="shared" si="51"/>
        <v>616.5390152443631</v>
      </c>
    </row>
    <row r="145" spans="1:25" x14ac:dyDescent="0.25">
      <c r="A145" s="4">
        <v>139</v>
      </c>
      <c r="C145" s="110">
        <f>IF(male=0,VLOOKUP(((A143:A977/'Life tables'!$I$2)*2)+age,lifetable,13,1),IF(male=1,VLOOKUP(((A143:A977/'Life tables'!$I$2)*2)+age,lifetable,10,1),"error"))</f>
        <v>1.2085130128736132E-4</v>
      </c>
      <c r="F145" s="101">
        <f t="shared" si="38"/>
        <v>178.04361820028095</v>
      </c>
      <c r="G145" s="101">
        <f t="shared" si="39"/>
        <v>17.884854072981227</v>
      </c>
      <c r="H145" s="101">
        <f t="shared" si="40"/>
        <v>0.40927291301084229</v>
      </c>
      <c r="I145" s="101">
        <f t="shared" si="41"/>
        <v>0.40927291301084229</v>
      </c>
      <c r="J145" s="101">
        <f t="shared" si="42"/>
        <v>2.3777133161706484E-2</v>
      </c>
      <c r="K145" s="101">
        <f t="shared" si="43"/>
        <v>3.2082543626431495E-2</v>
      </c>
      <c r="L145" s="101">
        <f t="shared" si="52"/>
        <v>159.2843586244899</v>
      </c>
      <c r="M145" s="101">
        <f t="shared" si="44"/>
        <v>796.45783572299717</v>
      </c>
      <c r="N145" s="101">
        <f t="shared" si="45"/>
        <v>76.700615207564468</v>
      </c>
      <c r="O145" s="101">
        <f t="shared" si="46"/>
        <v>1.8308357345893769</v>
      </c>
      <c r="P145" s="101">
        <f t="shared" si="47"/>
        <v>1.8308357345893769</v>
      </c>
      <c r="Q145" s="101">
        <f t="shared" si="48"/>
        <v>0.10596485278695206</v>
      </c>
      <c r="R145" s="101">
        <f t="shared" si="49"/>
        <v>2.1330805920576817E-2</v>
      </c>
      <c r="S145" s="101">
        <f t="shared" si="53"/>
        <v>715.96825338754638</v>
      </c>
      <c r="T145" s="101">
        <f t="shared" si="54"/>
        <v>14.473787279303609</v>
      </c>
      <c r="U145" s="101">
        <f t="shared" si="54"/>
        <v>11.207914132916692</v>
      </c>
      <c r="V145" s="33">
        <f t="shared" si="55"/>
        <v>1000.0000000000026</v>
      </c>
      <c r="W145" s="105">
        <f t="shared" si="50"/>
        <v>161318.90897337167</v>
      </c>
      <c r="X145" s="112">
        <f t="shared" si="56"/>
        <v>974.31829858778246</v>
      </c>
      <c r="Y145" s="32">
        <f t="shared" si="51"/>
        <v>616.24598957932574</v>
      </c>
    </row>
    <row r="146" spans="1:25" x14ac:dyDescent="0.25">
      <c r="A146" s="4">
        <v>140</v>
      </c>
      <c r="C146" s="110">
        <f>IF(male=0,VLOOKUP(((A144:A978/'Life tables'!$I$2)*2)+age,lifetable,13,1),IF(male=1,VLOOKUP(((A144:A978/'Life tables'!$I$2)*2)+age,lifetable,10,1),"error"))</f>
        <v>1.2085130128736132E-4</v>
      </c>
      <c r="F146" s="101">
        <f t="shared" si="38"/>
        <v>177.69204392500691</v>
      </c>
      <c r="G146" s="101">
        <f t="shared" si="39"/>
        <v>17.849537701225533</v>
      </c>
      <c r="H146" s="101">
        <f t="shared" si="40"/>
        <v>0.40846474123116511</v>
      </c>
      <c r="I146" s="101">
        <f t="shared" si="41"/>
        <v>0.40846474123116511</v>
      </c>
      <c r="J146" s="101">
        <f t="shared" si="42"/>
        <v>2.3730181586334557E-2</v>
      </c>
      <c r="K146" s="101">
        <f t="shared" si="43"/>
        <v>3.2019191751545863E-2</v>
      </c>
      <c r="L146" s="101">
        <f t="shared" si="52"/>
        <v>158.96982736798117</v>
      </c>
      <c r="M146" s="101">
        <f t="shared" si="44"/>
        <v>796.62625466277564</v>
      </c>
      <c r="N146" s="101">
        <f t="shared" si="45"/>
        <v>76.716834316366246</v>
      </c>
      <c r="O146" s="101">
        <f t="shared" si="46"/>
        <v>1.8312228830352808</v>
      </c>
      <c r="P146" s="101">
        <f t="shared" si="47"/>
        <v>1.8312228830352808</v>
      </c>
      <c r="Q146" s="101">
        <f t="shared" si="48"/>
        <v>0.10598726011017712</v>
      </c>
      <c r="R146" s="101">
        <f t="shared" si="49"/>
        <v>2.1335316531881816E-2</v>
      </c>
      <c r="S146" s="101">
        <f t="shared" si="53"/>
        <v>716.11965200369673</v>
      </c>
      <c r="T146" s="101">
        <f t="shared" si="54"/>
        <v>14.603504721000121</v>
      </c>
      <c r="U146" s="101">
        <f t="shared" si="54"/>
        <v>11.26126864120012</v>
      </c>
      <c r="V146" s="33">
        <f t="shared" si="55"/>
        <v>1000.0000000000028</v>
      </c>
      <c r="W146" s="105">
        <f t="shared" si="50"/>
        <v>161125.58250085759</v>
      </c>
      <c r="X146" s="112">
        <f t="shared" si="56"/>
        <v>974.13522663780259</v>
      </c>
      <c r="Y146" s="32">
        <f t="shared" si="51"/>
        <v>615.95313020071592</v>
      </c>
    </row>
    <row r="147" spans="1:25" x14ac:dyDescent="0.25">
      <c r="A147" s="4">
        <v>141</v>
      </c>
      <c r="C147" s="110">
        <f>IF(male=0,VLOOKUP(((A145:A979/'Life tables'!$I$2)*2)+age,lifetable,13,1),IF(male=1,VLOOKUP(((A145:A979/'Life tables'!$I$2)*2)+age,lifetable,10,1),"error"))</f>
        <v>1.2085130128736132E-4</v>
      </c>
      <c r="F147" s="101">
        <f t="shared" si="38"/>
        <v>177.35043803715766</v>
      </c>
      <c r="G147" s="101">
        <f t="shared" si="39"/>
        <v>17.815222674849341</v>
      </c>
      <c r="H147" s="101">
        <f t="shared" si="40"/>
        <v>0.40767948401029441</v>
      </c>
      <c r="I147" s="101">
        <f t="shared" si="41"/>
        <v>0.40767948401029441</v>
      </c>
      <c r="J147" s="101">
        <f t="shared" si="42"/>
        <v>2.3684561255955305E-2</v>
      </c>
      <c r="K147" s="101">
        <f t="shared" si="43"/>
        <v>3.1957636128767841E-2</v>
      </c>
      <c r="L147" s="101">
        <f t="shared" si="52"/>
        <v>158.664214196903</v>
      </c>
      <c r="M147" s="101">
        <f t="shared" si="44"/>
        <v>796.78478860064479</v>
      </c>
      <c r="N147" s="101">
        <f t="shared" si="45"/>
        <v>76.732101478067037</v>
      </c>
      <c r="O147" s="101">
        <f t="shared" si="46"/>
        <v>1.8315873086025583</v>
      </c>
      <c r="P147" s="101">
        <f t="shared" si="47"/>
        <v>1.8315873086025583</v>
      </c>
      <c r="Q147" s="101">
        <f t="shared" si="48"/>
        <v>0.10600835228183335</v>
      </c>
      <c r="R147" s="101">
        <f t="shared" si="49"/>
        <v>2.1339562402170029E-2</v>
      </c>
      <c r="S147" s="101">
        <f t="shared" si="53"/>
        <v>716.2621645906886</v>
      </c>
      <c r="T147" s="101">
        <f t="shared" si="54"/>
        <v>14.733197634537909</v>
      </c>
      <c r="U147" s="101">
        <f t="shared" si="54"/>
        <v>11.314565839731058</v>
      </c>
      <c r="V147" s="33">
        <f t="shared" si="55"/>
        <v>1000.0000000000026</v>
      </c>
      <c r="W147" s="105">
        <f t="shared" si="50"/>
        <v>160931.80192240031</v>
      </c>
      <c r="X147" s="112">
        <f t="shared" si="56"/>
        <v>973.95223652573372</v>
      </c>
      <c r="Y147" s="32">
        <f t="shared" si="51"/>
        <v>615.6604361688386</v>
      </c>
    </row>
    <row r="148" spans="1:25" x14ac:dyDescent="0.25">
      <c r="A148" s="4">
        <v>142</v>
      </c>
      <c r="C148" s="110">
        <f>IF(male=0,VLOOKUP(((A146:A980/'Life tables'!$I$2)*2)+age,lifetable,13,1),IF(male=1,VLOOKUP(((A146:A980/'Life tables'!$I$2)*2)+age,lifetable,10,1),"error"))</f>
        <v>1.2085130128736132E-4</v>
      </c>
      <c r="F148" s="101">
        <f t="shared" si="38"/>
        <v>177.01849068057118</v>
      </c>
      <c r="G148" s="101">
        <f t="shared" si="39"/>
        <v>17.781877868152687</v>
      </c>
      <c r="H148" s="101">
        <f t="shared" si="40"/>
        <v>0.40691642907482589</v>
      </c>
      <c r="I148" s="101">
        <f t="shared" si="41"/>
        <v>0.40691642907482589</v>
      </c>
      <c r="J148" s="101">
        <f t="shared" si="42"/>
        <v>2.3640230790308647E-2</v>
      </c>
      <c r="K148" s="101">
        <f t="shared" si="43"/>
        <v>3.1897820923611854E-2</v>
      </c>
      <c r="L148" s="101">
        <f t="shared" si="52"/>
        <v>158.36724190255492</v>
      </c>
      <c r="M148" s="101">
        <f t="shared" si="44"/>
        <v>796.93374584516266</v>
      </c>
      <c r="N148" s="101">
        <f t="shared" si="45"/>
        <v>76.746446383448955</v>
      </c>
      <c r="O148" s="101">
        <f t="shared" si="46"/>
        <v>1.8319297200071014</v>
      </c>
      <c r="P148" s="101">
        <f t="shared" si="47"/>
        <v>1.8319297200071014</v>
      </c>
      <c r="Q148" s="101">
        <f t="shared" si="48"/>
        <v>0.1060281703208794</v>
      </c>
      <c r="R148" s="101">
        <f t="shared" si="49"/>
        <v>2.13435517885892E-2</v>
      </c>
      <c r="S148" s="101">
        <f t="shared" si="53"/>
        <v>716.39606829959007</v>
      </c>
      <c r="T148" s="101">
        <f t="shared" si="54"/>
        <v>14.862866035649096</v>
      </c>
      <c r="U148" s="101">
        <f t="shared" si="54"/>
        <v>11.367807212443259</v>
      </c>
      <c r="V148" s="33">
        <f t="shared" si="55"/>
        <v>1000.0000000000028</v>
      </c>
      <c r="W148" s="105">
        <f t="shared" si="50"/>
        <v>160737.59079118518</v>
      </c>
      <c r="X148" s="112">
        <f t="shared" si="56"/>
        <v>973.76932675191051</v>
      </c>
      <c r="Y148" s="32">
        <f t="shared" si="51"/>
        <v>615.36790657146071</v>
      </c>
    </row>
    <row r="149" spans="1:25" x14ac:dyDescent="0.25">
      <c r="A149" s="4">
        <v>143</v>
      </c>
      <c r="C149" s="110">
        <f>IF(male=0,VLOOKUP(((A147:A981/'Life tables'!$I$2)*2)+age,lifetable,13,1),IF(male=1,VLOOKUP(((A147:A981/'Life tables'!$I$2)*2)+age,lifetable,10,1),"error"))</f>
        <v>1.2085130128736132E-4</v>
      </c>
      <c r="F149" s="101">
        <f t="shared" si="38"/>
        <v>176.69590163618</v>
      </c>
      <c r="G149" s="101">
        <f t="shared" si="39"/>
        <v>17.749473123501922</v>
      </c>
      <c r="H149" s="101">
        <f t="shared" si="40"/>
        <v>0.4061748863043636</v>
      </c>
      <c r="I149" s="101">
        <f t="shared" si="41"/>
        <v>0.4061748863043636</v>
      </c>
      <c r="J149" s="101">
        <f t="shared" si="42"/>
        <v>2.3597150096136457E-2</v>
      </c>
      <c r="K149" s="101">
        <f t="shared" si="43"/>
        <v>3.1839692038147134E-2</v>
      </c>
      <c r="L149" s="101">
        <f t="shared" si="52"/>
        <v>158.07864189793506</v>
      </c>
      <c r="M149" s="101">
        <f t="shared" si="44"/>
        <v>797.07342511573052</v>
      </c>
      <c r="N149" s="101">
        <f t="shared" si="45"/>
        <v>76.759897799837589</v>
      </c>
      <c r="O149" s="101">
        <f t="shared" si="46"/>
        <v>1.8322508039219894</v>
      </c>
      <c r="P149" s="101">
        <f t="shared" si="47"/>
        <v>1.8322508039219894</v>
      </c>
      <c r="Q149" s="101">
        <f t="shared" si="48"/>
        <v>0.10604675397048301</v>
      </c>
      <c r="R149" s="101">
        <f t="shared" si="49"/>
        <v>2.1347292691469396E-2</v>
      </c>
      <c r="S149" s="101">
        <f t="shared" si="53"/>
        <v>716.521631661387</v>
      </c>
      <c r="T149" s="101">
        <f t="shared" si="54"/>
        <v>14.992509939715715</v>
      </c>
      <c r="U149" s="101">
        <f t="shared" si="54"/>
        <v>11.420994197172876</v>
      </c>
      <c r="V149" s="33">
        <f t="shared" si="55"/>
        <v>1000.0000000000028</v>
      </c>
      <c r="W149" s="105">
        <f t="shared" si="50"/>
        <v>160542.97188970057</v>
      </c>
      <c r="X149" s="112">
        <f t="shared" si="56"/>
        <v>973.58649586311435</v>
      </c>
      <c r="Y149" s="32">
        <f t="shared" si="51"/>
        <v>615.0755405229479</v>
      </c>
    </row>
    <row r="150" spans="1:25" x14ac:dyDescent="0.25">
      <c r="A150" s="4">
        <v>144</v>
      </c>
      <c r="C150" s="110">
        <f>IF(male=0,VLOOKUP(((A148:A982/'Life tables'!$I$2)*2)+age,lifetable,13,1),IF(male=1,VLOOKUP(((A148:A982/'Life tables'!$I$2)*2)+age,lifetable,10,1),"error"))</f>
        <v>1.2085130128736132E-4</v>
      </c>
      <c r="F150" s="101">
        <f t="shared" si="38"/>
        <v>176.38238002227888</v>
      </c>
      <c r="G150" s="101">
        <f t="shared" si="39"/>
        <v>17.717979221220968</v>
      </c>
      <c r="H150" s="101">
        <f t="shared" si="40"/>
        <v>0.40545418704251857</v>
      </c>
      <c r="I150" s="101">
        <f t="shared" si="41"/>
        <v>0.40545418704251857</v>
      </c>
      <c r="J150" s="101">
        <f t="shared" si="42"/>
        <v>2.3555280327154263E-2</v>
      </c>
      <c r="K150" s="101">
        <f t="shared" si="43"/>
        <v>3.1783197056987539E-2</v>
      </c>
      <c r="L150" s="101">
        <f t="shared" si="52"/>
        <v>157.79815394958874</v>
      </c>
      <c r="M150" s="101">
        <f t="shared" si="44"/>
        <v>797.20411584083547</v>
      </c>
      <c r="N150" s="101">
        <f t="shared" si="45"/>
        <v>76.772483599823317</v>
      </c>
      <c r="O150" s="101">
        <f t="shared" si="46"/>
        <v>1.8325512256630654</v>
      </c>
      <c r="P150" s="101">
        <f t="shared" si="47"/>
        <v>1.8325512256630654</v>
      </c>
      <c r="Q150" s="101">
        <f t="shared" si="48"/>
        <v>0.10606414173770082</v>
      </c>
      <c r="R150" s="101">
        <f t="shared" si="49"/>
        <v>2.1350792862310584E-2</v>
      </c>
      <c r="S150" s="101">
        <f t="shared" si="53"/>
        <v>716.63911485508606</v>
      </c>
      <c r="T150" s="101">
        <f t="shared" si="54"/>
        <v>15.122129361780571</v>
      </c>
      <c r="U150" s="101">
        <f t="shared" si="54"/>
        <v>11.474128187092173</v>
      </c>
      <c r="V150" s="33">
        <f t="shared" si="55"/>
        <v>1000.0000000000031</v>
      </c>
      <c r="W150" s="105">
        <f t="shared" si="50"/>
        <v>160347.96725458314</v>
      </c>
      <c r="X150" s="112">
        <f t="shared" si="56"/>
        <v>973.40374245113026</v>
      </c>
      <c r="Y150" s="32">
        <f t="shared" si="51"/>
        <v>614.78333716343218</v>
      </c>
    </row>
    <row r="151" spans="1:25" x14ac:dyDescent="0.25">
      <c r="A151" s="4">
        <v>145</v>
      </c>
      <c r="C151" s="110">
        <f>IF(male=0,VLOOKUP(((A149:A983/'Life tables'!$I$2)*2)+age,lifetable,13,1),IF(male=1,VLOOKUP(((A149:A983/'Life tables'!$I$2)*2)+age,lifetable,10,1),"error"))</f>
        <v>1.2085130128736132E-4</v>
      </c>
      <c r="F151" s="101">
        <f t="shared" si="38"/>
        <v>176.07764400411449</v>
      </c>
      <c r="G151" s="101">
        <f t="shared" si="39"/>
        <v>17.687367850419008</v>
      </c>
      <c r="H151" s="101">
        <f t="shared" si="40"/>
        <v>0.4047536834293356</v>
      </c>
      <c r="I151" s="101">
        <f t="shared" si="41"/>
        <v>0.4047536834293356</v>
      </c>
      <c r="J151" s="101">
        <f t="shared" si="42"/>
        <v>2.3514583845267938E-2</v>
      </c>
      <c r="K151" s="101">
        <f t="shared" si="43"/>
        <v>3.1728285194961084E-2</v>
      </c>
      <c r="L151" s="101">
        <f t="shared" si="52"/>
        <v>157.52552591779659</v>
      </c>
      <c r="M151" s="101">
        <f t="shared" si="44"/>
        <v>797.32609844701585</v>
      </c>
      <c r="N151" s="101">
        <f t="shared" si="45"/>
        <v>76.784230789089349</v>
      </c>
      <c r="O151" s="101">
        <f t="shared" si="46"/>
        <v>1.8328316298531888</v>
      </c>
      <c r="P151" s="101">
        <f t="shared" si="47"/>
        <v>1.8328316298531888</v>
      </c>
      <c r="Q151" s="101">
        <f t="shared" si="48"/>
        <v>0.10608037093192392</v>
      </c>
      <c r="R151" s="101">
        <f t="shared" si="49"/>
        <v>2.135405981152172E-2</v>
      </c>
      <c r="S151" s="101">
        <f t="shared" si="53"/>
        <v>716.74876996747662</v>
      </c>
      <c r="T151" s="101">
        <f t="shared" si="54"/>
        <v>15.251724316557763</v>
      </c>
      <c r="U151" s="101">
        <f t="shared" si="54"/>
        <v>11.527210532098657</v>
      </c>
      <c r="V151" s="33">
        <f t="shared" si="55"/>
        <v>1000.0000000000031</v>
      </c>
      <c r="W151" s="105">
        <f t="shared" si="50"/>
        <v>160152.59820066072</v>
      </c>
      <c r="X151" s="112">
        <f t="shared" si="56"/>
        <v>973.22106515134658</v>
      </c>
      <c r="Y151" s="32">
        <f t="shared" si="51"/>
        <v>614.49129565800501</v>
      </c>
    </row>
    <row r="152" spans="1:25" x14ac:dyDescent="0.25">
      <c r="A152" s="4">
        <v>146</v>
      </c>
      <c r="C152" s="110">
        <f>IF(male=0,VLOOKUP(((A150:A984/'Life tables'!$I$2)*2)+age,lifetable,13,1),IF(male=1,VLOOKUP(((A150:A984/'Life tables'!$I$2)*2)+age,lifetable,10,1),"error"))</f>
        <v>1.2085130128736132E-4</v>
      </c>
      <c r="F152" s="101">
        <f t="shared" si="38"/>
        <v>175.78142051250799</v>
      </c>
      <c r="G152" s="101">
        <f t="shared" si="39"/>
        <v>17.657611580725522</v>
      </c>
      <c r="H152" s="101">
        <f t="shared" si="40"/>
        <v>0.4040727477544851</v>
      </c>
      <c r="I152" s="101">
        <f t="shared" si="41"/>
        <v>0.4040727477544851</v>
      </c>
      <c r="J152" s="101">
        <f t="shared" si="42"/>
        <v>2.3475024182996698E-2</v>
      </c>
      <c r="K152" s="101">
        <f t="shared" si="43"/>
        <v>3.1674907246407216E-2</v>
      </c>
      <c r="L152" s="101">
        <f t="shared" si="52"/>
        <v>157.26051350484408</v>
      </c>
      <c r="M152" s="101">
        <f t="shared" si="44"/>
        <v>797.43964463883867</v>
      </c>
      <c r="N152" s="101">
        <f t="shared" si="45"/>
        <v>76.795165533374188</v>
      </c>
      <c r="O152" s="101">
        <f t="shared" si="46"/>
        <v>1.833092641065825</v>
      </c>
      <c r="P152" s="101">
        <f t="shared" si="47"/>
        <v>1.833092641065825</v>
      </c>
      <c r="Q152" s="101">
        <f t="shared" si="48"/>
        <v>0.10609547770212743</v>
      </c>
      <c r="R152" s="101">
        <f t="shared" si="49"/>
        <v>2.1357100815919138E-2</v>
      </c>
      <c r="S152" s="101">
        <f t="shared" si="53"/>
        <v>716.85084124481477</v>
      </c>
      <c r="T152" s="101">
        <f t="shared" si="54"/>
        <v>15.381294818442887</v>
      </c>
      <c r="U152" s="101">
        <f t="shared" si="54"/>
        <v>11.580242540160983</v>
      </c>
      <c r="V152" s="33">
        <f t="shared" si="55"/>
        <v>1000.0000000000031</v>
      </c>
      <c r="W152" s="105">
        <f t="shared" si="50"/>
        <v>159956.88534422271</v>
      </c>
      <c r="X152" s="112">
        <f t="shared" si="56"/>
        <v>973.03846264139929</v>
      </c>
      <c r="Y152" s="32">
        <f t="shared" si="51"/>
        <v>614.19941519593374</v>
      </c>
    </row>
    <row r="153" spans="1:25" x14ac:dyDescent="0.25">
      <c r="A153" s="4">
        <v>147</v>
      </c>
      <c r="C153" s="110">
        <f>IF(male=0,VLOOKUP(((A151:A985/'Life tables'!$I$2)*2)+age,lifetable,13,1),IF(male=1,VLOOKUP(((A151:A985/'Life tables'!$I$2)*2)+age,lifetable,10,1),"error"))</f>
        <v>1.2085130128736132E-4</v>
      </c>
      <c r="F153" s="101">
        <f t="shared" si="38"/>
        <v>175.49344497122843</v>
      </c>
      <c r="G153" s="101">
        <f t="shared" si="39"/>
        <v>17.62868383490439</v>
      </c>
      <c r="H153" s="101">
        <f t="shared" si="40"/>
        <v>0.40341077183056973</v>
      </c>
      <c r="I153" s="101">
        <f t="shared" si="41"/>
        <v>0.40341077183056973</v>
      </c>
      <c r="J153" s="101">
        <f t="shared" si="42"/>
        <v>2.3436566007064688E-2</v>
      </c>
      <c r="K153" s="101">
        <f t="shared" si="43"/>
        <v>3.1623015536050854E-2</v>
      </c>
      <c r="L153" s="101">
        <f t="shared" si="52"/>
        <v>157.00288001111977</v>
      </c>
      <c r="M153" s="101">
        <f t="shared" si="44"/>
        <v>797.54501767017086</v>
      </c>
      <c r="N153" s="101">
        <f t="shared" si="45"/>
        <v>76.80531318459559</v>
      </c>
      <c r="O153" s="101">
        <f t="shared" si="46"/>
        <v>1.8333348644486234</v>
      </c>
      <c r="P153" s="101">
        <f t="shared" si="47"/>
        <v>1.8333348644486234</v>
      </c>
      <c r="Q153" s="101">
        <f t="shared" si="48"/>
        <v>0.10610949707296166</v>
      </c>
      <c r="R153" s="101">
        <f t="shared" si="49"/>
        <v>2.1359922925991759E-2</v>
      </c>
      <c r="S153" s="101">
        <f t="shared" si="53"/>
        <v>716.94556533667912</v>
      </c>
      <c r="T153" s="101">
        <f t="shared" si="54"/>
        <v>15.510840881522913</v>
      </c>
      <c r="U153" s="101">
        <f t="shared" si="54"/>
        <v>11.633225478623025</v>
      </c>
      <c r="V153" s="33">
        <f t="shared" si="55"/>
        <v>1000.0000000000032</v>
      </c>
      <c r="W153" s="105">
        <f t="shared" si="50"/>
        <v>159760.84862553884</v>
      </c>
      <c r="X153" s="112">
        <f t="shared" si="56"/>
        <v>972.85593363985731</v>
      </c>
      <c r="Y153" s="32">
        <f t="shared" si="51"/>
        <v>613.90769498990448</v>
      </c>
    </row>
    <row r="154" spans="1:25" x14ac:dyDescent="0.25">
      <c r="A154" s="4">
        <v>148</v>
      </c>
      <c r="C154" s="110">
        <f>IF(male=0,VLOOKUP(((A152:A986/'Life tables'!$I$2)*2)+age,lifetable,13,1),IF(male=1,VLOOKUP(((A152:A986/'Life tables'!$I$2)*2)+age,lifetable,10,1),"error"))</f>
        <v>1.2085130128736132E-4</v>
      </c>
      <c r="F154" s="101">
        <f t="shared" si="38"/>
        <v>175.21346103284563</v>
      </c>
      <c r="G154" s="101">
        <f t="shared" si="39"/>
        <v>17.600558862319737</v>
      </c>
      <c r="H154" s="101">
        <f t="shared" si="40"/>
        <v>0.40276716638592369</v>
      </c>
      <c r="I154" s="101">
        <f t="shared" si="41"/>
        <v>0.40276716638592369</v>
      </c>
      <c r="J154" s="101">
        <f t="shared" si="42"/>
        <v>2.3399175083125032E-2</v>
      </c>
      <c r="K154" s="101">
        <f t="shared" si="43"/>
        <v>3.1572563871404488E-2</v>
      </c>
      <c r="L154" s="101">
        <f t="shared" si="52"/>
        <v>156.75239609879952</v>
      </c>
      <c r="M154" s="101">
        <f t="shared" si="44"/>
        <v>797.64247260701165</v>
      </c>
      <c r="N154" s="101">
        <f t="shared" si="45"/>
        <v>76.814698306161901</v>
      </c>
      <c r="O154" s="101">
        <f t="shared" si="46"/>
        <v>1.8335588863275949</v>
      </c>
      <c r="P154" s="101">
        <f t="shared" si="47"/>
        <v>1.8335588863275949</v>
      </c>
      <c r="Q154" s="101">
        <f t="shared" si="48"/>
        <v>0.10612246297972094</v>
      </c>
      <c r="R154" s="101">
        <f t="shared" si="49"/>
        <v>2.1362532972940277E-2</v>
      </c>
      <c r="S154" s="101">
        <f t="shared" si="53"/>
        <v>717.03317153224191</v>
      </c>
      <c r="T154" s="101">
        <f t="shared" si="54"/>
        <v>15.640362519585759</v>
      </c>
      <c r="U154" s="101">
        <f t="shared" si="54"/>
        <v>11.686160575467371</v>
      </c>
      <c r="V154" s="33">
        <f t="shared" si="55"/>
        <v>1000.0000000000033</v>
      </c>
      <c r="W154" s="105">
        <f t="shared" si="50"/>
        <v>159564.50733065399</v>
      </c>
      <c r="X154" s="112">
        <f t="shared" si="56"/>
        <v>972.67347690495012</v>
      </c>
      <c r="Y154" s="32">
        <f t="shared" si="51"/>
        <v>613.61613427528778</v>
      </c>
    </row>
    <row r="155" spans="1:25" x14ac:dyDescent="0.25">
      <c r="A155" s="4">
        <v>149</v>
      </c>
      <c r="C155" s="110">
        <f>IF(male=0,VLOOKUP(((A153:A987/'Life tables'!$I$2)*2)+age,lifetable,13,1),IF(male=1,VLOOKUP(((A153:A987/'Life tables'!$I$2)*2)+age,lifetable,10,1),"error"))</f>
        <v>1.2085130128736132E-4</v>
      </c>
      <c r="F155" s="101">
        <f t="shared" si="38"/>
        <v>174.94122032279859</v>
      </c>
      <c r="G155" s="101">
        <f t="shared" si="39"/>
        <v>17.573211713227099</v>
      </c>
      <c r="H155" s="101">
        <f t="shared" si="40"/>
        <v>0.40214136047629678</v>
      </c>
      <c r="I155" s="101">
        <f t="shared" si="41"/>
        <v>0.40214136047629678</v>
      </c>
      <c r="J155" s="101">
        <f t="shared" si="42"/>
        <v>2.3362818241581047E-2</v>
      </c>
      <c r="K155" s="101">
        <f t="shared" si="43"/>
        <v>3.1523507496650581E-2</v>
      </c>
      <c r="L155" s="101">
        <f t="shared" si="52"/>
        <v>156.50883956288067</v>
      </c>
      <c r="M155" s="101">
        <f t="shared" si="44"/>
        <v>797.73225658215154</v>
      </c>
      <c r="N155" s="101">
        <f t="shared" si="45"/>
        <v>76.823344697496296</v>
      </c>
      <c r="O155" s="101">
        <f t="shared" si="46"/>
        <v>1.8337652747925037</v>
      </c>
      <c r="P155" s="101">
        <f t="shared" si="47"/>
        <v>1.8337652747925037</v>
      </c>
      <c r="Q155" s="101">
        <f t="shared" si="48"/>
        <v>0.10613440830222465</v>
      </c>
      <c r="R155" s="101">
        <f t="shared" si="49"/>
        <v>2.1364937575497484E-2</v>
      </c>
      <c r="S155" s="101">
        <f t="shared" si="53"/>
        <v>717.11388198919258</v>
      </c>
      <c r="T155" s="101">
        <f t="shared" si="54"/>
        <v>15.769859746129566</v>
      </c>
      <c r="U155" s="101">
        <f t="shared" si="54"/>
        <v>11.739049020539518</v>
      </c>
      <c r="V155" s="33">
        <f t="shared" si="55"/>
        <v>1000.0000000000033</v>
      </c>
      <c r="W155" s="105">
        <f t="shared" si="50"/>
        <v>159367.88011247991</v>
      </c>
      <c r="X155" s="112">
        <f t="shared" si="56"/>
        <v>972.49109123333426</v>
      </c>
      <c r="Y155" s="32">
        <f t="shared" si="51"/>
        <v>613.32473230942833</v>
      </c>
    </row>
    <row r="156" spans="1:25" x14ac:dyDescent="0.25">
      <c r="A156" s="4">
        <v>150</v>
      </c>
      <c r="C156" s="110">
        <f>IF(male=0,VLOOKUP(((A154:A988/'Life tables'!$I$2)*2)+age,lifetable,13,1),IF(male=1,VLOOKUP(((A154:A988/'Life tables'!$I$2)*2)+age,lifetable,10,1),"error"))</f>
        <v>1.2085130128736132E-4</v>
      </c>
      <c r="F156" s="101">
        <f t="shared" si="38"/>
        <v>174.67648219142367</v>
      </c>
      <c r="G156" s="101">
        <f t="shared" si="39"/>
        <v>17.546618213864107</v>
      </c>
      <c r="H156" s="101">
        <f t="shared" si="40"/>
        <v>0.40153280091483601</v>
      </c>
      <c r="I156" s="101">
        <f t="shared" si="41"/>
        <v>0.40153280091483601</v>
      </c>
      <c r="J156" s="101">
        <f t="shared" si="42"/>
        <v>2.3327463344470376E-2</v>
      </c>
      <c r="K156" s="101">
        <f t="shared" si="43"/>
        <v>3.1475803047958342E-2</v>
      </c>
      <c r="L156" s="101">
        <f t="shared" si="52"/>
        <v>156.27199510933747</v>
      </c>
      <c r="M156" s="101">
        <f t="shared" si="44"/>
        <v>797.81460904191056</v>
      </c>
      <c r="N156" s="101">
        <f t="shared" si="45"/>
        <v>76.831275417798196</v>
      </c>
      <c r="O156" s="101">
        <f t="shared" si="46"/>
        <v>1.83395458026405</v>
      </c>
      <c r="P156" s="101">
        <f t="shared" si="47"/>
        <v>1.83395458026405</v>
      </c>
      <c r="Q156" s="101">
        <f t="shared" si="48"/>
        <v>0.10614536489764453</v>
      </c>
      <c r="R156" s="101">
        <f t="shared" si="49"/>
        <v>2.136714314653642E-2</v>
      </c>
      <c r="S156" s="101">
        <f t="shared" si="53"/>
        <v>717.18791195554013</v>
      </c>
      <c r="T156" s="101">
        <f t="shared" si="54"/>
        <v>15.89933257437168</v>
      </c>
      <c r="U156" s="101">
        <f t="shared" si="54"/>
        <v>11.791891966734013</v>
      </c>
      <c r="V156" s="33">
        <f t="shared" si="55"/>
        <v>1000.0000000000034</v>
      </c>
      <c r="W156" s="105">
        <f t="shared" si="50"/>
        <v>159170.98501120764</v>
      </c>
      <c r="X156" s="112">
        <f t="shared" si="56"/>
        <v>972.30877545889768</v>
      </c>
      <c r="Y156" s="32">
        <f t="shared" si="51"/>
        <v>613.03348837095643</v>
      </c>
    </row>
    <row r="157" spans="1:25" x14ac:dyDescent="0.25">
      <c r="A157" s="4">
        <v>151</v>
      </c>
      <c r="C157" s="110">
        <f>IF(male=0,VLOOKUP(((A155:A989/'Life tables'!$I$2)*2)+age,lifetable,13,1),IF(male=1,VLOOKUP(((A155:A989/'Life tables'!$I$2)*2)+age,lifetable,10,1),"error"))</f>
        <v>1.2085130128736132E-4</v>
      </c>
      <c r="F157" s="101">
        <f t="shared" si="38"/>
        <v>174.41901347369549</v>
      </c>
      <c r="G157" s="101">
        <f t="shared" si="39"/>
        <v>17.520754942315971</v>
      </c>
      <c r="H157" s="101">
        <f t="shared" si="40"/>
        <v>0.40094095171979638</v>
      </c>
      <c r="I157" s="101">
        <f t="shared" si="41"/>
        <v>0.40094095171979638</v>
      </c>
      <c r="J157" s="101">
        <f t="shared" si="42"/>
        <v>2.3293079253379222E-2</v>
      </c>
      <c r="K157" s="101">
        <f t="shared" si="43"/>
        <v>3.1429408510190278E-2</v>
      </c>
      <c r="L157" s="101">
        <f t="shared" si="52"/>
        <v>156.04165414017635</v>
      </c>
      <c r="M157" s="101">
        <f t="shared" si="44"/>
        <v>797.8897619852022</v>
      </c>
      <c r="N157" s="101">
        <f t="shared" si="45"/>
        <v>76.83851280906562</v>
      </c>
      <c r="O157" s="101">
        <f t="shared" si="46"/>
        <v>1.8341273360434101</v>
      </c>
      <c r="P157" s="101">
        <f t="shared" si="47"/>
        <v>1.8341273360434101</v>
      </c>
      <c r="Q157" s="101">
        <f t="shared" si="48"/>
        <v>0.10615536363231097</v>
      </c>
      <c r="R157" s="101">
        <f t="shared" si="49"/>
        <v>2.1369155899472997E-2</v>
      </c>
      <c r="S157" s="101">
        <f t="shared" si="53"/>
        <v>717.25546998451796</v>
      </c>
      <c r="T157" s="101">
        <f t="shared" si="54"/>
        <v>16.028781017257369</v>
      </c>
      <c r="U157" s="101">
        <f t="shared" si="54"/>
        <v>11.844690531143677</v>
      </c>
      <c r="V157" s="33">
        <f t="shared" si="55"/>
        <v>1000.0000000000034</v>
      </c>
      <c r="W157" s="105">
        <f t="shared" si="50"/>
        <v>158973.8394740627</v>
      </c>
      <c r="X157" s="112">
        <f t="shared" si="56"/>
        <v>972.12652845160233</v>
      </c>
      <c r="Y157" s="32">
        <f t="shared" si="51"/>
        <v>612.74240175911996</v>
      </c>
    </row>
    <row r="158" spans="1:25" x14ac:dyDescent="0.25">
      <c r="A158" s="4">
        <v>152</v>
      </c>
      <c r="C158" s="110">
        <f>IF(male=0,VLOOKUP(((A156:A990/'Life tables'!$I$2)*2)+age,lifetable,13,1),IF(male=1,VLOOKUP(((A156:A990/'Life tables'!$I$2)*2)+age,lifetable,10,1),"error"))</f>
        <v>1.2085130128736132E-4</v>
      </c>
      <c r="F158" s="101">
        <f t="shared" si="38"/>
        <v>174.16858825643988</v>
      </c>
      <c r="G158" s="101">
        <f t="shared" si="39"/>
        <v>17.495599205131541</v>
      </c>
      <c r="H158" s="101">
        <f t="shared" si="40"/>
        <v>0.40036529357942829</v>
      </c>
      <c r="I158" s="101">
        <f t="shared" si="41"/>
        <v>0.40036529357942829</v>
      </c>
      <c r="J158" s="101">
        <f t="shared" si="42"/>
        <v>2.3259635798354408E-2</v>
      </c>
      <c r="K158" s="101">
        <f t="shared" si="43"/>
        <v>3.1384283174955153E-2</v>
      </c>
      <c r="L158" s="101">
        <f t="shared" si="52"/>
        <v>155.81761454517616</v>
      </c>
      <c r="M158" s="101">
        <f t="shared" si="44"/>
        <v>797.95794019516234</v>
      </c>
      <c r="N158" s="101">
        <f t="shared" si="45"/>
        <v>76.845078518401564</v>
      </c>
      <c r="O158" s="101">
        <f t="shared" si="46"/>
        <v>1.8342840588446894</v>
      </c>
      <c r="P158" s="101">
        <f t="shared" si="47"/>
        <v>1.8342840588446894</v>
      </c>
      <c r="Q158" s="101">
        <f t="shared" si="48"/>
        <v>0.10616443441253021</v>
      </c>
      <c r="R158" s="101">
        <f t="shared" si="49"/>
        <v>2.1370981854469537E-2</v>
      </c>
      <c r="S158" s="101">
        <f t="shared" si="53"/>
        <v>717.31675814280436</v>
      </c>
      <c r="T158" s="101">
        <f t="shared" si="54"/>
        <v>16.158205087468254</v>
      </c>
      <c r="U158" s="101">
        <f t="shared" si="54"/>
        <v>11.897445796173102</v>
      </c>
      <c r="V158" s="33">
        <f t="shared" si="55"/>
        <v>1000.0000000000032</v>
      </c>
      <c r="W158" s="105">
        <f t="shared" si="50"/>
        <v>158776.46037442359</v>
      </c>
      <c r="X158" s="112">
        <f t="shared" si="56"/>
        <v>971.94434911636188</v>
      </c>
      <c r="Y158" s="32">
        <f t="shared" si="51"/>
        <v>612.45147179313869</v>
      </c>
    </row>
    <row r="159" spans="1:25" x14ac:dyDescent="0.25">
      <c r="A159" s="4">
        <v>153</v>
      </c>
      <c r="C159" s="110">
        <f>IF(male=0,VLOOKUP(((A157:A991/'Life tables'!$I$2)*2)+age,lifetable,13,1),IF(male=1,VLOOKUP(((A157:A991/'Life tables'!$I$2)*2)+age,lifetable,10,1),"error"))</f>
        <v>1.2085130128736132E-4</v>
      </c>
      <c r="F159" s="101">
        <f t="shared" si="38"/>
        <v>173.92498765278748</v>
      </c>
      <c r="G159" s="101">
        <f t="shared" si="39"/>
        <v>17.471129014666683</v>
      </c>
      <c r="H159" s="101">
        <f t="shared" si="40"/>
        <v>0.39980532333350877</v>
      </c>
      <c r="I159" s="101">
        <f t="shared" si="41"/>
        <v>0.39980532333350877</v>
      </c>
      <c r="J159" s="101">
        <f t="shared" si="42"/>
        <v>2.3227103747782401E-2</v>
      </c>
      <c r="K159" s="101">
        <f t="shared" si="43"/>
        <v>3.1340387599965713E-2</v>
      </c>
      <c r="L159" s="101">
        <f t="shared" si="52"/>
        <v>155.59968050010602</v>
      </c>
      <c r="M159" s="101">
        <f t="shared" si="44"/>
        <v>798.01936146357434</v>
      </c>
      <c r="N159" s="101">
        <f t="shared" si="45"/>
        <v>76.850993519626641</v>
      </c>
      <c r="O159" s="101">
        <f t="shared" si="46"/>
        <v>1.8344252493108117</v>
      </c>
      <c r="P159" s="101">
        <f t="shared" si="47"/>
        <v>1.8344252493108117</v>
      </c>
      <c r="Q159" s="101">
        <f t="shared" si="48"/>
        <v>0.10617260621444279</v>
      </c>
      <c r="R159" s="101">
        <f t="shared" si="49"/>
        <v>2.1372626844445314E-2</v>
      </c>
      <c r="S159" s="101">
        <f t="shared" si="53"/>
        <v>717.37197221226722</v>
      </c>
      <c r="T159" s="101">
        <f t="shared" si="54"/>
        <v>16.287604797430479</v>
      </c>
      <c r="U159" s="101">
        <f t="shared" si="54"/>
        <v>11.950158810617513</v>
      </c>
      <c r="V159" s="33">
        <f t="shared" si="55"/>
        <v>1000.0000000000032</v>
      </c>
      <c r="W159" s="105">
        <f t="shared" si="50"/>
        <v>158578.86403032378</v>
      </c>
      <c r="X159" s="112">
        <f t="shared" si="56"/>
        <v>971.76223639195518</v>
      </c>
      <c r="Y159" s="32">
        <f t="shared" si="51"/>
        <v>612.16069781158046</v>
      </c>
    </row>
    <row r="160" spans="1:25" x14ac:dyDescent="0.25">
      <c r="A160" s="4">
        <v>154</v>
      </c>
      <c r="C160" s="110">
        <f>IF(male=0,VLOOKUP(((A158:A992/'Life tables'!$I$2)*2)+age,lifetable,13,1),IF(male=1,VLOOKUP(((A158:A992/'Life tables'!$I$2)*2)+age,lifetable,10,1),"error"))</f>
        <v>1.2085130128736132E-4</v>
      </c>
      <c r="F160" s="101">
        <f t="shared" si="38"/>
        <v>173.68799958364193</v>
      </c>
      <c r="G160" s="101">
        <f t="shared" si="39"/>
        <v>17.447323067132313</v>
      </c>
      <c r="H160" s="101">
        <f t="shared" si="40"/>
        <v>0.39926055347099726</v>
      </c>
      <c r="I160" s="101">
        <f t="shared" si="41"/>
        <v>0.39926055347099726</v>
      </c>
      <c r="J160" s="101">
        <f t="shared" si="42"/>
        <v>2.3195454779205101E-2</v>
      </c>
      <c r="K160" s="101">
        <f t="shared" si="43"/>
        <v>3.1297683569660319E-2</v>
      </c>
      <c r="L160" s="101">
        <f t="shared" si="52"/>
        <v>155.38766227121874</v>
      </c>
      <c r="M160" s="101">
        <f t="shared" si="44"/>
        <v>798.07423680831334</v>
      </c>
      <c r="N160" s="101">
        <f t="shared" si="45"/>
        <v>76.856278134219437</v>
      </c>
      <c r="O160" s="101">
        <f t="shared" si="46"/>
        <v>1.8345513925133643</v>
      </c>
      <c r="P160" s="101">
        <f t="shared" si="47"/>
        <v>1.8345513925133643</v>
      </c>
      <c r="Q160" s="101">
        <f t="shared" si="48"/>
        <v>0.10617990711295378</v>
      </c>
      <c r="R160" s="101">
        <f t="shared" si="49"/>
        <v>2.1374096520900176E-2</v>
      </c>
      <c r="S160" s="101">
        <f t="shared" si="53"/>
        <v>717.42130188543331</v>
      </c>
      <c r="T160" s="101">
        <f t="shared" si="54"/>
        <v>16.416980159322637</v>
      </c>
      <c r="U160" s="101">
        <f t="shared" si="54"/>
        <v>12.002830590708074</v>
      </c>
      <c r="V160" s="33">
        <f t="shared" si="55"/>
        <v>1000.0000000000033</v>
      </c>
      <c r="W160" s="105">
        <f t="shared" si="50"/>
        <v>158381.06622235876</v>
      </c>
      <c r="X160" s="112">
        <f t="shared" si="56"/>
        <v>971.58018924997259</v>
      </c>
      <c r="Y160" s="32">
        <f t="shared" si="51"/>
        <v>611.87007917175174</v>
      </c>
    </row>
    <row r="161" spans="1:25" x14ac:dyDescent="0.25">
      <c r="A161" s="4">
        <v>155</v>
      </c>
      <c r="C161" s="110">
        <f>IF(male=0,VLOOKUP(((A159:A993/'Life tables'!$I$2)*2)+age,lifetable,13,1),IF(male=1,VLOOKUP(((A159:A993/'Life tables'!$I$2)*2)+age,lifetable,10,1),"error"))</f>
        <v>1.2085130128736132E-4</v>
      </c>
      <c r="F161" s="101">
        <f t="shared" si="38"/>
        <v>173.45741856594495</v>
      </c>
      <c r="G161" s="101">
        <f t="shared" si="39"/>
        <v>17.424160721325169</v>
      </c>
      <c r="H161" s="101">
        <f t="shared" si="40"/>
        <v>0.39873051164331608</v>
      </c>
      <c r="I161" s="101">
        <f t="shared" si="41"/>
        <v>0.39873051164331608</v>
      </c>
      <c r="J161" s="101">
        <f t="shared" si="42"/>
        <v>2.3164661451043372E-2</v>
      </c>
      <c r="K161" s="101">
        <f t="shared" si="43"/>
        <v>3.1256134057049488E-2</v>
      </c>
      <c r="L161" s="101">
        <f t="shared" si="52"/>
        <v>155.18137602582505</v>
      </c>
      <c r="M161" s="101">
        <f t="shared" si="44"/>
        <v>798.12277068402773</v>
      </c>
      <c r="N161" s="101">
        <f t="shared" si="45"/>
        <v>76.860952051605565</v>
      </c>
      <c r="O161" s="101">
        <f t="shared" si="46"/>
        <v>1.8346629584368952</v>
      </c>
      <c r="P161" s="101">
        <f t="shared" si="47"/>
        <v>1.8346629584368952</v>
      </c>
      <c r="Q161" s="101">
        <f t="shared" si="48"/>
        <v>0.10618636430976268</v>
      </c>
      <c r="R161" s="101">
        <f t="shared" si="49"/>
        <v>2.1375396359557042E-2</v>
      </c>
      <c r="S161" s="101">
        <f t="shared" si="53"/>
        <v>717.46493095487904</v>
      </c>
      <c r="T161" s="101">
        <f t="shared" si="54"/>
        <v>16.546331185083442</v>
      </c>
      <c r="U161" s="101">
        <f t="shared" si="54"/>
        <v>12.05546212112468</v>
      </c>
      <c r="V161" s="33">
        <f t="shared" si="55"/>
        <v>1000.0000000000034</v>
      </c>
      <c r="W161" s="105">
        <f t="shared" si="50"/>
        <v>158183.08221101531</v>
      </c>
      <c r="X161" s="112">
        <f t="shared" si="56"/>
        <v>971.39820669379526</v>
      </c>
      <c r="Y161" s="32">
        <f t="shared" si="51"/>
        <v>611.57961524911332</v>
      </c>
    </row>
    <row r="162" spans="1:25" x14ac:dyDescent="0.25">
      <c r="A162" s="4">
        <v>156</v>
      </c>
      <c r="C162" s="110">
        <f>IF(male=0,VLOOKUP(((A160:A994/'Life tables'!$I$2)*2)+age,lifetable,13,1),IF(male=1,VLOOKUP(((A160:A994/'Life tables'!$I$2)*2)+age,lifetable,10,1),"error"))</f>
        <v>1.2085130128736132E-4</v>
      </c>
      <c r="F162" s="101">
        <f t="shared" si="38"/>
        <v>173.23304550752667</v>
      </c>
      <c r="G162" s="101">
        <f t="shared" si="39"/>
        <v>17.401621978020113</v>
      </c>
      <c r="H162" s="101">
        <f t="shared" si="40"/>
        <v>0.39821474019276792</v>
      </c>
      <c r="I162" s="101">
        <f t="shared" si="41"/>
        <v>0.39821474019276792</v>
      </c>
      <c r="J162" s="101">
        <f t="shared" si="42"/>
        <v>2.3134697175199968E-2</v>
      </c>
      <c r="K162" s="101">
        <f t="shared" si="43"/>
        <v>3.1215703186748919E-2</v>
      </c>
      <c r="L162" s="101">
        <f t="shared" si="52"/>
        <v>154.98064364875907</v>
      </c>
      <c r="M162" s="101">
        <f t="shared" si="44"/>
        <v>798.16516118626839</v>
      </c>
      <c r="N162" s="101">
        <f t="shared" si="45"/>
        <v>76.865034348815769</v>
      </c>
      <c r="O162" s="101">
        <f t="shared" si="46"/>
        <v>1.8347604024481516</v>
      </c>
      <c r="P162" s="101">
        <f t="shared" si="47"/>
        <v>1.8347604024481516</v>
      </c>
      <c r="Q162" s="101">
        <f t="shared" si="48"/>
        <v>0.10619200416052189</v>
      </c>
      <c r="R162" s="101">
        <f t="shared" si="49"/>
        <v>2.1376531665828907E-2</v>
      </c>
      <c r="S162" s="101">
        <f t="shared" si="53"/>
        <v>717.50303749673003</v>
      </c>
      <c r="T162" s="101">
        <f t="shared" si="54"/>
        <v>16.675657886419163</v>
      </c>
      <c r="U162" s="101">
        <f t="shared" si="54"/>
        <v>12.108054355977258</v>
      </c>
      <c r="V162" s="33">
        <f t="shared" si="55"/>
        <v>1000.0000000000032</v>
      </c>
      <c r="W162" s="105">
        <f t="shared" si="50"/>
        <v>157984.92675344294</v>
      </c>
      <c r="X162" s="112">
        <f t="shared" si="56"/>
        <v>971.21628775760678</v>
      </c>
      <c r="Y162" s="32">
        <f t="shared" si="51"/>
        <v>611.28930543670924</v>
      </c>
    </row>
    <row r="163" spans="1:25" x14ac:dyDescent="0.25">
      <c r="A163" s="4">
        <v>157</v>
      </c>
      <c r="C163" s="110">
        <f>IF(male=0,VLOOKUP(((A161:A995/'Life tables'!$I$2)*2)+age,lifetable,13,1),IF(male=1,VLOOKUP(((A161:A995/'Life tables'!$I$2)*2)+age,lifetable,10,1),"error"))</f>
        <v>1.3243321503420002E-4</v>
      </c>
      <c r="F163" s="101">
        <f t="shared" si="38"/>
        <v>173.01468750833672</v>
      </c>
      <c r="G163" s="101">
        <f t="shared" si="39"/>
        <v>17.379687460003368</v>
      </c>
      <c r="H163" s="101">
        <f t="shared" si="40"/>
        <v>0.3977127956956214</v>
      </c>
      <c r="I163" s="101">
        <f t="shared" si="41"/>
        <v>0.3977127956956214</v>
      </c>
      <c r="J163" s="101">
        <f t="shared" si="42"/>
        <v>2.5319879969872717E-2</v>
      </c>
      <c r="K163" s="101">
        <f t="shared" si="43"/>
        <v>3.1176356199162363E-2</v>
      </c>
      <c r="L163" s="101">
        <f t="shared" si="52"/>
        <v>154.78307822077306</v>
      </c>
      <c r="M163" s="101">
        <f t="shared" si="44"/>
        <v>798.2016002492702</v>
      </c>
      <c r="N163" s="101">
        <f t="shared" si="45"/>
        <v>76.868543509532714</v>
      </c>
      <c r="O163" s="101">
        <f t="shared" si="46"/>
        <v>1.8348441657507226</v>
      </c>
      <c r="P163" s="101">
        <f t="shared" si="47"/>
        <v>1.8348441657507226</v>
      </c>
      <c r="Q163" s="101">
        <f t="shared" si="48"/>
        <v>0.11637434114233208</v>
      </c>
      <c r="R163" s="101">
        <f t="shared" si="49"/>
        <v>2.1377507580115834E-2</v>
      </c>
      <c r="S163" s="101">
        <f t="shared" si="53"/>
        <v>717.52561655951354</v>
      </c>
      <c r="T163" s="101">
        <f t="shared" si="54"/>
        <v>16.817352107531367</v>
      </c>
      <c r="U163" s="101">
        <f t="shared" si="54"/>
        <v>12.160608219756536</v>
      </c>
      <c r="V163" s="33">
        <f t="shared" si="55"/>
        <v>1000.0000000000034</v>
      </c>
      <c r="W163" s="105">
        <f t="shared" si="50"/>
        <v>157784.87248540841</v>
      </c>
      <c r="X163" s="112">
        <f t="shared" si="56"/>
        <v>971.02203967271532</v>
      </c>
      <c r="Y163" s="32">
        <f t="shared" si="51"/>
        <v>610.99122504632044</v>
      </c>
    </row>
    <row r="164" spans="1:25" x14ac:dyDescent="0.25">
      <c r="A164" s="4">
        <v>158</v>
      </c>
      <c r="C164" s="110">
        <f>IF(male=0,VLOOKUP(((A162:A996/'Life tables'!$I$2)*2)+age,lifetable,13,1),IF(male=1,VLOOKUP(((A162:A996/'Life tables'!$I$2)*2)+age,lifetable,10,1),"error"))</f>
        <v>1.3243321503420002E-4</v>
      </c>
      <c r="F164" s="101">
        <f t="shared" si="38"/>
        <v>172.79994556282446</v>
      </c>
      <c r="G164" s="101">
        <f t="shared" si="39"/>
        <v>17.358116182146532</v>
      </c>
      <c r="H164" s="101">
        <f t="shared" si="40"/>
        <v>0.39721916350327541</v>
      </c>
      <c r="I164" s="101">
        <f t="shared" si="41"/>
        <v>0.39721916350327541</v>
      </c>
      <c r="J164" s="101">
        <f t="shared" si="42"/>
        <v>2.5288453503350298E-2</v>
      </c>
      <c r="K164" s="101">
        <f t="shared" si="43"/>
        <v>3.1137660805837047E-2</v>
      </c>
      <c r="L164" s="101">
        <f t="shared" si="52"/>
        <v>154.59096493936218</v>
      </c>
      <c r="M164" s="101">
        <f t="shared" si="44"/>
        <v>798.22209410989092</v>
      </c>
      <c r="N164" s="101">
        <f t="shared" si="45"/>
        <v>76.87051711271306</v>
      </c>
      <c r="O164" s="101">
        <f t="shared" si="46"/>
        <v>1.8348912754540632</v>
      </c>
      <c r="P164" s="101">
        <f t="shared" si="47"/>
        <v>1.8348912754540632</v>
      </c>
      <c r="Q164" s="101">
        <f t="shared" si="48"/>
        <v>0.11637732905857588</v>
      </c>
      <c r="R164" s="101">
        <f t="shared" si="49"/>
        <v>2.1378056448547858E-2</v>
      </c>
      <c r="S164" s="101">
        <f t="shared" si="53"/>
        <v>717.54403906076254</v>
      </c>
      <c r="T164" s="101">
        <f t="shared" si="54"/>
        <v>16.959017890093293</v>
      </c>
      <c r="U164" s="101">
        <f t="shared" si="54"/>
        <v>12.213123937010922</v>
      </c>
      <c r="V164" s="33">
        <f t="shared" si="55"/>
        <v>1000.0000000000031</v>
      </c>
      <c r="W164" s="105">
        <f t="shared" si="50"/>
        <v>157584.40806485197</v>
      </c>
      <c r="X164" s="112">
        <f t="shared" si="56"/>
        <v>970.82785817289891</v>
      </c>
      <c r="Y164" s="32">
        <f t="shared" si="51"/>
        <v>610.69343202307903</v>
      </c>
    </row>
    <row r="165" spans="1:25" x14ac:dyDescent="0.25">
      <c r="A165" s="4">
        <v>159</v>
      </c>
      <c r="C165" s="110">
        <f>IF(male=0,VLOOKUP(((A163:A997/'Life tables'!$I$2)*2)+age,lifetable,13,1),IF(male=1,VLOOKUP(((A163:A997/'Life tables'!$I$2)*2)+age,lifetable,10,1),"error"))</f>
        <v>1.3243321503420002E-4</v>
      </c>
      <c r="F165" s="101">
        <f t="shared" si="38"/>
        <v>172.5908562201104</v>
      </c>
      <c r="G165" s="101">
        <f t="shared" si="39"/>
        <v>17.337112720071019</v>
      </c>
      <c r="H165" s="101">
        <f t="shared" si="40"/>
        <v>0.39673852507749457</v>
      </c>
      <c r="I165" s="101">
        <f t="shared" si="41"/>
        <v>0.39673852507749457</v>
      </c>
      <c r="J165" s="101">
        <f t="shared" si="42"/>
        <v>2.5257854268471783E-2</v>
      </c>
      <c r="K165" s="101">
        <f t="shared" si="43"/>
        <v>3.1099983982442569E-2</v>
      </c>
      <c r="L165" s="101">
        <f t="shared" si="52"/>
        <v>154.40390861163348</v>
      </c>
      <c r="M165" s="101">
        <f t="shared" si="44"/>
        <v>798.23700195278866</v>
      </c>
      <c r="N165" s="101">
        <f t="shared" si="45"/>
        <v>76.871952770283855</v>
      </c>
      <c r="O165" s="101">
        <f t="shared" si="46"/>
        <v>1.8349255444514647</v>
      </c>
      <c r="P165" s="101">
        <f t="shared" si="47"/>
        <v>1.8349255444514647</v>
      </c>
      <c r="Q165" s="101">
        <f t="shared" si="48"/>
        <v>0.11637950255759483</v>
      </c>
      <c r="R165" s="101">
        <f t="shared" si="49"/>
        <v>2.1378455711747093E-2</v>
      </c>
      <c r="S165" s="101">
        <f t="shared" si="53"/>
        <v>717.55744013533251</v>
      </c>
      <c r="T165" s="101">
        <f t="shared" si="54"/>
        <v>17.100655246919359</v>
      </c>
      <c r="U165" s="101">
        <f t="shared" si="54"/>
        <v>12.265602376705111</v>
      </c>
      <c r="V165" s="33">
        <f t="shared" si="55"/>
        <v>1000.0000000000033</v>
      </c>
      <c r="W165" s="105">
        <f t="shared" si="50"/>
        <v>157383.81869133748</v>
      </c>
      <c r="X165" s="112">
        <f t="shared" si="56"/>
        <v>970.63374237637879</v>
      </c>
      <c r="Y165" s="32">
        <f t="shared" si="51"/>
        <v>610.39579889049082</v>
      </c>
    </row>
    <row r="166" spans="1:25" x14ac:dyDescent="0.25">
      <c r="A166" s="4">
        <v>160</v>
      </c>
      <c r="C166" s="110">
        <f>IF(male=0,VLOOKUP(((A164:A998/'Life tables'!$I$2)*2)+age,lifetable,13,1),IF(male=1,VLOOKUP(((A164:A998/'Life tables'!$I$2)*2)+age,lifetable,10,1),"error"))</f>
        <v>1.3243321503420002E-4</v>
      </c>
      <c r="F166" s="101">
        <f t="shared" si="38"/>
        <v>172.38724380805058</v>
      </c>
      <c r="G166" s="101">
        <f t="shared" si="39"/>
        <v>17.316659427142312</v>
      </c>
      <c r="H166" s="101">
        <f t="shared" si="40"/>
        <v>0.39627047659672765</v>
      </c>
      <c r="I166" s="101">
        <f t="shared" si="41"/>
        <v>0.39627047659672765</v>
      </c>
      <c r="J166" s="101">
        <f t="shared" si="42"/>
        <v>2.5228056556451054E-2</v>
      </c>
      <c r="K166" s="101">
        <f t="shared" si="43"/>
        <v>3.1063294073762758E-2</v>
      </c>
      <c r="L166" s="101">
        <f t="shared" si="52"/>
        <v>154.2217520770846</v>
      </c>
      <c r="M166" s="101">
        <f t="shared" si="44"/>
        <v>798.24649856832832</v>
      </c>
      <c r="N166" s="101">
        <f t="shared" si="45"/>
        <v>76.872867314935945</v>
      </c>
      <c r="O166" s="101">
        <f t="shared" si="46"/>
        <v>1.8349473745375129</v>
      </c>
      <c r="P166" s="101">
        <f t="shared" si="47"/>
        <v>1.8349473745375129</v>
      </c>
      <c r="Q166" s="101">
        <f t="shared" si="48"/>
        <v>0.11638088712306824</v>
      </c>
      <c r="R166" s="101">
        <f t="shared" si="49"/>
        <v>2.1378710050964929E-2</v>
      </c>
      <c r="S166" s="101">
        <f t="shared" si="53"/>
        <v>717.56597690714329</v>
      </c>
      <c r="T166" s="101">
        <f t="shared" si="54"/>
        <v>17.242264190598878</v>
      </c>
      <c r="U166" s="101">
        <f t="shared" si="54"/>
        <v>12.318044380829839</v>
      </c>
      <c r="V166" s="33">
        <f t="shared" si="55"/>
        <v>1000.0000000000034</v>
      </c>
      <c r="W166" s="105">
        <f t="shared" si="50"/>
        <v>157183.11727051387</v>
      </c>
      <c r="X166" s="112">
        <f t="shared" si="56"/>
        <v>970.43969142857463</v>
      </c>
      <c r="Y166" s="32">
        <f t="shared" si="51"/>
        <v>610.09832510045521</v>
      </c>
    </row>
    <row r="167" spans="1:25" x14ac:dyDescent="0.25">
      <c r="A167" s="4">
        <v>161</v>
      </c>
      <c r="C167" s="110">
        <f>IF(male=0,VLOOKUP(((A165:A999/'Life tables'!$I$2)*2)+age,lifetable,13,1),IF(male=1,VLOOKUP(((A165:A999/'Life tables'!$I$2)*2)+age,lifetable,10,1),"error"))</f>
        <v>1.3243321503420002E-4</v>
      </c>
      <c r="F167" s="101">
        <f t="shared" si="38"/>
        <v>172.1889381203826</v>
      </c>
      <c r="G167" s="101">
        <f t="shared" si="39"/>
        <v>17.296739205785123</v>
      </c>
      <c r="H167" s="101">
        <f t="shared" si="40"/>
        <v>0.39581462680396962</v>
      </c>
      <c r="I167" s="101">
        <f t="shared" si="41"/>
        <v>0.39581462680396962</v>
      </c>
      <c r="J167" s="101">
        <f t="shared" si="42"/>
        <v>2.5199035458407838E-2</v>
      </c>
      <c r="K167" s="101">
        <f t="shared" si="43"/>
        <v>3.1027560409505155E-2</v>
      </c>
      <c r="L167" s="101">
        <f t="shared" si="52"/>
        <v>154.04434306512164</v>
      </c>
      <c r="M167" s="101">
        <f t="shared" si="44"/>
        <v>798.25075330819209</v>
      </c>
      <c r="N167" s="101">
        <f t="shared" si="45"/>
        <v>76.873277055603268</v>
      </c>
      <c r="O167" s="101">
        <f t="shared" si="46"/>
        <v>1.8349571550047701</v>
      </c>
      <c r="P167" s="101">
        <f t="shared" si="47"/>
        <v>1.8349571550047701</v>
      </c>
      <c r="Q167" s="101">
        <f t="shared" si="48"/>
        <v>0.11638150744573887</v>
      </c>
      <c r="R167" s="101">
        <f t="shared" si="49"/>
        <v>2.1378824001793469E-2</v>
      </c>
      <c r="S167" s="101">
        <f t="shared" si="53"/>
        <v>717.56980161113177</v>
      </c>
      <c r="T167" s="101">
        <f t="shared" si="54"/>
        <v>17.383844733503025</v>
      </c>
      <c r="U167" s="101">
        <f t="shared" si="54"/>
        <v>12.370450765241138</v>
      </c>
      <c r="V167" s="33">
        <f t="shared" si="55"/>
        <v>1000.0000000000034</v>
      </c>
      <c r="W167" s="105">
        <f t="shared" si="50"/>
        <v>156982.3162801369</v>
      </c>
      <c r="X167" s="112">
        <f t="shared" si="56"/>
        <v>970.2457045012593</v>
      </c>
      <c r="Y167" s="32">
        <f t="shared" si="51"/>
        <v>609.80101011990234</v>
      </c>
    </row>
    <row r="168" spans="1:25" x14ac:dyDescent="0.25">
      <c r="A168" s="4">
        <v>162</v>
      </c>
      <c r="C168" s="110">
        <f>IF(male=0,VLOOKUP(((A166:A1000/'Life tables'!$I$2)*2)+age,lifetable,13,1),IF(male=1,VLOOKUP(((A166:A1000/'Life tables'!$I$2)*2)+age,lifetable,10,1),"error"))</f>
        <v>1.3243321503420002E-4</v>
      </c>
      <c r="F168" s="101">
        <f t="shared" si="38"/>
        <v>171.99577424665824</v>
      </c>
      <c r="G168" s="101">
        <f t="shared" si="39"/>
        <v>17.277335490399796</v>
      </c>
      <c r="H168" s="101">
        <f t="shared" si="40"/>
        <v>0.3953705966158238</v>
      </c>
      <c r="I168" s="101">
        <f t="shared" si="41"/>
        <v>0.3953705966158238</v>
      </c>
      <c r="J168" s="101">
        <f t="shared" si="42"/>
        <v>2.5170766840479194E-2</v>
      </c>
      <c r="K168" s="101">
        <f t="shared" si="43"/>
        <v>3.0992753273655776E-2</v>
      </c>
      <c r="L168" s="101">
        <f t="shared" si="52"/>
        <v>153.87153404291266</v>
      </c>
      <c r="M168" s="101">
        <f t="shared" si="44"/>
        <v>798.24993025460094</v>
      </c>
      <c r="N168" s="101">
        <f t="shared" si="45"/>
        <v>76.873197793759189</v>
      </c>
      <c r="O168" s="101">
        <f t="shared" si="46"/>
        <v>1.8349552630327677</v>
      </c>
      <c r="P168" s="101">
        <f t="shared" si="47"/>
        <v>1.8349552630327677</v>
      </c>
      <c r="Q168" s="101">
        <f t="shared" si="48"/>
        <v>0.11638138744808495</v>
      </c>
      <c r="R168" s="101">
        <f t="shared" si="49"/>
        <v>2.1378801958697614E-2</v>
      </c>
      <c r="S168" s="101">
        <f t="shared" si="53"/>
        <v>717.56906174536948</v>
      </c>
      <c r="T168" s="101">
        <f t="shared" si="54"/>
        <v>17.52539688779159</v>
      </c>
      <c r="U168" s="101">
        <f t="shared" si="54"/>
        <v>12.422822320473491</v>
      </c>
      <c r="V168" s="33">
        <f t="shared" si="55"/>
        <v>1000.0000000000034</v>
      </c>
      <c r="W168" s="105">
        <f t="shared" si="50"/>
        <v>156781.42778387605</v>
      </c>
      <c r="X168" s="112">
        <f t="shared" si="56"/>
        <v>970.05178079173834</v>
      </c>
      <c r="Y168" s="32">
        <f t="shared" si="51"/>
        <v>609.50385343032326</v>
      </c>
    </row>
    <row r="169" spans="1:25" x14ac:dyDescent="0.25">
      <c r="A169" s="4">
        <v>163</v>
      </c>
      <c r="C169" s="110">
        <f>IF(male=0,VLOOKUP(((A167:A1001/'Life tables'!$I$2)*2)+age,lifetable,13,1),IF(male=1,VLOOKUP(((A167:A1001/'Life tables'!$I$2)*2)+age,lifetable,10,1),"error"))</f>
        <v>1.3243321503420002E-4</v>
      </c>
      <c r="F169" s="101">
        <f t="shared" si="38"/>
        <v>171.80759240746781</v>
      </c>
      <c r="G169" s="101">
        <f t="shared" si="39"/>
        <v>17.258432230810229</v>
      </c>
      <c r="H169" s="101">
        <f t="shared" si="40"/>
        <v>0.39493801874372864</v>
      </c>
      <c r="I169" s="101">
        <f t="shared" si="41"/>
        <v>0.39493801874372864</v>
      </c>
      <c r="J169" s="101">
        <f t="shared" si="42"/>
        <v>2.5143227319705374E-2</v>
      </c>
      <c r="K169" s="101">
        <f t="shared" si="43"/>
        <v>3.095884387478736E-2</v>
      </c>
      <c r="L169" s="101">
        <f t="shared" si="52"/>
        <v>153.70318206797563</v>
      </c>
      <c r="M169" s="101">
        <f t="shared" si="44"/>
        <v>798.2441883842705</v>
      </c>
      <c r="N169" s="101">
        <f t="shared" si="45"/>
        <v>76.872644839205876</v>
      </c>
      <c r="O169" s="101">
        <f t="shared" si="46"/>
        <v>1.8349420640648968</v>
      </c>
      <c r="P169" s="101">
        <f t="shared" si="47"/>
        <v>1.8349420640648968</v>
      </c>
      <c r="Q169" s="101">
        <f t="shared" si="48"/>
        <v>0.11638055030822402</v>
      </c>
      <c r="R169" s="101">
        <f t="shared" si="49"/>
        <v>2.1378648179406174E-2</v>
      </c>
      <c r="S169" s="101">
        <f t="shared" si="53"/>
        <v>717.5639002184472</v>
      </c>
      <c r="T169" s="101">
        <f t="shared" si="54"/>
        <v>17.666920665419518</v>
      </c>
      <c r="U169" s="101">
        <f t="shared" si="54"/>
        <v>12.475159812527686</v>
      </c>
      <c r="V169" s="33">
        <f t="shared" si="55"/>
        <v>1000.0000000000033</v>
      </c>
      <c r="W169" s="105">
        <f t="shared" si="50"/>
        <v>156580.46344467532</v>
      </c>
      <c r="X169" s="112">
        <f t="shared" si="56"/>
        <v>969.85791952205614</v>
      </c>
      <c r="Y169" s="32">
        <f t="shared" si="51"/>
        <v>609.20685452731107</v>
      </c>
    </row>
    <row r="170" spans="1:25" x14ac:dyDescent="0.25">
      <c r="A170" s="4">
        <v>164</v>
      </c>
      <c r="C170" s="110">
        <f>IF(male=0,VLOOKUP(((A168:A1002/'Life tables'!$I$2)*2)+age,lifetable,13,1),IF(male=1,VLOOKUP(((A168:A1002/'Life tables'!$I$2)*2)+age,lifetable,10,1),"error"))</f>
        <v>1.3243321503420002E-4</v>
      </c>
      <c r="F170" s="101">
        <f t="shared" si="38"/>
        <v>171.62423779479127</v>
      </c>
      <c r="G170" s="101">
        <f t="shared" si="39"/>
        <v>17.240013876226808</v>
      </c>
      <c r="H170" s="101">
        <f t="shared" si="40"/>
        <v>0.39451653732696879</v>
      </c>
      <c r="I170" s="101">
        <f t="shared" si="41"/>
        <v>0.39451653732696879</v>
      </c>
      <c r="J170" s="101">
        <f t="shared" si="42"/>
        <v>2.5116394240665946E-2</v>
      </c>
      <c r="K170" s="101">
        <f t="shared" si="43"/>
        <v>3.0925804317291479E-2</v>
      </c>
      <c r="L170" s="101">
        <f t="shared" si="52"/>
        <v>153.53914864535255</v>
      </c>
      <c r="M170" s="101">
        <f t="shared" si="44"/>
        <v>798.23368172726487</v>
      </c>
      <c r="N170" s="101">
        <f t="shared" si="45"/>
        <v>76.871633025372219</v>
      </c>
      <c r="O170" s="101">
        <f t="shared" si="46"/>
        <v>1.834917912173567</v>
      </c>
      <c r="P170" s="101">
        <f t="shared" si="47"/>
        <v>1.834917912173567</v>
      </c>
      <c r="Q170" s="101">
        <f t="shared" si="48"/>
        <v>0.11637901848307326</v>
      </c>
      <c r="R170" s="101">
        <f t="shared" si="49"/>
        <v>2.1378366789166277E-2</v>
      </c>
      <c r="S170" s="101">
        <f t="shared" si="53"/>
        <v>717.55445549227329</v>
      </c>
      <c r="T170" s="101">
        <f t="shared" si="54"/>
        <v>17.808416078143257</v>
      </c>
      <c r="U170" s="101">
        <f t="shared" si="54"/>
        <v>12.527463983634144</v>
      </c>
      <c r="V170" s="33">
        <f t="shared" si="55"/>
        <v>1000.0000000000033</v>
      </c>
      <c r="W170" s="105">
        <f t="shared" si="50"/>
        <v>156379.43453768452</v>
      </c>
      <c r="X170" s="112">
        <f t="shared" si="56"/>
        <v>969.66411993822601</v>
      </c>
      <c r="Y170" s="32">
        <f t="shared" si="51"/>
        <v>608.91001292012209</v>
      </c>
    </row>
    <row r="171" spans="1:25" x14ac:dyDescent="0.25">
      <c r="A171" s="4">
        <v>165</v>
      </c>
      <c r="C171" s="110">
        <f>IF(male=0,VLOOKUP(((A169:A1003/'Life tables'!$I$2)*2)+age,lifetable,13,1),IF(male=1,VLOOKUP(((A169:A1003/'Life tables'!$I$2)*2)+age,lifetable,10,1),"error"))</f>
        <v>1.3243321503420002E-4</v>
      </c>
      <c r="F171" s="101">
        <f t="shared" si="38"/>
        <v>171.44556041731678</v>
      </c>
      <c r="G171" s="101">
        <f t="shared" si="39"/>
        <v>17.222065359708349</v>
      </c>
      <c r="H171" s="101">
        <f t="shared" si="40"/>
        <v>0.39410580757710567</v>
      </c>
      <c r="I171" s="101">
        <f t="shared" si="41"/>
        <v>0.39410580757710567</v>
      </c>
      <c r="J171" s="101">
        <f t="shared" si="42"/>
        <v>2.5090245652842919E-2</v>
      </c>
      <c r="K171" s="101">
        <f t="shared" si="43"/>
        <v>3.0893607573505736E-2</v>
      </c>
      <c r="L171" s="101">
        <f t="shared" si="52"/>
        <v>153.37929958922788</v>
      </c>
      <c r="M171" s="101">
        <f t="shared" si="44"/>
        <v>798.21855952090914</v>
      </c>
      <c r="N171" s="101">
        <f t="shared" si="45"/>
        <v>76.870176724135973</v>
      </c>
      <c r="O171" s="101">
        <f t="shared" si="46"/>
        <v>1.8348831504140111</v>
      </c>
      <c r="P171" s="101">
        <f t="shared" si="47"/>
        <v>1.8348831504140111</v>
      </c>
      <c r="Q171" s="101">
        <f t="shared" si="48"/>
        <v>0.11637681373078923</v>
      </c>
      <c r="R171" s="101">
        <f t="shared" si="49"/>
        <v>2.1377961784865489E-2</v>
      </c>
      <c r="S171" s="101">
        <f t="shared" si="53"/>
        <v>717.54086172042946</v>
      </c>
      <c r="T171" s="101">
        <f t="shared" si="54"/>
        <v>17.949883137526889</v>
      </c>
      <c r="U171" s="101">
        <f t="shared" si="54"/>
        <v>12.579735552992515</v>
      </c>
      <c r="V171" s="33">
        <f t="shared" si="55"/>
        <v>1000.0000000000032</v>
      </c>
      <c r="W171" s="105">
        <f t="shared" si="50"/>
        <v>156178.35196277211</v>
      </c>
      <c r="X171" s="112">
        <f t="shared" si="56"/>
        <v>969.47038130948397</v>
      </c>
      <c r="Y171" s="32">
        <f t="shared" si="51"/>
        <v>608.6133281312475</v>
      </c>
    </row>
    <row r="172" spans="1:25" x14ac:dyDescent="0.25">
      <c r="A172" s="4">
        <v>166</v>
      </c>
      <c r="C172" s="110">
        <f>IF(male=0,VLOOKUP(((A170:A1004/'Life tables'!$I$2)*2)+age,lifetable,13,1),IF(male=1,VLOOKUP(((A170:A1004/'Life tables'!$I$2)*2)+age,lifetable,10,1),"error"))</f>
        <v>1.3243321503420002E-4</v>
      </c>
      <c r="F172" s="101">
        <f t="shared" si="38"/>
        <v>171.27141495057199</v>
      </c>
      <c r="G172" s="101">
        <f t="shared" si="39"/>
        <v>17.20457208310745</v>
      </c>
      <c r="H172" s="101">
        <f t="shared" si="40"/>
        <v>0.39370549543347078</v>
      </c>
      <c r="I172" s="101">
        <f t="shared" si="41"/>
        <v>0.39370549543347078</v>
      </c>
      <c r="J172" s="101">
        <f t="shared" si="42"/>
        <v>2.5064760288688145E-2</v>
      </c>
      <c r="K172" s="101">
        <f t="shared" si="43"/>
        <v>3.0862227456708174E-2</v>
      </c>
      <c r="L172" s="101">
        <f t="shared" si="52"/>
        <v>153.2235048888522</v>
      </c>
      <c r="M172" s="101">
        <f t="shared" si="44"/>
        <v>798.198966358912</v>
      </c>
      <c r="N172" s="101">
        <f t="shared" si="45"/>
        <v>76.868289860184561</v>
      </c>
      <c r="O172" s="101">
        <f t="shared" si="46"/>
        <v>1.8348381111670742</v>
      </c>
      <c r="P172" s="101">
        <f t="shared" si="47"/>
        <v>1.8348381111670742</v>
      </c>
      <c r="Q172" s="101">
        <f t="shared" si="48"/>
        <v>0.11637395713250928</v>
      </c>
      <c r="R172" s="101">
        <f t="shared" si="49"/>
        <v>2.1377437039025615E-2</v>
      </c>
      <c r="S172" s="101">
        <f t="shared" si="53"/>
        <v>717.52324888222176</v>
      </c>
      <c r="T172" s="101">
        <f t="shared" si="54"/>
        <v>18.091321854948088</v>
      </c>
      <c r="U172" s="101">
        <f t="shared" si="54"/>
        <v>12.631975217488248</v>
      </c>
      <c r="V172" s="33">
        <f t="shared" si="55"/>
        <v>1000.0000000000034</v>
      </c>
      <c r="W172" s="105">
        <f t="shared" si="50"/>
        <v>155977.22625663684</v>
      </c>
      <c r="X172" s="112">
        <f t="shared" si="56"/>
        <v>969.27670292756704</v>
      </c>
      <c r="Y172" s="32">
        <f t="shared" si="51"/>
        <v>608.31679969599747</v>
      </c>
    </row>
    <row r="173" spans="1:25" x14ac:dyDescent="0.25">
      <c r="A173" s="4">
        <v>167</v>
      </c>
      <c r="C173" s="110">
        <f>IF(male=0,VLOOKUP(((A171:A1005/'Life tables'!$I$2)*2)+age,lifetable,13,1),IF(male=1,VLOOKUP(((A171:A1005/'Life tables'!$I$2)*2)+age,lifetable,10,1),"error"))</f>
        <v>1.3243321503420002E-4</v>
      </c>
      <c r="F173" s="101">
        <f t="shared" si="38"/>
        <v>171.10166059171834</v>
      </c>
      <c r="G173" s="101">
        <f t="shared" si="39"/>
        <v>17.187519902484304</v>
      </c>
      <c r="H173" s="101">
        <f t="shared" si="40"/>
        <v>0.39331527722937781</v>
      </c>
      <c r="I173" s="101">
        <f t="shared" si="41"/>
        <v>0.39331527722937781</v>
      </c>
      <c r="J173" s="101">
        <f t="shared" si="42"/>
        <v>2.5039917542373148E-2</v>
      </c>
      <c r="K173" s="101">
        <f t="shared" si="43"/>
        <v>3.0831638594951992E-2</v>
      </c>
      <c r="L173" s="101">
        <f t="shared" si="52"/>
        <v>153.07163857863796</v>
      </c>
      <c r="M173" s="101">
        <f t="shared" si="44"/>
        <v>798.17504233584873</v>
      </c>
      <c r="N173" s="101">
        <f t="shared" si="45"/>
        <v>76.86598592492912</v>
      </c>
      <c r="O173" s="101">
        <f t="shared" si="46"/>
        <v>1.8347831164713417</v>
      </c>
      <c r="P173" s="101">
        <f t="shared" si="47"/>
        <v>1.8347831164713417</v>
      </c>
      <c r="Q173" s="101">
        <f t="shared" si="48"/>
        <v>0.11637046911341663</v>
      </c>
      <c r="R173" s="101">
        <f t="shared" si="49"/>
        <v>2.1376796303672264E-2</v>
      </c>
      <c r="S173" s="101">
        <f t="shared" si="53"/>
        <v>717.50174291255985</v>
      </c>
      <c r="T173" s="101">
        <f t="shared" si="54"/>
        <v>18.232732241603877</v>
      </c>
      <c r="U173" s="101">
        <f t="shared" si="54"/>
        <v>12.684183652386873</v>
      </c>
      <c r="V173" s="33">
        <f t="shared" si="55"/>
        <v>1000.0000000000034</v>
      </c>
      <c r="W173" s="105">
        <f t="shared" si="50"/>
        <v>155776.06760452737</v>
      </c>
      <c r="X173" s="112">
        <f t="shared" si="56"/>
        <v>969.08308410601262</v>
      </c>
      <c r="Y173" s="32">
        <f t="shared" si="51"/>
        <v>608.0204271621011</v>
      </c>
    </row>
    <row r="174" spans="1:25" x14ac:dyDescent="0.25">
      <c r="A174" s="4">
        <v>168</v>
      </c>
      <c r="C174" s="110">
        <f>IF(male=0,VLOOKUP(((A172:A1006/'Life tables'!$I$2)*2)+age,lifetable,13,1),IF(male=1,VLOOKUP(((A172:A1006/'Life tables'!$I$2)*2)+age,lifetable,10,1),"error"))</f>
        <v>1.3243321503420002E-4</v>
      </c>
      <c r="F174" s="101">
        <f t="shared" si="38"/>
        <v>170.93616091886366</v>
      </c>
      <c r="G174" s="101">
        <f t="shared" si="39"/>
        <v>17.170895113974318</v>
      </c>
      <c r="H174" s="101">
        <f t="shared" si="40"/>
        <v>0.39293483936872181</v>
      </c>
      <c r="I174" s="101">
        <f t="shared" si="41"/>
        <v>0.39293483936872181</v>
      </c>
      <c r="J174" s="101">
        <f t="shared" si="42"/>
        <v>2.5015697449200236E-2</v>
      </c>
      <c r="K174" s="101">
        <f t="shared" si="43"/>
        <v>3.0801816405714368E-2</v>
      </c>
      <c r="L174" s="101">
        <f t="shared" si="52"/>
        <v>152.92357861229698</v>
      </c>
      <c r="M174" s="101">
        <f t="shared" si="44"/>
        <v>798.14692318714913</v>
      </c>
      <c r="N174" s="101">
        <f t="shared" si="45"/>
        <v>76.863277989985633</v>
      </c>
      <c r="O174" s="101">
        <f t="shared" si="46"/>
        <v>1.834718478344932</v>
      </c>
      <c r="P174" s="101">
        <f t="shared" si="47"/>
        <v>1.834718478344932</v>
      </c>
      <c r="Q174" s="101">
        <f t="shared" si="48"/>
        <v>0.11636636946314988</v>
      </c>
      <c r="R174" s="101">
        <f t="shared" si="49"/>
        <v>2.1376043214084012E-2</v>
      </c>
      <c r="S174" s="101">
        <f t="shared" si="53"/>
        <v>717.47646582779635</v>
      </c>
      <c r="T174" s="101">
        <f t="shared" si="54"/>
        <v>18.374114308516226</v>
      </c>
      <c r="U174" s="101">
        <f t="shared" si="54"/>
        <v>12.73636151200667</v>
      </c>
      <c r="V174" s="33">
        <f t="shared" si="55"/>
        <v>1000.0000000000034</v>
      </c>
      <c r="W174" s="105">
        <f t="shared" si="50"/>
        <v>155574.88585158522</v>
      </c>
      <c r="X174" s="112">
        <f t="shared" si="56"/>
        <v>968.88952417948065</v>
      </c>
      <c r="Y174" s="32">
        <f t="shared" si="51"/>
        <v>607.72421008931678</v>
      </c>
    </row>
    <row r="175" spans="1:25" x14ac:dyDescent="0.25">
      <c r="A175" s="4">
        <v>169</v>
      </c>
      <c r="C175" s="110">
        <f>IF(male=0,VLOOKUP(((A173:A1007/'Life tables'!$I$2)*2)+age,lifetable,13,1),IF(male=1,VLOOKUP(((A173:A1007/'Life tables'!$I$2)*2)+age,lifetable,10,1),"error"))</f>
        <v>1.3243321503420002E-4</v>
      </c>
      <c r="F175" s="101">
        <f t="shared" si="38"/>
        <v>170.7747837547517</v>
      </c>
      <c r="G175" s="101">
        <f t="shared" si="39"/>
        <v>17.154684440095476</v>
      </c>
      <c r="H175" s="101">
        <f t="shared" si="40"/>
        <v>0.39256387801263859</v>
      </c>
      <c r="I175" s="101">
        <f t="shared" si="41"/>
        <v>0.39256387801263859</v>
      </c>
      <c r="J175" s="101">
        <f t="shared" si="42"/>
        <v>2.4992080665654063E-2</v>
      </c>
      <c r="K175" s="101">
        <f t="shared" si="43"/>
        <v>3.0772737071334023E-2</v>
      </c>
      <c r="L175" s="101">
        <f t="shared" si="52"/>
        <v>152.77920674089395</v>
      </c>
      <c r="M175" s="101">
        <f t="shared" si="44"/>
        <v>798.11474042472889</v>
      </c>
      <c r="N175" s="101">
        <f t="shared" si="45"/>
        <v>76.860178720236505</v>
      </c>
      <c r="O175" s="101">
        <f t="shared" si="46"/>
        <v>1.8346444990972757</v>
      </c>
      <c r="P175" s="101">
        <f t="shared" si="47"/>
        <v>1.8346444990972757</v>
      </c>
      <c r="Q175" s="101">
        <f t="shared" si="48"/>
        <v>0.11636167735557751</v>
      </c>
      <c r="R175" s="101">
        <f t="shared" si="49"/>
        <v>2.1375181292424907E-2</v>
      </c>
      <c r="S175" s="101">
        <f t="shared" si="53"/>
        <v>717.44753584764976</v>
      </c>
      <c r="T175" s="101">
        <f t="shared" si="54"/>
        <v>18.515468066537458</v>
      </c>
      <c r="U175" s="101">
        <f t="shared" si="54"/>
        <v>12.788509430370429</v>
      </c>
      <c r="V175" s="33">
        <f t="shared" si="55"/>
        <v>1000.0000000000034</v>
      </c>
      <c r="W175" s="105">
        <f t="shared" si="50"/>
        <v>155373.69051382091</v>
      </c>
      <c r="X175" s="112">
        <f t="shared" si="56"/>
        <v>968.69602250309549</v>
      </c>
      <c r="Y175" s="32">
        <f t="shared" si="51"/>
        <v>607.42814804905674</v>
      </c>
    </row>
    <row r="176" spans="1:25" x14ac:dyDescent="0.25">
      <c r="A176" s="4">
        <v>170</v>
      </c>
      <c r="C176" s="110">
        <f>IF(male=0,VLOOKUP(((A174:A1008/'Life tables'!$I$2)*2)+age,lifetable,13,1),IF(male=1,VLOOKUP(((A174:A1008/'Life tables'!$I$2)*2)+age,lifetable,10,1),"error"))</f>
        <v>1.3243321503420002E-4</v>
      </c>
      <c r="F176" s="101">
        <f t="shared" si="38"/>
        <v>170.61740103469322</v>
      </c>
      <c r="G176" s="101">
        <f t="shared" si="39"/>
        <v>17.138875016481716</v>
      </c>
      <c r="H176" s="101">
        <f t="shared" si="40"/>
        <v>0.39220209877591555</v>
      </c>
      <c r="I176" s="101">
        <f t="shared" si="41"/>
        <v>0.39220209877591555</v>
      </c>
      <c r="J176" s="101">
        <f t="shared" si="42"/>
        <v>2.4969048450073979E-2</v>
      </c>
      <c r="K176" s="101">
        <f t="shared" si="43"/>
        <v>3.0744377515213105E-2</v>
      </c>
      <c r="L176" s="101">
        <f t="shared" si="52"/>
        <v>152.63840839469438</v>
      </c>
      <c r="M176" s="101">
        <f t="shared" si="44"/>
        <v>798.07862146840239</v>
      </c>
      <c r="N176" s="101">
        <f t="shared" si="45"/>
        <v>76.85670038648594</v>
      </c>
      <c r="O176" s="101">
        <f t="shared" si="46"/>
        <v>1.8345614716311969</v>
      </c>
      <c r="P176" s="101">
        <f t="shared" si="47"/>
        <v>1.8345614716311969</v>
      </c>
      <c r="Q176" s="101">
        <f t="shared" si="48"/>
        <v>0.11635641136795742</v>
      </c>
      <c r="R176" s="101">
        <f t="shared" si="49"/>
        <v>2.137421395126396E-2</v>
      </c>
      <c r="S176" s="101">
        <f t="shared" si="53"/>
        <v>717.41506751333486</v>
      </c>
      <c r="T176" s="101">
        <f t="shared" si="54"/>
        <v>18.656793526355489</v>
      </c>
      <c r="U176" s="101">
        <f t="shared" si="54"/>
        <v>12.840628021836906</v>
      </c>
      <c r="V176" s="33">
        <f t="shared" si="55"/>
        <v>1000.0000000000035</v>
      </c>
      <c r="W176" s="105">
        <f t="shared" si="50"/>
        <v>155172.49078873836</v>
      </c>
      <c r="X176" s="112">
        <f t="shared" si="56"/>
        <v>968.50257845181113</v>
      </c>
      <c r="Y176" s="32">
        <f t="shared" si="51"/>
        <v>607.13224062402105</v>
      </c>
    </row>
    <row r="177" spans="1:25" x14ac:dyDescent="0.25">
      <c r="A177" s="4">
        <v>171</v>
      </c>
      <c r="C177" s="110">
        <f>IF(male=0,VLOOKUP(((A175:A1009/'Life tables'!$I$2)*2)+age,lifetable,13,1),IF(male=1,VLOOKUP(((A175:A1009/'Life tables'!$I$2)*2)+age,lifetable,10,1),"error"))</f>
        <v>1.3243321503420002E-4</v>
      </c>
      <c r="F177" s="101">
        <f t="shared" si="38"/>
        <v>170.4638886786062</v>
      </c>
      <c r="G177" s="101">
        <f t="shared" si="39"/>
        <v>17.123454379029116</v>
      </c>
      <c r="H177" s="101">
        <f t="shared" si="40"/>
        <v>0.39184921643284715</v>
      </c>
      <c r="I177" s="101">
        <f t="shared" si="41"/>
        <v>0.39184921643284715</v>
      </c>
      <c r="J177" s="101">
        <f t="shared" si="42"/>
        <v>2.4946582643927739E-2</v>
      </c>
      <c r="K177" s="101">
        <f t="shared" si="43"/>
        <v>3.0716715378759453E-2</v>
      </c>
      <c r="L177" s="101">
        <f t="shared" si="52"/>
        <v>152.5010725686887</v>
      </c>
      <c r="M177" s="101">
        <f t="shared" si="44"/>
        <v>798.03868977320508</v>
      </c>
      <c r="N177" s="101">
        <f t="shared" si="45"/>
        <v>76.852854877721327</v>
      </c>
      <c r="O177" s="101">
        <f t="shared" si="46"/>
        <v>1.8344696797355926</v>
      </c>
      <c r="P177" s="101">
        <f t="shared" si="47"/>
        <v>1.8344696797355926</v>
      </c>
      <c r="Q177" s="101">
        <f t="shared" si="48"/>
        <v>0.11635058949949983</v>
      </c>
      <c r="R177" s="101">
        <f t="shared" si="49"/>
        <v>2.1373144496985113E-2</v>
      </c>
      <c r="S177" s="101">
        <f t="shared" si="53"/>
        <v>717.37917180201612</v>
      </c>
      <c r="T177" s="101">
        <f t="shared" si="54"/>
        <v>18.798090698498918</v>
      </c>
      <c r="U177" s="101">
        <f t="shared" si="54"/>
        <v>12.892717881712651</v>
      </c>
      <c r="V177" s="33">
        <f t="shared" si="55"/>
        <v>1000.0000000000036</v>
      </c>
      <c r="W177" s="105">
        <f t="shared" si="50"/>
        <v>154971.29556561456</v>
      </c>
      <c r="X177" s="112">
        <f t="shared" si="56"/>
        <v>968.30919141979211</v>
      </c>
      <c r="Y177" s="32">
        <f t="shared" si="51"/>
        <v>606.83648740784486</v>
      </c>
    </row>
    <row r="178" spans="1:25" x14ac:dyDescent="0.25">
      <c r="A178" s="4">
        <v>172</v>
      </c>
      <c r="C178" s="110">
        <f>IF(male=0,VLOOKUP(((A176:A1010/'Life tables'!$I$2)*2)+age,lifetable,13,1),IF(male=1,VLOOKUP(((A176:A1010/'Life tables'!$I$2)*2)+age,lifetable,10,1),"error"))</f>
        <v>1.3243321503420002E-4</v>
      </c>
      <c r="F178" s="101">
        <f t="shared" si="38"/>
        <v>170.31412646703745</v>
      </c>
      <c r="G178" s="101">
        <f t="shared" si="39"/>
        <v>17.108410451441994</v>
      </c>
      <c r="H178" s="101">
        <f t="shared" si="40"/>
        <v>0.39150495463224311</v>
      </c>
      <c r="I178" s="101">
        <f t="shared" si="41"/>
        <v>0.39150495463224311</v>
      </c>
      <c r="J178" s="101">
        <f t="shared" si="42"/>
        <v>2.4924665653667816E-2</v>
      </c>
      <c r="K178" s="101">
        <f t="shared" si="43"/>
        <v>3.0689728999046359E-2</v>
      </c>
      <c r="L178" s="101">
        <f t="shared" si="52"/>
        <v>152.36709171167826</v>
      </c>
      <c r="M178" s="101">
        <f t="shared" si="44"/>
        <v>797.99506495275477</v>
      </c>
      <c r="N178" s="101">
        <f t="shared" si="45"/>
        <v>76.84865371299324</v>
      </c>
      <c r="O178" s="101">
        <f t="shared" si="46"/>
        <v>1.8343693983690053</v>
      </c>
      <c r="P178" s="101">
        <f t="shared" si="47"/>
        <v>1.8343693983690053</v>
      </c>
      <c r="Q178" s="101">
        <f t="shared" si="48"/>
        <v>0.11634422918935292</v>
      </c>
      <c r="R178" s="101">
        <f t="shared" si="49"/>
        <v>2.1371976133091122E-2</v>
      </c>
      <c r="S178" s="101">
        <f t="shared" si="53"/>
        <v>717.33995623770102</v>
      </c>
      <c r="T178" s="101">
        <f t="shared" si="54"/>
        <v>18.939359593341937</v>
      </c>
      <c r="U178" s="101">
        <f t="shared" si="54"/>
        <v>12.944779586844788</v>
      </c>
      <c r="V178" s="33">
        <f t="shared" si="55"/>
        <v>1000.0000000000038</v>
      </c>
      <c r="W178" s="105">
        <f t="shared" si="50"/>
        <v>154770.11343544954</v>
      </c>
      <c r="X178" s="112">
        <f t="shared" si="56"/>
        <v>968.11586081981704</v>
      </c>
      <c r="Y178" s="32">
        <f t="shared" si="51"/>
        <v>606.54088800475643</v>
      </c>
    </row>
    <row r="179" spans="1:25" x14ac:dyDescent="0.25">
      <c r="A179" s="4">
        <v>173</v>
      </c>
      <c r="C179" s="110">
        <f>IF(male=0,VLOOKUP(((A177:A1011/'Life tables'!$I$2)*2)+age,lifetable,13,1),IF(male=1,VLOOKUP(((A177:A1011/'Life tables'!$I$2)*2)+age,lifetable,10,1),"error"))</f>
        <v>1.3243321503420002E-4</v>
      </c>
      <c r="F179" s="101">
        <f t="shared" si="38"/>
        <v>170.1679979210416</v>
      </c>
      <c r="G179" s="101">
        <f t="shared" si="39"/>
        <v>17.093731533166515</v>
      </c>
      <c r="H179" s="101">
        <f t="shared" si="40"/>
        <v>0.39116904562130356</v>
      </c>
      <c r="I179" s="101">
        <f t="shared" si="41"/>
        <v>0.39116904562130356</v>
      </c>
      <c r="J179" s="101">
        <f t="shared" si="42"/>
        <v>2.4903280433152312E-2</v>
      </c>
      <c r="K179" s="101">
        <f t="shared" si="43"/>
        <v>3.0663397387167383E-2</v>
      </c>
      <c r="L179" s="101">
        <f t="shared" si="52"/>
        <v>152.23636161881217</v>
      </c>
      <c r="M179" s="101">
        <f t="shared" si="44"/>
        <v>797.94786289877538</v>
      </c>
      <c r="N179" s="101">
        <f t="shared" si="45"/>
        <v>76.844108052925748</v>
      </c>
      <c r="O179" s="101">
        <f t="shared" si="46"/>
        <v>1.8342608939343756</v>
      </c>
      <c r="P179" s="101">
        <f t="shared" si="47"/>
        <v>1.8342608939343756</v>
      </c>
      <c r="Q179" s="101">
        <f t="shared" si="48"/>
        <v>0.11633734733402877</v>
      </c>
      <c r="R179" s="101">
        <f t="shared" si="49"/>
        <v>2.1370711963404634E-2</v>
      </c>
      <c r="S179" s="101">
        <f t="shared" si="53"/>
        <v>717.29752499868346</v>
      </c>
      <c r="T179" s="101">
        <f t="shared" si="54"/>
        <v>19.080600221109119</v>
      </c>
      <c r="U179" s="101">
        <f t="shared" si="54"/>
        <v>12.99681369619536</v>
      </c>
      <c r="V179" s="33">
        <f t="shared" si="55"/>
        <v>1000.0000000000036</v>
      </c>
      <c r="W179" s="105">
        <f t="shared" si="50"/>
        <v>154568.95270059488</v>
      </c>
      <c r="X179" s="112">
        <f t="shared" si="56"/>
        <v>967.92258608269924</v>
      </c>
      <c r="Y179" s="32">
        <f t="shared" si="51"/>
        <v>606.24544202924494</v>
      </c>
    </row>
    <row r="180" spans="1:25" x14ac:dyDescent="0.25">
      <c r="A180" s="4">
        <v>174</v>
      </c>
      <c r="C180" s="110">
        <f>IF(male=0,VLOOKUP(((A178:A1012/'Life tables'!$I$2)*2)+age,lifetable,13,1),IF(male=1,VLOOKUP(((A178:A1012/'Life tables'!$I$2)*2)+age,lifetable,10,1),"error"))</f>
        <v>1.3243321503420002E-4</v>
      </c>
      <c r="F180" s="101">
        <f t="shared" si="38"/>
        <v>170.02539018579787</v>
      </c>
      <c r="G180" s="101">
        <f t="shared" si="39"/>
        <v>17.079406287699737</v>
      </c>
      <c r="H180" s="101">
        <f t="shared" si="40"/>
        <v>0.39084122997808612</v>
      </c>
      <c r="I180" s="101">
        <f t="shared" si="41"/>
        <v>0.39084122997808612</v>
      </c>
      <c r="J180" s="101">
        <f t="shared" si="42"/>
        <v>2.4882410466612777E-2</v>
      </c>
      <c r="K180" s="101">
        <f t="shared" si="43"/>
        <v>3.0637700207264664E-2</v>
      </c>
      <c r="L180" s="101">
        <f t="shared" si="52"/>
        <v>152.10878132746808</v>
      </c>
      <c r="M180" s="101">
        <f t="shared" si="44"/>
        <v>797.89719589690139</v>
      </c>
      <c r="N180" s="101">
        <f t="shared" si="45"/>
        <v>76.839228710868767</v>
      </c>
      <c r="O180" s="101">
        <f t="shared" si="46"/>
        <v>1.8341444245452445</v>
      </c>
      <c r="P180" s="101">
        <f t="shared" si="47"/>
        <v>1.8341444245452445</v>
      </c>
      <c r="Q180" s="101">
        <f t="shared" si="48"/>
        <v>0.11632996030428727</v>
      </c>
      <c r="R180" s="101">
        <f t="shared" si="49"/>
        <v>2.1369354995169686E-2</v>
      </c>
      <c r="S180" s="101">
        <f t="shared" si="53"/>
        <v>717.25197902164268</v>
      </c>
      <c r="T180" s="101">
        <f t="shared" si="54"/>
        <v>19.22181259188002</v>
      </c>
      <c r="U180" s="101">
        <f t="shared" si="54"/>
        <v>13.048820751397795</v>
      </c>
      <c r="V180" s="33">
        <f t="shared" si="55"/>
        <v>1000.0000000000038</v>
      </c>
      <c r="W180" s="105">
        <f t="shared" si="50"/>
        <v>154367.82138407254</v>
      </c>
      <c r="X180" s="112">
        <f t="shared" si="56"/>
        <v>967.72936665672592</v>
      </c>
      <c r="Y180" s="32">
        <f t="shared" si="51"/>
        <v>605.95014910574037</v>
      </c>
    </row>
    <row r="181" spans="1:25" x14ac:dyDescent="0.25">
      <c r="A181" s="4">
        <v>175</v>
      </c>
      <c r="C181" s="110">
        <f>IF(male=0,VLOOKUP(((A179:A1013/'Life tables'!$I$2)*2)+age,lifetable,13,1),IF(male=1,VLOOKUP(((A179:A1013/'Life tables'!$I$2)*2)+age,lifetable,10,1),"error"))</f>
        <v>1.3243321503420002E-4</v>
      </c>
      <c r="F181" s="101">
        <f t="shared" si="38"/>
        <v>169.88619391784769</v>
      </c>
      <c r="G181" s="101">
        <f t="shared" si="39"/>
        <v>17.065423731262403</v>
      </c>
      <c r="H181" s="101">
        <f t="shared" si="40"/>
        <v>0.39052125635229673</v>
      </c>
      <c r="I181" s="101">
        <f t="shared" si="41"/>
        <v>0.39052125635229673</v>
      </c>
      <c r="J181" s="101">
        <f t="shared" si="42"/>
        <v>2.4862039752152003E-2</v>
      </c>
      <c r="K181" s="101">
        <f t="shared" si="43"/>
        <v>3.0612617756209749E-2</v>
      </c>
      <c r="L181" s="101">
        <f t="shared" si="52"/>
        <v>151.98425301637235</v>
      </c>
      <c r="M181" s="101">
        <f t="shared" si="44"/>
        <v>797.84317273887814</v>
      </c>
      <c r="N181" s="101">
        <f t="shared" si="45"/>
        <v>76.834026163703072</v>
      </c>
      <c r="O181" s="101">
        <f t="shared" si="46"/>
        <v>1.8340202402836701</v>
      </c>
      <c r="P181" s="101">
        <f t="shared" si="47"/>
        <v>1.8340202402836701</v>
      </c>
      <c r="Q181" s="101">
        <f t="shared" si="48"/>
        <v>0.11632208396149442</v>
      </c>
      <c r="R181" s="101">
        <f t="shared" si="49"/>
        <v>2.136790814205666E-2</v>
      </c>
      <c r="S181" s="101">
        <f t="shared" si="53"/>
        <v>717.20341610250421</v>
      </c>
      <c r="T181" s="101">
        <f t="shared" si="54"/>
        <v>19.362996715593667</v>
      </c>
      <c r="U181" s="101">
        <f t="shared" si="54"/>
        <v>13.10080127729606</v>
      </c>
      <c r="V181" s="33">
        <f t="shared" si="55"/>
        <v>1000.0000000000038</v>
      </c>
      <c r="W181" s="105">
        <f t="shared" si="50"/>
        <v>154166.72723859246</v>
      </c>
      <c r="X181" s="112">
        <f t="shared" si="56"/>
        <v>967.53620200711396</v>
      </c>
      <c r="Y181" s="32">
        <f t="shared" si="51"/>
        <v>605.65500886830125</v>
      </c>
    </row>
    <row r="182" spans="1:25" x14ac:dyDescent="0.25">
      <c r="A182" s="4">
        <v>176</v>
      </c>
      <c r="C182" s="110">
        <f>IF(male=0,VLOOKUP(((A180:A1014/'Life tables'!$I$2)*2)+age,lifetable,13,1),IF(male=1,VLOOKUP(((A180:A1014/'Life tables'!$I$2)*2)+age,lifetable,10,1),"error"))</f>
        <v>1.3243321503420002E-4</v>
      </c>
      <c r="F182" s="101">
        <f t="shared" si="38"/>
        <v>169.75030317584105</v>
      </c>
      <c r="G182" s="101">
        <f t="shared" si="39"/>
        <v>17.051773221824181</v>
      </c>
      <c r="H182" s="101">
        <f t="shared" si="40"/>
        <v>0.39020888121414549</v>
      </c>
      <c r="I182" s="101">
        <f t="shared" si="41"/>
        <v>0.39020888121414549</v>
      </c>
      <c r="J182" s="101">
        <f t="shared" si="42"/>
        <v>2.4842152785755238E-2</v>
      </c>
      <c r="K182" s="101">
        <f t="shared" si="43"/>
        <v>3.0588130943916644E-2</v>
      </c>
      <c r="L182" s="101">
        <f t="shared" si="52"/>
        <v>151.8626819078589</v>
      </c>
      <c r="M182" s="101">
        <f t="shared" si="44"/>
        <v>797.78589883127279</v>
      </c>
      <c r="N182" s="101">
        <f t="shared" si="45"/>
        <v>76.828510562309447</v>
      </c>
      <c r="O182" s="101">
        <f t="shared" si="46"/>
        <v>1.8338885834501251</v>
      </c>
      <c r="P182" s="101">
        <f t="shared" si="47"/>
        <v>1.8338885834501251</v>
      </c>
      <c r="Q182" s="101">
        <f t="shared" si="48"/>
        <v>0.11631373367347175</v>
      </c>
      <c r="R182" s="101">
        <f t="shared" si="49"/>
        <v>2.1366374227073784E-2</v>
      </c>
      <c r="S182" s="101">
        <f t="shared" si="53"/>
        <v>717.15193099416251</v>
      </c>
      <c r="T182" s="101">
        <f t="shared" si="54"/>
        <v>19.504152602052894</v>
      </c>
      <c r="U182" s="101">
        <f t="shared" si="54"/>
        <v>13.15275578246705</v>
      </c>
      <c r="V182" s="33">
        <f t="shared" si="55"/>
        <v>1000.0000000000034</v>
      </c>
      <c r="W182" s="105">
        <f t="shared" si="50"/>
        <v>153965.67775528011</v>
      </c>
      <c r="X182" s="112">
        <f t="shared" si="56"/>
        <v>967.34309161548356</v>
      </c>
      <c r="Y182" s="32">
        <f t="shared" si="51"/>
        <v>605.36002096031393</v>
      </c>
    </row>
    <row r="183" spans="1:25" x14ac:dyDescent="0.25">
      <c r="A183" s="4">
        <v>177</v>
      </c>
      <c r="C183" s="110">
        <f>IF(male=0,VLOOKUP(((A181:A1015/'Life tables'!$I$2)*2)+age,lifetable,13,1),IF(male=1,VLOOKUP(((A181:A1015/'Life tables'!$I$2)*2)+age,lifetable,10,1),"error"))</f>
        <v>1.3243321503420002E-4</v>
      </c>
      <c r="F183" s="101">
        <f t="shared" si="38"/>
        <v>169.61761531468221</v>
      </c>
      <c r="G183" s="101">
        <f t="shared" si="39"/>
        <v>17.038444448470383</v>
      </c>
      <c r="H183" s="101">
        <f t="shared" si="40"/>
        <v>0.38990386861101711</v>
      </c>
      <c r="I183" s="101">
        <f t="shared" si="41"/>
        <v>0.38990386861101711</v>
      </c>
      <c r="J183" s="101">
        <f t="shared" si="42"/>
        <v>2.4822734545798933E-2</v>
      </c>
      <c r="K183" s="101">
        <f t="shared" si="43"/>
        <v>3.0564221274267389E-2</v>
      </c>
      <c r="L183" s="101">
        <f t="shared" si="52"/>
        <v>151.74397617316973</v>
      </c>
      <c r="M183" s="101">
        <f t="shared" si="44"/>
        <v>797.72547630080146</v>
      </c>
      <c r="N183" s="101">
        <f t="shared" si="45"/>
        <v>76.822691741711949</v>
      </c>
      <c r="O183" s="101">
        <f t="shared" si="46"/>
        <v>1.8337496888056135</v>
      </c>
      <c r="P183" s="101">
        <f t="shared" si="47"/>
        <v>1.8337496888056135</v>
      </c>
      <c r="Q183" s="101">
        <f t="shared" si="48"/>
        <v>0.11630492432985287</v>
      </c>
      <c r="R183" s="101">
        <f t="shared" si="49"/>
        <v>2.1364755985388031E-2</v>
      </c>
      <c r="S183" s="101">
        <f t="shared" si="53"/>
        <v>717.09761550116309</v>
      </c>
      <c r="T183" s="101">
        <f t="shared" si="54"/>
        <v>19.645280260928544</v>
      </c>
      <c r="U183" s="101">
        <f t="shared" si="54"/>
        <v>13.204684759726705</v>
      </c>
      <c r="V183" s="33">
        <f t="shared" si="55"/>
        <v>1000.0000000000036</v>
      </c>
      <c r="W183" s="105">
        <f t="shared" si="50"/>
        <v>153764.68017212299</v>
      </c>
      <c r="X183" s="112">
        <f t="shared" si="56"/>
        <v>967.15003497934845</v>
      </c>
      <c r="Y183" s="32">
        <f t="shared" si="51"/>
        <v>605.06518503420261</v>
      </c>
    </row>
    <row r="184" spans="1:25" x14ac:dyDescent="0.25">
      <c r="A184" s="4">
        <v>178</v>
      </c>
      <c r="C184" s="110">
        <f>IF(male=0,VLOOKUP(((A182:A1016/'Life tables'!$I$2)*2)+age,lifetable,13,1),IF(male=1,VLOOKUP(((A182:A1016/'Life tables'!$I$2)*2)+age,lifetable,10,1),"error"))</f>
        <v>1.3243321503420002E-4</v>
      </c>
      <c r="F184" s="101">
        <f t="shared" si="38"/>
        <v>169.48803088296884</v>
      </c>
      <c r="G184" s="101">
        <f t="shared" si="39"/>
        <v>17.025427421099501</v>
      </c>
      <c r="H184" s="101">
        <f t="shared" si="40"/>
        <v>0.38960598993171214</v>
      </c>
      <c r="I184" s="101">
        <f t="shared" si="41"/>
        <v>0.38960598993171214</v>
      </c>
      <c r="J184" s="101">
        <f t="shared" si="42"/>
        <v>2.4803770478041463E-2</v>
      </c>
      <c r="K184" s="101">
        <f t="shared" si="43"/>
        <v>3.0540870826631157E-2</v>
      </c>
      <c r="L184" s="101">
        <f t="shared" si="52"/>
        <v>151.62804684070124</v>
      </c>
      <c r="M184" s="101">
        <f t="shared" si="44"/>
        <v>797.66200409637952</v>
      </c>
      <c r="N184" s="101">
        <f t="shared" si="45"/>
        <v>76.816579230905489</v>
      </c>
      <c r="O184" s="101">
        <f t="shared" si="46"/>
        <v>1.8336037838062567</v>
      </c>
      <c r="P184" s="101">
        <f t="shared" si="47"/>
        <v>1.8336037838062567</v>
      </c>
      <c r="Q184" s="101">
        <f t="shared" si="48"/>
        <v>0.1162956703569616</v>
      </c>
      <c r="R184" s="101">
        <f t="shared" si="49"/>
        <v>2.1363056067058208E-2</v>
      </c>
      <c r="S184" s="101">
        <f t="shared" si="53"/>
        <v>717.04055857143749</v>
      </c>
      <c r="T184" s="101">
        <f t="shared" si="54"/>
        <v>19.786379701763547</v>
      </c>
      <c r="U184" s="101">
        <f t="shared" si="54"/>
        <v>13.256588686620395</v>
      </c>
      <c r="V184" s="33">
        <f t="shared" si="55"/>
        <v>1000.0000000000035</v>
      </c>
      <c r="W184" s="105">
        <f t="shared" si="50"/>
        <v>153563.74148214405</v>
      </c>
      <c r="X184" s="112">
        <f t="shared" si="56"/>
        <v>966.95703161161964</v>
      </c>
      <c r="Y184" s="32">
        <f t="shared" si="51"/>
        <v>604.77050075114323</v>
      </c>
    </row>
    <row r="185" spans="1:25" x14ac:dyDescent="0.25">
      <c r="A185" s="4">
        <v>179</v>
      </c>
      <c r="C185" s="110">
        <f>IF(male=0,VLOOKUP(((A183:A1017/'Life tables'!$I$2)*2)+age,lifetable,13,1),IF(male=1,VLOOKUP(((A183:A1017/'Life tables'!$I$2)*2)+age,lifetable,10,1),"error"))</f>
        <v>1.3243321503420002E-4</v>
      </c>
      <c r="F185" s="101">
        <f t="shared" si="38"/>
        <v>169.36145352362246</v>
      </c>
      <c r="G185" s="101">
        <f t="shared" si="39"/>
        <v>17.012712460441339</v>
      </c>
      <c r="H185" s="101">
        <f t="shared" si="40"/>
        <v>0.38931502367802345</v>
      </c>
      <c r="I185" s="101">
        <f t="shared" si="41"/>
        <v>0.38931502367802345</v>
      </c>
      <c r="J185" s="101">
        <f t="shared" si="42"/>
        <v>2.4785246481080797E-2</v>
      </c>
      <c r="K185" s="101">
        <f t="shared" si="43"/>
        <v>3.051806223795835E-2</v>
      </c>
      <c r="L185" s="101">
        <f t="shared" si="52"/>
        <v>151.51480770710603</v>
      </c>
      <c r="M185" s="101">
        <f t="shared" si="44"/>
        <v>797.59557808799707</v>
      </c>
      <c r="N185" s="101">
        <f t="shared" si="45"/>
        <v>76.81018226237785</v>
      </c>
      <c r="O185" s="101">
        <f t="shared" si="46"/>
        <v>1.8334510888305806</v>
      </c>
      <c r="P185" s="101">
        <f t="shared" si="47"/>
        <v>1.8334510888305806</v>
      </c>
      <c r="Q185" s="101">
        <f t="shared" si="48"/>
        <v>0.11628598573222797</v>
      </c>
      <c r="R185" s="101">
        <f t="shared" si="49"/>
        <v>2.1361277039683081E-2</v>
      </c>
      <c r="S185" s="101">
        <f t="shared" si="53"/>
        <v>716.98084638518617</v>
      </c>
      <c r="T185" s="101">
        <f t="shared" si="54"/>
        <v>19.927450933976857</v>
      </c>
      <c r="U185" s="101">
        <f t="shared" si="54"/>
        <v>13.308468025898037</v>
      </c>
      <c r="V185" s="33">
        <f t="shared" si="55"/>
        <v>1000.0000000000034</v>
      </c>
      <c r="W185" s="105">
        <f t="shared" si="50"/>
        <v>153362.86844131231</v>
      </c>
      <c r="X185" s="112">
        <f t="shared" si="56"/>
        <v>966.76408104012853</v>
      </c>
      <c r="Y185" s="32">
        <f t="shared" si="51"/>
        <v>604.47596778079287</v>
      </c>
    </row>
    <row r="186" spans="1:25" x14ac:dyDescent="0.25">
      <c r="A186" s="4">
        <v>180</v>
      </c>
      <c r="C186" s="110">
        <f>IF(male=0,VLOOKUP(((A184:A1018/'Life tables'!$I$2)*2)+age,lifetable,13,1),IF(male=1,VLOOKUP(((A184:A1018/'Life tables'!$I$2)*2)+age,lifetable,10,1),"error"))</f>
        <v>1.3243321503420002E-4</v>
      </c>
      <c r="F186" s="101">
        <f t="shared" si="38"/>
        <v>169.23778987761057</v>
      </c>
      <c r="G186" s="101">
        <f t="shared" si="39"/>
        <v>17.000290188385691</v>
      </c>
      <c r="H186" s="101">
        <f t="shared" si="40"/>
        <v>0.38903075524342057</v>
      </c>
      <c r="I186" s="101">
        <f t="shared" si="41"/>
        <v>0.38903075524342057</v>
      </c>
      <c r="J186" s="101">
        <f t="shared" si="42"/>
        <v>2.4767148892264779E-2</v>
      </c>
      <c r="K186" s="101">
        <f t="shared" si="43"/>
        <v>3.0495778685431817E-2</v>
      </c>
      <c r="L186" s="101">
        <f t="shared" si="52"/>
        <v>151.40417525116032</v>
      </c>
      <c r="M186" s="101">
        <f t="shared" si="44"/>
        <v>797.52629116251785</v>
      </c>
      <c r="N186" s="101">
        <f t="shared" si="45"/>
        <v>76.803509781335237</v>
      </c>
      <c r="O186" s="101">
        <f t="shared" si="46"/>
        <v>1.8332918173997308</v>
      </c>
      <c r="P186" s="101">
        <f t="shared" si="47"/>
        <v>1.8332918173997308</v>
      </c>
      <c r="Q186" s="101">
        <f t="shared" si="48"/>
        <v>0.11627588399815487</v>
      </c>
      <c r="R186" s="101">
        <f t="shared" si="49"/>
        <v>2.1359421390967054E-2</v>
      </c>
      <c r="S186" s="101">
        <f t="shared" si="53"/>
        <v>716.91856244099404</v>
      </c>
      <c r="T186" s="101">
        <f t="shared" si="54"/>
        <v>20.068493966867276</v>
      </c>
      <c r="U186" s="101">
        <f t="shared" si="54"/>
        <v>13.360323225974437</v>
      </c>
      <c r="V186" s="33">
        <f t="shared" si="55"/>
        <v>1000.0000000000033</v>
      </c>
      <c r="W186" s="105">
        <f t="shared" si="50"/>
        <v>153162.06757619872</v>
      </c>
      <c r="X186" s="112">
        <f t="shared" si="56"/>
        <v>966.57118280716156</v>
      </c>
      <c r="Y186" s="32">
        <f t="shared" si="51"/>
        <v>604.18158580102181</v>
      </c>
    </row>
    <row r="187" spans="1:25" x14ac:dyDescent="0.25">
      <c r="A187" s="4">
        <v>181</v>
      </c>
      <c r="C187" s="110">
        <f>IF(male=0,VLOOKUP(((A185:A1019/'Life tables'!$I$2)*2)+age,lifetable,13,1),IF(male=1,VLOOKUP(((A185:A1019/'Life tables'!$I$2)*2)+age,lifetable,10,1),"error"))</f>
        <v>1.3243321503420002E-4</v>
      </c>
      <c r="F187" s="101">
        <f t="shared" si="38"/>
        <v>169.11694949066444</v>
      </c>
      <c r="G187" s="101">
        <f t="shared" si="39"/>
        <v>16.988151518611957</v>
      </c>
      <c r="H187" s="101">
        <f t="shared" si="40"/>
        <v>0.38875297669861941</v>
      </c>
      <c r="I187" s="101">
        <f t="shared" si="41"/>
        <v>0.38875297669861941</v>
      </c>
      <c r="J187" s="101">
        <f t="shared" si="42"/>
        <v>2.4749464474039647E-2</v>
      </c>
      <c r="K187" s="101">
        <f t="shared" si="43"/>
        <v>3.047400386965789E-2</v>
      </c>
      <c r="L187" s="101">
        <f t="shared" si="52"/>
        <v>151.29606855031153</v>
      </c>
      <c r="M187" s="101">
        <f t="shared" si="44"/>
        <v>797.45423331649727</v>
      </c>
      <c r="N187" s="101">
        <f t="shared" si="45"/>
        <v>76.796570454640943</v>
      </c>
      <c r="O187" s="101">
        <f t="shared" si="46"/>
        <v>1.8331261763908351</v>
      </c>
      <c r="P187" s="101">
        <f t="shared" si="47"/>
        <v>1.8331261763908351</v>
      </c>
      <c r="Q187" s="101">
        <f t="shared" si="48"/>
        <v>0.11626537827585093</v>
      </c>
      <c r="R187" s="101">
        <f t="shared" si="49"/>
        <v>2.1357491531206023E-2</v>
      </c>
      <c r="S187" s="101">
        <f t="shared" si="53"/>
        <v>716.85378763926758</v>
      </c>
      <c r="T187" s="101">
        <f t="shared" si="54"/>
        <v>20.209508809617166</v>
      </c>
      <c r="U187" s="101">
        <f t="shared" si="54"/>
        <v>13.4121547213753</v>
      </c>
      <c r="V187" s="33">
        <f t="shared" si="55"/>
        <v>1000.0000000000034</v>
      </c>
      <c r="W187" s="105">
        <f t="shared" si="50"/>
        <v>152961.3451913844</v>
      </c>
      <c r="X187" s="112">
        <f t="shared" si="56"/>
        <v>966.37833646901095</v>
      </c>
      <c r="Y187" s="32">
        <f t="shared" si="51"/>
        <v>603.88735449765989</v>
      </c>
    </row>
    <row r="188" spans="1:25" x14ac:dyDescent="0.25">
      <c r="A188" s="4">
        <v>182</v>
      </c>
      <c r="C188" s="110">
        <f>IF(male=0,VLOOKUP(((A186:A1020/'Life tables'!$I$2)*2)+age,lifetable,13,1),IF(male=1,VLOOKUP(((A186:A1020/'Life tables'!$I$2)*2)+age,lifetable,10,1),"error"))</f>
        <v>1.3243321503420002E-4</v>
      </c>
      <c r="F188" s="101">
        <f t="shared" si="38"/>
        <v>168.99884472289929</v>
      </c>
      <c r="G188" s="101">
        <f t="shared" si="39"/>
        <v>16.97628764751029</v>
      </c>
      <c r="H188" s="101">
        <f t="shared" si="40"/>
        <v>0.38848148658382442</v>
      </c>
      <c r="I188" s="101">
        <f t="shared" si="41"/>
        <v>0.38848148658382442</v>
      </c>
      <c r="J188" s="101">
        <f t="shared" si="42"/>
        <v>2.4732180400723391E-2</v>
      </c>
      <c r="K188" s="101">
        <f t="shared" si="43"/>
        <v>3.0452721998380415E-2</v>
      </c>
      <c r="L188" s="101">
        <f t="shared" si="52"/>
        <v>151.19040919982226</v>
      </c>
      <c r="M188" s="101">
        <f t="shared" si="44"/>
        <v>797.37949174611151</v>
      </c>
      <c r="N188" s="101">
        <f t="shared" si="45"/>
        <v>76.789372679475662</v>
      </c>
      <c r="O188" s="101">
        <f t="shared" si="46"/>
        <v>1.8329543662437262</v>
      </c>
      <c r="P188" s="101">
        <f t="shared" si="47"/>
        <v>1.8329543662437262</v>
      </c>
      <c r="Q188" s="101">
        <f t="shared" si="48"/>
        <v>0.11625448127814152</v>
      </c>
      <c r="R188" s="101">
        <f t="shared" si="49"/>
        <v>2.1355489795695879E-2</v>
      </c>
      <c r="S188" s="101">
        <f t="shared" si="53"/>
        <v>716.78660036307451</v>
      </c>
      <c r="T188" s="101">
        <f t="shared" si="54"/>
        <v>20.350495471296032</v>
      </c>
      <c r="U188" s="101">
        <f t="shared" si="54"/>
        <v>13.463962933169377</v>
      </c>
      <c r="V188" s="33">
        <f t="shared" si="55"/>
        <v>1000.0000000000033</v>
      </c>
      <c r="W188" s="105">
        <f t="shared" si="50"/>
        <v>152760.70737663095</v>
      </c>
      <c r="X188" s="112">
        <f t="shared" si="56"/>
        <v>966.18554159553787</v>
      </c>
      <c r="Y188" s="32">
        <f t="shared" si="51"/>
        <v>603.5932735642449</v>
      </c>
    </row>
    <row r="189" spans="1:25" x14ac:dyDescent="0.25">
      <c r="A189" s="4">
        <v>183</v>
      </c>
      <c r="C189" s="110">
        <f>IF(male=0,VLOOKUP(((A187:A1021/'Life tables'!$I$2)*2)+age,lifetable,13,1),IF(male=1,VLOOKUP(((A187:A1021/'Life tables'!$I$2)*2)+age,lifetable,10,1),"error"))</f>
        <v>1.4551982218569126E-4</v>
      </c>
      <c r="F189" s="101">
        <f t="shared" si="38"/>
        <v>168.88339066124684</v>
      </c>
      <c r="G189" s="101">
        <f t="shared" si="39"/>
        <v>16.964690045385261</v>
      </c>
      <c r="H189" s="101">
        <f t="shared" si="40"/>
        <v>0.38821608970743499</v>
      </c>
      <c r="I189" s="101">
        <f t="shared" si="41"/>
        <v>0.38821608970743499</v>
      </c>
      <c r="J189" s="101">
        <f t="shared" si="42"/>
        <v>2.7157565930668804E-2</v>
      </c>
      <c r="K189" s="101">
        <f t="shared" si="43"/>
        <v>3.0431917770701516E-2</v>
      </c>
      <c r="L189" s="101">
        <f t="shared" si="52"/>
        <v>151.08467895274532</v>
      </c>
      <c r="M189" s="101">
        <f t="shared" si="44"/>
        <v>797.30215093429103</v>
      </c>
      <c r="N189" s="101">
        <f t="shared" si="45"/>
        <v>76.781924591728611</v>
      </c>
      <c r="O189" s="101">
        <f t="shared" si="46"/>
        <v>1.8327765811612371</v>
      </c>
      <c r="P189" s="101">
        <f t="shared" si="47"/>
        <v>1.8327765811612371</v>
      </c>
      <c r="Q189" s="101">
        <f t="shared" si="48"/>
        <v>0.1277299698902841</v>
      </c>
      <c r="R189" s="101">
        <f t="shared" si="49"/>
        <v>2.1353418447066123E-2</v>
      </c>
      <c r="S189" s="101">
        <f t="shared" si="53"/>
        <v>716.70558979190264</v>
      </c>
      <c r="T189" s="101">
        <f t="shared" si="54"/>
        <v>20.505383007116986</v>
      </c>
      <c r="U189" s="101">
        <f t="shared" si="54"/>
        <v>13.515748269387144</v>
      </c>
      <c r="V189" s="33">
        <f t="shared" si="55"/>
        <v>1000.0000000000032</v>
      </c>
      <c r="W189" s="105">
        <f t="shared" si="50"/>
        <v>152558.25649678492</v>
      </c>
      <c r="X189" s="112">
        <f t="shared" si="56"/>
        <v>965.97886872349909</v>
      </c>
      <c r="Y189" s="32">
        <f t="shared" si="51"/>
        <v>603.29050197686433</v>
      </c>
    </row>
    <row r="190" spans="1:25" x14ac:dyDescent="0.25">
      <c r="A190" s="4">
        <v>184</v>
      </c>
      <c r="C190" s="110">
        <f>IF(male=0,VLOOKUP(((A188:A1022/'Life tables'!$I$2)*2)+age,lifetable,13,1),IF(male=1,VLOOKUP(((A188:A1022/'Life tables'!$I$2)*2)+age,lifetable,10,1),"error"))</f>
        <v>1.4551982218569126E-4</v>
      </c>
      <c r="F190" s="101">
        <f t="shared" si="38"/>
        <v>168.76806382830921</v>
      </c>
      <c r="G190" s="101">
        <f t="shared" si="39"/>
        <v>16.953105223650912</v>
      </c>
      <c r="H190" s="101">
        <f t="shared" si="40"/>
        <v>0.38795098529458483</v>
      </c>
      <c r="I190" s="101">
        <f t="shared" si="41"/>
        <v>0.38795098529458483</v>
      </c>
      <c r="J190" s="101">
        <f t="shared" si="42"/>
        <v>2.7139020613353611E-2</v>
      </c>
      <c r="K190" s="101">
        <f t="shared" si="43"/>
        <v>3.0411136468982195E-2</v>
      </c>
      <c r="L190" s="101">
        <f t="shared" si="52"/>
        <v>150.98150647698679</v>
      </c>
      <c r="M190" s="101">
        <f t="shared" si="44"/>
        <v>797.21080489519011</v>
      </c>
      <c r="N190" s="101">
        <f t="shared" si="45"/>
        <v>76.773127770250355</v>
      </c>
      <c r="O190" s="101">
        <f t="shared" si="46"/>
        <v>1.8325666019443871</v>
      </c>
      <c r="P190" s="101">
        <f t="shared" si="47"/>
        <v>1.8325666019443871</v>
      </c>
      <c r="Q190" s="101">
        <f t="shared" si="48"/>
        <v>0.12771533600674281</v>
      </c>
      <c r="R190" s="101">
        <f t="shared" si="49"/>
        <v>2.1350972009170379E-2</v>
      </c>
      <c r="S190" s="101">
        <f t="shared" si="53"/>
        <v>716.62347761303499</v>
      </c>
      <c r="T190" s="101">
        <f t="shared" si="54"/>
        <v>20.660237363737082</v>
      </c>
      <c r="U190" s="101">
        <f t="shared" si="54"/>
        <v>13.567510377865297</v>
      </c>
      <c r="V190" s="33">
        <f t="shared" si="55"/>
        <v>1000.0000000000035</v>
      </c>
      <c r="W190" s="105">
        <f t="shared" si="50"/>
        <v>152355.61134947021</v>
      </c>
      <c r="X190" s="112">
        <f t="shared" si="56"/>
        <v>965.77225225840107</v>
      </c>
      <c r="Y190" s="32">
        <f t="shared" si="51"/>
        <v>602.98803034856235</v>
      </c>
    </row>
    <row r="191" spans="1:25" x14ac:dyDescent="0.25">
      <c r="A191" s="4">
        <v>185</v>
      </c>
      <c r="C191" s="110">
        <f>IF(male=0,VLOOKUP(((A189:A1023/'Life tables'!$I$2)*2)+age,lifetable,13,1),IF(male=1,VLOOKUP(((A189:A1023/'Life tables'!$I$2)*2)+age,lifetable,10,1),"error"))</f>
        <v>1.4551982218569126E-4</v>
      </c>
      <c r="F191" s="101">
        <f t="shared" si="38"/>
        <v>168.65522918095854</v>
      </c>
      <c r="G191" s="101">
        <f t="shared" si="39"/>
        <v>16.941770747174633</v>
      </c>
      <c r="H191" s="101">
        <f t="shared" si="40"/>
        <v>0.38769160972540373</v>
      </c>
      <c r="I191" s="101">
        <f t="shared" si="41"/>
        <v>0.38769160972540373</v>
      </c>
      <c r="J191" s="101">
        <f t="shared" si="42"/>
        <v>2.7120876055959947E-2</v>
      </c>
      <c r="K191" s="101">
        <f t="shared" si="43"/>
        <v>3.0390804246278606E-2</v>
      </c>
      <c r="L191" s="101">
        <f t="shared" si="52"/>
        <v>150.88056353403087</v>
      </c>
      <c r="M191" s="101">
        <f t="shared" si="44"/>
        <v>797.11702307744235</v>
      </c>
      <c r="N191" s="101">
        <f t="shared" si="45"/>
        <v>76.76409637801099</v>
      </c>
      <c r="O191" s="101">
        <f t="shared" si="46"/>
        <v>1.8323510235477838</v>
      </c>
      <c r="P191" s="101">
        <f t="shared" si="47"/>
        <v>1.8323510235477838</v>
      </c>
      <c r="Q191" s="101">
        <f t="shared" si="48"/>
        <v>0.12770031190484729</v>
      </c>
      <c r="R191" s="101">
        <f t="shared" si="49"/>
        <v>2.1348460336030217E-2</v>
      </c>
      <c r="S191" s="101">
        <f t="shared" si="53"/>
        <v>716.53917588009494</v>
      </c>
      <c r="T191" s="101">
        <f t="shared" si="54"/>
        <v>20.815058551697888</v>
      </c>
      <c r="U191" s="101">
        <f t="shared" si="54"/>
        <v>13.619249642447606</v>
      </c>
      <c r="V191" s="33">
        <f t="shared" si="55"/>
        <v>1000.0000000000033</v>
      </c>
      <c r="W191" s="105">
        <f t="shared" si="50"/>
        <v>152153.07361319</v>
      </c>
      <c r="X191" s="112">
        <f t="shared" si="56"/>
        <v>965.5656918058578</v>
      </c>
      <c r="Y191" s="32">
        <f t="shared" si="51"/>
        <v>602.68571680899629</v>
      </c>
    </row>
    <row r="192" spans="1:25" x14ac:dyDescent="0.25">
      <c r="A192" s="4">
        <v>186</v>
      </c>
      <c r="C192" s="110">
        <f>IF(male=0,VLOOKUP(((A190:A1024/'Life tables'!$I$2)*2)+age,lifetable,13,1),IF(male=1,VLOOKUP(((A190:A1024/'Life tables'!$I$2)*2)+age,lifetable,10,1),"error"))</f>
        <v>1.4551982218569126E-4</v>
      </c>
      <c r="F192" s="101">
        <f t="shared" si="38"/>
        <v>168.54480937595198</v>
      </c>
      <c r="G192" s="101">
        <f t="shared" si="39"/>
        <v>16.930678846665803</v>
      </c>
      <c r="H192" s="101">
        <f t="shared" si="40"/>
        <v>0.38743778520922095</v>
      </c>
      <c r="I192" s="101">
        <f t="shared" si="41"/>
        <v>0.38743778520922095</v>
      </c>
      <c r="J192" s="101">
        <f t="shared" si="42"/>
        <v>2.710311982118294E-2</v>
      </c>
      <c r="K192" s="101">
        <f t="shared" si="43"/>
        <v>3.0370907165736465E-2</v>
      </c>
      <c r="L192" s="101">
        <f t="shared" si="52"/>
        <v>150.7817809318808</v>
      </c>
      <c r="M192" s="101">
        <f t="shared" si="44"/>
        <v>797.02088242990578</v>
      </c>
      <c r="N192" s="101">
        <f t="shared" si="45"/>
        <v>76.75483782535224</v>
      </c>
      <c r="O192" s="101">
        <f t="shared" si="46"/>
        <v>1.8321300228555164</v>
      </c>
      <c r="P192" s="101">
        <f t="shared" si="47"/>
        <v>1.8321300228555164</v>
      </c>
      <c r="Q192" s="101">
        <f t="shared" si="48"/>
        <v>0.12768490991201348</v>
      </c>
      <c r="R192" s="101">
        <f t="shared" si="49"/>
        <v>2.1345885488496929E-2</v>
      </c>
      <c r="S192" s="101">
        <f t="shared" si="53"/>
        <v>716.45275376344193</v>
      </c>
      <c r="T192" s="101">
        <f t="shared" si="54"/>
        <v>20.969846581431085</v>
      </c>
      <c r="U192" s="101">
        <f t="shared" si="54"/>
        <v>13.670966435101839</v>
      </c>
      <c r="V192" s="33">
        <f t="shared" si="55"/>
        <v>1000.0000000000032</v>
      </c>
      <c r="W192" s="105">
        <f t="shared" si="50"/>
        <v>151950.64858131396</v>
      </c>
      <c r="X192" s="112">
        <f t="shared" si="56"/>
        <v>965.35918698347029</v>
      </c>
      <c r="Y192" s="32">
        <f t="shared" si="51"/>
        <v>602.38356107346192</v>
      </c>
    </row>
    <row r="193" spans="1:25" x14ac:dyDescent="0.25">
      <c r="A193" s="4">
        <v>187</v>
      </c>
      <c r="C193" s="110">
        <f>IF(male=0,VLOOKUP(((A191:A1025/'Life tables'!$I$2)*2)+age,lifetable,13,1),IF(male=1,VLOOKUP(((A191:A1025/'Life tables'!$I$2)*2)+age,lifetable,10,1),"error"))</f>
        <v>1.4551982218569126E-4</v>
      </c>
      <c r="F193" s="101">
        <f t="shared" si="38"/>
        <v>168.43672947756363</v>
      </c>
      <c r="G193" s="101">
        <f t="shared" si="39"/>
        <v>16.919821994673928</v>
      </c>
      <c r="H193" s="101">
        <f t="shared" si="40"/>
        <v>0.38718933948957962</v>
      </c>
      <c r="I193" s="101">
        <f t="shared" si="41"/>
        <v>0.38718933948957962</v>
      </c>
      <c r="J193" s="101">
        <f t="shared" si="42"/>
        <v>2.7085739858862375E-2</v>
      </c>
      <c r="K193" s="101">
        <f t="shared" si="43"/>
        <v>3.0351431724323655E-2</v>
      </c>
      <c r="L193" s="101">
        <f t="shared" si="52"/>
        <v>150.68509163232736</v>
      </c>
      <c r="M193" s="101">
        <f t="shared" si="44"/>
        <v>796.92245750590655</v>
      </c>
      <c r="N193" s="101">
        <f t="shared" si="45"/>
        <v>76.745359291920977</v>
      </c>
      <c r="O193" s="101">
        <f t="shared" si="46"/>
        <v>1.831903771245011</v>
      </c>
      <c r="P193" s="101">
        <f t="shared" si="47"/>
        <v>1.831903771245011</v>
      </c>
      <c r="Q193" s="101">
        <f t="shared" si="48"/>
        <v>0.1276691419718867</v>
      </c>
      <c r="R193" s="101">
        <f t="shared" si="49"/>
        <v>2.1343249463264446E-2</v>
      </c>
      <c r="S193" s="101">
        <f t="shared" si="53"/>
        <v>716.36427828006038</v>
      </c>
      <c r="T193" s="101">
        <f t="shared" si="54"/>
        <v>21.124601463261833</v>
      </c>
      <c r="U193" s="101">
        <f t="shared" si="54"/>
        <v>13.722661116289427</v>
      </c>
      <c r="V193" s="33">
        <f t="shared" si="55"/>
        <v>1000.000000000003</v>
      </c>
      <c r="W193" s="105">
        <f t="shared" si="50"/>
        <v>151748.3413646112</v>
      </c>
      <c r="X193" s="112">
        <f t="shared" si="56"/>
        <v>965.15273742045179</v>
      </c>
      <c r="Y193" s="32">
        <f t="shared" si="51"/>
        <v>602.08156286385281</v>
      </c>
    </row>
    <row r="194" spans="1:25" x14ac:dyDescent="0.25">
      <c r="A194" s="4">
        <v>188</v>
      </c>
      <c r="C194" s="110">
        <f>IF(male=0,VLOOKUP(((A192:A1026/'Life tables'!$I$2)*2)+age,lifetable,13,1),IF(male=1,VLOOKUP(((A192:A1026/'Life tables'!$I$2)*2)+age,lifetable,10,1),"error"))</f>
        <v>1.4551982218569126E-4</v>
      </c>
      <c r="F194" s="101">
        <f t="shared" si="38"/>
        <v>168.33091688264267</v>
      </c>
      <c r="G194" s="101">
        <f t="shared" si="39"/>
        <v>16.90919289806056</v>
      </c>
      <c r="H194" s="101">
        <f t="shared" si="40"/>
        <v>0.3869461056719663</v>
      </c>
      <c r="I194" s="101">
        <f t="shared" si="41"/>
        <v>0.3869461056719663</v>
      </c>
      <c r="J194" s="101">
        <f t="shared" si="42"/>
        <v>2.7068724493931526E-2</v>
      </c>
      <c r="K194" s="101">
        <f t="shared" si="43"/>
        <v>3.0332364839326074E-2</v>
      </c>
      <c r="L194" s="101">
        <f t="shared" si="52"/>
        <v>150.59043068390491</v>
      </c>
      <c r="M194" s="101">
        <f t="shared" si="44"/>
        <v>796.82182053780923</v>
      </c>
      <c r="N194" s="101">
        <f t="shared" si="45"/>
        <v>76.735667733850377</v>
      </c>
      <c r="O194" s="101">
        <f t="shared" si="46"/>
        <v>1.8316724347584461</v>
      </c>
      <c r="P194" s="101">
        <f t="shared" si="47"/>
        <v>1.8316724347584461</v>
      </c>
      <c r="Q194" s="101">
        <f t="shared" si="48"/>
        <v>0.12765301965628795</v>
      </c>
      <c r="R194" s="101">
        <f t="shared" si="49"/>
        <v>2.1340554194866503E-2</v>
      </c>
      <c r="S194" s="101">
        <f t="shared" si="53"/>
        <v>716.27381436059079</v>
      </c>
      <c r="T194" s="101">
        <f t="shared" si="54"/>
        <v>21.279323207412052</v>
      </c>
      <c r="U194" s="101">
        <f t="shared" si="54"/>
        <v>13.774334035323619</v>
      </c>
      <c r="V194" s="33">
        <f t="shared" si="55"/>
        <v>1000.0000000000032</v>
      </c>
      <c r="W194" s="105">
        <f t="shared" si="50"/>
        <v>151546.15689715499</v>
      </c>
      <c r="X194" s="112">
        <f t="shared" si="56"/>
        <v>964.94634275726753</v>
      </c>
      <c r="Y194" s="32">
        <f t="shared" si="51"/>
        <v>601.77972190845173</v>
      </c>
    </row>
    <row r="195" spans="1:25" x14ac:dyDescent="0.25">
      <c r="A195" s="4">
        <v>189</v>
      </c>
      <c r="C195" s="110">
        <f>IF(male=0,VLOOKUP(((A193:A1027/'Life tables'!$I$2)*2)+age,lifetable,13,1),IF(male=1,VLOOKUP(((A193:A1027/'Life tables'!$I$2)*2)+age,lifetable,10,1),"error"))</f>
        <v>1.4551982218569126E-4</v>
      </c>
      <c r="F195" s="101">
        <f t="shared" si="38"/>
        <v>168.2273012480041</v>
      </c>
      <c r="G195" s="101">
        <f t="shared" si="39"/>
        <v>16.898784490705538</v>
      </c>
      <c r="H195" s="101">
        <f t="shared" si="40"/>
        <v>0.38670792205690241</v>
      </c>
      <c r="I195" s="101">
        <f t="shared" si="41"/>
        <v>0.38670792205690241</v>
      </c>
      <c r="J195" s="101">
        <f t="shared" si="42"/>
        <v>2.7052062414741101E-2</v>
      </c>
      <c r="K195" s="101">
        <f t="shared" si="43"/>
        <v>3.031369383526384E-2</v>
      </c>
      <c r="L195" s="101">
        <f t="shared" si="52"/>
        <v>150.49773515693474</v>
      </c>
      <c r="M195" s="101">
        <f t="shared" si="44"/>
        <v>796.71904150926343</v>
      </c>
      <c r="N195" s="101">
        <f t="shared" si="45"/>
        <v>76.725769890717544</v>
      </c>
      <c r="O195" s="101">
        <f t="shared" si="46"/>
        <v>1.8314361742688281</v>
      </c>
      <c r="P195" s="101">
        <f t="shared" si="47"/>
        <v>1.8314361742688281</v>
      </c>
      <c r="Q195" s="101">
        <f t="shared" si="48"/>
        <v>0.12763655417678796</v>
      </c>
      <c r="R195" s="101">
        <f t="shared" si="49"/>
        <v>2.133780155761154E-2</v>
      </c>
      <c r="S195" s="101">
        <f t="shared" si="53"/>
        <v>716.18142491427386</v>
      </c>
      <c r="T195" s="101">
        <f t="shared" si="54"/>
        <v>21.43401182400358</v>
      </c>
      <c r="U195" s="101">
        <f t="shared" si="54"/>
        <v>13.825985530716494</v>
      </c>
      <c r="V195" s="33">
        <f t="shared" si="55"/>
        <v>1000.0000000000032</v>
      </c>
      <c r="W195" s="105">
        <f t="shared" si="50"/>
        <v>151344.09994203443</v>
      </c>
      <c r="X195" s="112">
        <f t="shared" si="56"/>
        <v>964.74000264528308</v>
      </c>
      <c r="Y195" s="32">
        <f t="shared" si="51"/>
        <v>601.47803794173376</v>
      </c>
    </row>
    <row r="196" spans="1:25" x14ac:dyDescent="0.25">
      <c r="A196" s="4">
        <v>190</v>
      </c>
      <c r="C196" s="110">
        <f>IF(male=0,VLOOKUP(((A194:A1028/'Life tables'!$I$2)*2)+age,lifetable,13,1),IF(male=1,VLOOKUP(((A194:A1028/'Life tables'!$I$2)*2)+age,lifetable,10,1),"error"))</f>
        <v>1.4551982218569126E-4</v>
      </c>
      <c r="F196" s="101">
        <f t="shared" si="38"/>
        <v>168.12581442007968</v>
      </c>
      <c r="G196" s="101">
        <f t="shared" si="39"/>
        <v>16.888589926440304</v>
      </c>
      <c r="H196" s="101">
        <f t="shared" si="40"/>
        <v>0.38647463197823118</v>
      </c>
      <c r="I196" s="101">
        <f t="shared" si="41"/>
        <v>0.38647463197823118</v>
      </c>
      <c r="J196" s="101">
        <f t="shared" si="42"/>
        <v>2.7035742661746676E-2</v>
      </c>
      <c r="K196" s="101">
        <f t="shared" si="43"/>
        <v>3.0295406431214734E-2</v>
      </c>
      <c r="L196" s="101">
        <f t="shared" si="52"/>
        <v>150.40694408058994</v>
      </c>
      <c r="M196" s="101">
        <f t="shared" si="44"/>
        <v>796.61418822520341</v>
      </c>
      <c r="N196" s="101">
        <f t="shared" si="45"/>
        <v>76.715672292284566</v>
      </c>
      <c r="O196" s="101">
        <f t="shared" si="46"/>
        <v>1.8311951456409008</v>
      </c>
      <c r="P196" s="101">
        <f t="shared" si="47"/>
        <v>1.8311951456409008</v>
      </c>
      <c r="Q196" s="101">
        <f t="shared" si="48"/>
        <v>0.12761975639592135</v>
      </c>
      <c r="R196" s="101">
        <f t="shared" si="49"/>
        <v>2.1334993367457457E-2</v>
      </c>
      <c r="S196" s="101">
        <f t="shared" si="53"/>
        <v>716.08717089187371</v>
      </c>
      <c r="T196" s="101">
        <f t="shared" si="54"/>
        <v>21.588667323061248</v>
      </c>
      <c r="U196" s="101">
        <f t="shared" si="54"/>
        <v>13.877615930515166</v>
      </c>
      <c r="V196" s="33">
        <f t="shared" si="55"/>
        <v>1000.0000000000032</v>
      </c>
      <c r="W196" s="105">
        <f t="shared" si="50"/>
        <v>151142.17509688498</v>
      </c>
      <c r="X196" s="112">
        <f t="shared" si="56"/>
        <v>964.53371674642676</v>
      </c>
      <c r="Y196" s="32">
        <f t="shared" si="51"/>
        <v>601.17651070417185</v>
      </c>
    </row>
    <row r="197" spans="1:25" x14ac:dyDescent="0.25">
      <c r="A197" s="4">
        <v>191</v>
      </c>
      <c r="C197" s="110">
        <f>IF(male=0,VLOOKUP(((A195:A1029/'Life tables'!$I$2)*2)+age,lifetable,13,1),IF(male=1,VLOOKUP(((A195:A1029/'Life tables'!$I$2)*2)+age,lifetable,10,1),"error"))</f>
        <v>1.4551982218569126E-4</v>
      </c>
      <c r="F197" s="101">
        <f t="shared" si="38"/>
        <v>168.0263903667589</v>
      </c>
      <c r="G197" s="101">
        <f t="shared" si="39"/>
        <v>16.878602572201149</v>
      </c>
      <c r="H197" s="101">
        <f t="shared" si="40"/>
        <v>0.38624608364643886</v>
      </c>
      <c r="I197" s="101">
        <f t="shared" si="41"/>
        <v>0.38624608364643886</v>
      </c>
      <c r="J197" s="101">
        <f t="shared" si="42"/>
        <v>2.701975461654826E-2</v>
      </c>
      <c r="K197" s="101">
        <f t="shared" si="43"/>
        <v>3.0277490728532301E-2</v>
      </c>
      <c r="L197" s="101">
        <f t="shared" si="52"/>
        <v>150.31799838191981</v>
      </c>
      <c r="M197" s="101">
        <f t="shared" si="44"/>
        <v>796.5073263796678</v>
      </c>
      <c r="N197" s="101">
        <f t="shared" si="45"/>
        <v>76.705381265029672</v>
      </c>
      <c r="O197" s="101">
        <f t="shared" si="46"/>
        <v>1.8309494998870448</v>
      </c>
      <c r="P197" s="101">
        <f t="shared" si="47"/>
        <v>1.8309494998870448</v>
      </c>
      <c r="Q197" s="101">
        <f t="shared" si="48"/>
        <v>0.12760263683805148</v>
      </c>
      <c r="R197" s="101">
        <f t="shared" si="49"/>
        <v>2.1332131383827949E-2</v>
      </c>
      <c r="S197" s="101">
        <f t="shared" si="53"/>
        <v>715.99111134664213</v>
      </c>
      <c r="T197" s="101">
        <f t="shared" si="54"/>
        <v>21.743289714515846</v>
      </c>
      <c r="U197" s="101">
        <f t="shared" si="54"/>
        <v>13.929225552627527</v>
      </c>
      <c r="V197" s="33">
        <f t="shared" si="55"/>
        <v>1000.0000000000031</v>
      </c>
      <c r="W197" s="105">
        <f t="shared" si="50"/>
        <v>150940.38679923851</v>
      </c>
      <c r="X197" s="112">
        <f t="shared" si="56"/>
        <v>964.32748473285972</v>
      </c>
      <c r="Y197" s="32">
        <f t="shared" si="51"/>
        <v>600.87513994204869</v>
      </c>
    </row>
    <row r="198" spans="1:25" x14ac:dyDescent="0.25">
      <c r="A198" s="4">
        <v>192</v>
      </c>
      <c r="C198" s="110">
        <f>IF(male=0,VLOOKUP(((A196:A1030/'Life tables'!$I$2)*2)+age,lifetable,13,1),IF(male=1,VLOOKUP(((A196:A1030/'Life tables'!$I$2)*2)+age,lifetable,10,1),"error"))</f>
        <v>1.4551982218569126E-4</v>
      </c>
      <c r="F198" s="101">
        <f t="shared" si="38"/>
        <v>167.92896511135154</v>
      </c>
      <c r="G198" s="101">
        <f t="shared" si="39"/>
        <v>16.868816001395658</v>
      </c>
      <c r="H198" s="101">
        <f t="shared" si="40"/>
        <v>0.3860221299968532</v>
      </c>
      <c r="I198" s="101">
        <f t="shared" si="41"/>
        <v>0.3860221299968532</v>
      </c>
      <c r="J198" s="101">
        <f t="shared" si="42"/>
        <v>2.7004087991271034E-2</v>
      </c>
      <c r="K198" s="101">
        <f t="shared" si="43"/>
        <v>3.025993519894625E-2</v>
      </c>
      <c r="L198" s="101">
        <f t="shared" si="52"/>
        <v>150.23084082677195</v>
      </c>
      <c r="M198" s="101">
        <f t="shared" si="44"/>
        <v>796.39851962150829</v>
      </c>
      <c r="N198" s="101">
        <f t="shared" si="45"/>
        <v>76.694902938475195</v>
      </c>
      <c r="O198" s="101">
        <f t="shared" si="46"/>
        <v>1.830699383318322</v>
      </c>
      <c r="P198" s="101">
        <f t="shared" si="47"/>
        <v>1.830699383318322</v>
      </c>
      <c r="Q198" s="101">
        <f t="shared" si="48"/>
        <v>0.12758520569989726</v>
      </c>
      <c r="R198" s="101">
        <f t="shared" si="49"/>
        <v>2.1329217311372321E-2</v>
      </c>
      <c r="S198" s="101">
        <f t="shared" si="53"/>
        <v>715.89330349338513</v>
      </c>
      <c r="T198" s="101">
        <f t="shared" si="54"/>
        <v>21.897879008207013</v>
      </c>
      <c r="U198" s="101">
        <f t="shared" si="54"/>
        <v>13.980814705137846</v>
      </c>
      <c r="V198" s="33">
        <f t="shared" si="55"/>
        <v>1000.0000000000032</v>
      </c>
      <c r="W198" s="105">
        <f t="shared" si="50"/>
        <v>150738.73933170171</v>
      </c>
      <c r="X198" s="112">
        <f t="shared" si="56"/>
        <v>964.1213062866583</v>
      </c>
      <c r="Y198" s="32">
        <f t="shared" si="51"/>
        <v>600.57392540727699</v>
      </c>
    </row>
    <row r="199" spans="1:25" x14ac:dyDescent="0.25">
      <c r="A199" s="4">
        <v>193</v>
      </c>
      <c r="C199" s="110">
        <f>IF(male=0,VLOOKUP(((A197:A1031/'Life tables'!$I$2)*2)+age,lifetable,13,1),IF(male=1,VLOOKUP(((A197:A1031/'Life tables'!$I$2)*2)+age,lifetable,10,1),"error"))</f>
        <v>1.4551982218569126E-4</v>
      </c>
      <c r="F199" s="101">
        <f t="shared" ref="F199:F262" si="57">E198*(1-pCAUC)+(L198+G198+H198+I198 )*(1-pCAUC)+(S198+N198+O198+P198)*(pUAUC)</f>
        <v>167.83347666860575</v>
      </c>
      <c r="G199" s="101">
        <f t="shared" ref="G199:G262" si="58">F199*(rrOSEX)</f>
        <v>16.859223987475541</v>
      </c>
      <c r="H199" s="101">
        <f t="shared" ref="H199:H262" si="59">F199*rrEREX</f>
        <v>0.38580262854256642</v>
      </c>
      <c r="I199" s="101">
        <f t="shared" ref="I199:I262" si="60">F199*rrHOEX</f>
        <v>0.38580262854256642</v>
      </c>
      <c r="J199" s="101">
        <f t="shared" ref="J199:J262" si="61">F199*mr + G199*mr + H199*mr+I199*mr</f>
        <v>2.6988732818276628E-2</v>
      </c>
      <c r="K199" s="101">
        <f t="shared" ref="K199:K262" si="62">F199*amr + I199*amrHOEX</f>
        <v>3.0242728673033226E-2</v>
      </c>
      <c r="L199" s="101">
        <f t="shared" si="52"/>
        <v>150.14541596255376</v>
      </c>
      <c r="M199" s="101">
        <f t="shared" ref="M199:M262" si="63">E198*pCAUC+(L198+G198+H198+I198)*pCAUC+(S198+N198+O198+P198)*(1-pUAUC)</f>
        <v>796.28782961805257</v>
      </c>
      <c r="N199" s="101">
        <f t="shared" ref="N199:N262" si="64">M199*rrOSEXc</f>
        <v>76.684243251318406</v>
      </c>
      <c r="O199" s="101">
        <f t="shared" ref="O199:O262" si="65">M199*rrEREXc</f>
        <v>1.8304449376908212</v>
      </c>
      <c r="P199" s="101">
        <f t="shared" ref="P199:P262" si="66">M199*rrHOEXc</f>
        <v>1.8304449376908212</v>
      </c>
      <c r="Q199" s="101">
        <f t="shared" ref="Q199:Q262" si="67">M199*mr + N199*mr + O199*mr+P199*mr</f>
        <v>0.12756747286073208</v>
      </c>
      <c r="R199" s="101">
        <f t="shared" ref="R199:R262" si="68">M199*amrc + P199*amrHOEX</f>
        <v>2.1326252801670536E-2</v>
      </c>
      <c r="S199" s="101">
        <f t="shared" si="53"/>
        <v>715.79380276569009</v>
      </c>
      <c r="T199" s="101">
        <f t="shared" si="54"/>
        <v>22.052435213886021</v>
      </c>
      <c r="U199" s="101">
        <f t="shared" si="54"/>
        <v>14.032383686612549</v>
      </c>
      <c r="V199" s="33">
        <f t="shared" si="55"/>
        <v>1000.0000000000032</v>
      </c>
      <c r="W199" s="105">
        <f t="shared" ref="W199:W262" si="69">(cNES*L199+(cNES+cOSEX)*G199+(cNES+cEREX)*H199+(cNES+cHOEX)*I199 +(cNES+ cNES)*S199 +(cNES+ cOSEX)*N199 + (cNES+cEREX)*O199 + (cNES+cHOEX)*P199)/(1+cDR)^A$5:A$65536</f>
        <v>150537.2368269671</v>
      </c>
      <c r="X199" s="112">
        <f t="shared" si="56"/>
        <v>963.91518109950459</v>
      </c>
      <c r="Y199" s="32">
        <f t="shared" ref="Y199:Y262" si="70">(uNES*L199+ uOCEX*G199+uEREX*H199+uHOEX*I199+uNES*S199+ uOCEX*N199+uEREX*O199+uHOEX*P199)/(1+oDR)^A$5:A$65536</f>
        <v>600.27286685722322</v>
      </c>
    </row>
    <row r="200" spans="1:25" x14ac:dyDescent="0.25">
      <c r="A200" s="4">
        <v>194</v>
      </c>
      <c r="C200" s="110">
        <f>IF(male=0,VLOOKUP(((A198:A1032/'Life tables'!$I$2)*2)+age,lifetable,13,1),IF(male=1,VLOOKUP(((A198:A1032/'Life tables'!$I$2)*2)+age,lifetable,10,1),"error"))</f>
        <v>1.4551982218569126E-4</v>
      </c>
      <c r="F200" s="101">
        <f t="shared" si="57"/>
        <v>167.7398649827179</v>
      </c>
      <c r="G200" s="101">
        <f t="shared" si="58"/>
        <v>16.849820497709644</v>
      </c>
      <c r="H200" s="101">
        <f t="shared" si="59"/>
        <v>0.38558744123193744</v>
      </c>
      <c r="I200" s="101">
        <f t="shared" si="60"/>
        <v>0.38558744123193744</v>
      </c>
      <c r="J200" s="101">
        <f t="shared" si="61"/>
        <v>2.6973679440194707E-2</v>
      </c>
      <c r="K200" s="101">
        <f t="shared" si="62"/>
        <v>3.0225860329046519E-2</v>
      </c>
      <c r="L200" s="101">
        <f t="shared" ref="L200:L263" si="71">F200-SUM(G200:K200)</f>
        <v>150.06167006277514</v>
      </c>
      <c r="M200" s="101">
        <f t="shared" si="63"/>
        <v>796.17531611678658</v>
      </c>
      <c r="N200" s="101">
        <f t="shared" si="64"/>
        <v>76.673407957371651</v>
      </c>
      <c r="O200" s="101">
        <f t="shared" si="65"/>
        <v>1.8301863003474463</v>
      </c>
      <c r="P200" s="101">
        <f t="shared" si="66"/>
        <v>1.8301863003474463</v>
      </c>
      <c r="Q200" s="101">
        <f t="shared" si="67"/>
        <v>0.12754944789226549</v>
      </c>
      <c r="R200" s="101">
        <f t="shared" si="68"/>
        <v>2.1323239454885179E-2</v>
      </c>
      <c r="S200" s="101">
        <f t="shared" ref="S200:S258" si="72">M200-SUM(N200:R200)</f>
        <v>715.69266287137293</v>
      </c>
      <c r="T200" s="101">
        <f t="shared" ref="T200:U263" si="73">J200+Q200+T199</f>
        <v>22.206958341218481</v>
      </c>
      <c r="U200" s="101">
        <f t="shared" si="73"/>
        <v>14.083932786396481</v>
      </c>
      <c r="V200" s="33">
        <f t="shared" ref="V200:V263" si="74">SUM(G200:I200,L200,N200,O200,P200,S200,T200,U200)</f>
        <v>1000.0000000000032</v>
      </c>
      <c r="W200" s="105">
        <f t="shared" si="69"/>
        <v>150335.88327266299</v>
      </c>
      <c r="X200" s="112">
        <f t="shared" ref="X200:X263" si="75">(L200+G200+H200+I200+N200+O200+P200+S200)</f>
        <v>963.70910887238801</v>
      </c>
      <c r="Y200" s="32">
        <f t="shared" si="70"/>
        <v>599.97196405453769</v>
      </c>
    </row>
    <row r="201" spans="1:25" x14ac:dyDescent="0.25">
      <c r="A201" s="4">
        <v>195</v>
      </c>
      <c r="C201" s="110">
        <f>IF(male=0,VLOOKUP(((A199:A1033/'Life tables'!$I$2)*2)+age,lifetable,13,1),IF(male=1,VLOOKUP(((A199:A1033/'Life tables'!$I$2)*2)+age,lifetable,10,1),"error"))</f>
        <v>1.4551982218569126E-4</v>
      </c>
      <c r="F201" s="101">
        <f t="shared" si="57"/>
        <v>167.64807186727217</v>
      </c>
      <c r="G201" s="101">
        <f t="shared" si="58"/>
        <v>16.840599687150711</v>
      </c>
      <c r="H201" s="101">
        <f t="shared" si="59"/>
        <v>0.3853764343105292</v>
      </c>
      <c r="I201" s="101">
        <f t="shared" si="60"/>
        <v>0.3853764343105292</v>
      </c>
      <c r="J201" s="101">
        <f t="shared" si="61"/>
        <v>2.6958918500264859E-2</v>
      </c>
      <c r="K201" s="101">
        <f t="shared" si="62"/>
        <v>3.0209319682093467E-2</v>
      </c>
      <c r="L201" s="101">
        <f t="shared" si="71"/>
        <v>149.97955107331802</v>
      </c>
      <c r="M201" s="101">
        <f t="shared" si="63"/>
        <v>796.06103700511596</v>
      </c>
      <c r="N201" s="101">
        <f t="shared" si="64"/>
        <v>76.662402631317505</v>
      </c>
      <c r="O201" s="101">
        <f t="shared" si="65"/>
        <v>1.8299236043552929</v>
      </c>
      <c r="P201" s="101">
        <f t="shared" si="66"/>
        <v>1.8299236043552929</v>
      </c>
      <c r="Q201" s="101">
        <f t="shared" si="67"/>
        <v>0.12753114006821703</v>
      </c>
      <c r="R201" s="101">
        <f t="shared" si="68"/>
        <v>2.1320178821361991E-2</v>
      </c>
      <c r="S201" s="101">
        <f t="shared" si="72"/>
        <v>715.58993584619827</v>
      </c>
      <c r="T201" s="101">
        <f t="shared" si="73"/>
        <v>22.361448399786962</v>
      </c>
      <c r="U201" s="101">
        <f t="shared" si="73"/>
        <v>14.135462284899937</v>
      </c>
      <c r="V201" s="33">
        <f t="shared" si="74"/>
        <v>1000.0000000000031</v>
      </c>
      <c r="W201" s="105">
        <f t="shared" si="69"/>
        <v>150134.68251604636</v>
      </c>
      <c r="X201" s="112">
        <f t="shared" si="75"/>
        <v>963.50308931531617</v>
      </c>
      <c r="Y201" s="32">
        <f t="shared" si="70"/>
        <v>599.67121676698889</v>
      </c>
    </row>
    <row r="202" spans="1:25" x14ac:dyDescent="0.25">
      <c r="A202" s="4">
        <v>196</v>
      </c>
      <c r="C202" s="110">
        <f>IF(male=0,VLOOKUP(((A200:A1034/'Life tables'!$I$2)*2)+age,lifetable,13,1),IF(male=1,VLOOKUP(((A200:A1034/'Life tables'!$I$2)*2)+age,lifetable,10,1),"error"))</f>
        <v>1.4551982218569126E-4</v>
      </c>
      <c r="F202" s="101">
        <f t="shared" si="57"/>
        <v>167.55804094704953</v>
      </c>
      <c r="G202" s="101">
        <f t="shared" si="58"/>
        <v>16.831555892790014</v>
      </c>
      <c r="H202" s="101">
        <f t="shared" si="59"/>
        <v>0.38516947818734421</v>
      </c>
      <c r="I202" s="101">
        <f t="shared" si="60"/>
        <v>0.38516947818734421</v>
      </c>
      <c r="J202" s="101">
        <f t="shared" si="61"/>
        <v>2.6944440932979104E-2</v>
      </c>
      <c r="K202" s="101">
        <f t="shared" si="62"/>
        <v>3.019309657364978E-2</v>
      </c>
      <c r="L202" s="101">
        <f t="shared" si="71"/>
        <v>149.89900856037821</v>
      </c>
      <c r="M202" s="101">
        <f t="shared" si="63"/>
        <v>795.9450483682665</v>
      </c>
      <c r="N202" s="101">
        <f t="shared" si="64"/>
        <v>76.651232674284728</v>
      </c>
      <c r="O202" s="101">
        <f t="shared" si="65"/>
        <v>1.8296569786387442</v>
      </c>
      <c r="P202" s="101">
        <f t="shared" si="66"/>
        <v>1.8296569786387442</v>
      </c>
      <c r="Q202" s="101">
        <f t="shared" si="67"/>
        <v>0.12751255837359221</v>
      </c>
      <c r="R202" s="101">
        <f t="shared" si="68"/>
        <v>2.1317072403180565E-2</v>
      </c>
      <c r="S202" s="101">
        <f t="shared" si="72"/>
        <v>715.48567210592751</v>
      </c>
      <c r="T202" s="101">
        <f t="shared" si="73"/>
        <v>22.515905399093533</v>
      </c>
      <c r="U202" s="101">
        <f t="shared" si="73"/>
        <v>14.186972453876768</v>
      </c>
      <c r="V202" s="33">
        <f t="shared" si="74"/>
        <v>1000.000000000003</v>
      </c>
      <c r="W202" s="105">
        <f t="shared" si="69"/>
        <v>149933.63826854533</v>
      </c>
      <c r="X202" s="112">
        <f t="shared" si="75"/>
        <v>963.29712214703272</v>
      </c>
      <c r="Y202" s="32">
        <f t="shared" si="70"/>
        <v>599.37062476730455</v>
      </c>
    </row>
    <row r="203" spans="1:25" x14ac:dyDescent="0.25">
      <c r="A203" s="4">
        <v>197</v>
      </c>
      <c r="C203" s="110">
        <f>IF(male=0,VLOOKUP(((A201:A1035/'Life tables'!$I$2)*2)+age,lifetable,13,1),IF(male=1,VLOOKUP(((A201:A1035/'Life tables'!$I$2)*2)+age,lifetable,10,1),"error"))</f>
        <v>1.4551982218569126E-4</v>
      </c>
      <c r="F203" s="101">
        <f t="shared" si="57"/>
        <v>167.46971760164828</v>
      </c>
      <c r="G203" s="101">
        <f t="shared" si="58"/>
        <v>16.82268362789388</v>
      </c>
      <c r="H203" s="101">
        <f t="shared" si="59"/>
        <v>0.38496644730522311</v>
      </c>
      <c r="I203" s="101">
        <f t="shared" si="60"/>
        <v>0.38496644730522311</v>
      </c>
      <c r="J203" s="101">
        <f t="shared" si="61"/>
        <v>2.6930237955015666E-2</v>
      </c>
      <c r="K203" s="101">
        <f t="shared" si="62"/>
        <v>3.0177181161400175E-2</v>
      </c>
      <c r="L203" s="101">
        <f t="shared" si="71"/>
        <v>149.81999366002754</v>
      </c>
      <c r="M203" s="101">
        <f t="shared" si="63"/>
        <v>795.8274045453843</v>
      </c>
      <c r="N203" s="101">
        <f t="shared" si="64"/>
        <v>76.639903319250834</v>
      </c>
      <c r="O203" s="101">
        <f t="shared" si="65"/>
        <v>1.8293865481084315</v>
      </c>
      <c r="P203" s="101">
        <f t="shared" si="66"/>
        <v>1.8293865481084315</v>
      </c>
      <c r="Q203" s="101">
        <f t="shared" si="67"/>
        <v>0.12749371151366976</v>
      </c>
      <c r="R203" s="101">
        <f t="shared" si="68"/>
        <v>2.1313921655656841E-2</v>
      </c>
      <c r="S203" s="101">
        <f t="shared" si="72"/>
        <v>715.37992049674722</v>
      </c>
      <c r="T203" s="101">
        <f t="shared" si="73"/>
        <v>22.67032934856222</v>
      </c>
      <c r="U203" s="101">
        <f t="shared" si="73"/>
        <v>14.238463556693825</v>
      </c>
      <c r="V203" s="33">
        <f t="shared" si="74"/>
        <v>1000.0000000000027</v>
      </c>
      <c r="W203" s="105">
        <f t="shared" si="69"/>
        <v>149732.75411015403</v>
      </c>
      <c r="X203" s="112">
        <f t="shared" si="75"/>
        <v>963.09120709474678</v>
      </c>
      <c r="Y203" s="32">
        <f t="shared" si="70"/>
        <v>599.07018783301817</v>
      </c>
    </row>
    <row r="204" spans="1:25" x14ac:dyDescent="0.25">
      <c r="A204" s="4">
        <v>198</v>
      </c>
      <c r="C204" s="110">
        <f>IF(male=0,VLOOKUP(((A202:A1036/'Life tables'!$I$2)*2)+age,lifetable,13,1),IF(male=1,VLOOKUP(((A202:A1036/'Life tables'!$I$2)*2)+age,lifetable,10,1),"error"))</f>
        <v>1.4551982218569126E-4</v>
      </c>
      <c r="F204" s="101">
        <f t="shared" si="57"/>
        <v>167.38304891085923</v>
      </c>
      <c r="G204" s="101">
        <f t="shared" si="58"/>
        <v>16.813977576516542</v>
      </c>
      <c r="H204" s="101">
        <f t="shared" si="59"/>
        <v>0.38476722001527797</v>
      </c>
      <c r="I204" s="101">
        <f t="shared" si="60"/>
        <v>0.38476722001527797</v>
      </c>
      <c r="J204" s="101">
        <f t="shared" si="61"/>
        <v>2.6916301056454997E-2</v>
      </c>
      <c r="K204" s="101">
        <f t="shared" si="62"/>
        <v>3.0161563909395346E-2</v>
      </c>
      <c r="L204" s="101">
        <f t="shared" si="71"/>
        <v>149.74245902934629</v>
      </c>
      <c r="M204" s="101">
        <f t="shared" si="63"/>
        <v>795.70815818388758</v>
      </c>
      <c r="N204" s="101">
        <f t="shared" si="64"/>
        <v>76.628419636276249</v>
      </c>
      <c r="O204" s="101">
        <f t="shared" si="65"/>
        <v>1.8291124337861713</v>
      </c>
      <c r="P204" s="101">
        <f t="shared" si="66"/>
        <v>1.8291124337861713</v>
      </c>
      <c r="Q204" s="101">
        <f t="shared" si="67"/>
        <v>0.12747460792270909</v>
      </c>
      <c r="R204" s="101">
        <f t="shared" si="68"/>
        <v>2.1310727988798742E-2</v>
      </c>
      <c r="S204" s="101">
        <f t="shared" si="72"/>
        <v>715.27272834412747</v>
      </c>
      <c r="T204" s="101">
        <f t="shared" si="73"/>
        <v>22.824720257541383</v>
      </c>
      <c r="U204" s="101">
        <f t="shared" si="73"/>
        <v>14.28993584859202</v>
      </c>
      <c r="V204" s="33">
        <f t="shared" si="74"/>
        <v>1000.0000000000028</v>
      </c>
      <c r="W204" s="105">
        <f t="shared" si="69"/>
        <v>149532.03349368658</v>
      </c>
      <c r="X204" s="112">
        <f t="shared" si="75"/>
        <v>962.8853438938695</v>
      </c>
      <c r="Y204" s="32">
        <f t="shared" si="70"/>
        <v>598.76990574631702</v>
      </c>
    </row>
    <row r="205" spans="1:25" x14ac:dyDescent="0.25">
      <c r="A205" s="4">
        <v>199</v>
      </c>
      <c r="C205" s="110">
        <f>IF(male=0,VLOOKUP(((A203:A1037/'Life tables'!$I$2)*2)+age,lifetable,13,1),IF(male=1,VLOOKUP(((A203:A1037/'Life tables'!$I$2)*2)+age,lifetable,10,1),"error"))</f>
        <v>1.4551982218569126E-4</v>
      </c>
      <c r="F205" s="101">
        <f t="shared" si="57"/>
        <v>167.29798360174198</v>
      </c>
      <c r="G205" s="101">
        <f t="shared" si="58"/>
        <v>16.805432588183834</v>
      </c>
      <c r="H205" s="101">
        <f t="shared" si="59"/>
        <v>0.38457167845523493</v>
      </c>
      <c r="I205" s="101">
        <f t="shared" si="60"/>
        <v>0.38457167845523493</v>
      </c>
      <c r="J205" s="101">
        <f t="shared" si="61"/>
        <v>2.6902621992269234E-2</v>
      </c>
      <c r="K205" s="101">
        <f t="shared" si="62"/>
        <v>3.0146235578515326E-2</v>
      </c>
      <c r="L205" s="101">
        <f t="shared" si="71"/>
        <v>149.66635879907687</v>
      </c>
      <c r="M205" s="101">
        <f t="shared" si="63"/>
        <v>795.58736029212741</v>
      </c>
      <c r="N205" s="101">
        <f t="shared" si="64"/>
        <v>76.61678653757572</v>
      </c>
      <c r="O205" s="101">
        <f t="shared" si="65"/>
        <v>1.8288347529260203</v>
      </c>
      <c r="P205" s="101">
        <f t="shared" si="66"/>
        <v>1.8288347529260203</v>
      </c>
      <c r="Q205" s="101">
        <f t="shared" si="67"/>
        <v>0.12745525577238659</v>
      </c>
      <c r="R205" s="101">
        <f t="shared" si="68"/>
        <v>2.130749276871655E-2</v>
      </c>
      <c r="S205" s="101">
        <f t="shared" si="72"/>
        <v>715.16414150015862</v>
      </c>
      <c r="T205" s="101">
        <f t="shared" si="73"/>
        <v>22.97907813530604</v>
      </c>
      <c r="U205" s="101">
        <f t="shared" si="73"/>
        <v>14.341389576939251</v>
      </c>
      <c r="V205" s="33">
        <f t="shared" si="74"/>
        <v>1000.0000000000028</v>
      </c>
      <c r="W205" s="105">
        <f t="shared" si="69"/>
        <v>149331.47974889376</v>
      </c>
      <c r="X205" s="112">
        <f t="shared" si="75"/>
        <v>962.67953228775764</v>
      </c>
      <c r="Y205" s="32">
        <f t="shared" si="70"/>
        <v>598.4697782938988</v>
      </c>
    </row>
    <row r="206" spans="1:25" x14ac:dyDescent="0.25">
      <c r="A206" s="4">
        <v>200</v>
      </c>
      <c r="C206" s="110">
        <f>IF(male=0,VLOOKUP(((A204:A1038/'Life tables'!$I$2)*2)+age,lifetable,13,1),IF(male=1,VLOOKUP(((A204:A1038/'Life tables'!$I$2)*2)+age,lifetable,10,1),"error"))</f>
        <v>1.4551982218569126E-4</v>
      </c>
      <c r="F206" s="101">
        <f t="shared" si="57"/>
        <v>167.21447199734777</v>
      </c>
      <c r="G206" s="101">
        <f t="shared" si="58"/>
        <v>16.797043672742276</v>
      </c>
      <c r="H206" s="101">
        <f t="shared" si="59"/>
        <v>0.38437970843156255</v>
      </c>
      <c r="I206" s="101">
        <f t="shared" si="60"/>
        <v>0.38437970843156255</v>
      </c>
      <c r="J206" s="101">
        <f t="shared" si="61"/>
        <v>2.6889192774076545E-2</v>
      </c>
      <c r="K206" s="101">
        <f t="shared" si="62"/>
        <v>3.0131187217229627E-2</v>
      </c>
      <c r="L206" s="101">
        <f t="shared" si="71"/>
        <v>149.59164852775106</v>
      </c>
      <c r="M206" s="101">
        <f t="shared" si="63"/>
        <v>795.46506029040984</v>
      </c>
      <c r="N206" s="101">
        <f t="shared" si="64"/>
        <v>76.605008782431767</v>
      </c>
      <c r="O206" s="101">
        <f t="shared" si="65"/>
        <v>1.8285536191315594</v>
      </c>
      <c r="P206" s="101">
        <f t="shared" si="66"/>
        <v>1.8285536191315594</v>
      </c>
      <c r="Q206" s="101">
        <f t="shared" si="67"/>
        <v>0.12743566297996947</v>
      </c>
      <c r="R206" s="101">
        <f t="shared" si="68"/>
        <v>2.1304217318989377E-2</v>
      </c>
      <c r="S206" s="101">
        <f t="shared" si="72"/>
        <v>715.05420438941599</v>
      </c>
      <c r="T206" s="101">
        <f t="shared" si="73"/>
        <v>23.133402991060084</v>
      </c>
      <c r="U206" s="101">
        <f t="shared" si="73"/>
        <v>14.392824981475471</v>
      </c>
      <c r="V206" s="33">
        <f t="shared" si="74"/>
        <v>1000.0000000000027</v>
      </c>
      <c r="W206" s="105">
        <f t="shared" si="69"/>
        <v>149131.0960864466</v>
      </c>
      <c r="X206" s="112">
        <f t="shared" si="75"/>
        <v>962.47377202746725</v>
      </c>
      <c r="Y206" s="32">
        <f t="shared" si="70"/>
        <v>598.16980526683017</v>
      </c>
    </row>
    <row r="207" spans="1:25" x14ac:dyDescent="0.25">
      <c r="A207" s="4">
        <v>201</v>
      </c>
      <c r="C207" s="110">
        <f>IF(male=0,VLOOKUP(((A205:A1039/'Life tables'!$I$2)*2)+age,lifetable,13,1),IF(male=1,VLOOKUP(((A205:A1039/'Life tables'!$I$2)*2)+age,lifetable,10,1),"error"))</f>
        <v>1.4551982218569126E-4</v>
      </c>
      <c r="F207" s="101">
        <f t="shared" si="57"/>
        <v>167.13246596703914</v>
      </c>
      <c r="G207" s="101">
        <f t="shared" si="58"/>
        <v>16.788805995368609</v>
      </c>
      <c r="H207" s="101">
        <f t="shared" si="59"/>
        <v>0.38419119930527018</v>
      </c>
      <c r="I207" s="101">
        <f t="shared" si="60"/>
        <v>0.38419119930527018</v>
      </c>
      <c r="J207" s="101">
        <f t="shared" si="61"/>
        <v>2.6876005662152161E-2</v>
      </c>
      <c r="K207" s="101">
        <f t="shared" si="62"/>
        <v>3.0116410152645108E-2</v>
      </c>
      <c r="L207" s="101">
        <f t="shared" si="71"/>
        <v>149.5182851572452</v>
      </c>
      <c r="M207" s="101">
        <f t="shared" si="63"/>
        <v>795.34130606042811</v>
      </c>
      <c r="N207" s="101">
        <f t="shared" si="64"/>
        <v>76.593090981955214</v>
      </c>
      <c r="O207" s="101">
        <f t="shared" si="65"/>
        <v>1.8282691424695257</v>
      </c>
      <c r="P207" s="101">
        <f t="shared" si="66"/>
        <v>1.8282691424695257</v>
      </c>
      <c r="Q207" s="101">
        <f t="shared" si="67"/>
        <v>0.12741583721623503</v>
      </c>
      <c r="R207" s="101">
        <f t="shared" si="68"/>
        <v>2.1300902921989068E-2</v>
      </c>
      <c r="S207" s="101">
        <f t="shared" si="72"/>
        <v>714.94296005339561</v>
      </c>
      <c r="T207" s="101">
        <f t="shared" si="73"/>
        <v>23.28769483393847</v>
      </c>
      <c r="U207" s="101">
        <f t="shared" si="73"/>
        <v>14.444242294550104</v>
      </c>
      <c r="V207" s="33">
        <f t="shared" si="74"/>
        <v>1000.0000000000028</v>
      </c>
      <c r="W207" s="105">
        <f t="shared" si="69"/>
        <v>148930.88560179173</v>
      </c>
      <c r="X207" s="112">
        <f t="shared" si="75"/>
        <v>962.2680628715143</v>
      </c>
      <c r="Y207" s="32">
        <f t="shared" si="70"/>
        <v>597.86998646041172</v>
      </c>
    </row>
    <row r="208" spans="1:25" x14ac:dyDescent="0.25">
      <c r="A208" s="4">
        <v>202</v>
      </c>
      <c r="C208" s="110">
        <f>IF(male=0,VLOOKUP(((A206:A1040/'Life tables'!$I$2)*2)+age,lifetable,13,1),IF(male=1,VLOOKUP(((A206:A1040/'Life tables'!$I$2)*2)+age,lifetable,10,1),"error"))</f>
        <v>1.4551982218569126E-4</v>
      </c>
      <c r="F208" s="101">
        <f t="shared" si="57"/>
        <v>167.05191887835576</v>
      </c>
      <c r="G208" s="101">
        <f t="shared" si="58"/>
        <v>16.780714871734595</v>
      </c>
      <c r="H208" s="101">
        <f t="shared" si="59"/>
        <v>0.38400604388126108</v>
      </c>
      <c r="I208" s="101">
        <f t="shared" si="60"/>
        <v>0.38400604388126108</v>
      </c>
      <c r="J208" s="101">
        <f t="shared" si="61"/>
        <v>2.6863053157688114E-2</v>
      </c>
      <c r="K208" s="101">
        <f t="shared" si="62"/>
        <v>3.0101895981832431E-2</v>
      </c>
      <c r="L208" s="101">
        <f t="shared" si="71"/>
        <v>149.44622696971913</v>
      </c>
      <c r="M208" s="101">
        <f t="shared" si="63"/>
        <v>795.21614399315843</v>
      </c>
      <c r="N208" s="101">
        <f t="shared" si="64"/>
        <v>76.581037603697567</v>
      </c>
      <c r="O208" s="101">
        <f t="shared" si="65"/>
        <v>1.8279814295799106</v>
      </c>
      <c r="P208" s="101">
        <f t="shared" si="66"/>
        <v>1.8279814295799106</v>
      </c>
      <c r="Q208" s="101">
        <f t="shared" si="67"/>
        <v>0.12739578591314368</v>
      </c>
      <c r="R208" s="101">
        <f t="shared" si="68"/>
        <v>2.1297550820162957E-2</v>
      </c>
      <c r="S208" s="101">
        <f t="shared" si="72"/>
        <v>714.83045019356769</v>
      </c>
      <c r="T208" s="101">
        <f t="shared" si="73"/>
        <v>23.441953673009301</v>
      </c>
      <c r="U208" s="101">
        <f t="shared" si="73"/>
        <v>14.495641741352101</v>
      </c>
      <c r="V208" s="33">
        <f t="shared" si="74"/>
        <v>1000.0000000000027</v>
      </c>
      <c r="W208" s="105">
        <f t="shared" si="69"/>
        <v>148730.85127888247</v>
      </c>
      <c r="X208" s="112">
        <f t="shared" si="75"/>
        <v>962.06240458564139</v>
      </c>
      <c r="Y208" s="32">
        <f t="shared" si="70"/>
        <v>597.57032167404543</v>
      </c>
    </row>
    <row r="209" spans="1:25" x14ac:dyDescent="0.25">
      <c r="A209" s="4">
        <v>203</v>
      </c>
      <c r="C209" s="110">
        <f>IF(male=0,VLOOKUP(((A207:A1041/'Life tables'!$I$2)*2)+age,lifetable,13,1),IF(male=1,VLOOKUP(((A207:A1041/'Life tables'!$I$2)*2)+age,lifetable,10,1),"error"))</f>
        <v>1.4551982218569126E-4</v>
      </c>
      <c r="F209" s="101">
        <f t="shared" si="57"/>
        <v>166.97278555037877</v>
      </c>
      <c r="G209" s="101">
        <f t="shared" si="58"/>
        <v>16.772765763322376</v>
      </c>
      <c r="H209" s="101">
        <f t="shared" si="59"/>
        <v>0.38382413830112982</v>
      </c>
      <c r="I209" s="101">
        <f t="shared" si="60"/>
        <v>0.38382413830112982</v>
      </c>
      <c r="J209" s="101">
        <f t="shared" si="61"/>
        <v>2.6850327995293913E-2</v>
      </c>
      <c r="K209" s="101">
        <f t="shared" si="62"/>
        <v>3.0087636563422549E-2</v>
      </c>
      <c r="L209" s="101">
        <f t="shared" si="71"/>
        <v>149.37543354589542</v>
      </c>
      <c r="M209" s="101">
        <f t="shared" si="63"/>
        <v>795.08961903526267</v>
      </c>
      <c r="N209" s="101">
        <f t="shared" si="64"/>
        <v>76.568852976119757</v>
      </c>
      <c r="O209" s="101">
        <f t="shared" si="65"/>
        <v>1.8276905837826278</v>
      </c>
      <c r="P209" s="101">
        <f t="shared" si="66"/>
        <v>1.8276905837826278</v>
      </c>
      <c r="Q209" s="101">
        <f t="shared" si="67"/>
        <v>0.12737551627127275</v>
      </c>
      <c r="R209" s="101">
        <f t="shared" si="68"/>
        <v>2.1294162217276612E-2</v>
      </c>
      <c r="S209" s="101">
        <f t="shared" si="72"/>
        <v>714.71671521308917</v>
      </c>
      <c r="T209" s="101">
        <f t="shared" si="73"/>
        <v>23.596179517275868</v>
      </c>
      <c r="U209" s="101">
        <f t="shared" si="73"/>
        <v>14.5470235401328</v>
      </c>
      <c r="V209" s="33">
        <f t="shared" si="74"/>
        <v>1000.000000000003</v>
      </c>
      <c r="W209" s="105">
        <f t="shared" si="69"/>
        <v>148530.99599378955</v>
      </c>
      <c r="X209" s="112">
        <f t="shared" si="75"/>
        <v>961.8567969425942</v>
      </c>
      <c r="Y209" s="32">
        <f t="shared" si="70"/>
        <v>597.27081071110706</v>
      </c>
    </row>
    <row r="210" spans="1:25" x14ac:dyDescent="0.25">
      <c r="A210" s="4">
        <v>204</v>
      </c>
      <c r="C210" s="110">
        <f>IF(male=0,VLOOKUP(((A208:A1042/'Life tables'!$I$2)*2)+age,lifetable,13,1),IF(male=1,VLOOKUP(((A208:A1042/'Life tables'!$I$2)*2)+age,lifetable,10,1),"error"))</f>
        <v>1.4551982218569126E-4</v>
      </c>
      <c r="F210" s="101">
        <f t="shared" si="57"/>
        <v>166.89502220854646</v>
      </c>
      <c r="G210" s="101">
        <f t="shared" si="58"/>
        <v>16.764954272885614</v>
      </c>
      <c r="H210" s="101">
        <f t="shared" si="59"/>
        <v>0.38364538193929626</v>
      </c>
      <c r="I210" s="101">
        <f t="shared" si="60"/>
        <v>0.38364538193929626</v>
      </c>
      <c r="J210" s="101">
        <f t="shared" si="61"/>
        <v>2.6837823135730569E-2</v>
      </c>
      <c r="K210" s="101">
        <f t="shared" si="62"/>
        <v>3.0073624009464759E-2</v>
      </c>
      <c r="L210" s="101">
        <f t="shared" si="71"/>
        <v>149.30586572463707</v>
      </c>
      <c r="M210" s="101">
        <f t="shared" si="63"/>
        <v>794.96177473404782</v>
      </c>
      <c r="N210" s="101">
        <f t="shared" si="64"/>
        <v>76.556541292921793</v>
      </c>
      <c r="O210" s="101">
        <f t="shared" si="65"/>
        <v>1.8273967051808619</v>
      </c>
      <c r="P210" s="101">
        <f t="shared" si="66"/>
        <v>1.8273967051808619</v>
      </c>
      <c r="Q210" s="101">
        <f t="shared" si="67"/>
        <v>0.12735503526701897</v>
      </c>
      <c r="R210" s="101">
        <f t="shared" si="68"/>
        <v>2.1290738279617954E-2</v>
      </c>
      <c r="S210" s="101">
        <f t="shared" si="72"/>
        <v>714.60179425721765</v>
      </c>
      <c r="T210" s="101">
        <f t="shared" si="73"/>
        <v>23.750372375678616</v>
      </c>
      <c r="U210" s="101">
        <f t="shared" si="73"/>
        <v>14.598387902421884</v>
      </c>
      <c r="V210" s="33">
        <f t="shared" si="74"/>
        <v>1000.000000000003</v>
      </c>
      <c r="W210" s="105">
        <f t="shared" si="69"/>
        <v>148331.32251819526</v>
      </c>
      <c r="X210" s="112">
        <f t="shared" si="75"/>
        <v>961.65123972190236</v>
      </c>
      <c r="Y210" s="32">
        <f t="shared" si="70"/>
        <v>596.97145337882239</v>
      </c>
    </row>
    <row r="211" spans="1:25" x14ac:dyDescent="0.25">
      <c r="A211" s="4">
        <v>205</v>
      </c>
      <c r="C211" s="110">
        <f>IF(male=0,VLOOKUP(((A209:A1043/'Life tables'!$I$2)*2)+age,lifetable,13,1),IF(male=1,VLOOKUP(((A209:A1043/'Life tables'!$I$2)*2)+age,lifetable,10,1),"error"))</f>
        <v>1.4551982218569126E-4</v>
      </c>
      <c r="F211" s="101">
        <f t="shared" si="57"/>
        <v>166.81858644087703</v>
      </c>
      <c r="G211" s="101">
        <f t="shared" si="58"/>
        <v>16.757276140051971</v>
      </c>
      <c r="H211" s="101">
        <f t="shared" si="59"/>
        <v>0.38346967730237352</v>
      </c>
      <c r="I211" s="101">
        <f t="shared" si="60"/>
        <v>0.38346967730237352</v>
      </c>
      <c r="J211" s="101">
        <f t="shared" si="61"/>
        <v>2.6825531758870976E-2</v>
      </c>
      <c r="K211" s="101">
        <f t="shared" si="62"/>
        <v>3.0059850677538219E-2</v>
      </c>
      <c r="L211" s="101">
        <f t="shared" si="71"/>
        <v>149.23748556378391</v>
      </c>
      <c r="M211" s="101">
        <f t="shared" si="63"/>
        <v>794.83265328102527</v>
      </c>
      <c r="N211" s="101">
        <f t="shared" si="64"/>
        <v>76.544106617237631</v>
      </c>
      <c r="O211" s="101">
        <f t="shared" si="65"/>
        <v>1.8270998907611995</v>
      </c>
      <c r="P211" s="101">
        <f t="shared" si="66"/>
        <v>1.8270998907611995</v>
      </c>
      <c r="Q211" s="101">
        <f t="shared" si="67"/>
        <v>0.12733434965957716</v>
      </c>
      <c r="R211" s="101">
        <f t="shared" si="68"/>
        <v>2.1287280137163862E-2</v>
      </c>
      <c r="S211" s="101">
        <f t="shared" si="72"/>
        <v>714.48572525246846</v>
      </c>
      <c r="T211" s="101">
        <f t="shared" si="73"/>
        <v>23.904532257097063</v>
      </c>
      <c r="U211" s="101">
        <f t="shared" si="73"/>
        <v>14.649735033236587</v>
      </c>
      <c r="V211" s="33">
        <f t="shared" si="74"/>
        <v>1000.0000000000027</v>
      </c>
      <c r="W211" s="105">
        <f t="shared" si="69"/>
        <v>148131.83352277492</v>
      </c>
      <c r="X211" s="112">
        <f t="shared" si="75"/>
        <v>961.44573270966907</v>
      </c>
      <c r="Y211" s="32">
        <f t="shared" si="70"/>
        <v>596.6722494881484</v>
      </c>
    </row>
    <row r="212" spans="1:25" x14ac:dyDescent="0.25">
      <c r="A212" s="4">
        <v>206</v>
      </c>
      <c r="C212" s="110">
        <f>IF(male=0,VLOOKUP(((A210:A1044/'Life tables'!$I$2)*2)+age,lifetable,13,1),IF(male=1,VLOOKUP(((A210:A1044/'Life tables'!$I$2)*2)+age,lifetable,10,1),"error"))</f>
        <v>1.4551982218569126E-4</v>
      </c>
      <c r="F212" s="101">
        <f t="shared" si="57"/>
        <v>166.74343715555352</v>
      </c>
      <c r="G212" s="101">
        <f t="shared" si="58"/>
        <v>16.749727237062434</v>
      </c>
      <c r="H212" s="101">
        <f t="shared" si="59"/>
        <v>0.38329692993166781</v>
      </c>
      <c r="I212" s="101">
        <f t="shared" si="60"/>
        <v>0.38329692993166781</v>
      </c>
      <c r="J212" s="101">
        <f t="shared" si="61"/>
        <v>2.6813447256879241E-2</v>
      </c>
      <c r="K212" s="101">
        <f t="shared" si="62"/>
        <v>3.004630916310902E-2</v>
      </c>
      <c r="L212" s="101">
        <f t="shared" si="71"/>
        <v>149.17025630220778</v>
      </c>
      <c r="M212" s="101">
        <f t="shared" si="63"/>
        <v>794.70229555411572</v>
      </c>
      <c r="N212" s="101">
        <f t="shared" si="64"/>
        <v>76.531552885699597</v>
      </c>
      <c r="O212" s="101">
        <f t="shared" si="65"/>
        <v>1.826800234490646</v>
      </c>
      <c r="P212" s="101">
        <f t="shared" si="66"/>
        <v>1.826800234490646</v>
      </c>
      <c r="Q212" s="101">
        <f t="shared" si="67"/>
        <v>0.12731346599770116</v>
      </c>
      <c r="R212" s="101">
        <f t="shared" si="68"/>
        <v>2.1283788884710518E-2</v>
      </c>
      <c r="S212" s="101">
        <f t="shared" si="72"/>
        <v>714.36854494455247</v>
      </c>
      <c r="T212" s="101">
        <f t="shared" si="73"/>
        <v>24.058659170351643</v>
      </c>
      <c r="U212" s="101">
        <f t="shared" si="73"/>
        <v>14.701065131284405</v>
      </c>
      <c r="V212" s="33">
        <f t="shared" si="74"/>
        <v>1000.000000000003</v>
      </c>
      <c r="W212" s="105">
        <f t="shared" si="69"/>
        <v>147932.53158046992</v>
      </c>
      <c r="X212" s="112">
        <f t="shared" si="75"/>
        <v>961.24027569836687</v>
      </c>
      <c r="Y212" s="32">
        <f t="shared" si="70"/>
        <v>596.37319885365639</v>
      </c>
    </row>
    <row r="213" spans="1:25" x14ac:dyDescent="0.25">
      <c r="A213" s="4">
        <v>207</v>
      </c>
      <c r="C213" s="110">
        <f>IF(male=0,VLOOKUP(((A211:A1045/'Life tables'!$I$2)*2)+age,lifetable,13,1),IF(male=1,VLOOKUP(((A211:A1045/'Life tables'!$I$2)*2)+age,lifetable,10,1),"error"))</f>
        <v>1.4551982218569126E-4</v>
      </c>
      <c r="F213" s="101">
        <f t="shared" si="57"/>
        <v>166.66953453982939</v>
      </c>
      <c r="G213" s="101">
        <f t="shared" si="58"/>
        <v>16.74230356464329</v>
      </c>
      <c r="H213" s="101">
        <f t="shared" si="59"/>
        <v>0.38312704830871341</v>
      </c>
      <c r="I213" s="101">
        <f t="shared" si="60"/>
        <v>0.38312704830871341</v>
      </c>
      <c r="J213" s="101">
        <f t="shared" si="61"/>
        <v>2.6801563227602479E-2</v>
      </c>
      <c r="K213" s="101">
        <f t="shared" si="62"/>
        <v>3.0032992292125131E-2</v>
      </c>
      <c r="L213" s="101">
        <f t="shared" si="71"/>
        <v>149.10414232304893</v>
      </c>
      <c r="M213" s="101">
        <f t="shared" si="63"/>
        <v>794.57074115853754</v>
      </c>
      <c r="N213" s="101">
        <f t="shared" si="64"/>
        <v>76.518883912376054</v>
      </c>
      <c r="O213" s="101">
        <f t="shared" si="65"/>
        <v>1.8264978274106174</v>
      </c>
      <c r="P213" s="101">
        <f t="shared" si="66"/>
        <v>1.8264978274106174</v>
      </c>
      <c r="Q213" s="101">
        <f t="shared" si="67"/>
        <v>0.1272923906262545</v>
      </c>
      <c r="R213" s="101">
        <f t="shared" si="68"/>
        <v>2.1280265582968461E-2</v>
      </c>
      <c r="S213" s="101">
        <f t="shared" si="72"/>
        <v>714.25028893513104</v>
      </c>
      <c r="T213" s="101">
        <f t="shared" si="73"/>
        <v>24.212753124205499</v>
      </c>
      <c r="U213" s="101">
        <f t="shared" si="73"/>
        <v>14.7523783891595</v>
      </c>
      <c r="V213" s="33">
        <f t="shared" si="74"/>
        <v>1000.000000000003</v>
      </c>
      <c r="W213" s="105">
        <f t="shared" si="69"/>
        <v>147733.41916965382</v>
      </c>
      <c r="X213" s="112">
        <f t="shared" si="75"/>
        <v>961.03486848663795</v>
      </c>
      <c r="Y213" s="32">
        <f t="shared" si="70"/>
        <v>596.07430129341958</v>
      </c>
    </row>
    <row r="214" spans="1:25" x14ac:dyDescent="0.25">
      <c r="A214" s="4">
        <v>208</v>
      </c>
      <c r="C214" s="110">
        <f>IF(male=0,VLOOKUP(((A212:A1046/'Life tables'!$I$2)*2)+age,lifetable,13,1),IF(male=1,VLOOKUP(((A212:A1046/'Life tables'!$I$2)*2)+age,lifetable,10,1),"error"))</f>
        <v>1.4551982218569126E-4</v>
      </c>
      <c r="F214" s="101">
        <f t="shared" si="57"/>
        <v>166.59684002021299</v>
      </c>
      <c r="G214" s="101">
        <f t="shared" si="58"/>
        <v>16.735001248006579</v>
      </c>
      <c r="H214" s="101">
        <f t="shared" si="59"/>
        <v>0.38295994376374815</v>
      </c>
      <c r="I214" s="101">
        <f t="shared" si="60"/>
        <v>0.38295994376374815</v>
      </c>
      <c r="J214" s="101">
        <f t="shared" si="61"/>
        <v>2.678987346816817E-2</v>
      </c>
      <c r="K214" s="101">
        <f t="shared" si="62"/>
        <v>3.001989311384191E-2</v>
      </c>
      <c r="L214" s="101">
        <f t="shared" si="71"/>
        <v>149.03910911809692</v>
      </c>
      <c r="M214" s="101">
        <f t="shared" si="63"/>
        <v>794.43802846642507</v>
      </c>
      <c r="N214" s="101">
        <f t="shared" si="64"/>
        <v>76.506103392586652</v>
      </c>
      <c r="O214" s="101">
        <f t="shared" si="65"/>
        <v>1.8261927577280115</v>
      </c>
      <c r="P214" s="101">
        <f t="shared" si="66"/>
        <v>1.8261927577280115</v>
      </c>
      <c r="Q214" s="101">
        <f t="shared" si="67"/>
        <v>0.12727112969255736</v>
      </c>
      <c r="R214" s="101">
        <f t="shared" si="68"/>
        <v>2.1276711259623673E-2</v>
      </c>
      <c r="S214" s="101">
        <f t="shared" si="72"/>
        <v>714.13099171743022</v>
      </c>
      <c r="T214" s="101">
        <f t="shared" si="73"/>
        <v>24.366814127366226</v>
      </c>
      <c r="U214" s="101">
        <f t="shared" si="73"/>
        <v>14.803674993532965</v>
      </c>
      <c r="V214" s="33">
        <f t="shared" si="74"/>
        <v>1000.0000000000031</v>
      </c>
      <c r="W214" s="105">
        <f t="shared" si="69"/>
        <v>147534.49867719811</v>
      </c>
      <c r="X214" s="112">
        <f t="shared" si="75"/>
        <v>960.82951087910396</v>
      </c>
      <c r="Y214" s="32">
        <f t="shared" si="70"/>
        <v>595.77555662890416</v>
      </c>
    </row>
    <row r="215" spans="1:25" x14ac:dyDescent="0.25">
      <c r="A215" s="4">
        <v>209</v>
      </c>
      <c r="C215" s="110">
        <f>IF(male=0,VLOOKUP(((A213:A1047/'Life tables'!$I$2)*2)+age,lifetable,13,1),IF(male=1,VLOOKUP(((A213:A1047/'Life tables'!$I$2)*2)+age,lifetable,10,1),"error"))</f>
        <v>1.6015111386780134E-4</v>
      </c>
      <c r="F215" s="101">
        <f t="shared" si="57"/>
        <v>166.52531622389199</v>
      </c>
      <c r="G215" s="101">
        <f t="shared" si="58"/>
        <v>16.727816532975076</v>
      </c>
      <c r="H215" s="101">
        <f t="shared" si="59"/>
        <v>0.38279553038703862</v>
      </c>
      <c r="I215" s="101">
        <f t="shared" si="60"/>
        <v>0.38279553038703862</v>
      </c>
      <c r="J215" s="101">
        <f t="shared" si="61"/>
        <v>2.9470803591926532E-2</v>
      </c>
      <c r="K215" s="101">
        <f t="shared" si="62"/>
        <v>3.0007004893870919E-2</v>
      </c>
      <c r="L215" s="101">
        <f t="shared" si="71"/>
        <v>148.97243082165704</v>
      </c>
      <c r="M215" s="101">
        <f t="shared" si="63"/>
        <v>794.30419465521186</v>
      </c>
      <c r="N215" s="101">
        <f t="shared" si="64"/>
        <v>76.493214906598809</v>
      </c>
      <c r="O215" s="101">
        <f t="shared" si="65"/>
        <v>1.8258851109034397</v>
      </c>
      <c r="P215" s="101">
        <f t="shared" si="66"/>
        <v>1.8258851109034397</v>
      </c>
      <c r="Q215" s="101">
        <f t="shared" si="67"/>
        <v>0.14004401016313159</v>
      </c>
      <c r="R215" s="101">
        <f t="shared" si="68"/>
        <v>2.127312691036555E-2</v>
      </c>
      <c r="S215" s="101">
        <f t="shared" si="72"/>
        <v>713.99789238973267</v>
      </c>
      <c r="T215" s="101">
        <f t="shared" si="73"/>
        <v>24.536328941121283</v>
      </c>
      <c r="U215" s="101">
        <f t="shared" si="73"/>
        <v>14.854955125337202</v>
      </c>
      <c r="V215" s="33">
        <f t="shared" si="74"/>
        <v>1000.0000000000031</v>
      </c>
      <c r="W215" s="105">
        <f t="shared" si="69"/>
        <v>147333.71668583315</v>
      </c>
      <c r="X215" s="112">
        <f t="shared" si="75"/>
        <v>960.60871593354454</v>
      </c>
      <c r="Y215" s="32">
        <f t="shared" si="70"/>
        <v>595.46720852195392</v>
      </c>
    </row>
    <row r="216" spans="1:25" x14ac:dyDescent="0.25">
      <c r="A216" s="4">
        <v>210</v>
      </c>
      <c r="C216" s="110">
        <f>IF(male=0,VLOOKUP(((A214:A1048/'Life tables'!$I$2)*2)+age,lifetable,13,1),IF(male=1,VLOOKUP(((A214:A1048/'Life tables'!$I$2)*2)+age,lifetable,10,1),"error"))</f>
        <v>1.6015111386780134E-4</v>
      </c>
      <c r="F216" s="101">
        <f t="shared" si="57"/>
        <v>166.4522349972346</v>
      </c>
      <c r="G216" s="101">
        <f t="shared" si="58"/>
        <v>16.72047537080676</v>
      </c>
      <c r="H216" s="101">
        <f t="shared" si="59"/>
        <v>0.38262753690980639</v>
      </c>
      <c r="I216" s="101">
        <f t="shared" si="60"/>
        <v>0.38262753690980639</v>
      </c>
      <c r="J216" s="101">
        <f t="shared" si="61"/>
        <v>2.9457870048091188E-2</v>
      </c>
      <c r="K216" s="101">
        <f t="shared" si="62"/>
        <v>2.9993836032969255E-2</v>
      </c>
      <c r="L216" s="101">
        <f t="shared" si="71"/>
        <v>148.90705284652717</v>
      </c>
      <c r="M216" s="101">
        <f t="shared" si="63"/>
        <v>794.15648093630989</v>
      </c>
      <c r="N216" s="101">
        <f t="shared" si="64"/>
        <v>76.478989755427946</v>
      </c>
      <c r="O216" s="101">
        <f t="shared" si="65"/>
        <v>1.8255455580195017</v>
      </c>
      <c r="P216" s="101">
        <f t="shared" si="66"/>
        <v>1.8255455580195017</v>
      </c>
      <c r="Q216" s="101">
        <f t="shared" si="67"/>
        <v>0.1400179667131658</v>
      </c>
      <c r="R216" s="101">
        <f t="shared" si="68"/>
        <v>2.1269170828162098E-2</v>
      </c>
      <c r="S216" s="101">
        <f t="shared" si="72"/>
        <v>713.86511292730165</v>
      </c>
      <c r="T216" s="101">
        <f t="shared" si="73"/>
        <v>24.705804777882541</v>
      </c>
      <c r="U216" s="101">
        <f t="shared" si="73"/>
        <v>14.906218132198333</v>
      </c>
      <c r="V216" s="33">
        <f t="shared" si="74"/>
        <v>1000.0000000000031</v>
      </c>
      <c r="W216" s="105">
        <f t="shared" si="69"/>
        <v>147132.81809998772</v>
      </c>
      <c r="X216" s="112">
        <f t="shared" si="75"/>
        <v>960.38797708992217</v>
      </c>
      <c r="Y216" s="32">
        <f t="shared" si="70"/>
        <v>595.15917897742293</v>
      </c>
    </row>
    <row r="217" spans="1:25" x14ac:dyDescent="0.25">
      <c r="A217" s="4">
        <v>211</v>
      </c>
      <c r="C217" s="110">
        <f>IF(male=0,VLOOKUP(((A215:A1049/'Life tables'!$I$2)*2)+age,lifetable,13,1),IF(male=1,VLOOKUP(((A215:A1049/'Life tables'!$I$2)*2)+age,lifetable,10,1),"error"))</f>
        <v>1.6015111386780134E-4</v>
      </c>
      <c r="F217" s="101">
        <f t="shared" si="57"/>
        <v>166.38025574586737</v>
      </c>
      <c r="G217" s="101">
        <f t="shared" si="58"/>
        <v>16.713244904362647</v>
      </c>
      <c r="H217" s="101">
        <f t="shared" si="59"/>
        <v>0.38246207656822723</v>
      </c>
      <c r="I217" s="101">
        <f t="shared" si="60"/>
        <v>0.38246207656822723</v>
      </c>
      <c r="J217" s="101">
        <f t="shared" si="61"/>
        <v>2.9445131526238531E-2</v>
      </c>
      <c r="K217" s="101">
        <f t="shared" si="62"/>
        <v>2.9980865742343113E-2</v>
      </c>
      <c r="L217" s="101">
        <f t="shared" si="71"/>
        <v>148.8426606910997</v>
      </c>
      <c r="M217" s="101">
        <f t="shared" si="63"/>
        <v>794.00772134405474</v>
      </c>
      <c r="N217" s="101">
        <f t="shared" si="64"/>
        <v>76.46466388438715</v>
      </c>
      <c r="O217" s="101">
        <f t="shared" si="65"/>
        <v>1.8252036009627086</v>
      </c>
      <c r="P217" s="101">
        <f t="shared" si="66"/>
        <v>1.8252036009627086</v>
      </c>
      <c r="Q217" s="101">
        <f t="shared" si="67"/>
        <v>0.13999173886495625</v>
      </c>
      <c r="R217" s="101">
        <f t="shared" si="68"/>
        <v>2.1265186735283739E-2</v>
      </c>
      <c r="S217" s="101">
        <f t="shared" si="72"/>
        <v>713.73139333214192</v>
      </c>
      <c r="T217" s="101">
        <f t="shared" si="73"/>
        <v>24.875241648273736</v>
      </c>
      <c r="U217" s="101">
        <f t="shared" si="73"/>
        <v>14.95746418467596</v>
      </c>
      <c r="V217" s="33">
        <f t="shared" si="74"/>
        <v>1000.000000000003</v>
      </c>
      <c r="W217" s="105">
        <f t="shared" si="69"/>
        <v>146932.12448577833</v>
      </c>
      <c r="X217" s="112">
        <f t="shared" si="75"/>
        <v>960.16729416705334</v>
      </c>
      <c r="Y217" s="32">
        <f t="shared" si="70"/>
        <v>594.85131158397746</v>
      </c>
    </row>
    <row r="218" spans="1:25" x14ac:dyDescent="0.25">
      <c r="A218" s="4">
        <v>212</v>
      </c>
      <c r="C218" s="110">
        <f>IF(male=0,VLOOKUP(((A216:A1050/'Life tables'!$I$2)*2)+age,lifetable,13,1),IF(male=1,VLOOKUP(((A216:A1050/'Life tables'!$I$2)*2)+age,lifetable,10,1),"error"))</f>
        <v>1.6015111386780134E-4</v>
      </c>
      <c r="F218" s="101">
        <f t="shared" si="57"/>
        <v>166.309344419452</v>
      </c>
      <c r="G218" s="101">
        <f t="shared" si="58"/>
        <v>16.706121713214994</v>
      </c>
      <c r="H218" s="101">
        <f t="shared" si="59"/>
        <v>0.38229907109001438</v>
      </c>
      <c r="I218" s="101">
        <f t="shared" si="60"/>
        <v>0.38229907109001438</v>
      </c>
      <c r="J218" s="101">
        <f t="shared" si="61"/>
        <v>2.9432582000312877E-2</v>
      </c>
      <c r="K218" s="101">
        <f t="shared" si="62"/>
        <v>2.9968087886296794E-2</v>
      </c>
      <c r="L218" s="101">
        <f t="shared" si="71"/>
        <v>148.77922389417037</v>
      </c>
      <c r="M218" s="101">
        <f t="shared" si="63"/>
        <v>793.85794974760131</v>
      </c>
      <c r="N218" s="101">
        <f t="shared" si="64"/>
        <v>76.450240555149435</v>
      </c>
      <c r="O218" s="101">
        <f t="shared" si="65"/>
        <v>1.8248593175888568</v>
      </c>
      <c r="P218" s="101">
        <f t="shared" si="66"/>
        <v>1.8248593175888568</v>
      </c>
      <c r="Q218" s="101">
        <f t="shared" si="67"/>
        <v>0.13996533258998375</v>
      </c>
      <c r="R218" s="101">
        <f t="shared" si="68"/>
        <v>2.1261175538817245E-2</v>
      </c>
      <c r="S218" s="101">
        <f t="shared" si="72"/>
        <v>713.59676404914535</v>
      </c>
      <c r="T218" s="101">
        <f t="shared" si="73"/>
        <v>25.044639562864031</v>
      </c>
      <c r="U218" s="101">
        <f t="shared" si="73"/>
        <v>15.008693448101074</v>
      </c>
      <c r="V218" s="33">
        <f t="shared" si="74"/>
        <v>1000.0000000000031</v>
      </c>
      <c r="W218" s="105">
        <f t="shared" si="69"/>
        <v>146731.6378834717</v>
      </c>
      <c r="X218" s="112">
        <f t="shared" si="75"/>
        <v>959.94666698903791</v>
      </c>
      <c r="Y218" s="32">
        <f t="shared" si="70"/>
        <v>594.54360616797715</v>
      </c>
    </row>
    <row r="219" spans="1:25" x14ac:dyDescent="0.25">
      <c r="A219" s="4">
        <v>213</v>
      </c>
      <c r="C219" s="110">
        <f>IF(male=0,VLOOKUP(((A217:A1051/'Life tables'!$I$2)*2)+age,lifetable,13,1),IF(male=1,VLOOKUP(((A217:A1051/'Life tables'!$I$2)*2)+age,lifetable,10,1),"error"))</f>
        <v>1.6015111386780134E-4</v>
      </c>
      <c r="F219" s="101">
        <f t="shared" si="57"/>
        <v>166.23946802805219</v>
      </c>
      <c r="G219" s="101">
        <f t="shared" si="58"/>
        <v>16.699102483455654</v>
      </c>
      <c r="H219" s="101">
        <f t="shared" si="59"/>
        <v>0.38213844464045127</v>
      </c>
      <c r="I219" s="101">
        <f t="shared" si="60"/>
        <v>0.38213844464045127</v>
      </c>
      <c r="J219" s="101">
        <f t="shared" si="61"/>
        <v>2.9420215631923052E-2</v>
      </c>
      <c r="K219" s="101">
        <f t="shared" si="62"/>
        <v>2.9955496520213565E-2</v>
      </c>
      <c r="L219" s="101">
        <f t="shared" si="71"/>
        <v>148.71671294316349</v>
      </c>
      <c r="M219" s="101">
        <f t="shared" si="63"/>
        <v>793.70719896098581</v>
      </c>
      <c r="N219" s="101">
        <f t="shared" si="64"/>
        <v>76.435722927777562</v>
      </c>
      <c r="O219" s="101">
        <f t="shared" si="65"/>
        <v>1.8245127833283172</v>
      </c>
      <c r="P219" s="101">
        <f t="shared" si="66"/>
        <v>1.8245127833283172</v>
      </c>
      <c r="Q219" s="101">
        <f t="shared" si="67"/>
        <v>0.13993875367370087</v>
      </c>
      <c r="R219" s="101">
        <f t="shared" si="68"/>
        <v>2.1257138117591109E-2</v>
      </c>
      <c r="S219" s="101">
        <f t="shared" si="72"/>
        <v>713.46125457476035</v>
      </c>
      <c r="T219" s="101">
        <f t="shared" si="73"/>
        <v>25.213998532169654</v>
      </c>
      <c r="U219" s="101">
        <f t="shared" si="73"/>
        <v>15.059906082738879</v>
      </c>
      <c r="V219" s="33">
        <f t="shared" si="74"/>
        <v>1000.0000000000031</v>
      </c>
      <c r="W219" s="105">
        <f t="shared" si="69"/>
        <v>146531.36025559125</v>
      </c>
      <c r="X219" s="112">
        <f t="shared" si="75"/>
        <v>959.7260953850946</v>
      </c>
      <c r="Y219" s="32">
        <f t="shared" si="70"/>
        <v>594.23606255869333</v>
      </c>
    </row>
    <row r="220" spans="1:25" x14ac:dyDescent="0.25">
      <c r="A220" s="4">
        <v>214</v>
      </c>
      <c r="C220" s="110">
        <f>IF(male=0,VLOOKUP(((A218:A1052/'Life tables'!$I$2)*2)+age,lifetable,13,1),IF(male=1,VLOOKUP(((A218:A1052/'Life tables'!$I$2)*2)+age,lifetable,10,1),"error"))</f>
        <v>1.6015111386780134E-4</v>
      </c>
      <c r="F220" s="101">
        <f t="shared" si="57"/>
        <v>166.17059460910841</v>
      </c>
      <c r="G220" s="101">
        <f t="shared" si="58"/>
        <v>16.692184004378625</v>
      </c>
      <c r="H220" s="101">
        <f t="shared" si="59"/>
        <v>0.38198012374647555</v>
      </c>
      <c r="I220" s="101">
        <f t="shared" si="60"/>
        <v>0.38198012374647555</v>
      </c>
      <c r="J220" s="101">
        <f t="shared" si="61"/>
        <v>2.940802676449783E-2</v>
      </c>
      <c r="K220" s="101">
        <f t="shared" si="62"/>
        <v>2.9943085884604714E-2</v>
      </c>
      <c r="L220" s="101">
        <f t="shared" si="71"/>
        <v>148.65509924458772</v>
      </c>
      <c r="M220" s="101">
        <f t="shared" si="63"/>
        <v>793.55550077598616</v>
      </c>
      <c r="N220" s="101">
        <f t="shared" si="64"/>
        <v>76.421114063888638</v>
      </c>
      <c r="O220" s="101">
        <f t="shared" si="65"/>
        <v>1.8241640712615728</v>
      </c>
      <c r="P220" s="101">
        <f t="shared" si="66"/>
        <v>1.8241640712615728</v>
      </c>
      <c r="Q220" s="101">
        <f t="shared" si="67"/>
        <v>0.13991200772132548</v>
      </c>
      <c r="R220" s="101">
        <f t="shared" si="68"/>
        <v>2.1253075323055606E-2</v>
      </c>
      <c r="S220" s="101">
        <f t="shared" si="72"/>
        <v>713.32489348652996</v>
      </c>
      <c r="T220" s="101">
        <f t="shared" si="73"/>
        <v>25.383318566655479</v>
      </c>
      <c r="U220" s="101">
        <f t="shared" si="73"/>
        <v>15.111102243946538</v>
      </c>
      <c r="V220" s="33">
        <f t="shared" si="74"/>
        <v>1000.0000000000031</v>
      </c>
      <c r="W220" s="105">
        <f t="shared" si="69"/>
        <v>146331.29348944206</v>
      </c>
      <c r="X220" s="112">
        <f t="shared" si="75"/>
        <v>959.50557918940103</v>
      </c>
      <c r="Y220" s="32">
        <f t="shared" si="70"/>
        <v>593.92868058821728</v>
      </c>
    </row>
    <row r="221" spans="1:25" x14ac:dyDescent="0.25">
      <c r="A221" s="4">
        <v>215</v>
      </c>
      <c r="C221" s="110">
        <f>IF(male=0,VLOOKUP(((A219:A1053/'Life tables'!$I$2)*2)+age,lifetable,13,1),IF(male=1,VLOOKUP(((A219:A1053/'Life tables'!$I$2)*2)+age,lifetable,10,1),"error"))</f>
        <v>1.6015111386780134E-4</v>
      </c>
      <c r="F221" s="101">
        <f t="shared" si="57"/>
        <v>166.10269319544136</v>
      </c>
      <c r="G221" s="101">
        <f t="shared" si="58"/>
        <v>16.685363165265944</v>
      </c>
      <c r="H221" s="101">
        <f t="shared" si="59"/>
        <v>0.38182403722312819</v>
      </c>
      <c r="I221" s="101">
        <f t="shared" si="60"/>
        <v>0.38182403722312819</v>
      </c>
      <c r="J221" s="101">
        <f t="shared" si="61"/>
        <v>2.9396009917623291E-2</v>
      </c>
      <c r="K221" s="101">
        <f t="shared" si="62"/>
        <v>2.9930850399343911E-2</v>
      </c>
      <c r="L221" s="101">
        <f t="shared" si="71"/>
        <v>148.5943550954122</v>
      </c>
      <c r="M221" s="101">
        <f t="shared" si="63"/>
        <v>793.40288599395956</v>
      </c>
      <c r="N221" s="101">
        <f t="shared" si="64"/>
        <v>76.406416929720095</v>
      </c>
      <c r="O221" s="101">
        <f t="shared" si="65"/>
        <v>1.8238132521924038</v>
      </c>
      <c r="P221" s="101">
        <f t="shared" si="66"/>
        <v>1.8238132521924038</v>
      </c>
      <c r="Q221" s="101">
        <f t="shared" si="67"/>
        <v>0.13988510016345407</v>
      </c>
      <c r="R221" s="101">
        <f t="shared" si="68"/>
        <v>2.1248987980135484E-2</v>
      </c>
      <c r="S221" s="101">
        <f t="shared" si="72"/>
        <v>713.18770847171106</v>
      </c>
      <c r="T221" s="101">
        <f t="shared" si="73"/>
        <v>25.552599676736556</v>
      </c>
      <c r="U221" s="101">
        <f t="shared" si="73"/>
        <v>15.162282082326017</v>
      </c>
      <c r="V221" s="33">
        <f t="shared" si="74"/>
        <v>1000.000000000003</v>
      </c>
      <c r="W221" s="105">
        <f t="shared" si="69"/>
        <v>146131.43939955329</v>
      </c>
      <c r="X221" s="112">
        <f t="shared" si="75"/>
        <v>959.28511824094039</v>
      </c>
      <c r="Y221" s="32">
        <f t="shared" si="70"/>
        <v>593.62146009137473</v>
      </c>
    </row>
    <row r="222" spans="1:25" x14ac:dyDescent="0.25">
      <c r="A222" s="4">
        <v>216</v>
      </c>
      <c r="C222" s="110">
        <f>IF(male=0,VLOOKUP(((A220:A1054/'Life tables'!$I$2)*2)+age,lifetable,13,1),IF(male=1,VLOOKUP(((A220:A1054/'Life tables'!$I$2)*2)+age,lifetable,10,1),"error"))</f>
        <v>1.6015111386780134E-4</v>
      </c>
      <c r="F222" s="101">
        <f t="shared" si="57"/>
        <v>166.03573378425187</v>
      </c>
      <c r="G222" s="101">
        <f t="shared" si="58"/>
        <v>16.678636952273632</v>
      </c>
      <c r="H222" s="101">
        <f t="shared" si="59"/>
        <v>0.38167011610229257</v>
      </c>
      <c r="I222" s="101">
        <f t="shared" si="60"/>
        <v>0.38167011610229257</v>
      </c>
      <c r="J222" s="101">
        <f t="shared" si="61"/>
        <v>2.9384159781556639E-2</v>
      </c>
      <c r="K222" s="101">
        <f t="shared" si="62"/>
        <v>2.991878465808117E-2</v>
      </c>
      <c r="L222" s="101">
        <f t="shared" si="71"/>
        <v>148.534453655334</v>
      </c>
      <c r="M222" s="101">
        <f t="shared" si="63"/>
        <v>793.24938445668852</v>
      </c>
      <c r="N222" s="101">
        <f t="shared" si="64"/>
        <v>76.391634399100241</v>
      </c>
      <c r="O222" s="101">
        <f t="shared" si="65"/>
        <v>1.8234603947187935</v>
      </c>
      <c r="P222" s="101">
        <f t="shared" si="66"/>
        <v>1.8234603947187935</v>
      </c>
      <c r="Q222" s="101">
        <f t="shared" si="67"/>
        <v>0.13985803626150028</v>
      </c>
      <c r="R222" s="101">
        <f t="shared" si="68"/>
        <v>2.1244876888056055E-2</v>
      </c>
      <c r="S222" s="101">
        <f t="shared" si="72"/>
        <v>713.0497263550011</v>
      </c>
      <c r="T222" s="101">
        <f t="shared" si="73"/>
        <v>25.721841872779613</v>
      </c>
      <c r="U222" s="101">
        <f t="shared" si="73"/>
        <v>15.213445743872155</v>
      </c>
      <c r="V222" s="33">
        <f t="shared" si="74"/>
        <v>1000.000000000003</v>
      </c>
      <c r="W222" s="105">
        <f t="shared" si="69"/>
        <v>145931.79973004234</v>
      </c>
      <c r="X222" s="112">
        <f t="shared" si="75"/>
        <v>959.06471238335121</v>
      </c>
      <c r="Y222" s="32">
        <f t="shared" si="70"/>
        <v>593.31440090563967</v>
      </c>
    </row>
    <row r="223" spans="1:25" x14ac:dyDescent="0.25">
      <c r="A223" s="4">
        <v>217</v>
      </c>
      <c r="C223" s="110">
        <f>IF(male=0,VLOOKUP(((A221:A1055/'Life tables'!$I$2)*2)+age,lifetable,13,1),IF(male=1,VLOOKUP(((A221:A1055/'Life tables'!$I$2)*2)+age,lifetable,10,1),"error"))</f>
        <v>1.6015111386780134E-4</v>
      </c>
      <c r="F223" s="101">
        <f t="shared" si="57"/>
        <v>165.96968730708605</v>
      </c>
      <c r="G223" s="101">
        <f t="shared" si="58"/>
        <v>16.672002445414662</v>
      </c>
      <c r="H223" s="101">
        <f t="shared" si="59"/>
        <v>0.38151829356365291</v>
      </c>
      <c r="I223" s="101">
        <f t="shared" si="60"/>
        <v>0.38151829356365291</v>
      </c>
      <c r="J223" s="101">
        <f t="shared" si="61"/>
        <v>2.9372471211910715E-2</v>
      </c>
      <c r="K223" s="101">
        <f t="shared" si="62"/>
        <v>2.990688342283071E-2</v>
      </c>
      <c r="L223" s="101">
        <f t="shared" si="71"/>
        <v>148.47536891990933</v>
      </c>
      <c r="M223" s="101">
        <f t="shared" si="63"/>
        <v>793.09502507626519</v>
      </c>
      <c r="N223" s="101">
        <f t="shared" si="64"/>
        <v>76.376769256326199</v>
      </c>
      <c r="O223" s="101">
        <f t="shared" si="65"/>
        <v>1.8231055653016259</v>
      </c>
      <c r="P223" s="101">
        <f t="shared" si="66"/>
        <v>1.8231055653016259</v>
      </c>
      <c r="Q223" s="101">
        <f t="shared" si="67"/>
        <v>0.13983082111296366</v>
      </c>
      <c r="R223" s="101">
        <f t="shared" si="68"/>
        <v>2.1240742821143598E-2</v>
      </c>
      <c r="S223" s="101">
        <f t="shared" si="72"/>
        <v>712.9109731254016</v>
      </c>
      <c r="T223" s="101">
        <f t="shared" si="73"/>
        <v>25.891045165104487</v>
      </c>
      <c r="U223" s="101">
        <f t="shared" si="73"/>
        <v>15.264593370116129</v>
      </c>
      <c r="V223" s="33">
        <f t="shared" si="74"/>
        <v>1000.0000000000031</v>
      </c>
      <c r="W223" s="105">
        <f t="shared" si="69"/>
        <v>145732.37615690232</v>
      </c>
      <c r="X223" s="112">
        <f t="shared" si="75"/>
        <v>958.84436146478242</v>
      </c>
      <c r="Y223" s="32">
        <f t="shared" si="70"/>
        <v>593.00750287105461</v>
      </c>
    </row>
    <row r="224" spans="1:25" x14ac:dyDescent="0.25">
      <c r="A224" s="4">
        <v>218</v>
      </c>
      <c r="C224" s="110">
        <f>IF(male=0,VLOOKUP(((A222:A1056/'Life tables'!$I$2)*2)+age,lifetable,13,1),IF(male=1,VLOOKUP(((A222:A1056/'Life tables'!$I$2)*2)+age,lifetable,10,1),"error"))</f>
        <v>1.6015111386780134E-4</v>
      </c>
      <c r="F224" s="101">
        <f t="shared" si="57"/>
        <v>165.90452560073635</v>
      </c>
      <c r="G224" s="101">
        <f t="shared" si="58"/>
        <v>16.665456815635899</v>
      </c>
      <c r="H224" s="101">
        <f t="shared" si="59"/>
        <v>0.38136850486780366</v>
      </c>
      <c r="I224" s="101">
        <f t="shared" si="60"/>
        <v>0.38136850486780366</v>
      </c>
      <c r="J224" s="101">
        <f t="shared" si="61"/>
        <v>2.9360939224504272E-2</v>
      </c>
      <c r="K224" s="101">
        <f t="shared" si="62"/>
        <v>2.9895141618727486E-2</v>
      </c>
      <c r="L224" s="101">
        <f t="shared" si="71"/>
        <v>148.4170756945216</v>
      </c>
      <c r="M224" s="101">
        <f t="shared" si="63"/>
        <v>792.93983586404602</v>
      </c>
      <c r="N224" s="101">
        <f t="shared" si="64"/>
        <v>76.361824198952277</v>
      </c>
      <c r="O224" s="101">
        <f t="shared" si="65"/>
        <v>1.822748828331243</v>
      </c>
      <c r="P224" s="101">
        <f t="shared" si="66"/>
        <v>1.822748828331243</v>
      </c>
      <c r="Q224" s="101">
        <f t="shared" si="67"/>
        <v>0.13980345965653493</v>
      </c>
      <c r="R224" s="101">
        <f t="shared" si="68"/>
        <v>2.1236586529600796E-2</v>
      </c>
      <c r="S224" s="101">
        <f t="shared" si="72"/>
        <v>712.77147396224518</v>
      </c>
      <c r="T224" s="101">
        <f t="shared" si="73"/>
        <v>26.060209563985527</v>
      </c>
      <c r="U224" s="101">
        <f t="shared" si="73"/>
        <v>15.315725098264458</v>
      </c>
      <c r="V224" s="33">
        <f t="shared" si="74"/>
        <v>1000.0000000000031</v>
      </c>
      <c r="W224" s="105">
        <f t="shared" si="69"/>
        <v>145533.17029021605</v>
      </c>
      <c r="X224" s="112">
        <f t="shared" si="75"/>
        <v>958.62406533775311</v>
      </c>
      <c r="Y224" s="32">
        <f t="shared" si="70"/>
        <v>592.70076583014816</v>
      </c>
    </row>
    <row r="225" spans="1:25" x14ac:dyDescent="0.25">
      <c r="A225" s="4">
        <v>219</v>
      </c>
      <c r="C225" s="110">
        <f>IF(male=0,VLOOKUP(((A223:A1057/'Life tables'!$I$2)*2)+age,lifetable,13,1),IF(male=1,VLOOKUP(((A223:A1057/'Life tables'!$I$2)*2)+age,lifetable,10,1),"error"))</f>
        <v>1.6015111386780134E-4</v>
      </c>
      <c r="F225" s="101">
        <f t="shared" si="57"/>
        <v>165.84022137904836</v>
      </c>
      <c r="G225" s="101">
        <f t="shared" si="58"/>
        <v>16.658997321986018</v>
      </c>
      <c r="H225" s="101">
        <f t="shared" si="59"/>
        <v>0.38122068729144137</v>
      </c>
      <c r="I225" s="101">
        <f t="shared" si="60"/>
        <v>0.38122068729144137</v>
      </c>
      <c r="J225" s="101">
        <f t="shared" si="61"/>
        <v>2.9349558990372483E-2</v>
      </c>
      <c r="K225" s="101">
        <f t="shared" si="62"/>
        <v>2.9883554328946908E-2</v>
      </c>
      <c r="L225" s="101">
        <f t="shared" si="71"/>
        <v>148.35954956916015</v>
      </c>
      <c r="M225" s="101">
        <f t="shared" si="63"/>
        <v>792.78384395870467</v>
      </c>
      <c r="N225" s="101">
        <f t="shared" si="64"/>
        <v>76.346801840491551</v>
      </c>
      <c r="O225" s="101">
        <f t="shared" si="65"/>
        <v>1.8223902461919306</v>
      </c>
      <c r="P225" s="101">
        <f t="shared" si="66"/>
        <v>1.8223902461919306</v>
      </c>
      <c r="Q225" s="101">
        <f t="shared" si="67"/>
        <v>0.13977595667704171</v>
      </c>
      <c r="R225" s="101">
        <f t="shared" si="68"/>
        <v>2.1232408740258064E-2</v>
      </c>
      <c r="S225" s="101">
        <f t="shared" si="72"/>
        <v>712.631253260412</v>
      </c>
      <c r="T225" s="101">
        <f t="shared" si="73"/>
        <v>26.229335079652941</v>
      </c>
      <c r="U225" s="101">
        <f t="shared" si="73"/>
        <v>15.366841061333663</v>
      </c>
      <c r="V225" s="33">
        <f t="shared" si="74"/>
        <v>1000.0000000000031</v>
      </c>
      <c r="W225" s="105">
        <f t="shared" si="69"/>
        <v>145334.18367629836</v>
      </c>
      <c r="X225" s="112">
        <f t="shared" si="75"/>
        <v>958.40382385901648</v>
      </c>
      <c r="Y225" s="32">
        <f t="shared" si="70"/>
        <v>592.39418962786078</v>
      </c>
    </row>
    <row r="226" spans="1:25" x14ac:dyDescent="0.25">
      <c r="A226" s="4">
        <v>220</v>
      </c>
      <c r="C226" s="110">
        <f>IF(male=0,VLOOKUP(((A224:A1058/'Life tables'!$I$2)*2)+age,lifetable,13,1),IF(male=1,VLOOKUP(((A224:A1058/'Life tables'!$I$2)*2)+age,lifetable,10,1),"error"))</f>
        <v>1.6015111386780134E-4</v>
      </c>
      <c r="F226" s="101">
        <f t="shared" si="57"/>
        <v>165.77674820560603</v>
      </c>
      <c r="G226" s="101">
        <f t="shared" si="58"/>
        <v>16.652621308871705</v>
      </c>
      <c r="H226" s="101">
        <f t="shared" si="59"/>
        <v>0.3810747800645754</v>
      </c>
      <c r="I226" s="101">
        <f t="shared" si="60"/>
        <v>0.3810747800645754</v>
      </c>
      <c r="J226" s="101">
        <f t="shared" si="61"/>
        <v>2.933832583093287E-2</v>
      </c>
      <c r="K226" s="101">
        <f t="shared" si="62"/>
        <v>2.9872116789782879E-2</v>
      </c>
      <c r="L226" s="101">
        <f t="shared" si="71"/>
        <v>148.30276689398445</v>
      </c>
      <c r="M226" s="101">
        <f t="shared" si="63"/>
        <v>792.62707565341054</v>
      </c>
      <c r="N226" s="101">
        <f t="shared" si="64"/>
        <v>76.331704713033218</v>
      </c>
      <c r="O226" s="101">
        <f t="shared" si="65"/>
        <v>1.8220298793243952</v>
      </c>
      <c r="P226" s="101">
        <f t="shared" si="66"/>
        <v>1.8220298793243952</v>
      </c>
      <c r="Q226" s="101">
        <f t="shared" si="67"/>
        <v>0.13974831681024058</v>
      </c>
      <c r="R226" s="101">
        <f t="shared" si="68"/>
        <v>2.1228210157301454E-2</v>
      </c>
      <c r="S226" s="101">
        <f t="shared" si="72"/>
        <v>712.490334654761</v>
      </c>
      <c r="T226" s="101">
        <f t="shared" si="73"/>
        <v>26.398421722294113</v>
      </c>
      <c r="U226" s="101">
        <f t="shared" si="73"/>
        <v>15.417941388280747</v>
      </c>
      <c r="V226" s="33">
        <f t="shared" si="74"/>
        <v>1000.0000000000031</v>
      </c>
      <c r="W226" s="105">
        <f t="shared" si="69"/>
        <v>145135.41779976999</v>
      </c>
      <c r="X226" s="112">
        <f t="shared" si="75"/>
        <v>958.18363688942827</v>
      </c>
      <c r="Y226" s="32">
        <f t="shared" si="70"/>
        <v>592.08777411146889</v>
      </c>
    </row>
    <row r="227" spans="1:25" x14ac:dyDescent="0.25">
      <c r="A227" s="4">
        <v>221</v>
      </c>
      <c r="C227" s="110">
        <f>IF(male=0,VLOOKUP(((A225:A1059/'Life tables'!$I$2)*2)+age,lifetable,13,1),IF(male=1,VLOOKUP(((A225:A1059/'Life tables'!$I$2)*2)+age,lifetable,10,1),"error"))</f>
        <v>1.6015111386780134E-4</v>
      </c>
      <c r="F227" s="101">
        <f t="shared" si="57"/>
        <v>165.71408046726731</v>
      </c>
      <c r="G227" s="101">
        <f t="shared" si="58"/>
        <v>16.64632620339923</v>
      </c>
      <c r="H227" s="101">
        <f t="shared" si="59"/>
        <v>0.38093072430969382</v>
      </c>
      <c r="I227" s="101">
        <f t="shared" si="60"/>
        <v>0.38093072430969382</v>
      </c>
      <c r="J227" s="101">
        <f t="shared" si="61"/>
        <v>2.932723521330181E-2</v>
      </c>
      <c r="K227" s="101">
        <f t="shared" si="62"/>
        <v>2.9860824385879021E-2</v>
      </c>
      <c r="L227" s="101">
        <f t="shared" si="71"/>
        <v>148.24670475564952</v>
      </c>
      <c r="M227" s="101">
        <f t="shared" si="63"/>
        <v>792.46955642216108</v>
      </c>
      <c r="N227" s="101">
        <f t="shared" si="64"/>
        <v>76.316535269778399</v>
      </c>
      <c r="O227" s="101">
        <f t="shared" si="65"/>
        <v>1.8216677862862938</v>
      </c>
      <c r="P227" s="101">
        <f t="shared" si="66"/>
        <v>1.8216677862862938</v>
      </c>
      <c r="Q227" s="101">
        <f t="shared" si="67"/>
        <v>0.13972054454745961</v>
      </c>
      <c r="R227" s="101">
        <f t="shared" si="68"/>
        <v>2.1223991462977865E-2</v>
      </c>
      <c r="S227" s="101">
        <f t="shared" si="72"/>
        <v>712.34874104379969</v>
      </c>
      <c r="T227" s="101">
        <f t="shared" si="73"/>
        <v>26.567469502054873</v>
      </c>
      <c r="U227" s="101">
        <f t="shared" si="73"/>
        <v>15.469026204129603</v>
      </c>
      <c r="V227" s="33">
        <f t="shared" si="74"/>
        <v>1000.0000000000033</v>
      </c>
      <c r="W227" s="105">
        <f t="shared" si="69"/>
        <v>144936.874085563</v>
      </c>
      <c r="X227" s="112">
        <f t="shared" si="75"/>
        <v>957.96350429381891</v>
      </c>
      <c r="Y227" s="32">
        <f t="shared" si="70"/>
        <v>591.78151913051408</v>
      </c>
    </row>
    <row r="228" spans="1:25" x14ac:dyDescent="0.25">
      <c r="A228" s="4">
        <v>222</v>
      </c>
      <c r="C228" s="110">
        <f>IF(male=0,VLOOKUP(((A226:A1060/'Life tables'!$I$2)*2)+age,lifetable,13,1),IF(male=1,VLOOKUP(((A226:A1060/'Life tables'!$I$2)*2)+age,lifetable,10,1),"error"))</f>
        <v>1.6015111386780134E-4</v>
      </c>
      <c r="F228" s="101">
        <f t="shared" si="57"/>
        <v>165.65219334852421</v>
      </c>
      <c r="G228" s="101">
        <f t="shared" si="58"/>
        <v>16.64010951279888</v>
      </c>
      <c r="H228" s="101">
        <f t="shared" si="59"/>
        <v>0.38078846298282426</v>
      </c>
      <c r="I228" s="101">
        <f t="shared" si="60"/>
        <v>0.38078846298282426</v>
      </c>
      <c r="J228" s="101">
        <f t="shared" si="61"/>
        <v>2.9316282745756893E-2</v>
      </c>
      <c r="K228" s="101">
        <f t="shared" si="62"/>
        <v>2.9849672645608522E-2</v>
      </c>
      <c r="L228" s="101">
        <f t="shared" si="71"/>
        <v>148.19134095436831</v>
      </c>
      <c r="M228" s="101">
        <f t="shared" si="63"/>
        <v>792.31131094529462</v>
      </c>
      <c r="N228" s="101">
        <f t="shared" si="64"/>
        <v>76.301295887497147</v>
      </c>
      <c r="O228" s="101">
        <f t="shared" si="65"/>
        <v>1.8213040238108815</v>
      </c>
      <c r="P228" s="101">
        <f t="shared" si="66"/>
        <v>1.8213040238108815</v>
      </c>
      <c r="Q228" s="101">
        <f t="shared" si="67"/>
        <v>0.13969264424009661</v>
      </c>
      <c r="R228" s="101">
        <f t="shared" si="68"/>
        <v>2.1219753318278363E-2</v>
      </c>
      <c r="S228" s="101">
        <f t="shared" si="72"/>
        <v>712.20649461261735</v>
      </c>
      <c r="T228" s="101">
        <f t="shared" si="73"/>
        <v>26.736478429040726</v>
      </c>
      <c r="U228" s="101">
        <f t="shared" si="73"/>
        <v>15.52009563009349</v>
      </c>
      <c r="V228" s="33">
        <f t="shared" si="74"/>
        <v>1000.0000000000033</v>
      </c>
      <c r="W228" s="105">
        <f t="shared" si="69"/>
        <v>144738.55390086328</v>
      </c>
      <c r="X228" s="112">
        <f t="shared" si="75"/>
        <v>957.74342594086909</v>
      </c>
      <c r="Y228" s="32">
        <f t="shared" si="70"/>
        <v>591.47542453673134</v>
      </c>
    </row>
    <row r="229" spans="1:25" x14ac:dyDescent="0.25">
      <c r="A229" s="4">
        <v>223</v>
      </c>
      <c r="C229" s="110">
        <f>IF(male=0,VLOOKUP(((A227:A1061/'Life tables'!$I$2)*2)+age,lifetable,13,1),IF(male=1,VLOOKUP(((A227:A1061/'Life tables'!$I$2)*2)+age,lifetable,10,1),"error"))</f>
        <v>1.6015111386780134E-4</v>
      </c>
      <c r="F229" s="101">
        <f t="shared" si="57"/>
        <v>165.59106280666111</v>
      </c>
      <c r="G229" s="101">
        <f t="shared" si="58"/>
        <v>16.633968821929557</v>
      </c>
      <c r="H229" s="101">
        <f t="shared" si="59"/>
        <v>0.38064794081642961</v>
      </c>
      <c r="I229" s="101">
        <f t="shared" si="60"/>
        <v>0.38064794081642961</v>
      </c>
      <c r="J229" s="101">
        <f t="shared" si="61"/>
        <v>2.9305464173340602E-2</v>
      </c>
      <c r="K229" s="101">
        <f t="shared" si="62"/>
        <v>2.983865723659777E-2</v>
      </c>
      <c r="L229" s="101">
        <f t="shared" si="71"/>
        <v>148.13665398168877</v>
      </c>
      <c r="M229" s="101">
        <f t="shared" si="63"/>
        <v>792.15236313420792</v>
      </c>
      <c r="N229" s="101">
        <f t="shared" si="64"/>
        <v>76.285988868908802</v>
      </c>
      <c r="O229" s="101">
        <f t="shared" si="65"/>
        <v>1.8209386468638291</v>
      </c>
      <c r="P229" s="101">
        <f t="shared" si="66"/>
        <v>1.8209386468638291</v>
      </c>
      <c r="Q229" s="101">
        <f t="shared" si="67"/>
        <v>0.13966462010397726</v>
      </c>
      <c r="R229" s="101">
        <f t="shared" si="68"/>
        <v>2.1215496363600136E-2</v>
      </c>
      <c r="S229" s="101">
        <f t="shared" si="72"/>
        <v>712.06361685510387</v>
      </c>
      <c r="T229" s="101">
        <f t="shared" si="73"/>
        <v>26.905448513318046</v>
      </c>
      <c r="U229" s="101">
        <f t="shared" si="73"/>
        <v>15.571149783693688</v>
      </c>
      <c r="V229" s="33">
        <f t="shared" si="74"/>
        <v>1000.0000000000033</v>
      </c>
      <c r="W229" s="105">
        <f t="shared" si="69"/>
        <v>144540.45855698906</v>
      </c>
      <c r="X229" s="112">
        <f t="shared" si="75"/>
        <v>957.52340170299158</v>
      </c>
      <c r="Y229" s="32">
        <f t="shared" si="70"/>
        <v>591.16949018398316</v>
      </c>
    </row>
    <row r="230" spans="1:25" x14ac:dyDescent="0.25">
      <c r="A230" s="4">
        <v>224</v>
      </c>
      <c r="C230" s="110">
        <f>IF(male=0,VLOOKUP(((A228:A1062/'Life tables'!$I$2)*2)+age,lifetable,13,1),IF(male=1,VLOOKUP(((A228:A1062/'Life tables'!$I$2)*2)+age,lifetable,10,1),"error"))</f>
        <v>1.6015111386780134E-4</v>
      </c>
      <c r="F230" s="101">
        <f t="shared" si="57"/>
        <v>165.53066554768722</v>
      </c>
      <c r="G230" s="101">
        <f t="shared" si="58"/>
        <v>16.627901790861131</v>
      </c>
      <c r="H230" s="101">
        <f t="shared" si="59"/>
        <v>0.38050910426408374</v>
      </c>
      <c r="I230" s="101">
        <f t="shared" si="60"/>
        <v>0.38050910426408374</v>
      </c>
      <c r="J230" s="101">
        <f t="shared" si="61"/>
        <v>2.9294775373600878E-2</v>
      </c>
      <c r="K230" s="101">
        <f t="shared" si="62"/>
        <v>2.9827773961389515E-2</v>
      </c>
      <c r="L230" s="101">
        <f t="shared" si="71"/>
        <v>148.08262299896293</v>
      </c>
      <c r="M230" s="101">
        <f t="shared" si="63"/>
        <v>791.99273615530433</v>
      </c>
      <c r="N230" s="101">
        <f t="shared" si="64"/>
        <v>76.270616444988192</v>
      </c>
      <c r="O230" s="101">
        <f t="shared" si="65"/>
        <v>1.8205717086982753</v>
      </c>
      <c r="P230" s="101">
        <f t="shared" si="66"/>
        <v>1.8205717086982753</v>
      </c>
      <c r="Q230" s="101">
        <f t="shared" si="67"/>
        <v>0.13963647622357686</v>
      </c>
      <c r="R230" s="101">
        <f t="shared" si="68"/>
        <v>2.1211221219387903E-2</v>
      </c>
      <c r="S230" s="101">
        <f t="shared" si="72"/>
        <v>711.92012859547663</v>
      </c>
      <c r="T230" s="101">
        <f t="shared" si="73"/>
        <v>27.074379764915225</v>
      </c>
      <c r="U230" s="101">
        <f t="shared" si="73"/>
        <v>15.622188778874465</v>
      </c>
      <c r="V230" s="33">
        <f t="shared" si="74"/>
        <v>1000.0000000000033</v>
      </c>
      <c r="W230" s="105">
        <f t="shared" si="69"/>
        <v>144342.5893112098</v>
      </c>
      <c r="X230" s="112">
        <f t="shared" si="75"/>
        <v>957.30343145621362</v>
      </c>
      <c r="Y230" s="32">
        <f t="shared" si="70"/>
        <v>590.86371592819319</v>
      </c>
    </row>
    <row r="231" spans="1:25" x14ac:dyDescent="0.25">
      <c r="A231" s="4">
        <v>225</v>
      </c>
      <c r="C231" s="110">
        <f>IF(male=0,VLOOKUP(((A229:A1063/'Life tables'!$I$2)*2)+age,lifetable,13,1),IF(male=1,VLOOKUP(((A229:A1063/'Life tables'!$I$2)*2)+age,lifetable,10,1),"error"))</f>
        <v>1.6015111386780134E-4</v>
      </c>
      <c r="F231" s="101">
        <f t="shared" si="57"/>
        <v>165.47097900301807</v>
      </c>
      <c r="G231" s="101">
        <f t="shared" si="58"/>
        <v>16.621906152532059</v>
      </c>
      <c r="H231" s="101">
        <f t="shared" si="59"/>
        <v>0.38037190144686839</v>
      </c>
      <c r="I231" s="101">
        <f t="shared" si="60"/>
        <v>0.38037190144686839</v>
      </c>
      <c r="J231" s="101">
        <f t="shared" si="61"/>
        <v>2.928421235246444E-2</v>
      </c>
      <c r="K231" s="101">
        <f t="shared" si="62"/>
        <v>2.9817018753241002E-2</v>
      </c>
      <c r="L231" s="101">
        <f t="shared" si="71"/>
        <v>148.02922781648658</v>
      </c>
      <c r="M231" s="101">
        <f t="shared" si="63"/>
        <v>791.8324524531954</v>
      </c>
      <c r="N231" s="101">
        <f t="shared" si="64"/>
        <v>76.255180777200025</v>
      </c>
      <c r="O231" s="101">
        <f t="shared" si="65"/>
        <v>1.8202032609081586</v>
      </c>
      <c r="P231" s="101">
        <f t="shared" si="66"/>
        <v>1.8202032609081586</v>
      </c>
      <c r="Q231" s="101">
        <f t="shared" si="67"/>
        <v>0.13960821655611172</v>
      </c>
      <c r="R231" s="101">
        <f t="shared" si="68"/>
        <v>2.1206928486755278E-2</v>
      </c>
      <c r="S231" s="101">
        <f t="shared" si="72"/>
        <v>711.77605000913616</v>
      </c>
      <c r="T231" s="101">
        <f t="shared" si="73"/>
        <v>27.243272193823802</v>
      </c>
      <c r="U231" s="101">
        <f t="shared" si="73"/>
        <v>15.67321272611446</v>
      </c>
      <c r="V231" s="33">
        <f t="shared" si="74"/>
        <v>1000.0000000000032</v>
      </c>
      <c r="W231" s="105">
        <f t="shared" si="69"/>
        <v>144144.94736850492</v>
      </c>
      <c r="X231" s="112">
        <f t="shared" si="75"/>
        <v>957.0835150800649</v>
      </c>
      <c r="Y231" s="32">
        <f t="shared" si="70"/>
        <v>590.55810162728335</v>
      </c>
    </row>
    <row r="232" spans="1:25" x14ac:dyDescent="0.25">
      <c r="A232" s="4">
        <v>226</v>
      </c>
      <c r="C232" s="110">
        <f>IF(male=0,VLOOKUP(((A230:A1064/'Life tables'!$I$2)*2)+age,lifetable,13,1),IF(male=1,VLOOKUP(((A230:A1064/'Life tables'!$I$2)*2)+age,lifetable,10,1),"error"))</f>
        <v>1.6015111386780134E-4</v>
      </c>
      <c r="F232" s="101">
        <f t="shared" si="57"/>
        <v>165.4119813068836</v>
      </c>
      <c r="G232" s="101">
        <f t="shared" si="58"/>
        <v>16.615979710479976</v>
      </c>
      <c r="H232" s="101">
        <f t="shared" si="59"/>
        <v>0.38023628210144078</v>
      </c>
      <c r="I232" s="101">
        <f t="shared" si="60"/>
        <v>0.38023628210144078</v>
      </c>
      <c r="J232" s="101">
        <f t="shared" si="61"/>
        <v>2.9273771240238493E-2</v>
      </c>
      <c r="K232" s="101">
        <f t="shared" si="62"/>
        <v>2.9806387672052997E-2</v>
      </c>
      <c r="L232" s="101">
        <f t="shared" si="71"/>
        <v>147.97644887328846</v>
      </c>
      <c r="M232" s="101">
        <f t="shared" si="63"/>
        <v>791.67153377318152</v>
      </c>
      <c r="N232" s="101">
        <f t="shared" si="64"/>
        <v>76.23968395966385</v>
      </c>
      <c r="O232" s="101">
        <f t="shared" si="65"/>
        <v>1.8198333534798954</v>
      </c>
      <c r="P232" s="101">
        <f t="shared" si="66"/>
        <v>1.8198333534798954</v>
      </c>
      <c r="Q232" s="101">
        <f t="shared" si="67"/>
        <v>0.13957984493550218</v>
      </c>
      <c r="R232" s="101">
        <f t="shared" si="68"/>
        <v>2.120261874808687E-2</v>
      </c>
      <c r="S232" s="101">
        <f t="shared" si="72"/>
        <v>711.63140064287427</v>
      </c>
      <c r="T232" s="101">
        <f t="shared" si="73"/>
        <v>27.412125809999544</v>
      </c>
      <c r="U232" s="101">
        <f t="shared" si="73"/>
        <v>15.7242217325346</v>
      </c>
      <c r="V232" s="33">
        <f t="shared" si="74"/>
        <v>1000.0000000000034</v>
      </c>
      <c r="W232" s="105">
        <f t="shared" si="69"/>
        <v>143947.53388326807</v>
      </c>
      <c r="X232" s="112">
        <f t="shared" si="75"/>
        <v>956.86365245746924</v>
      </c>
      <c r="Y232" s="32">
        <f t="shared" si="70"/>
        <v>590.25264714111188</v>
      </c>
    </row>
    <row r="233" spans="1:25" x14ac:dyDescent="0.25">
      <c r="A233" s="4">
        <v>227</v>
      </c>
      <c r="C233" s="110">
        <f>IF(male=0,VLOOKUP(((A231:A1065/'Life tables'!$I$2)*2)+age,lifetable,13,1),IF(male=1,VLOOKUP(((A231:A1065/'Life tables'!$I$2)*2)+age,lifetable,10,1),"error"))</f>
        <v>1.6015111386780134E-4</v>
      </c>
      <c r="F233" s="101">
        <f t="shared" si="57"/>
        <v>165.35365127443958</v>
      </c>
      <c r="G233" s="101">
        <f t="shared" si="58"/>
        <v>16.610120336642943</v>
      </c>
      <c r="H233" s="101">
        <f t="shared" si="59"/>
        <v>0.38010219752971786</v>
      </c>
      <c r="I233" s="101">
        <f t="shared" si="60"/>
        <v>0.38010219752971786</v>
      </c>
      <c r="J233" s="101">
        <f t="shared" si="61"/>
        <v>2.9263448287737043E-2</v>
      </c>
      <c r="K233" s="101">
        <f t="shared" si="62"/>
        <v>2.9795876900425615E-2</v>
      </c>
      <c r="L233" s="101">
        <f t="shared" si="71"/>
        <v>147.92426721754904</v>
      </c>
      <c r="M233" s="101">
        <f t="shared" si="63"/>
        <v>791.51000118302954</v>
      </c>
      <c r="N233" s="101">
        <f t="shared" si="64"/>
        <v>76.224128021251275</v>
      </c>
      <c r="O233" s="101">
        <f t="shared" si="65"/>
        <v>1.8194620348424404</v>
      </c>
      <c r="P233" s="101">
        <f t="shared" si="66"/>
        <v>1.8194620348424404</v>
      </c>
      <c r="Q233" s="101">
        <f t="shared" si="67"/>
        <v>0.1395513650762126</v>
      </c>
      <c r="R233" s="101">
        <f t="shared" si="68"/>
        <v>2.119829256762152E-2</v>
      </c>
      <c r="S233" s="101">
        <f t="shared" si="72"/>
        <v>711.48619943444953</v>
      </c>
      <c r="T233" s="101">
        <f t="shared" si="73"/>
        <v>27.580940623363492</v>
      </c>
      <c r="U233" s="101">
        <f t="shared" si="73"/>
        <v>15.775215902002648</v>
      </c>
      <c r="V233" s="33">
        <f t="shared" si="74"/>
        <v>1000.0000000000033</v>
      </c>
      <c r="W233" s="105">
        <f t="shared" si="69"/>
        <v>143750.34996095375</v>
      </c>
      <c r="X233" s="112">
        <f t="shared" si="75"/>
        <v>956.64384347463715</v>
      </c>
      <c r="Y233" s="32">
        <f t="shared" si="70"/>
        <v>589.94735233141296</v>
      </c>
    </row>
    <row r="234" spans="1:25" x14ac:dyDescent="0.25">
      <c r="A234" s="4">
        <v>228</v>
      </c>
      <c r="C234" s="110">
        <f>IF(male=0,VLOOKUP(((A232:A1066/'Life tables'!$I$2)*2)+age,lifetable,13,1),IF(male=1,VLOOKUP(((A232:A1066/'Life tables'!$I$2)*2)+age,lifetable,10,1),"error"))</f>
        <v>1.6015111386780134E-4</v>
      </c>
      <c r="F234" s="101">
        <f t="shared" si="57"/>
        <v>165.29596838056105</v>
      </c>
      <c r="G234" s="101">
        <f t="shared" si="58"/>
        <v>16.604325969229201</v>
      </c>
      <c r="H234" s="101">
        <f t="shared" si="59"/>
        <v>0.37996960055012824</v>
      </c>
      <c r="I234" s="101">
        <f t="shared" si="60"/>
        <v>0.37996960055012824</v>
      </c>
      <c r="J234" s="101">
        <f t="shared" si="61"/>
        <v>2.9253239862527852E-2</v>
      </c>
      <c r="K234" s="101">
        <f t="shared" si="62"/>
        <v>2.9785482739836968E-2</v>
      </c>
      <c r="L234" s="101">
        <f t="shared" si="71"/>
        <v>147.87266448762924</v>
      </c>
      <c r="M234" s="101">
        <f t="shared" si="63"/>
        <v>791.34787509407602</v>
      </c>
      <c r="N234" s="101">
        <f t="shared" si="64"/>
        <v>76.208514927618211</v>
      </c>
      <c r="O234" s="101">
        <f t="shared" si="65"/>
        <v>1.8190893519157969</v>
      </c>
      <c r="P234" s="101">
        <f t="shared" si="66"/>
        <v>1.8190893519157969</v>
      </c>
      <c r="Q234" s="101">
        <f t="shared" si="67"/>
        <v>0.13952278057697173</v>
      </c>
      <c r="R234" s="101">
        <f t="shared" si="68"/>
        <v>2.1193950492017492E-2</v>
      </c>
      <c r="S234" s="101">
        <f t="shared" si="72"/>
        <v>711.34046473155718</v>
      </c>
      <c r="T234" s="101">
        <f t="shared" si="73"/>
        <v>27.749716643802991</v>
      </c>
      <c r="U234" s="101">
        <f t="shared" si="73"/>
        <v>15.826195335234502</v>
      </c>
      <c r="V234" s="33">
        <f t="shared" si="74"/>
        <v>1000.0000000000032</v>
      </c>
      <c r="W234" s="105">
        <f t="shared" si="69"/>
        <v>143553.39665967296</v>
      </c>
      <c r="X234" s="112">
        <f t="shared" si="75"/>
        <v>956.42408802096566</v>
      </c>
      <c r="Y234" s="32">
        <f t="shared" si="70"/>
        <v>589.64221706174112</v>
      </c>
    </row>
    <row r="235" spans="1:25" x14ac:dyDescent="0.25">
      <c r="A235" s="4">
        <v>229</v>
      </c>
      <c r="C235" s="110">
        <f>IF(male=0,VLOOKUP(((A233:A1067/'Life tables'!$I$2)*2)+age,lifetable,13,1),IF(male=1,VLOOKUP(((A233:A1067/'Life tables'!$I$2)*2)+age,lifetable,10,1),"error"))</f>
        <v>1.6015111386780134E-4</v>
      </c>
      <c r="F235" s="101">
        <f t="shared" si="57"/>
        <v>165.23891273929593</v>
      </c>
      <c r="G235" s="101">
        <f t="shared" si="58"/>
        <v>16.59859461065324</v>
      </c>
      <c r="H235" s="101">
        <f t="shared" si="59"/>
        <v>0.37983844545038181</v>
      </c>
      <c r="I235" s="101">
        <f t="shared" si="60"/>
        <v>0.37983844545038181</v>
      </c>
      <c r="J235" s="101">
        <f t="shared" si="61"/>
        <v>2.9243142445296258E-2</v>
      </c>
      <c r="K235" s="101">
        <f t="shared" si="62"/>
        <v>2.9775201606940853E-2</v>
      </c>
      <c r="L235" s="101">
        <f t="shared" si="71"/>
        <v>147.82162289368969</v>
      </c>
      <c r="M235" s="101">
        <f t="shared" si="63"/>
        <v>791.18517528166967</v>
      </c>
      <c r="N235" s="101">
        <f t="shared" si="64"/>
        <v>76.192846583173591</v>
      </c>
      <c r="O235" s="101">
        <f t="shared" si="65"/>
        <v>1.8187153501580089</v>
      </c>
      <c r="P235" s="101">
        <f t="shared" si="66"/>
        <v>1.8187153501580089</v>
      </c>
      <c r="Q235" s="101">
        <f t="shared" si="67"/>
        <v>0.13949409492437734</v>
      </c>
      <c r="R235" s="101">
        <f t="shared" si="68"/>
        <v>2.1189593050899968E-2</v>
      </c>
      <c r="S235" s="101">
        <f t="shared" si="72"/>
        <v>711.19421431020476</v>
      </c>
      <c r="T235" s="101">
        <f t="shared" si="73"/>
        <v>27.918453881172663</v>
      </c>
      <c r="U235" s="101">
        <f t="shared" si="73"/>
        <v>15.877160129892342</v>
      </c>
      <c r="V235" s="33">
        <f t="shared" si="74"/>
        <v>1000.0000000000032</v>
      </c>
      <c r="W235" s="105">
        <f t="shared" si="69"/>
        <v>143356.67499173619</v>
      </c>
      <c r="X235" s="112">
        <f t="shared" si="75"/>
        <v>956.20438598893816</v>
      </c>
      <c r="Y235" s="32">
        <f t="shared" si="70"/>
        <v>589.33724119741328</v>
      </c>
    </row>
    <row r="236" spans="1:25" x14ac:dyDescent="0.25">
      <c r="A236" s="4">
        <v>230</v>
      </c>
      <c r="C236" s="110">
        <f>IF(male=0,VLOOKUP(((A234:A1068/'Life tables'!$I$2)*2)+age,lifetable,13,1),IF(male=1,VLOOKUP(((A234:A1068/'Life tables'!$I$2)*2)+age,lifetable,10,1),"error"))</f>
        <v>1.6015111386780134E-4</v>
      </c>
      <c r="F236" s="101">
        <f t="shared" si="57"/>
        <v>165.18246508395856</v>
      </c>
      <c r="G236" s="101">
        <f t="shared" si="58"/>
        <v>16.592924325536167</v>
      </c>
      <c r="H236" s="101">
        <f t="shared" si="59"/>
        <v>0.37970868794171014</v>
      </c>
      <c r="I236" s="101">
        <f t="shared" si="60"/>
        <v>0.37970868794171014</v>
      </c>
      <c r="J236" s="101">
        <f t="shared" si="61"/>
        <v>2.9233152626322208E-2</v>
      </c>
      <c r="K236" s="101">
        <f t="shared" si="62"/>
        <v>2.9765030029979673E-2</v>
      </c>
      <c r="L236" s="101">
        <f t="shared" si="71"/>
        <v>147.77112519988268</v>
      </c>
      <c r="M236" s="101">
        <f t="shared" si="63"/>
        <v>791.02192090497942</v>
      </c>
      <c r="N236" s="101">
        <f t="shared" si="64"/>
        <v>76.177124832986891</v>
      </c>
      <c r="O236" s="101">
        <f t="shared" si="65"/>
        <v>1.8183400736106932</v>
      </c>
      <c r="P236" s="101">
        <f t="shared" si="66"/>
        <v>1.8183400736106932</v>
      </c>
      <c r="Q236" s="101">
        <f t="shared" si="67"/>
        <v>0.13946531149638811</v>
      </c>
      <c r="R236" s="101">
        <f t="shared" si="68"/>
        <v>2.1185220757391543E-2</v>
      </c>
      <c r="S236" s="101">
        <f t="shared" si="72"/>
        <v>711.04746539251732</v>
      </c>
      <c r="T236" s="101">
        <f t="shared" si="73"/>
        <v>28.087152345295372</v>
      </c>
      <c r="U236" s="101">
        <f t="shared" si="73"/>
        <v>15.928110380679714</v>
      </c>
      <c r="V236" s="33">
        <f t="shared" si="74"/>
        <v>1000.0000000000031</v>
      </c>
      <c r="W236" s="105">
        <f t="shared" si="69"/>
        <v>143160.1859251468</v>
      </c>
      <c r="X236" s="112">
        <f t="shared" si="75"/>
        <v>955.98473727402779</v>
      </c>
      <c r="Y236" s="32">
        <f t="shared" si="70"/>
        <v>589.03242460545653</v>
      </c>
    </row>
    <row r="237" spans="1:25" x14ac:dyDescent="0.25">
      <c r="A237" s="4">
        <v>231</v>
      </c>
      <c r="C237" s="110">
        <f>IF(male=0,VLOOKUP(((A235:A1069/'Life tables'!$I$2)*2)+age,lifetable,13,1),IF(male=1,VLOOKUP(((A235:A1069/'Life tables'!$I$2)*2)+age,lifetable,10,1),"error"))</f>
        <v>1.6015111386780134E-4</v>
      </c>
      <c r="F237" s="101">
        <f t="shared" si="57"/>
        <v>165.1266067478434</v>
      </c>
      <c r="G237" s="101">
        <f t="shared" si="58"/>
        <v>16.587313238768342</v>
      </c>
      <c r="H237" s="101">
        <f t="shared" si="59"/>
        <v>0.37958028511453284</v>
      </c>
      <c r="I237" s="101">
        <f t="shared" si="60"/>
        <v>0.37958028511453284</v>
      </c>
      <c r="J237" s="101">
        <f t="shared" si="61"/>
        <v>2.9223267102067099E-2</v>
      </c>
      <c r="K237" s="101">
        <f t="shared" si="62"/>
        <v>2.9754964645309166E-2</v>
      </c>
      <c r="L237" s="101">
        <f t="shared" si="71"/>
        <v>147.72115470709861</v>
      </c>
      <c r="M237" s="101">
        <f t="shared" si="63"/>
        <v>790.85813052618448</v>
      </c>
      <c r="N237" s="101">
        <f t="shared" si="64"/>
        <v>76.161351464636212</v>
      </c>
      <c r="O237" s="101">
        <f t="shared" si="65"/>
        <v>1.8179635649431534</v>
      </c>
      <c r="P237" s="101">
        <f t="shared" si="66"/>
        <v>1.8179635649431534</v>
      </c>
      <c r="Q237" s="101">
        <f t="shared" si="67"/>
        <v>0.13943643356570751</v>
      </c>
      <c r="R237" s="101">
        <f t="shared" si="68"/>
        <v>2.1180834108626187E-2</v>
      </c>
      <c r="S237" s="101">
        <f t="shared" si="72"/>
        <v>710.90023466398759</v>
      </c>
      <c r="T237" s="101">
        <f t="shared" si="73"/>
        <v>28.255812045963147</v>
      </c>
      <c r="U237" s="101">
        <f t="shared" si="73"/>
        <v>15.979046179433649</v>
      </c>
      <c r="V237" s="33">
        <f t="shared" si="74"/>
        <v>1000.0000000000028</v>
      </c>
      <c r="W237" s="105">
        <f t="shared" si="69"/>
        <v>142963.9303850467</v>
      </c>
      <c r="X237" s="112">
        <f t="shared" si="75"/>
        <v>955.76514177460604</v>
      </c>
      <c r="Y237" s="32">
        <f t="shared" si="70"/>
        <v>588.72776715455461</v>
      </c>
    </row>
    <row r="238" spans="1:25" x14ac:dyDescent="0.25">
      <c r="A238" s="4">
        <v>232</v>
      </c>
      <c r="C238" s="110">
        <f>IF(male=0,VLOOKUP(((A236:A1070/'Life tables'!$I$2)*2)+age,lifetable,13,1),IF(male=1,VLOOKUP(((A236:A1070/'Life tables'!$I$2)*2)+age,lifetable,10,1),"error"))</f>
        <v>1.6015111386780134E-4</v>
      </c>
      <c r="F238" s="101">
        <f t="shared" si="57"/>
        <v>165.07131964553929</v>
      </c>
      <c r="G238" s="101">
        <f t="shared" si="58"/>
        <v>16.581759533632365</v>
      </c>
      <c r="H238" s="101">
        <f t="shared" si="59"/>
        <v>0.37945319539550415</v>
      </c>
      <c r="I238" s="101">
        <f t="shared" si="60"/>
        <v>0.37945319539550415</v>
      </c>
      <c r="J238" s="101">
        <f t="shared" si="61"/>
        <v>2.9213482671866825E-2</v>
      </c>
      <c r="K238" s="101">
        <f t="shared" si="62"/>
        <v>2.9745002194031332E-2</v>
      </c>
      <c r="L238" s="101">
        <f t="shared" si="71"/>
        <v>147.67169523625</v>
      </c>
      <c r="M238" s="101">
        <f t="shared" si="63"/>
        <v>790.69382212906692</v>
      </c>
      <c r="N238" s="101">
        <f t="shared" si="64"/>
        <v>76.145528209998702</v>
      </c>
      <c r="O238" s="101">
        <f t="shared" si="65"/>
        <v>1.817585865495118</v>
      </c>
      <c r="P238" s="101">
        <f t="shared" si="66"/>
        <v>1.817585865495118</v>
      </c>
      <c r="Q238" s="101">
        <f t="shared" si="67"/>
        <v>0.13940746430306147</v>
      </c>
      <c r="R238" s="101">
        <f t="shared" si="68"/>
        <v>2.1176433586247177E-2</v>
      </c>
      <c r="S238" s="101">
        <f t="shared" si="72"/>
        <v>710.75253829018868</v>
      </c>
      <c r="T238" s="101">
        <f t="shared" si="73"/>
        <v>28.424432992938076</v>
      </c>
      <c r="U238" s="101">
        <f t="shared" si="73"/>
        <v>16.029967615213927</v>
      </c>
      <c r="V238" s="33">
        <f t="shared" si="74"/>
        <v>1000.000000000003</v>
      </c>
      <c r="W238" s="105">
        <f t="shared" si="69"/>
        <v>142767.90925511465</v>
      </c>
      <c r="X238" s="112">
        <f t="shared" si="75"/>
        <v>955.54559939185106</v>
      </c>
      <c r="Y238" s="32">
        <f t="shared" si="70"/>
        <v>588.42326871499631</v>
      </c>
    </row>
    <row r="239" spans="1:25" x14ac:dyDescent="0.25">
      <c r="A239" s="4">
        <v>233</v>
      </c>
      <c r="C239" s="110">
        <f>IF(male=0,VLOOKUP(((A237:A1071/'Life tables'!$I$2)*2)+age,lifetable,13,1),IF(male=1,VLOOKUP(((A237:A1071/'Life tables'!$I$2)*2)+age,lifetable,10,1),"error"))</f>
        <v>1.6015111386780134E-4</v>
      </c>
      <c r="F239" s="101">
        <f t="shared" si="57"/>
        <v>165.01658625482546</v>
      </c>
      <c r="G239" s="101">
        <f t="shared" si="58"/>
        <v>16.576261449984486</v>
      </c>
      <c r="H239" s="101">
        <f t="shared" si="59"/>
        <v>0.37932737850589671</v>
      </c>
      <c r="I239" s="101">
        <f t="shared" si="60"/>
        <v>0.37932737850589671</v>
      </c>
      <c r="J239" s="101">
        <f t="shared" si="61"/>
        <v>2.9203796234727866E-2</v>
      </c>
      <c r="K239" s="101">
        <f t="shared" si="62"/>
        <v>2.9735139518732159E-2</v>
      </c>
      <c r="L239" s="101">
        <f t="shared" si="71"/>
        <v>147.62273111207571</v>
      </c>
      <c r="M239" s="101">
        <f t="shared" si="63"/>
        <v>790.52901313702546</v>
      </c>
      <c r="N239" s="101">
        <f t="shared" si="64"/>
        <v>76.129656746985404</v>
      </c>
      <c r="O239" s="101">
        <f t="shared" si="65"/>
        <v>1.8172070153181501</v>
      </c>
      <c r="P239" s="101">
        <f t="shared" si="66"/>
        <v>1.8172070153181501</v>
      </c>
      <c r="Q239" s="101">
        <f t="shared" si="67"/>
        <v>0.13937840678037466</v>
      </c>
      <c r="R239" s="101">
        <f t="shared" si="68"/>
        <v>2.117201965688956E-2</v>
      </c>
      <c r="S239" s="101">
        <f t="shared" si="72"/>
        <v>710.60439193296645</v>
      </c>
      <c r="T239" s="101">
        <f t="shared" si="73"/>
        <v>28.593015195953178</v>
      </c>
      <c r="U239" s="101">
        <f t="shared" si="73"/>
        <v>16.080874774389549</v>
      </c>
      <c r="V239" s="33">
        <f t="shared" si="74"/>
        <v>1000.000000000003</v>
      </c>
      <c r="W239" s="105">
        <f t="shared" si="69"/>
        <v>142572.12337891973</v>
      </c>
      <c r="X239" s="112">
        <f t="shared" si="75"/>
        <v>955.32611002966019</v>
      </c>
      <c r="Y239" s="32">
        <f t="shared" si="70"/>
        <v>588.11892915862859</v>
      </c>
    </row>
    <row r="240" spans="1:25" x14ac:dyDescent="0.25">
      <c r="A240" s="4">
        <v>234</v>
      </c>
      <c r="C240" s="110">
        <f>IF(male=0,VLOOKUP(((A238:A1072/'Life tables'!$I$2)*2)+age,lifetable,13,1),IF(male=1,VLOOKUP(((A238:A1072/'Life tables'!$I$2)*2)+age,lifetable,10,1),"error"))</f>
        <v>1.6015111386780134E-4</v>
      </c>
      <c r="F240" s="101">
        <f t="shared" si="57"/>
        <v>164.96238959913171</v>
      </c>
      <c r="G240" s="101">
        <f t="shared" si="58"/>
        <v>16.570817282492698</v>
      </c>
      <c r="H240" s="101">
        <f t="shared" si="59"/>
        <v>0.37920279542128271</v>
      </c>
      <c r="I240" s="101">
        <f t="shared" si="60"/>
        <v>0.37920279542128271</v>
      </c>
      <c r="J240" s="101">
        <f t="shared" si="61"/>
        <v>2.9194204786223175E-2</v>
      </c>
      <c r="K240" s="101">
        <f t="shared" si="62"/>
        <v>2.9725373560321081E-2</v>
      </c>
      <c r="L240" s="101">
        <f t="shared" si="71"/>
        <v>147.57424714744991</v>
      </c>
      <c r="M240" s="101">
        <f t="shared" si="63"/>
        <v>790.36372043052836</v>
      </c>
      <c r="N240" s="101">
        <f t="shared" si="64"/>
        <v>76.113738701222019</v>
      </c>
      <c r="O240" s="101">
        <f t="shared" si="65"/>
        <v>1.8168270532157658</v>
      </c>
      <c r="P240" s="101">
        <f t="shared" si="66"/>
        <v>1.8168270532157658</v>
      </c>
      <c r="Q240" s="101">
        <f t="shared" si="67"/>
        <v>0.13934926397384745</v>
      </c>
      <c r="R240" s="101">
        <f t="shared" si="68"/>
        <v>2.1167592772647566E-2</v>
      </c>
      <c r="S240" s="101">
        <f t="shared" si="72"/>
        <v>710.45581076612837</v>
      </c>
      <c r="T240" s="101">
        <f t="shared" si="73"/>
        <v>28.761558664713249</v>
      </c>
      <c r="U240" s="101">
        <f t="shared" si="73"/>
        <v>16.13176774072252</v>
      </c>
      <c r="V240" s="33">
        <f t="shared" si="74"/>
        <v>1000.0000000000028</v>
      </c>
      <c r="W240" s="105">
        <f t="shared" si="69"/>
        <v>142376.57356123166</v>
      </c>
      <c r="X240" s="112">
        <f t="shared" si="75"/>
        <v>955.10667359456716</v>
      </c>
      <c r="Y240" s="32">
        <f t="shared" si="70"/>
        <v>587.81474835880704</v>
      </c>
    </row>
    <row r="241" spans="1:25" x14ac:dyDescent="0.25">
      <c r="A241" s="4">
        <v>235</v>
      </c>
      <c r="C241" s="110">
        <f>IF(male=0,VLOOKUP(((A239:A1073/'Life tables'!$I$2)*2)+age,lifetable,13,1),IF(male=1,VLOOKUP(((A239:A1073/'Life tables'!$I$2)*2)+age,lifetable,10,1),"error"))</f>
        <v>1.7629026324772479E-4</v>
      </c>
      <c r="F241" s="101">
        <f t="shared" si="57"/>
        <v>164.90871323054458</v>
      </c>
      <c r="G241" s="101">
        <f t="shared" si="58"/>
        <v>16.565425378929671</v>
      </c>
      <c r="H241" s="101">
        <f t="shared" si="59"/>
        <v>0.37907940833246956</v>
      </c>
      <c r="I241" s="101">
        <f t="shared" si="60"/>
        <v>0.37907940833246956</v>
      </c>
      <c r="J241" s="101">
        <f t="shared" si="61"/>
        <v>3.2125779685491761E-2</v>
      </c>
      <c r="K241" s="101">
        <f t="shared" si="62"/>
        <v>2.9715701354968749E-2</v>
      </c>
      <c r="L241" s="101">
        <f t="shared" si="71"/>
        <v>147.52328755390951</v>
      </c>
      <c r="M241" s="101">
        <f t="shared" si="63"/>
        <v>790.19796036402249</v>
      </c>
      <c r="N241" s="101">
        <f t="shared" si="64"/>
        <v>76.097775647677182</v>
      </c>
      <c r="O241" s="101">
        <f t="shared" si="65"/>
        <v>1.8164460167823036</v>
      </c>
      <c r="P241" s="101">
        <f t="shared" si="66"/>
        <v>1.8164460167823036</v>
      </c>
      <c r="Q241" s="101">
        <f t="shared" si="67"/>
        <v>0.1533599468448317</v>
      </c>
      <c r="R241" s="101">
        <f t="shared" si="68"/>
        <v>2.1163153371527469E-2</v>
      </c>
      <c r="S241" s="101">
        <f t="shared" si="72"/>
        <v>710.29276958256435</v>
      </c>
      <c r="T241" s="101">
        <f t="shared" si="73"/>
        <v>28.947044391243573</v>
      </c>
      <c r="U241" s="101">
        <f t="shared" si="73"/>
        <v>16.182646595449015</v>
      </c>
      <c r="V241" s="33">
        <f t="shared" si="74"/>
        <v>1000.0000000000028</v>
      </c>
      <c r="W241" s="105">
        <f t="shared" si="69"/>
        <v>142179.0721237612</v>
      </c>
      <c r="X241" s="112">
        <f t="shared" si="75"/>
        <v>954.87030901331025</v>
      </c>
      <c r="Y241" s="32">
        <f t="shared" si="70"/>
        <v>587.50010841144592</v>
      </c>
    </row>
    <row r="242" spans="1:25" x14ac:dyDescent="0.25">
      <c r="A242" s="4">
        <v>236</v>
      </c>
      <c r="C242" s="110">
        <f>IF(male=0,VLOOKUP(((A240:A1074/'Life tables'!$I$2)*2)+age,lifetable,13,1),IF(male=1,VLOOKUP(((A240:A1074/'Life tables'!$I$2)*2)+age,lifetable,10,1),"error"))</f>
        <v>1.7629026324772479E-4</v>
      </c>
      <c r="F242" s="101">
        <f t="shared" si="57"/>
        <v>164.8526003303904</v>
      </c>
      <c r="G242" s="101">
        <f t="shared" si="58"/>
        <v>16.559788720671353</v>
      </c>
      <c r="H242" s="101">
        <f t="shared" si="59"/>
        <v>0.37895042033314819</v>
      </c>
      <c r="I242" s="101">
        <f t="shared" si="60"/>
        <v>0.37895042033314819</v>
      </c>
      <c r="J242" s="101">
        <f t="shared" si="61"/>
        <v>3.2114848360927074E-2</v>
      </c>
      <c r="K242" s="101">
        <f t="shared" si="62"/>
        <v>2.9705590099168632E-2</v>
      </c>
      <c r="L242" s="101">
        <f t="shared" si="71"/>
        <v>147.47309033059267</v>
      </c>
      <c r="M242" s="101">
        <f t="shared" si="63"/>
        <v>790.01770868291987</v>
      </c>
      <c r="N242" s="101">
        <f t="shared" si="64"/>
        <v>76.08041702024876</v>
      </c>
      <c r="O242" s="101">
        <f t="shared" si="65"/>
        <v>1.8160316681448985</v>
      </c>
      <c r="P242" s="101">
        <f t="shared" si="66"/>
        <v>1.8160316681448985</v>
      </c>
      <c r="Q242" s="101">
        <f t="shared" si="67"/>
        <v>0.15332496398025958</v>
      </c>
      <c r="R242" s="101">
        <f t="shared" si="68"/>
        <v>2.1158325854672207E-2</v>
      </c>
      <c r="S242" s="101">
        <f t="shared" si="72"/>
        <v>710.13074503654639</v>
      </c>
      <c r="T242" s="101">
        <f t="shared" si="73"/>
        <v>29.13248420358476</v>
      </c>
      <c r="U242" s="101">
        <f t="shared" si="73"/>
        <v>16.233510511402855</v>
      </c>
      <c r="V242" s="33">
        <f t="shared" si="74"/>
        <v>1000.000000000003</v>
      </c>
      <c r="W242" s="105">
        <f t="shared" si="69"/>
        <v>141981.47533291802</v>
      </c>
      <c r="X242" s="112">
        <f t="shared" si="75"/>
        <v>954.63400528501529</v>
      </c>
      <c r="Y242" s="32">
        <f t="shared" si="70"/>
        <v>587.18580800005861</v>
      </c>
    </row>
    <row r="243" spans="1:25" x14ac:dyDescent="0.25">
      <c r="A243" s="4">
        <v>237</v>
      </c>
      <c r="C243" s="110">
        <f>IF(male=0,VLOOKUP(((A241:A1075/'Life tables'!$I$2)*2)+age,lifetable,13,1),IF(male=1,VLOOKUP(((A241:A1075/'Life tables'!$I$2)*2)+age,lifetable,10,1),"error"))</f>
        <v>1.7629026324772479E-4</v>
      </c>
      <c r="F243" s="101">
        <f t="shared" si="57"/>
        <v>164.79697855866044</v>
      </c>
      <c r="G243" s="101">
        <f t="shared" si="58"/>
        <v>16.554201397291123</v>
      </c>
      <c r="H243" s="101">
        <f t="shared" si="59"/>
        <v>0.37882256130190151</v>
      </c>
      <c r="I243" s="101">
        <f t="shared" si="60"/>
        <v>0.37882256130190151</v>
      </c>
      <c r="J243" s="101">
        <f t="shared" si="61"/>
        <v>3.2104012712832385E-2</v>
      </c>
      <c r="K243" s="101">
        <f t="shared" si="62"/>
        <v>2.9695567342182764E-2</v>
      </c>
      <c r="L243" s="101">
        <f t="shared" si="71"/>
        <v>147.42333245871049</v>
      </c>
      <c r="M243" s="101">
        <f t="shared" si="63"/>
        <v>789.83702672635479</v>
      </c>
      <c r="N243" s="101">
        <f t="shared" si="64"/>
        <v>76.063016956361054</v>
      </c>
      <c r="O243" s="101">
        <f t="shared" si="65"/>
        <v>1.8156163304235053</v>
      </c>
      <c r="P243" s="101">
        <f t="shared" si="66"/>
        <v>1.8156163304235053</v>
      </c>
      <c r="Q243" s="101">
        <f t="shared" si="67"/>
        <v>0.15328989760873682</v>
      </c>
      <c r="R243" s="101">
        <f t="shared" si="68"/>
        <v>2.1153486814140525E-2</v>
      </c>
      <c r="S243" s="101">
        <f t="shared" si="72"/>
        <v>709.96833372472383</v>
      </c>
      <c r="T243" s="101">
        <f t="shared" si="73"/>
        <v>29.317878113906328</v>
      </c>
      <c r="U243" s="101">
        <f t="shared" si="73"/>
        <v>16.284359565559178</v>
      </c>
      <c r="V243" s="33">
        <f t="shared" si="74"/>
        <v>1000.0000000000027</v>
      </c>
      <c r="W243" s="105">
        <f t="shared" si="69"/>
        <v>141784.12374622375</v>
      </c>
      <c r="X243" s="112">
        <f t="shared" si="75"/>
        <v>954.39776232053725</v>
      </c>
      <c r="Y243" s="32">
        <f t="shared" si="70"/>
        <v>586.87167695951678</v>
      </c>
    </row>
    <row r="244" spans="1:25" x14ac:dyDescent="0.25">
      <c r="A244" s="4">
        <v>238</v>
      </c>
      <c r="C244" s="110">
        <f>IF(male=0,VLOOKUP(((A242:A1076/'Life tables'!$I$2)*2)+age,lifetable,13,1),IF(male=1,VLOOKUP(((A242:A1076/'Life tables'!$I$2)*2)+age,lifetable,10,1),"error"))</f>
        <v>1.7629026324772479E-4</v>
      </c>
      <c r="F244" s="101">
        <f t="shared" si="57"/>
        <v>164.74183292224492</v>
      </c>
      <c r="G244" s="101">
        <f t="shared" si="58"/>
        <v>16.548661902699727</v>
      </c>
      <c r="H244" s="101">
        <f t="shared" si="59"/>
        <v>0.37869579677372711</v>
      </c>
      <c r="I244" s="101">
        <f t="shared" si="60"/>
        <v>0.37869579677372711</v>
      </c>
      <c r="J244" s="101">
        <f t="shared" si="61"/>
        <v>3.2093269820407881E-2</v>
      </c>
      <c r="K244" s="101">
        <f t="shared" si="62"/>
        <v>2.968563038232994E-2</v>
      </c>
      <c r="L244" s="101">
        <f t="shared" si="71"/>
        <v>147.374000525795</v>
      </c>
      <c r="M244" s="101">
        <f t="shared" si="63"/>
        <v>789.6559293982923</v>
      </c>
      <c r="N244" s="101">
        <f t="shared" si="64"/>
        <v>76.045576891298182</v>
      </c>
      <c r="O244" s="101">
        <f t="shared" si="65"/>
        <v>1.8152000378782076</v>
      </c>
      <c r="P244" s="101">
        <f t="shared" si="66"/>
        <v>1.8152000378782076</v>
      </c>
      <c r="Q244" s="101">
        <f t="shared" si="67"/>
        <v>0.15325475062279345</v>
      </c>
      <c r="R244" s="101">
        <f t="shared" si="68"/>
        <v>2.1148636649091765E-2</v>
      </c>
      <c r="S244" s="101">
        <f t="shared" si="72"/>
        <v>709.80554904396581</v>
      </c>
      <c r="T244" s="101">
        <f t="shared" si="73"/>
        <v>29.503226134349529</v>
      </c>
      <c r="U244" s="101">
        <f t="shared" si="73"/>
        <v>16.335193832590601</v>
      </c>
      <c r="V244" s="33">
        <f t="shared" si="74"/>
        <v>1000.0000000000027</v>
      </c>
      <c r="W244" s="105">
        <f t="shared" si="69"/>
        <v>141587.01801319816</v>
      </c>
      <c r="X244" s="112">
        <f t="shared" si="75"/>
        <v>954.16158003306259</v>
      </c>
      <c r="Y244" s="32">
        <f t="shared" si="70"/>
        <v>586.55771515999015</v>
      </c>
    </row>
    <row r="245" spans="1:25" x14ac:dyDescent="0.25">
      <c r="A245" s="4">
        <v>239</v>
      </c>
      <c r="C245" s="110">
        <f>IF(male=0,VLOOKUP(((A243:A1077/'Life tables'!$I$2)*2)+age,lifetable,13,1),IF(male=1,VLOOKUP(((A243:A1077/'Life tables'!$I$2)*2)+age,lifetable,10,1),"error"))</f>
        <v>1.7629026324772479E-4</v>
      </c>
      <c r="F245" s="101">
        <f t="shared" si="57"/>
        <v>164.68714889516178</v>
      </c>
      <c r="G245" s="101">
        <f t="shared" si="58"/>
        <v>16.543168777731861</v>
      </c>
      <c r="H245" s="101">
        <f t="shared" si="59"/>
        <v>0.37857009335741987</v>
      </c>
      <c r="I245" s="101">
        <f t="shared" si="60"/>
        <v>0.37857009335741987</v>
      </c>
      <c r="J245" s="101">
        <f t="shared" si="61"/>
        <v>3.2082616853854599E-2</v>
      </c>
      <c r="K245" s="101">
        <f t="shared" si="62"/>
        <v>2.9675776602102948E-2</v>
      </c>
      <c r="L245" s="101">
        <f t="shared" si="71"/>
        <v>147.32508153725911</v>
      </c>
      <c r="M245" s="101">
        <f t="shared" si="63"/>
        <v>789.47443113790086</v>
      </c>
      <c r="N245" s="101">
        <f t="shared" si="64"/>
        <v>76.02809821558337</v>
      </c>
      <c r="O245" s="101">
        <f t="shared" si="65"/>
        <v>1.81478282370065</v>
      </c>
      <c r="P245" s="101">
        <f t="shared" si="66"/>
        <v>1.81478282370065</v>
      </c>
      <c r="Q245" s="101">
        <f t="shared" si="67"/>
        <v>0.15321952582475268</v>
      </c>
      <c r="R245" s="101">
        <f t="shared" si="68"/>
        <v>2.1143775746237041E-2</v>
      </c>
      <c r="S245" s="101">
        <f t="shared" si="72"/>
        <v>709.64240397334515</v>
      </c>
      <c r="T245" s="101">
        <f t="shared" si="73"/>
        <v>29.688528277028137</v>
      </c>
      <c r="U245" s="101">
        <f t="shared" si="73"/>
        <v>16.386013384938941</v>
      </c>
      <c r="V245" s="33">
        <f t="shared" si="74"/>
        <v>1000.0000000000027</v>
      </c>
      <c r="W245" s="105">
        <f t="shared" si="69"/>
        <v>141390.15875043924</v>
      </c>
      <c r="X245" s="112">
        <f t="shared" si="75"/>
        <v>953.9254583380357</v>
      </c>
      <c r="Y245" s="32">
        <f t="shared" si="70"/>
        <v>586.24392247295043</v>
      </c>
    </row>
    <row r="246" spans="1:25" x14ac:dyDescent="0.25">
      <c r="A246" s="4">
        <v>240</v>
      </c>
      <c r="C246" s="110">
        <f>IF(male=0,VLOOKUP(((A244:A1078/'Life tables'!$I$2)*2)+age,lifetable,13,1),IF(male=1,VLOOKUP(((A244:A1078/'Life tables'!$I$2)*2)+age,lifetable,10,1),"error"))</f>
        <v>1.7629026324772479E-4</v>
      </c>
      <c r="F246" s="101">
        <f t="shared" si="57"/>
        <v>164.63291240399988</v>
      </c>
      <c r="G246" s="101">
        <f t="shared" si="58"/>
        <v>16.537720608683927</v>
      </c>
      <c r="H246" s="101">
        <f t="shared" si="59"/>
        <v>0.37844541870210957</v>
      </c>
      <c r="I246" s="101">
        <f t="shared" si="60"/>
        <v>0.37844541870210957</v>
      </c>
      <c r="J246" s="101">
        <f t="shared" si="61"/>
        <v>3.2072051071538751E-2</v>
      </c>
      <c r="K246" s="101">
        <f t="shared" si="62"/>
        <v>2.9666003465545536E-2</v>
      </c>
      <c r="L246" s="101">
        <f t="shared" si="71"/>
        <v>147.27656290337464</v>
      </c>
      <c r="M246" s="101">
        <f t="shared" si="63"/>
        <v>789.29254593403562</v>
      </c>
      <c r="N246" s="101">
        <f t="shared" si="64"/>
        <v>76.010582276373654</v>
      </c>
      <c r="O246" s="101">
        <f t="shared" si="65"/>
        <v>1.8143647200473318</v>
      </c>
      <c r="P246" s="101">
        <f t="shared" si="66"/>
        <v>1.8143647200473318</v>
      </c>
      <c r="Q246" s="101">
        <f t="shared" si="67"/>
        <v>0.15318422592954187</v>
      </c>
      <c r="R246" s="101">
        <f t="shared" si="68"/>
        <v>2.1138904480227143E-2</v>
      </c>
      <c r="S246" s="101">
        <f t="shared" si="72"/>
        <v>709.47891108715748</v>
      </c>
      <c r="T246" s="101">
        <f t="shared" si="73"/>
        <v>29.873784554029218</v>
      </c>
      <c r="U246" s="101">
        <f t="shared" si="73"/>
        <v>16.436818292884713</v>
      </c>
      <c r="V246" s="33">
        <f t="shared" si="74"/>
        <v>1000.0000000000025</v>
      </c>
      <c r="W246" s="105">
        <f t="shared" si="69"/>
        <v>141193.54654270242</v>
      </c>
      <c r="X246" s="112">
        <f t="shared" si="75"/>
        <v>953.68939715308863</v>
      </c>
      <c r="Y246" s="32">
        <f t="shared" si="70"/>
        <v>585.93029877113236</v>
      </c>
    </row>
    <row r="247" spans="1:25" x14ac:dyDescent="0.25">
      <c r="A247" s="4">
        <v>241</v>
      </c>
      <c r="C247" s="110">
        <f>IF(male=0,VLOOKUP(((A245:A1079/'Life tables'!$I$2)*2)+age,lifetable,13,1),IF(male=1,VLOOKUP(((A245:A1079/'Life tables'!$I$2)*2)+age,lifetable,10,1),"error"))</f>
        <v>1.7629026324772479E-4</v>
      </c>
      <c r="F247" s="101">
        <f t="shared" si="57"/>
        <v>164.57910981381693</v>
      </c>
      <c r="G247" s="101">
        <f t="shared" si="58"/>
        <v>16.532316025897433</v>
      </c>
      <c r="H247" s="101">
        <f t="shared" si="59"/>
        <v>0.37832174146484443</v>
      </c>
      <c r="I247" s="101">
        <f t="shared" si="60"/>
        <v>0.37832174146484443</v>
      </c>
      <c r="J247" s="101">
        <f t="shared" si="61"/>
        <v>3.2061569817244374E-2</v>
      </c>
      <c r="K247" s="101">
        <f t="shared" si="62"/>
        <v>2.9656308515711292E-2</v>
      </c>
      <c r="L247" s="101">
        <f t="shared" si="71"/>
        <v>147.22843242665684</v>
      </c>
      <c r="M247" s="101">
        <f t="shared" si="63"/>
        <v>789.11028733927162</v>
      </c>
      <c r="N247" s="101">
        <f t="shared" si="64"/>
        <v>75.993030378811412</v>
      </c>
      <c r="O247" s="101">
        <f t="shared" si="65"/>
        <v>1.8139457580718659</v>
      </c>
      <c r="P247" s="101">
        <f t="shared" si="66"/>
        <v>1.8139457580718659</v>
      </c>
      <c r="Q247" s="101">
        <f t="shared" si="67"/>
        <v>0.15314885356741609</v>
      </c>
      <c r="R247" s="101">
        <f t="shared" si="68"/>
        <v>2.1134023214028363E-2</v>
      </c>
      <c r="S247" s="101">
        <f t="shared" si="72"/>
        <v>709.315082567535</v>
      </c>
      <c r="T247" s="101">
        <f t="shared" si="73"/>
        <v>30.058994977413878</v>
      </c>
      <c r="U247" s="101">
        <f t="shared" si="73"/>
        <v>16.487608624614452</v>
      </c>
      <c r="V247" s="33">
        <f t="shared" si="74"/>
        <v>1000.0000000000025</v>
      </c>
      <c r="W247" s="105">
        <f t="shared" si="69"/>
        <v>140997.181943945</v>
      </c>
      <c r="X247" s="112">
        <f t="shared" si="75"/>
        <v>953.45339639797407</v>
      </c>
      <c r="Y247" s="32">
        <f t="shared" si="70"/>
        <v>585.61684392849759</v>
      </c>
    </row>
    <row r="248" spans="1:25" x14ac:dyDescent="0.25">
      <c r="A248" s="4">
        <v>242</v>
      </c>
      <c r="C248" s="110">
        <f>IF(male=0,VLOOKUP(((A246:A1080/'Life tables'!$I$2)*2)+age,lifetable,13,1),IF(male=1,VLOOKUP(((A246:A1080/'Life tables'!$I$2)*2)+age,lifetable,10,1),"error"))</f>
        <v>1.7629026324772479E-4</v>
      </c>
      <c r="F248" s="101">
        <f t="shared" si="57"/>
        <v>164.52572791447574</v>
      </c>
      <c r="G248" s="101">
        <f t="shared" si="58"/>
        <v>16.52695370238645</v>
      </c>
      <c r="H248" s="101">
        <f t="shared" si="59"/>
        <v>0.3781990312791817</v>
      </c>
      <c r="I248" s="101">
        <f t="shared" si="60"/>
        <v>0.3781990312791817</v>
      </c>
      <c r="J248" s="101">
        <f t="shared" si="61"/>
        <v>3.2051170517511621E-2</v>
      </c>
      <c r="K248" s="101">
        <f t="shared" si="62"/>
        <v>2.9646689372201475E-2</v>
      </c>
      <c r="L248" s="101">
        <f t="shared" si="71"/>
        <v>147.18067828964121</v>
      </c>
      <c r="M248" s="101">
        <f t="shared" si="63"/>
        <v>788.92766848349856</v>
      </c>
      <c r="N248" s="101">
        <f t="shared" si="64"/>
        <v>75.975443787333433</v>
      </c>
      <c r="O248" s="101">
        <f t="shared" si="65"/>
        <v>1.8135259679562277</v>
      </c>
      <c r="P248" s="101">
        <f t="shared" si="66"/>
        <v>1.8135259679562277</v>
      </c>
      <c r="Q248" s="101">
        <f t="shared" si="67"/>
        <v>0.15311341128659664</v>
      </c>
      <c r="R248" s="101">
        <f t="shared" si="68"/>
        <v>2.1129132299286597E-2</v>
      </c>
      <c r="S248" s="101">
        <f t="shared" si="72"/>
        <v>709.15093021666678</v>
      </c>
      <c r="T248" s="101">
        <f t="shared" si="73"/>
        <v>30.244159559217987</v>
      </c>
      <c r="U248" s="101">
        <f t="shared" si="73"/>
        <v>16.538384446285942</v>
      </c>
      <c r="V248" s="33">
        <f t="shared" si="74"/>
        <v>1000.0000000000026</v>
      </c>
      <c r="W248" s="105">
        <f t="shared" si="69"/>
        <v>140801.06547833711</v>
      </c>
      <c r="X248" s="112">
        <f t="shared" si="75"/>
        <v>953.21745599449866</v>
      </c>
      <c r="Y248" s="32">
        <f t="shared" si="70"/>
        <v>585.30355782019421</v>
      </c>
    </row>
    <row r="249" spans="1:25" x14ac:dyDescent="0.25">
      <c r="A249" s="4">
        <v>243</v>
      </c>
      <c r="C249" s="110">
        <f>IF(male=0,VLOOKUP(((A247:A1081/'Life tables'!$I$2)*2)+age,lifetable,13,1),IF(male=1,VLOOKUP(((A247:A1081/'Life tables'!$I$2)*2)+age,lifetable,10,1),"error"))</f>
        <v>1.7629026324772479E-4</v>
      </c>
      <c r="F249" s="101">
        <f t="shared" si="57"/>
        <v>164.47275390740705</v>
      </c>
      <c r="G249" s="101">
        <f t="shared" si="58"/>
        <v>16.521632352507911</v>
      </c>
      <c r="H249" s="101">
        <f t="shared" si="59"/>
        <v>0.37807725872475928</v>
      </c>
      <c r="I249" s="101">
        <f t="shared" si="60"/>
        <v>0.37807725872475928</v>
      </c>
      <c r="J249" s="101">
        <f t="shared" si="61"/>
        <v>3.2040850679057924E-2</v>
      </c>
      <c r="K249" s="101">
        <f t="shared" si="62"/>
        <v>2.9637143728779784E-2</v>
      </c>
      <c r="L249" s="101">
        <f t="shared" si="71"/>
        <v>147.1332890430418</v>
      </c>
      <c r="M249" s="101">
        <f t="shared" si="63"/>
        <v>788.7447020870917</v>
      </c>
      <c r="N249" s="101">
        <f t="shared" si="64"/>
        <v>75.957823726939424</v>
      </c>
      <c r="O249" s="101">
        <f t="shared" si="65"/>
        <v>1.813105378941033</v>
      </c>
      <c r="P249" s="101">
        <f t="shared" si="66"/>
        <v>1.813105378941033</v>
      </c>
      <c r="Q249" s="101">
        <f t="shared" si="67"/>
        <v>0.15307790155582685</v>
      </c>
      <c r="R249" s="101">
        <f t="shared" si="68"/>
        <v>2.1124232076680086E-2</v>
      </c>
      <c r="S249" s="101">
        <f t="shared" si="72"/>
        <v>708.98646546863768</v>
      </c>
      <c r="T249" s="101">
        <f t="shared" si="73"/>
        <v>30.429278311452872</v>
      </c>
      <c r="U249" s="101">
        <f t="shared" si="73"/>
        <v>16.589145822091403</v>
      </c>
      <c r="V249" s="33">
        <f t="shared" si="74"/>
        <v>1000.0000000000026</v>
      </c>
      <c r="W249" s="105">
        <f t="shared" si="69"/>
        <v>140605.19764123912</v>
      </c>
      <c r="X249" s="112">
        <f t="shared" si="75"/>
        <v>952.98157586645834</v>
      </c>
      <c r="Y249" s="32">
        <f t="shared" si="70"/>
        <v>584.9904403225238</v>
      </c>
    </row>
    <row r="250" spans="1:25" x14ac:dyDescent="0.25">
      <c r="A250" s="4">
        <v>244</v>
      </c>
      <c r="C250" s="110">
        <f>IF(male=0,VLOOKUP(((A248:A1082/'Life tables'!$I$2)*2)+age,lifetable,13,1),IF(male=1,VLOOKUP(((A248:A1082/'Life tables'!$I$2)*2)+age,lifetable,10,1),"error"))</f>
        <v>1.7629026324772479E-4</v>
      </c>
      <c r="F250" s="101">
        <f t="shared" si="57"/>
        <v>164.42017539278453</v>
      </c>
      <c r="G250" s="101">
        <f t="shared" si="58"/>
        <v>16.516350730673309</v>
      </c>
      <c r="H250" s="101">
        <f t="shared" si="59"/>
        <v>0.37795639529781444</v>
      </c>
      <c r="I250" s="101">
        <f t="shared" si="60"/>
        <v>0.37795639529781444</v>
      </c>
      <c r="J250" s="101">
        <f t="shared" si="61"/>
        <v>3.2030607886279649E-2</v>
      </c>
      <c r="K250" s="101">
        <f t="shared" si="62"/>
        <v>2.9627669351061325E-2</v>
      </c>
      <c r="L250" s="101">
        <f t="shared" si="71"/>
        <v>147.08625359427825</v>
      </c>
      <c r="M250" s="101">
        <f t="shared" si="63"/>
        <v>788.56140047367387</v>
      </c>
      <c r="N250" s="101">
        <f t="shared" si="64"/>
        <v>75.940171384420964</v>
      </c>
      <c r="O250" s="101">
        <f t="shared" si="65"/>
        <v>1.8126840193548741</v>
      </c>
      <c r="P250" s="101">
        <f t="shared" si="66"/>
        <v>1.8126840193548741</v>
      </c>
      <c r="Q250" s="101">
        <f t="shared" si="67"/>
        <v>0.15304232676684942</v>
      </c>
      <c r="R250" s="101">
        <f t="shared" si="68"/>
        <v>2.1119322876261216E-2</v>
      </c>
      <c r="S250" s="101">
        <f t="shared" si="72"/>
        <v>708.8216994009</v>
      </c>
      <c r="T250" s="101">
        <f t="shared" si="73"/>
        <v>30.614351246106001</v>
      </c>
      <c r="U250" s="101">
        <f t="shared" si="73"/>
        <v>16.639892814318724</v>
      </c>
      <c r="V250" s="33">
        <f t="shared" si="74"/>
        <v>1000.0000000000026</v>
      </c>
      <c r="W250" s="105">
        <f t="shared" si="69"/>
        <v>140409.57890014854</v>
      </c>
      <c r="X250" s="112">
        <f t="shared" si="75"/>
        <v>952.74575593957786</v>
      </c>
      <c r="Y250" s="32">
        <f t="shared" si="70"/>
        <v>584.67749131290429</v>
      </c>
    </row>
    <row r="251" spans="1:25" x14ac:dyDescent="0.25">
      <c r="A251" s="4">
        <v>245</v>
      </c>
      <c r="C251" s="110">
        <f>IF(male=0,VLOOKUP(((A249:A1083/'Life tables'!$I$2)*2)+age,lifetable,13,1),IF(male=1,VLOOKUP(((A249:A1083/'Life tables'!$I$2)*2)+age,lifetable,10,1),"error"))</f>
        <v>1.7629026324772479E-4</v>
      </c>
      <c r="F251" s="101">
        <f t="shared" si="57"/>
        <v>164.36798035709936</v>
      </c>
      <c r="G251" s="101">
        <f t="shared" si="58"/>
        <v>16.511107630100543</v>
      </c>
      <c r="H251" s="101">
        <f t="shared" si="59"/>
        <v>0.37783641338262136</v>
      </c>
      <c r="I251" s="101">
        <f t="shared" si="60"/>
        <v>0.37783641338262136</v>
      </c>
      <c r="J251" s="101">
        <f t="shared" si="61"/>
        <v>3.2020439798831443E-2</v>
      </c>
      <c r="K251" s="101">
        <f t="shared" si="62"/>
        <v>2.9618264074273652E-2</v>
      </c>
      <c r="L251" s="101">
        <f t="shared" si="71"/>
        <v>147.03956119636047</v>
      </c>
      <c r="M251" s="101">
        <f t="shared" si="63"/>
        <v>788.37777558247853</v>
      </c>
      <c r="N251" s="101">
        <f t="shared" si="64"/>
        <v>75.922487909552117</v>
      </c>
      <c r="O251" s="101">
        <f t="shared" si="65"/>
        <v>1.8122619166427383</v>
      </c>
      <c r="P251" s="101">
        <f t="shared" si="66"/>
        <v>1.8122619166427383</v>
      </c>
      <c r="Q251" s="101">
        <f t="shared" si="67"/>
        <v>0.15300668923680555</v>
      </c>
      <c r="R251" s="101">
        <f t="shared" si="68"/>
        <v>2.1114405017787618E-2</v>
      </c>
      <c r="S251" s="101">
        <f t="shared" si="72"/>
        <v>708.65664274538631</v>
      </c>
      <c r="T251" s="101">
        <f t="shared" si="73"/>
        <v>30.799378375141636</v>
      </c>
      <c r="U251" s="101">
        <f t="shared" si="73"/>
        <v>16.690625483410784</v>
      </c>
      <c r="V251" s="33">
        <f t="shared" si="74"/>
        <v>1000.0000000000025</v>
      </c>
      <c r="W251" s="105">
        <f t="shared" si="69"/>
        <v>140214.20969561578</v>
      </c>
      <c r="X251" s="112">
        <f t="shared" si="75"/>
        <v>952.50999614145019</v>
      </c>
      <c r="Y251" s="32">
        <f t="shared" si="70"/>
        <v>584.36471066983825</v>
      </c>
    </row>
    <row r="252" spans="1:25" x14ac:dyDescent="0.25">
      <c r="A252" s="4">
        <v>246</v>
      </c>
      <c r="C252" s="110">
        <f>IF(male=0,VLOOKUP(((A250:A1084/'Life tables'!$I$2)*2)+age,lifetable,13,1),IF(male=1,VLOOKUP(((A250:A1084/'Life tables'!$I$2)*2)+age,lifetable,10,1),"error"))</f>
        <v>1.7629026324772479E-4</v>
      </c>
      <c r="F252" s="101">
        <f t="shared" si="57"/>
        <v>164.31615716112225</v>
      </c>
      <c r="G252" s="101">
        <f t="shared" si="58"/>
        <v>16.505901881604668</v>
      </c>
      <c r="H252" s="101">
        <f t="shared" si="59"/>
        <v>0.37771728622381906</v>
      </c>
      <c r="I252" s="101">
        <f t="shared" si="60"/>
        <v>0.37771728622381906</v>
      </c>
      <c r="J252" s="101">
        <f t="shared" si="61"/>
        <v>3.2010344149281188E-2</v>
      </c>
      <c r="K252" s="101">
        <f t="shared" si="62"/>
        <v>2.9608925801087548E-2</v>
      </c>
      <c r="L252" s="101">
        <f t="shared" si="71"/>
        <v>146.99320143711958</v>
      </c>
      <c r="M252" s="101">
        <f t="shared" si="63"/>
        <v>788.19383898032788</v>
      </c>
      <c r="N252" s="101">
        <f t="shared" si="64"/>
        <v>75.904774416242915</v>
      </c>
      <c r="O252" s="101">
        <f t="shared" si="65"/>
        <v>1.8118390973935428</v>
      </c>
      <c r="P252" s="101">
        <f t="shared" si="66"/>
        <v>1.8118390973935428</v>
      </c>
      <c r="Q252" s="101">
        <f t="shared" si="67"/>
        <v>0.15297099121055949</v>
      </c>
      <c r="R252" s="101">
        <f t="shared" si="68"/>
        <v>2.110947881104297E-2</v>
      </c>
      <c r="S252" s="101">
        <f t="shared" si="72"/>
        <v>708.49130589927631</v>
      </c>
      <c r="T252" s="101">
        <f t="shared" si="73"/>
        <v>30.984359710501476</v>
      </c>
      <c r="U252" s="101">
        <f t="shared" si="73"/>
        <v>16.741343888022914</v>
      </c>
      <c r="V252" s="33">
        <f t="shared" si="74"/>
        <v>1000.0000000000026</v>
      </c>
      <c r="W252" s="105">
        <f t="shared" si="69"/>
        <v>140019.09044213017</v>
      </c>
      <c r="X252" s="112">
        <f t="shared" si="75"/>
        <v>952.2742964014783</v>
      </c>
      <c r="Y252" s="32">
        <f t="shared" si="70"/>
        <v>584.0520982728799</v>
      </c>
    </row>
    <row r="253" spans="1:25" x14ac:dyDescent="0.25">
      <c r="A253" s="4">
        <v>247</v>
      </c>
      <c r="C253" s="110">
        <f>IF(male=0,VLOOKUP(((A251:A1085/'Life tables'!$I$2)*2)+age,lifetable,13,1),IF(male=1,VLOOKUP(((A251:A1085/'Life tables'!$I$2)*2)+age,lifetable,10,1),"error"))</f>
        <v>1.7629026324772479E-4</v>
      </c>
      <c r="F253" s="101">
        <f t="shared" si="57"/>
        <v>164.26469452824031</v>
      </c>
      <c r="G253" s="101">
        <f t="shared" si="58"/>
        <v>16.500732352426322</v>
      </c>
      <c r="H253" s="101">
        <f t="shared" si="59"/>
        <v>0.37759898789960106</v>
      </c>
      <c r="I253" s="101">
        <f t="shared" si="60"/>
        <v>0.37759898789960106</v>
      </c>
      <c r="J253" s="101">
        <f t="shared" si="61"/>
        <v>3.2000318740837863E-2</v>
      </c>
      <c r="K253" s="101">
        <f t="shared" si="62"/>
        <v>2.9599652499515409E-2</v>
      </c>
      <c r="L253" s="101">
        <f t="shared" si="71"/>
        <v>146.94716422877443</v>
      </c>
      <c r="M253" s="101">
        <f t="shared" si="63"/>
        <v>788.00960187323801</v>
      </c>
      <c r="N253" s="101">
        <f t="shared" si="64"/>
        <v>75.887031983656982</v>
      </c>
      <c r="O253" s="101">
        <f t="shared" si="65"/>
        <v>1.8114155873668112</v>
      </c>
      <c r="P253" s="101">
        <f t="shared" si="66"/>
        <v>1.8114155873668112</v>
      </c>
      <c r="Q253" s="101">
        <f t="shared" si="67"/>
        <v>0.15293523486295119</v>
      </c>
      <c r="R253" s="101">
        <f t="shared" si="68"/>
        <v>2.1104544556147811E-2</v>
      </c>
      <c r="S253" s="101">
        <f t="shared" si="72"/>
        <v>708.32569893542836</v>
      </c>
      <c r="T253" s="101">
        <f t="shared" si="73"/>
        <v>31.169295264105266</v>
      </c>
      <c r="U253" s="101">
        <f t="shared" si="73"/>
        <v>16.792048085078576</v>
      </c>
      <c r="V253" s="33">
        <f t="shared" si="74"/>
        <v>1000.0000000000027</v>
      </c>
      <c r="W253" s="105">
        <f t="shared" si="69"/>
        <v>139824.22152897794</v>
      </c>
      <c r="X253" s="112">
        <f t="shared" si="75"/>
        <v>952.03865665081889</v>
      </c>
      <c r="Y253" s="32">
        <f t="shared" si="70"/>
        <v>583.73965400260261</v>
      </c>
    </row>
    <row r="254" spans="1:25" x14ac:dyDescent="0.25">
      <c r="A254" s="4">
        <v>248</v>
      </c>
      <c r="C254" s="110">
        <f>IF(male=0,VLOOKUP(((A252:A1086/'Life tables'!$I$2)*2)+age,lifetable,13,1),IF(male=1,VLOOKUP(((A252:A1086/'Life tables'!$I$2)*2)+age,lifetable,10,1),"error"))</f>
        <v>1.7629026324772479E-4</v>
      </c>
      <c r="F254" s="101">
        <f t="shared" si="57"/>
        <v>164.21358153315748</v>
      </c>
      <c r="G254" s="101">
        <f t="shared" si="58"/>
        <v>16.495597945096648</v>
      </c>
      <c r="H254" s="101">
        <f t="shared" si="59"/>
        <v>0.37748149329574099</v>
      </c>
      <c r="I254" s="101">
        <f t="shared" si="60"/>
        <v>0.37748149329574099</v>
      </c>
      <c r="J254" s="101">
        <f t="shared" si="61"/>
        <v>3.1990361445150259E-2</v>
      </c>
      <c r="K254" s="101">
        <f t="shared" si="62"/>
        <v>2.9590442200875117E-2</v>
      </c>
      <c r="L254" s="101">
        <f t="shared" si="71"/>
        <v>146.90143979782334</v>
      </c>
      <c r="M254" s="101">
        <f t="shared" si="63"/>
        <v>787.8250751176613</v>
      </c>
      <c r="N254" s="101">
        <f t="shared" si="64"/>
        <v>75.869261657294203</v>
      </c>
      <c r="O254" s="101">
        <f t="shared" si="65"/>
        <v>1.8109914115185179</v>
      </c>
      <c r="P254" s="101">
        <f t="shared" si="66"/>
        <v>1.8109914115185179</v>
      </c>
      <c r="Q254" s="101">
        <f t="shared" si="67"/>
        <v>0.15289942230097792</v>
      </c>
      <c r="R254" s="101">
        <f t="shared" si="68"/>
        <v>2.1099602543860636E-2</v>
      </c>
      <c r="S254" s="101">
        <f t="shared" si="72"/>
        <v>708.15983161248528</v>
      </c>
      <c r="T254" s="101">
        <f t="shared" si="73"/>
        <v>31.354185047851395</v>
      </c>
      <c r="U254" s="101">
        <f t="shared" si="73"/>
        <v>16.842738129823314</v>
      </c>
      <c r="V254" s="33">
        <f t="shared" si="74"/>
        <v>1000.0000000000026</v>
      </c>
      <c r="W254" s="105">
        <f t="shared" si="69"/>
        <v>139629.60332107221</v>
      </c>
      <c r="X254" s="112">
        <f t="shared" si="75"/>
        <v>951.80307682232797</v>
      </c>
      <c r="Y254" s="32">
        <f t="shared" si="70"/>
        <v>583.42737774056809</v>
      </c>
    </row>
    <row r="255" spans="1:25" x14ac:dyDescent="0.25">
      <c r="A255" s="4">
        <v>249</v>
      </c>
      <c r="C255" s="110">
        <f>IF(male=0,VLOOKUP(((A253:A1087/'Life tables'!$I$2)*2)+age,lifetable,13,1),IF(male=1,VLOOKUP(((A253:A1087/'Life tables'!$I$2)*2)+age,lifetable,10,1),"error"))</f>
        <v>1.7629026324772479E-4</v>
      </c>
      <c r="F255" s="101">
        <f t="shared" si="57"/>
        <v>164.16280759094721</v>
      </c>
      <c r="G255" s="101">
        <f t="shared" si="58"/>
        <v>16.490497596337619</v>
      </c>
      <c r="H255" s="101">
        <f t="shared" si="59"/>
        <v>0.37736477808042745</v>
      </c>
      <c r="I255" s="101">
        <f t="shared" si="60"/>
        <v>0.37736477808042745</v>
      </c>
      <c r="J255" s="101">
        <f t="shared" si="61"/>
        <v>3.1980470200174443E-2</v>
      </c>
      <c r="K255" s="101">
        <f t="shared" si="62"/>
        <v>2.958129299781739E-2</v>
      </c>
      <c r="L255" s="101">
        <f t="shared" si="71"/>
        <v>146.85601867525074</v>
      </c>
      <c r="M255" s="101">
        <f t="shared" si="63"/>
        <v>787.64026923138078</v>
      </c>
      <c r="N255" s="101">
        <f t="shared" si="64"/>
        <v>75.85146445003987</v>
      </c>
      <c r="O255" s="101">
        <f t="shared" si="65"/>
        <v>1.8105665940261297</v>
      </c>
      <c r="P255" s="101">
        <f t="shared" si="66"/>
        <v>1.8105665940261297</v>
      </c>
      <c r="Q255" s="101">
        <f t="shared" si="67"/>
        <v>0.15286355556590875</v>
      </c>
      <c r="R255" s="101">
        <f t="shared" si="68"/>
        <v>2.1094653055869661E-2</v>
      </c>
      <c r="S255" s="101">
        <f t="shared" si="72"/>
        <v>707.99371338466688</v>
      </c>
      <c r="T255" s="101">
        <f t="shared" si="73"/>
        <v>31.539029073617478</v>
      </c>
      <c r="U255" s="101">
        <f t="shared" si="73"/>
        <v>16.893414075877001</v>
      </c>
      <c r="V255" s="33">
        <f t="shared" si="74"/>
        <v>1000.0000000000027</v>
      </c>
      <c r="W255" s="105">
        <f t="shared" si="69"/>
        <v>139435.23615975564</v>
      </c>
      <c r="X255" s="112">
        <f t="shared" si="75"/>
        <v>951.56755685050825</v>
      </c>
      <c r="Y255" s="32">
        <f t="shared" si="70"/>
        <v>583.11526936930022</v>
      </c>
    </row>
    <row r="256" spans="1:25" x14ac:dyDescent="0.25">
      <c r="A256" s="4">
        <v>250</v>
      </c>
      <c r="C256" s="110">
        <f>IF(male=0,VLOOKUP(((A254:A1088/'Life tables'!$I$2)*2)+age,lifetable,13,1),IF(male=1,VLOOKUP(((A254:A1088/'Life tables'!$I$2)*2)+age,lifetable,10,1),"error"))</f>
        <v>1.7629026324772479E-4</v>
      </c>
      <c r="F256" s="101">
        <f t="shared" si="57"/>
        <v>164.11236244644593</v>
      </c>
      <c r="G256" s="101">
        <f t="shared" si="58"/>
        <v>16.485430275996595</v>
      </c>
      <c r="H256" s="101">
        <f t="shared" si="59"/>
        <v>0.37724881867988286</v>
      </c>
      <c r="I256" s="101">
        <f t="shared" si="60"/>
        <v>0.37724881867988286</v>
      </c>
      <c r="J256" s="101">
        <f t="shared" si="61"/>
        <v>3.1970643008107362E-2</v>
      </c>
      <c r="K256" s="101">
        <f t="shared" si="62"/>
        <v>2.9572203042414532E-2</v>
      </c>
      <c r="L256" s="101">
        <f t="shared" si="71"/>
        <v>146.81089168703903</v>
      </c>
      <c r="M256" s="101">
        <f t="shared" si="63"/>
        <v>787.45519440406224</v>
      </c>
      <c r="N256" s="101">
        <f t="shared" si="64"/>
        <v>75.833641343180886</v>
      </c>
      <c r="O256" s="101">
        <f t="shared" si="65"/>
        <v>1.8101411583128628</v>
      </c>
      <c r="P256" s="101">
        <f t="shared" si="66"/>
        <v>1.8101411583128628</v>
      </c>
      <c r="Q256" s="101">
        <f t="shared" si="67"/>
        <v>0.15282763663533236</v>
      </c>
      <c r="R256" s="101">
        <f t="shared" si="68"/>
        <v>2.1089696365075437E-2</v>
      </c>
      <c r="S256" s="101">
        <f t="shared" si="72"/>
        <v>707.82735341125522</v>
      </c>
      <c r="T256" s="101">
        <f t="shared" si="73"/>
        <v>31.723827353260916</v>
      </c>
      <c r="U256" s="101">
        <f t="shared" si="73"/>
        <v>16.944075975284491</v>
      </c>
      <c r="V256" s="33">
        <f t="shared" si="74"/>
        <v>1000.0000000000026</v>
      </c>
      <c r="W256" s="105">
        <f t="shared" si="69"/>
        <v>139241.12036357803</v>
      </c>
      <c r="X256" s="112">
        <f t="shared" si="75"/>
        <v>951.33209667145718</v>
      </c>
      <c r="Y256" s="32">
        <f t="shared" si="70"/>
        <v>582.80332877225055</v>
      </c>
    </row>
    <row r="257" spans="1:25" x14ac:dyDescent="0.25">
      <c r="A257" s="4">
        <v>251</v>
      </c>
      <c r="C257" s="110">
        <f>IF(male=0,VLOOKUP(((A255:A1089/'Life tables'!$I$2)*2)+age,lifetable,13,1),IF(male=1,VLOOKUP(((A255:A1089/'Life tables'!$I$2)*2)+age,lifetable,10,1),"error"))</f>
        <v>1.7629026324772479E-4</v>
      </c>
      <c r="F257" s="101">
        <f t="shared" si="57"/>
        <v>164.06223616397742</v>
      </c>
      <c r="G257" s="101">
        <f t="shared" si="58"/>
        <v>16.480394986014105</v>
      </c>
      <c r="H257" s="101">
        <f t="shared" si="59"/>
        <v>0.37713359225474241</v>
      </c>
      <c r="I257" s="101">
        <f t="shared" si="60"/>
        <v>0.37713359225474241</v>
      </c>
      <c r="J257" s="101">
        <f t="shared" si="61"/>
        <v>3.196087793338518E-2</v>
      </c>
      <c r="K257" s="101">
        <f t="shared" si="62"/>
        <v>2.9563170544308827E-2</v>
      </c>
      <c r="L257" s="101">
        <f t="shared" si="71"/>
        <v>146.76604994497615</v>
      </c>
      <c r="M257" s="101">
        <f t="shared" si="63"/>
        <v>787.26986050747985</v>
      </c>
      <c r="N257" s="101">
        <f t="shared" si="64"/>
        <v>75.815793287390491</v>
      </c>
      <c r="O257" s="101">
        <f t="shared" si="65"/>
        <v>1.8097151270711893</v>
      </c>
      <c r="P257" s="101">
        <f t="shared" si="66"/>
        <v>1.8097151270711893</v>
      </c>
      <c r="Q257" s="101">
        <f t="shared" si="67"/>
        <v>0.15279166742514189</v>
      </c>
      <c r="R257" s="101">
        <f t="shared" si="68"/>
        <v>2.1084732735864715E-2</v>
      </c>
      <c r="S257" s="101">
        <f t="shared" si="72"/>
        <v>707.66076056578595</v>
      </c>
      <c r="T257" s="101">
        <f t="shared" si="73"/>
        <v>31.908579898619443</v>
      </c>
      <c r="U257" s="101">
        <f t="shared" si="73"/>
        <v>16.994723878564663</v>
      </c>
      <c r="V257" s="33">
        <f t="shared" si="74"/>
        <v>1000.0000000000026</v>
      </c>
      <c r="W257" s="105">
        <f t="shared" si="69"/>
        <v>139047.25622904836</v>
      </c>
      <c r="X257" s="112">
        <f t="shared" si="75"/>
        <v>951.09669622281854</v>
      </c>
      <c r="Y257" s="32">
        <f t="shared" si="70"/>
        <v>582.49155583377626</v>
      </c>
    </row>
    <row r="258" spans="1:25" x14ac:dyDescent="0.25">
      <c r="A258" s="4">
        <v>252</v>
      </c>
      <c r="C258" s="110">
        <f>IF(male=0,VLOOKUP(((A256:A1090/'Life tables'!$I$2)*2)+age,lifetable,13,1),IF(male=1,VLOOKUP(((A256:A1090/'Life tables'!$I$2)*2)+age,lifetable,10,1),"error"))</f>
        <v>1.7629026324772479E-4</v>
      </c>
      <c r="F258" s="101">
        <f t="shared" si="57"/>
        <v>164.01241911739712</v>
      </c>
      <c r="G258" s="101">
        <f t="shared" si="58"/>
        <v>16.475390759423778</v>
      </c>
      <c r="H258" s="101">
        <f t="shared" si="59"/>
        <v>0.37701907667716872</v>
      </c>
      <c r="I258" s="101">
        <f t="shared" si="60"/>
        <v>0.37701907667716872</v>
      </c>
      <c r="J258" s="101">
        <f t="shared" si="61"/>
        <v>3.1951173100743718E-2</v>
      </c>
      <c r="K258" s="101">
        <f t="shared" si="62"/>
        <v>2.9554193768918571E-2</v>
      </c>
      <c r="L258" s="101">
        <f t="shared" si="71"/>
        <v>146.72148483774933</v>
      </c>
      <c r="M258" s="101">
        <f t="shared" si="63"/>
        <v>787.08427710542151</v>
      </c>
      <c r="N258" s="101">
        <f t="shared" si="64"/>
        <v>75.797921203682179</v>
      </c>
      <c r="O258" s="101">
        <f t="shared" si="65"/>
        <v>1.8092885222856054</v>
      </c>
      <c r="P258" s="101">
        <f t="shared" si="66"/>
        <v>1.8092885222856054</v>
      </c>
      <c r="Q258" s="101">
        <f t="shared" si="67"/>
        <v>0.152755649791457</v>
      </c>
      <c r="R258" s="101">
        <f t="shared" si="68"/>
        <v>2.1079762424375727E-2</v>
      </c>
      <c r="S258" s="101">
        <f t="shared" si="72"/>
        <v>707.49394344495227</v>
      </c>
      <c r="T258" s="101">
        <f t="shared" si="73"/>
        <v>32.093286721511646</v>
      </c>
      <c r="U258" s="101">
        <f t="shared" si="73"/>
        <v>17.045357834757958</v>
      </c>
      <c r="V258" s="33">
        <f t="shared" si="74"/>
        <v>1000.0000000000027</v>
      </c>
      <c r="W258" s="105">
        <f t="shared" si="69"/>
        <v>138853.64403136272</v>
      </c>
      <c r="X258" s="112">
        <f t="shared" si="75"/>
        <v>950.86135544373315</v>
      </c>
      <c r="Y258" s="32">
        <f t="shared" si="70"/>
        <v>582.17995043910889</v>
      </c>
    </row>
    <row r="259" spans="1:25" x14ac:dyDescent="0.25">
      <c r="A259" s="4">
        <v>253</v>
      </c>
      <c r="C259" s="110">
        <f>IF(male=0,VLOOKUP(((A257:A1091/'Life tables'!$I$2)*2)+age,lifetable,13,1),IF(male=1,VLOOKUP(((A257:A1091/'Life tables'!$I$2)*2)+age,lifetable,10,1),"error"))</f>
        <v>1.7629026324772479E-4</v>
      </c>
      <c r="F259" s="101">
        <f t="shared" si="57"/>
        <v>163.96290198044656</v>
      </c>
      <c r="G259" s="101">
        <f t="shared" si="58"/>
        <v>16.470416659383439</v>
      </c>
      <c r="H259" s="101">
        <f t="shared" si="59"/>
        <v>0.3769052505086794</v>
      </c>
      <c r="I259" s="101">
        <f t="shared" si="60"/>
        <v>0.3769052505086794</v>
      </c>
      <c r="J259" s="101">
        <f t="shared" si="61"/>
        <v>3.1941526693339481E-2</v>
      </c>
      <c r="K259" s="101">
        <f t="shared" si="62"/>
        <v>2.954527103569999E-2</v>
      </c>
      <c r="L259" s="101">
        <f t="shared" si="71"/>
        <v>146.67718802231673</v>
      </c>
      <c r="M259" s="101">
        <f t="shared" si="63"/>
        <v>786.8984534632865</v>
      </c>
      <c r="N259" s="101">
        <f t="shared" si="64"/>
        <v>75.78002598433396</v>
      </c>
      <c r="O259" s="101">
        <f t="shared" si="65"/>
        <v>1.8088613652546957</v>
      </c>
      <c r="P259" s="101">
        <f t="shared" si="66"/>
        <v>1.8088613652546957</v>
      </c>
      <c r="Q259" s="101">
        <f t="shared" si="67"/>
        <v>0.15271958553248674</v>
      </c>
      <c r="R259" s="101">
        <f t="shared" si="68"/>
        <v>2.1074785678755242E-2</v>
      </c>
      <c r="S259" s="101">
        <f t="shared" ref="S259:S322" si="76">M259-SUM(N259:R259)</f>
        <v>707.32691037723191</v>
      </c>
      <c r="T259" s="101">
        <f t="shared" si="73"/>
        <v>32.277947833737471</v>
      </c>
      <c r="U259" s="101">
        <f t="shared" si="73"/>
        <v>17.095977891472412</v>
      </c>
      <c r="V259" s="33">
        <f t="shared" si="74"/>
        <v>1000.0000000000027</v>
      </c>
      <c r="W259" s="105">
        <f t="shared" si="69"/>
        <v>138660.28402510789</v>
      </c>
      <c r="X259" s="112">
        <f t="shared" si="75"/>
        <v>950.62607427479281</v>
      </c>
      <c r="Y259" s="32">
        <f t="shared" si="70"/>
        <v>581.86851247433083</v>
      </c>
    </row>
    <row r="260" spans="1:25" x14ac:dyDescent="0.25">
      <c r="A260" s="4">
        <v>254</v>
      </c>
      <c r="C260" s="110">
        <f>IF(male=0,VLOOKUP(((A258:A1092/'Life tables'!$I$2)*2)+age,lifetable,13,1),IF(male=1,VLOOKUP(((A258:A1092/'Life tables'!$I$2)*2)+age,lifetable,10,1),"error"))</f>
        <v>1.7629026324772479E-4</v>
      </c>
      <c r="F260" s="101">
        <f t="shared" si="57"/>
        <v>163.91367571740892</v>
      </c>
      <c r="G260" s="101">
        <f t="shared" si="58"/>
        <v>16.465471778236413</v>
      </c>
      <c r="H260" s="101">
        <f t="shared" si="59"/>
        <v>0.37679209297866678</v>
      </c>
      <c r="I260" s="101">
        <f t="shared" si="60"/>
        <v>0.37679209297866678</v>
      </c>
      <c r="J260" s="101">
        <f t="shared" si="61"/>
        <v>3.1931936950929232E-2</v>
      </c>
      <c r="K260" s="101">
        <f t="shared" si="62"/>
        <v>2.9536400716463414E-2</v>
      </c>
      <c r="L260" s="101">
        <f t="shared" si="71"/>
        <v>146.63315141554779</v>
      </c>
      <c r="M260" s="101">
        <f t="shared" si="63"/>
        <v>786.71239855738372</v>
      </c>
      <c r="N260" s="101">
        <f t="shared" si="64"/>
        <v>75.762108493783856</v>
      </c>
      <c r="O260" s="101">
        <f t="shared" si="65"/>
        <v>1.8084336766125051</v>
      </c>
      <c r="P260" s="101">
        <f t="shared" si="66"/>
        <v>1.8084336766125051</v>
      </c>
      <c r="Q260" s="101">
        <f t="shared" si="67"/>
        <v>0.15268347639033411</v>
      </c>
      <c r="R260" s="101">
        <f t="shared" si="68"/>
        <v>2.1069802739407572E-2</v>
      </c>
      <c r="S260" s="101">
        <f t="shared" si="76"/>
        <v>707.15966943124511</v>
      </c>
      <c r="T260" s="101">
        <f t="shared" si="73"/>
        <v>32.462563247078734</v>
      </c>
      <c r="U260" s="101">
        <f t="shared" si="73"/>
        <v>17.146584094928283</v>
      </c>
      <c r="V260" s="33">
        <f t="shared" si="74"/>
        <v>1000.0000000000025</v>
      </c>
      <c r="W260" s="105">
        <f t="shared" si="69"/>
        <v>138467.17644494376</v>
      </c>
      <c r="X260" s="112">
        <f t="shared" si="75"/>
        <v>950.39085265799554</v>
      </c>
      <c r="Y260" s="32">
        <f t="shared" si="70"/>
        <v>581.55724182634935</v>
      </c>
    </row>
    <row r="261" spans="1:25" x14ac:dyDescent="0.25">
      <c r="A261" s="4">
        <v>255</v>
      </c>
      <c r="C261" s="110">
        <f>IF(male=0,VLOOKUP(((A259:A1093/'Life tables'!$I$2)*2)+age,lifetable,13,1),IF(male=1,VLOOKUP(((A259:A1093/'Life tables'!$I$2)*2)+age,lifetable,10,1),"error"))</f>
        <v>1.7629026324772479E-4</v>
      </c>
      <c r="F261" s="101">
        <f t="shared" si="57"/>
        <v>163.8647315740551</v>
      </c>
      <c r="G261" s="101">
        <f t="shared" si="58"/>
        <v>16.460555236602072</v>
      </c>
      <c r="H261" s="101">
        <f t="shared" si="59"/>
        <v>0.37667958396358542</v>
      </c>
      <c r="I261" s="101">
        <f t="shared" si="60"/>
        <v>0.37667958396358542</v>
      </c>
      <c r="J261" s="101">
        <f t="shared" si="61"/>
        <v>3.1922402168106191E-2</v>
      </c>
      <c r="K261" s="101">
        <f t="shared" si="62"/>
        <v>2.9527581233741822E-2</v>
      </c>
      <c r="L261" s="101">
        <f t="shared" si="71"/>
        <v>146.58936718612401</v>
      </c>
      <c r="M261" s="101">
        <f t="shared" si="63"/>
        <v>786.52612108394044</v>
      </c>
      <c r="N261" s="101">
        <f t="shared" si="64"/>
        <v>75.744169569497373</v>
      </c>
      <c r="O261" s="101">
        <f t="shared" si="65"/>
        <v>1.8080054763492488</v>
      </c>
      <c r="P261" s="101">
        <f t="shared" si="66"/>
        <v>1.8080054763492488</v>
      </c>
      <c r="Q261" s="101">
        <f t="shared" si="67"/>
        <v>0.15264732405274462</v>
      </c>
      <c r="R261" s="101">
        <f t="shared" si="68"/>
        <v>2.1064813839235867E-2</v>
      </c>
      <c r="S261" s="101">
        <f t="shared" si="76"/>
        <v>706.99222842385257</v>
      </c>
      <c r="T261" s="101">
        <f t="shared" si="73"/>
        <v>32.647132973299584</v>
      </c>
      <c r="U261" s="101">
        <f t="shared" si="73"/>
        <v>17.197176490001262</v>
      </c>
      <c r="V261" s="33">
        <f t="shared" si="74"/>
        <v>1000.0000000000026</v>
      </c>
      <c r="W261" s="105">
        <f t="shared" si="69"/>
        <v>138274.32150626223</v>
      </c>
      <c r="X261" s="112">
        <f t="shared" si="75"/>
        <v>950.15569053670174</v>
      </c>
      <c r="Y261" s="32">
        <f t="shared" si="70"/>
        <v>581.24613838287212</v>
      </c>
    </row>
    <row r="262" spans="1:25" x14ac:dyDescent="0.25">
      <c r="A262" s="4">
        <v>256</v>
      </c>
      <c r="C262" s="110">
        <f>IF(male=0,VLOOKUP(((A260:A1094/'Life tables'!$I$2)*2)+age,lifetable,13,1),IF(male=1,VLOOKUP(((A260:A1094/'Life tables'!$I$2)*2)+age,lifetable,10,1),"error"))</f>
        <v>1.7629026324772479E-4</v>
      </c>
      <c r="F262" s="101">
        <f t="shared" si="57"/>
        <v>163.81606106887236</v>
      </c>
      <c r="G262" s="101">
        <f t="shared" si="58"/>
        <v>16.455666182494713</v>
      </c>
      <c r="H262" s="101">
        <f t="shared" si="59"/>
        <v>0.37656770396678912</v>
      </c>
      <c r="I262" s="101">
        <f t="shared" si="60"/>
        <v>0.37656770396678912</v>
      </c>
      <c r="J262" s="101">
        <f t="shared" si="61"/>
        <v>3.1912920692591329E-2</v>
      </c>
      <c r="K262" s="101">
        <f t="shared" si="62"/>
        <v>2.9518811059210268E-2</v>
      </c>
      <c r="L262" s="101">
        <f t="shared" si="71"/>
        <v>146.54582774669228</v>
      </c>
      <c r="M262" s="101">
        <f t="shared" si="63"/>
        <v>786.33962946782913</v>
      </c>
      <c r="N262" s="101">
        <f t="shared" si="64"/>
        <v>75.72621002280799</v>
      </c>
      <c r="O262" s="101">
        <f t="shared" si="65"/>
        <v>1.8075767838313732</v>
      </c>
      <c r="P262" s="101">
        <f t="shared" si="66"/>
        <v>1.8075767838313732</v>
      </c>
      <c r="Q262" s="101">
        <f t="shared" si="67"/>
        <v>0.15261113015479949</v>
      </c>
      <c r="R262" s="101">
        <f t="shared" si="68"/>
        <v>2.1059819203875823E-2</v>
      </c>
      <c r="S262" s="101">
        <f t="shared" si="76"/>
        <v>706.82459492799967</v>
      </c>
      <c r="T262" s="101">
        <f t="shared" si="73"/>
        <v>32.831657024146978</v>
      </c>
      <c r="U262" s="101">
        <f t="shared" si="73"/>
        <v>17.247755120264348</v>
      </c>
      <c r="V262" s="33">
        <f t="shared" si="74"/>
        <v>1000.0000000000023</v>
      </c>
      <c r="W262" s="105">
        <f t="shared" si="69"/>
        <v>138081.71940582586</v>
      </c>
      <c r="X262" s="112">
        <f t="shared" si="75"/>
        <v>949.92058785559107</v>
      </c>
      <c r="Y262" s="32">
        <f t="shared" si="70"/>
        <v>580.93520203238245</v>
      </c>
    </row>
    <row r="263" spans="1:25" x14ac:dyDescent="0.25">
      <c r="A263" s="4">
        <v>257</v>
      </c>
      <c r="C263" s="110">
        <f>IF(male=0,VLOOKUP(((A261:A1095/'Life tables'!$I$2)*2)+age,lifetable,13,1),IF(male=1,VLOOKUP(((A261:A1095/'Life tables'!$I$2)*2)+age,lifetable,10,1),"error"))</f>
        <v>1.7629026324772479E-4</v>
      </c>
      <c r="F263" s="101">
        <f t="shared" ref="F263:F326" si="77">E262*(1-pCAUC)+(L262+G262+H262+I262 )*(1-pCAUC)+(S262+N262+O262+P262)*(pUAUC)</f>
        <v>163.7676559845662</v>
      </c>
      <c r="G263" s="101">
        <f t="shared" ref="G263:G326" si="78">F263*(rrOSEX)</f>
        <v>16.450803790469898</v>
      </c>
      <c r="H263" s="101">
        <f t="shared" ref="H263:H326" si="79">F263*rrEREX</f>
        <v>0.37645643409899621</v>
      </c>
      <c r="I263" s="101">
        <f t="shared" ref="I263:I326" si="80">F263*rrHOEX</f>
        <v>0.37645643409899621</v>
      </c>
      <c r="J263" s="101">
        <f t="shared" ref="J263:J326" si="81">F263*mr + G263*mr + H263*mr+I263*mr</f>
        <v>3.1903490923577839E-2</v>
      </c>
      <c r="K263" s="101">
        <f t="shared" ref="K263:K326" si="82">F263*amr + I263*amrHOEX</f>
        <v>2.9510088712154582E-2</v>
      </c>
      <c r="L263" s="101">
        <f t="shared" si="71"/>
        <v>146.50252574626256</v>
      </c>
      <c r="M263" s="101">
        <f t="shared" ref="M263:M326" si="83">E262*pCAUC+(L262+G262+H262+I262)*pCAUC+(S262+N262+O262+P262)*(1-pUAUC)</f>
        <v>786.15293187102475</v>
      </c>
      <c r="N263" s="101">
        <f t="shared" ref="N263:N326" si="84">M263*rrOSEXc</f>
        <v>75.708230639731582</v>
      </c>
      <c r="O263" s="101">
        <f t="shared" ref="O263:O326" si="85">M263*rrEREXc</f>
        <v>1.8071476178209953</v>
      </c>
      <c r="P263" s="101">
        <f t="shared" ref="P263:P326" si="86">M263*rrHOEXc</f>
        <v>1.8071476178209953</v>
      </c>
      <c r="Q263" s="101">
        <f t="shared" ref="Q263:Q326" si="87">M263*mr + N263*mr + O263*mr+P263*mr</f>
        <v>0.15257489628055768</v>
      </c>
      <c r="R263" s="101">
        <f t="shared" ref="R263:R326" si="88">M263*amrc + P263*amrHOEX</f>
        <v>2.1054819051922195E-2</v>
      </c>
      <c r="S263" s="101">
        <f t="shared" si="76"/>
        <v>706.6567762803187</v>
      </c>
      <c r="T263" s="101">
        <f t="shared" si="73"/>
        <v>33.016135411351115</v>
      </c>
      <c r="U263" s="101">
        <f t="shared" si="73"/>
        <v>17.298320028028424</v>
      </c>
      <c r="V263" s="33">
        <f t="shared" si="74"/>
        <v>1000.0000000000023</v>
      </c>
      <c r="W263" s="105">
        <f t="shared" ref="W263:W326" si="89">(cNES*L263+(cNES+cOSEX)*G263+(cNES+cEREX)*H263+(cNES+cHOEX)*I263 +(cNES+ cNES)*S263 +(cNES+ cOSEX)*N263 + (cNES+cEREX)*O263 + (cNES+cHOEX)*P263)/(1+cDR)^A$5:A$65536</f>
        <v>137889.37032238484</v>
      </c>
      <c r="X263" s="112">
        <f t="shared" si="75"/>
        <v>949.6855445606227</v>
      </c>
      <c r="Y263" s="32">
        <f t="shared" ref="Y263:Y326" si="90">(uNES*L263+ uOCEX*G263+uEREX*H263+uHOEX*I263+uNES*S263+ uOCEX*N263+uEREX*O263+uHOEX*P263)/(1+oDR)^A$5:A$65536</f>
        <v>580.62443266411913</v>
      </c>
    </row>
    <row r="264" spans="1:25" x14ac:dyDescent="0.25">
      <c r="A264" s="4">
        <v>258</v>
      </c>
      <c r="C264" s="110">
        <f>IF(male=0,VLOOKUP(((A262:A1096/'Life tables'!$I$2)*2)+age,lifetable,13,1),IF(male=1,VLOOKUP(((A262:A1096/'Life tables'!$I$2)*2)+age,lifetable,10,1),"error"))</f>
        <v>1.7629026324772479E-4</v>
      </c>
      <c r="F264" s="101">
        <f t="shared" si="77"/>
        <v>163.7195083598267</v>
      </c>
      <c r="G264" s="101">
        <f t="shared" si="78"/>
        <v>16.445967260797389</v>
      </c>
      <c r="H264" s="101">
        <f t="shared" si="79"/>
        <v>0.3763457560593626</v>
      </c>
      <c r="I264" s="101">
        <f t="shared" si="80"/>
        <v>0.3763457560593626</v>
      </c>
      <c r="J264" s="101">
        <f t="shared" si="81"/>
        <v>3.18941113101271E-2</v>
      </c>
      <c r="K264" s="101">
        <f t="shared" si="82"/>
        <v>2.9501412757987684E-2</v>
      </c>
      <c r="L264" s="101">
        <f t="shared" ref="L264:L327" si="91">F264-SUM(G264:K264)</f>
        <v>146.45945406284247</v>
      </c>
      <c r="M264" s="101">
        <f t="shared" si="83"/>
        <v>785.966036200796</v>
      </c>
      <c r="N264" s="101">
        <f t="shared" si="84"/>
        <v>75.690232181755263</v>
      </c>
      <c r="O264" s="101">
        <f t="shared" si="85"/>
        <v>1.8067179964947337</v>
      </c>
      <c r="P264" s="101">
        <f t="shared" si="86"/>
        <v>1.8067179964947337</v>
      </c>
      <c r="Q264" s="101">
        <f t="shared" si="87"/>
        <v>0.15253862396464507</v>
      </c>
      <c r="R264" s="101">
        <f t="shared" si="88"/>
        <v>2.1049813595148171E-2</v>
      </c>
      <c r="S264" s="101">
        <f t="shared" si="76"/>
        <v>706.48877958849152</v>
      </c>
      <c r="T264" s="101">
        <f t="shared" ref="T264:U327" si="92">J264+Q264+T263</f>
        <v>33.200568146625891</v>
      </c>
      <c r="U264" s="101">
        <f t="shared" si="92"/>
        <v>17.34887125438156</v>
      </c>
      <c r="V264" s="33">
        <f t="shared" ref="V264:V327" si="93">SUM(G264:I264,L264,N264,O264,P264,S264,T264,U264)</f>
        <v>1000.0000000000023</v>
      </c>
      <c r="W264" s="105">
        <f t="shared" si="89"/>
        <v>137697.27441727536</v>
      </c>
      <c r="X264" s="112">
        <f t="shared" ref="X264:X327" si="94">(L264+G264+H264+I264+N264+O264+P264+S264)</f>
        <v>949.4505605989948</v>
      </c>
      <c r="Y264" s="32">
        <f t="shared" si="90"/>
        <v>580.31383016805091</v>
      </c>
    </row>
    <row r="265" spans="1:25" x14ac:dyDescent="0.25">
      <c r="A265" s="4">
        <v>259</v>
      </c>
      <c r="C265" s="110">
        <f>IF(male=0,VLOOKUP(((A263:A1097/'Life tables'!$I$2)*2)+age,lifetable,13,1),IF(male=1,VLOOKUP(((A263:A1097/'Life tables'!$I$2)*2)+age,lifetable,10,1),"error"))</f>
        <v>1.7629026324772479E-4</v>
      </c>
      <c r="F265" s="101">
        <f t="shared" si="77"/>
        <v>163.67161048135208</v>
      </c>
      <c r="G265" s="101">
        <f t="shared" si="78"/>
        <v>16.441155818659876</v>
      </c>
      <c r="H265" s="101">
        <f t="shared" si="79"/>
        <v>0.37623565211714599</v>
      </c>
      <c r="I265" s="101">
        <f t="shared" si="80"/>
        <v>0.37623565211714599</v>
      </c>
      <c r="J265" s="101">
        <f t="shared" si="81"/>
        <v>3.1884780349614866E-2</v>
      </c>
      <c r="K265" s="101">
        <f t="shared" si="82"/>
        <v>2.9492781806812297E-2</v>
      </c>
      <c r="L265" s="101">
        <f t="shared" si="91"/>
        <v>146.4166057963015</v>
      </c>
      <c r="M265" s="101">
        <f t="shared" si="83"/>
        <v>785.77895011764281</v>
      </c>
      <c r="N265" s="101">
        <f t="shared" si="84"/>
        <v>75.672215386601749</v>
      </c>
      <c r="O265" s="101">
        <f t="shared" si="85"/>
        <v>1.8062879374619536</v>
      </c>
      <c r="P265" s="101">
        <f t="shared" si="86"/>
        <v>1.8062879374619536</v>
      </c>
      <c r="Q265" s="101">
        <f t="shared" si="87"/>
        <v>0.1525023146937953</v>
      </c>
      <c r="R265" s="101">
        <f t="shared" si="88"/>
        <v>2.104480303871795E-2</v>
      </c>
      <c r="S265" s="101">
        <f t="shared" si="76"/>
        <v>706.32061173838463</v>
      </c>
      <c r="T265" s="101">
        <f t="shared" si="92"/>
        <v>33.384955241669303</v>
      </c>
      <c r="U265" s="101">
        <f t="shared" si="92"/>
        <v>17.399408839227089</v>
      </c>
      <c r="V265" s="33">
        <f t="shared" si="93"/>
        <v>1000.0000000000024</v>
      </c>
      <c r="W265" s="105">
        <f t="shared" si="89"/>
        <v>137505.43183499703</v>
      </c>
      <c r="X265" s="112">
        <f t="shared" si="94"/>
        <v>949.21563591910592</v>
      </c>
      <c r="Y265" s="32">
        <f t="shared" si="90"/>
        <v>580.00339443485746</v>
      </c>
    </row>
    <row r="266" spans="1:25" x14ac:dyDescent="0.25">
      <c r="A266" s="4">
        <v>260</v>
      </c>
      <c r="C266" s="110">
        <f>IF(male=0,VLOOKUP(((A264:A1098/'Life tables'!$I$2)*2)+age,lifetable,13,1),IF(male=1,VLOOKUP(((A264:A1098/'Life tables'!$I$2)*2)+age,lifetable,10,1),"error"))</f>
        <v>1.7629026324772479E-4</v>
      </c>
      <c r="F266" s="101">
        <f t="shared" si="77"/>
        <v>163.62395487612034</v>
      </c>
      <c r="G266" s="101">
        <f t="shared" si="78"/>
        <v>16.436368713376662</v>
      </c>
      <c r="H266" s="101">
        <f t="shared" si="79"/>
        <v>0.37612610509394101</v>
      </c>
      <c r="I266" s="101">
        <f t="shared" si="80"/>
        <v>0.37612610509394101</v>
      </c>
      <c r="J266" s="101">
        <f t="shared" si="81"/>
        <v>3.1875496586225634E-2</v>
      </c>
      <c r="K266" s="101">
        <f t="shared" si="82"/>
        <v>2.9484194512028321E-2</v>
      </c>
      <c r="L266" s="101">
        <f t="shared" si="91"/>
        <v>146.37397426145753</v>
      </c>
      <c r="M266" s="101">
        <f t="shared" si="83"/>
        <v>785.59168104298578</v>
      </c>
      <c r="N266" s="101">
        <f t="shared" si="84"/>
        <v>75.654180968969953</v>
      </c>
      <c r="O266" s="101">
        <f t="shared" si="85"/>
        <v>1.8058574577824431</v>
      </c>
      <c r="P266" s="101">
        <f t="shared" si="86"/>
        <v>1.8058574577824431</v>
      </c>
      <c r="Q266" s="101">
        <f t="shared" si="87"/>
        <v>0.15246596990834202</v>
      </c>
      <c r="R266" s="101">
        <f t="shared" si="88"/>
        <v>2.1039787581392692E-2</v>
      </c>
      <c r="S266" s="101">
        <f t="shared" si="76"/>
        <v>706.15227940096122</v>
      </c>
      <c r="T266" s="101">
        <f t="shared" si="92"/>
        <v>33.569296708163868</v>
      </c>
      <c r="U266" s="101">
        <f t="shared" si="92"/>
        <v>17.449932821320509</v>
      </c>
      <c r="V266" s="33">
        <f t="shared" si="93"/>
        <v>1000.0000000000025</v>
      </c>
      <c r="W266" s="105">
        <f t="shared" si="89"/>
        <v>137313.84270377355</v>
      </c>
      <c r="X266" s="112">
        <f t="shared" si="94"/>
        <v>948.98077047051811</v>
      </c>
      <c r="Y266" s="32">
        <f t="shared" si="90"/>
        <v>579.69312535590745</v>
      </c>
    </row>
    <row r="267" spans="1:25" x14ac:dyDescent="0.25">
      <c r="A267" s="4">
        <v>261</v>
      </c>
      <c r="C267" s="110">
        <f>IF(male=0,VLOOKUP(((A265:A1099/'Life tables'!$I$2)*2)+age,lifetable,13,1),IF(male=1,VLOOKUP(((A265:A1099/'Life tables'!$I$2)*2)+age,lifetable,10,1),"error"))</f>
        <v>1.9370784166106159E-4</v>
      </c>
      <c r="F267" s="101">
        <f t="shared" si="77"/>
        <v>163.57653430390178</v>
      </c>
      <c r="G267" s="101">
        <f t="shared" si="78"/>
        <v>16.431605217651519</v>
      </c>
      <c r="H267" s="101">
        <f t="shared" si="79"/>
        <v>0.37601709834646696</v>
      </c>
      <c r="I267" s="101">
        <f t="shared" si="80"/>
        <v>0.37601709834646696</v>
      </c>
      <c r="J267" s="101">
        <f t="shared" si="81"/>
        <v>3.5014663109240021E-2</v>
      </c>
      <c r="K267" s="101">
        <f t="shared" si="82"/>
        <v>2.9475649568983631E-2</v>
      </c>
      <c r="L267" s="101">
        <f t="shared" si="91"/>
        <v>146.32840457687911</v>
      </c>
      <c r="M267" s="101">
        <f t="shared" si="83"/>
        <v>785.40423616661633</v>
      </c>
      <c r="N267" s="101">
        <f t="shared" si="84"/>
        <v>75.636129621252351</v>
      </c>
      <c r="O267" s="101">
        <f t="shared" si="85"/>
        <v>1.8054265739835396</v>
      </c>
      <c r="P267" s="101">
        <f t="shared" si="86"/>
        <v>1.8054265739835396</v>
      </c>
      <c r="Q267" s="101">
        <f t="shared" si="87"/>
        <v>0.16748972140966678</v>
      </c>
      <c r="R267" s="101">
        <f t="shared" si="88"/>
        <v>2.1034767415730047E-2</v>
      </c>
      <c r="S267" s="101">
        <f t="shared" si="76"/>
        <v>705.96872890857151</v>
      </c>
      <c r="T267" s="101">
        <f t="shared" si="92"/>
        <v>33.771801092682779</v>
      </c>
      <c r="U267" s="101">
        <f t="shared" si="92"/>
        <v>17.500443238305223</v>
      </c>
      <c r="V267" s="33">
        <f t="shared" si="93"/>
        <v>1000.0000000000025</v>
      </c>
      <c r="W267" s="105">
        <f t="shared" si="89"/>
        <v>137120.22925420932</v>
      </c>
      <c r="X267" s="112">
        <f t="shared" si="94"/>
        <v>948.72775566901441</v>
      </c>
      <c r="Y267" s="32">
        <f t="shared" si="90"/>
        <v>579.37172231294301</v>
      </c>
    </row>
    <row r="268" spans="1:25" x14ac:dyDescent="0.25">
      <c r="A268" s="4">
        <v>262</v>
      </c>
      <c r="C268" s="110">
        <f>IF(male=0,VLOOKUP(((A266:A1100/'Life tables'!$I$2)*2)+age,lifetable,13,1),IF(male=1,VLOOKUP(((A266:A1100/'Life tables'!$I$2)*2)+age,lifetable,10,1),"error"))</f>
        <v>1.9370784166106159E-4</v>
      </c>
      <c r="F268" s="101">
        <f t="shared" si="77"/>
        <v>163.52619338791808</v>
      </c>
      <c r="G268" s="101">
        <f t="shared" si="78"/>
        <v>16.426548367283225</v>
      </c>
      <c r="H268" s="101">
        <f t="shared" si="79"/>
        <v>0.3759013785383854</v>
      </c>
      <c r="I268" s="101">
        <f t="shared" si="80"/>
        <v>0.3759013785383854</v>
      </c>
      <c r="J268" s="101">
        <f t="shared" si="81"/>
        <v>3.5003887295818624E-2</v>
      </c>
      <c r="K268" s="101">
        <f t="shared" si="82"/>
        <v>2.9466578395023191E-2</v>
      </c>
      <c r="L268" s="101">
        <f t="shared" si="91"/>
        <v>146.28337179786723</v>
      </c>
      <c r="M268" s="101">
        <f t="shared" si="83"/>
        <v>785.20156228109647</v>
      </c>
      <c r="N268" s="101">
        <f t="shared" si="84"/>
        <v>75.616611686957981</v>
      </c>
      <c r="O268" s="101">
        <f t="shared" si="85"/>
        <v>1.8049606829150675</v>
      </c>
      <c r="P268" s="101">
        <f t="shared" si="86"/>
        <v>1.8049606829150675</v>
      </c>
      <c r="Q268" s="101">
        <f t="shared" si="87"/>
        <v>0.16744650061830921</v>
      </c>
      <c r="R268" s="101">
        <f t="shared" si="88"/>
        <v>2.1029339385364484E-2</v>
      </c>
      <c r="S268" s="101">
        <f t="shared" si="76"/>
        <v>705.7865533883047</v>
      </c>
      <c r="T268" s="101">
        <f t="shared" si="92"/>
        <v>33.974251480596905</v>
      </c>
      <c r="U268" s="101">
        <f t="shared" si="92"/>
        <v>17.550939156085612</v>
      </c>
      <c r="V268" s="33">
        <f t="shared" si="93"/>
        <v>1000.0000000000025</v>
      </c>
      <c r="W268" s="105">
        <f t="shared" si="89"/>
        <v>136926.5231495263</v>
      </c>
      <c r="X268" s="112">
        <f t="shared" si="94"/>
        <v>948.47480936331999</v>
      </c>
      <c r="Y268" s="32">
        <f t="shared" si="90"/>
        <v>579.05067879191984</v>
      </c>
    </row>
    <row r="269" spans="1:25" x14ac:dyDescent="0.25">
      <c r="A269" s="4">
        <v>263</v>
      </c>
      <c r="C269" s="110">
        <f>IF(male=0,VLOOKUP(((A267:A1101/'Life tables'!$I$2)*2)+age,lifetable,13,1),IF(male=1,VLOOKUP(((A267:A1101/'Life tables'!$I$2)*2)+age,lifetable,10,1),"error"))</f>
        <v>1.9370784166106159E-4</v>
      </c>
      <c r="F269" s="101">
        <f t="shared" si="77"/>
        <v>163.47607586837299</v>
      </c>
      <c r="G269" s="101">
        <f t="shared" si="78"/>
        <v>16.42151395755473</v>
      </c>
      <c r="H269" s="101">
        <f t="shared" si="79"/>
        <v>0.37578617225677619</v>
      </c>
      <c r="I269" s="101">
        <f t="shared" si="80"/>
        <v>0.37578617225677619</v>
      </c>
      <c r="J269" s="101">
        <f t="shared" si="81"/>
        <v>3.499315930191528E-2</v>
      </c>
      <c r="K269" s="101">
        <f t="shared" si="82"/>
        <v>2.9457547475951178E-2</v>
      </c>
      <c r="L269" s="101">
        <f t="shared" si="91"/>
        <v>146.23853885952684</v>
      </c>
      <c r="M269" s="101">
        <f t="shared" si="83"/>
        <v>784.99873349494703</v>
      </c>
      <c r="N269" s="101">
        <f t="shared" si="84"/>
        <v>75.597078835397369</v>
      </c>
      <c r="O269" s="101">
        <f t="shared" si="85"/>
        <v>1.8044944357729966</v>
      </c>
      <c r="P269" s="101">
        <f t="shared" si="86"/>
        <v>1.8044944357729966</v>
      </c>
      <c r="Q269" s="101">
        <f t="shared" si="87"/>
        <v>0.16740324679394497</v>
      </c>
      <c r="R269" s="101">
        <f t="shared" si="88"/>
        <v>2.1023907206436227E-2</v>
      </c>
      <c r="S269" s="101">
        <f t="shared" si="76"/>
        <v>705.60423863400331</v>
      </c>
      <c r="T269" s="101">
        <f t="shared" si="92"/>
        <v>34.176647886692763</v>
      </c>
      <c r="U269" s="101">
        <f t="shared" si="92"/>
        <v>17.601420610767999</v>
      </c>
      <c r="V269" s="33">
        <f t="shared" si="93"/>
        <v>1000.0000000000025</v>
      </c>
      <c r="W269" s="105">
        <f t="shared" si="89"/>
        <v>136733.0781390976</v>
      </c>
      <c r="X269" s="112">
        <f t="shared" si="94"/>
        <v>948.22193150254179</v>
      </c>
      <c r="Y269" s="32">
        <f t="shared" si="90"/>
        <v>578.729813704295</v>
      </c>
    </row>
    <row r="270" spans="1:25" x14ac:dyDescent="0.25">
      <c r="A270" s="4">
        <v>264</v>
      </c>
      <c r="C270" s="110">
        <f>IF(male=0,VLOOKUP(((A268:A1102/'Life tables'!$I$2)*2)+age,lifetable,13,1),IF(male=1,VLOOKUP(((A268:A1102/'Life tables'!$I$2)*2)+age,lifetable,10,1),"error"))</f>
        <v>1.9370784166106159E-4</v>
      </c>
      <c r="F270" s="101">
        <f t="shared" si="77"/>
        <v>163.42617513866418</v>
      </c>
      <c r="G270" s="101">
        <f t="shared" si="78"/>
        <v>16.416501324819006</v>
      </c>
      <c r="H270" s="101">
        <f t="shared" si="79"/>
        <v>0.37567146431489246</v>
      </c>
      <c r="I270" s="101">
        <f t="shared" si="80"/>
        <v>0.37567146431489246</v>
      </c>
      <c r="J270" s="101">
        <f t="shared" si="81"/>
        <v>3.4982477713342106E-2</v>
      </c>
      <c r="K270" s="101">
        <f t="shared" si="82"/>
        <v>2.9448555621291873E-2</v>
      </c>
      <c r="L270" s="101">
        <f t="shared" si="91"/>
        <v>146.19389985188076</v>
      </c>
      <c r="M270" s="101">
        <f t="shared" si="83"/>
        <v>784.79575636387767</v>
      </c>
      <c r="N270" s="101">
        <f t="shared" si="84"/>
        <v>75.577531697899559</v>
      </c>
      <c r="O270" s="101">
        <f t="shared" si="85"/>
        <v>1.8040278476270859</v>
      </c>
      <c r="P270" s="101">
        <f t="shared" si="86"/>
        <v>1.8040278476270859</v>
      </c>
      <c r="Q270" s="101">
        <f t="shared" si="87"/>
        <v>0.1673599613345983</v>
      </c>
      <c r="R270" s="101">
        <f t="shared" si="88"/>
        <v>2.1018471054520885E-2</v>
      </c>
      <c r="S270" s="101">
        <f t="shared" si="76"/>
        <v>705.42179053833479</v>
      </c>
      <c r="T270" s="101">
        <f t="shared" si="92"/>
        <v>34.378990325740702</v>
      </c>
      <c r="U270" s="101">
        <f t="shared" si="92"/>
        <v>17.65188763744381</v>
      </c>
      <c r="V270" s="33">
        <f t="shared" si="93"/>
        <v>1000.0000000000025</v>
      </c>
      <c r="W270" s="105">
        <f t="shared" si="89"/>
        <v>136539.89427710488</v>
      </c>
      <c r="X270" s="112">
        <f t="shared" si="94"/>
        <v>947.96912203681813</v>
      </c>
      <c r="Y270" s="32">
        <f t="shared" si="90"/>
        <v>578.40912693404766</v>
      </c>
    </row>
    <row r="271" spans="1:25" x14ac:dyDescent="0.25">
      <c r="A271" s="4">
        <v>265</v>
      </c>
      <c r="C271" s="110">
        <f>IF(male=0,VLOOKUP(((A269:A1103/'Life tables'!$I$2)*2)+age,lifetable,13,1),IF(male=1,VLOOKUP(((A269:A1103/'Life tables'!$I$2)*2)+age,lifetable,10,1),"error"))</f>
        <v>1.9370784166106159E-4</v>
      </c>
      <c r="F271" s="101">
        <f t="shared" si="77"/>
        <v>163.37648479808692</v>
      </c>
      <c r="G271" s="101">
        <f t="shared" si="78"/>
        <v>16.411509826111867</v>
      </c>
      <c r="H271" s="101">
        <f t="shared" si="79"/>
        <v>0.37555723999928864</v>
      </c>
      <c r="I271" s="101">
        <f t="shared" si="80"/>
        <v>0.37555723999928864</v>
      </c>
      <c r="J271" s="101">
        <f t="shared" si="81"/>
        <v>3.497184115998498E-2</v>
      </c>
      <c r="K271" s="101">
        <f t="shared" si="82"/>
        <v>2.9439601677671224E-2</v>
      </c>
      <c r="L271" s="101">
        <f t="shared" si="91"/>
        <v>146.14944904913881</v>
      </c>
      <c r="M271" s="101">
        <f t="shared" si="83"/>
        <v>784.5926372387313</v>
      </c>
      <c r="N271" s="101">
        <f t="shared" si="84"/>
        <v>75.557970886064481</v>
      </c>
      <c r="O271" s="101">
        <f t="shared" si="85"/>
        <v>1.8035609330761617</v>
      </c>
      <c r="P271" s="101">
        <f t="shared" si="86"/>
        <v>1.8035609330761617</v>
      </c>
      <c r="Q271" s="101">
        <f t="shared" si="87"/>
        <v>0.16731664559460457</v>
      </c>
      <c r="R271" s="101">
        <f t="shared" si="88"/>
        <v>2.1013031099707303E-2</v>
      </c>
      <c r="S271" s="101">
        <f t="shared" si="76"/>
        <v>705.23921480982017</v>
      </c>
      <c r="T271" s="101">
        <f t="shared" si="92"/>
        <v>34.581278812495292</v>
      </c>
      <c r="U271" s="101">
        <f t="shared" si="92"/>
        <v>17.702340270221189</v>
      </c>
      <c r="V271" s="33">
        <f t="shared" si="93"/>
        <v>1000.0000000000026</v>
      </c>
      <c r="W271" s="105">
        <f t="shared" si="89"/>
        <v>136346.97160396696</v>
      </c>
      <c r="X271" s="112">
        <f t="shared" si="94"/>
        <v>947.71638091728619</v>
      </c>
      <c r="Y271" s="32">
        <f t="shared" si="90"/>
        <v>578.0886183657617</v>
      </c>
    </row>
    <row r="272" spans="1:25" x14ac:dyDescent="0.25">
      <c r="A272" s="4">
        <v>266</v>
      </c>
      <c r="C272" s="110">
        <f>IF(male=0,VLOOKUP(((A270:A1104/'Life tables'!$I$2)*2)+age,lifetable,13,1),IF(male=1,VLOOKUP(((A270:A1104/'Life tables'!$I$2)*2)+age,lifetable,10,1),"error"))</f>
        <v>1.9370784166106159E-4</v>
      </c>
      <c r="F272" s="101">
        <f t="shared" si="77"/>
        <v>163.32699864541428</v>
      </c>
      <c r="G272" s="101">
        <f t="shared" si="78"/>
        <v>16.406538838507089</v>
      </c>
      <c r="H272" s="101">
        <f t="shared" si="79"/>
        <v>0.37544348505506342</v>
      </c>
      <c r="I272" s="101">
        <f t="shared" si="80"/>
        <v>0.37544348505506342</v>
      </c>
      <c r="J272" s="101">
        <f t="shared" si="81"/>
        <v>3.4961248314429365E-2</v>
      </c>
      <c r="K272" s="101">
        <f t="shared" si="82"/>
        <v>2.943068452766005E-2</v>
      </c>
      <c r="L272" s="101">
        <f t="shared" si="91"/>
        <v>146.10518090395496</v>
      </c>
      <c r="M272" s="101">
        <f t="shared" si="83"/>
        <v>784.38938227187191</v>
      </c>
      <c r="N272" s="101">
        <f t="shared" si="84"/>
        <v>75.538396992378125</v>
      </c>
      <c r="O272" s="101">
        <f t="shared" si="85"/>
        <v>1.8030937062628036</v>
      </c>
      <c r="P272" s="101">
        <f t="shared" si="86"/>
        <v>1.8030937062628036</v>
      </c>
      <c r="Q272" s="101">
        <f t="shared" si="87"/>
        <v>0.16727330088597328</v>
      </c>
      <c r="R272" s="101">
        <f t="shared" si="88"/>
        <v>2.1007587506768656E-2</v>
      </c>
      <c r="S272" s="101">
        <f t="shared" si="76"/>
        <v>705.05651697857547</v>
      </c>
      <c r="T272" s="101">
        <f t="shared" si="92"/>
        <v>34.783513361695697</v>
      </c>
      <c r="U272" s="101">
        <f t="shared" si="92"/>
        <v>17.752778542255619</v>
      </c>
      <c r="V272" s="33">
        <f t="shared" si="93"/>
        <v>1000.0000000000027</v>
      </c>
      <c r="W272" s="105">
        <f t="shared" si="89"/>
        <v>136154.31014680181</v>
      </c>
      <c r="X272" s="112">
        <f t="shared" si="94"/>
        <v>947.46370809605139</v>
      </c>
      <c r="Y272" s="32">
        <f t="shared" si="90"/>
        <v>577.76828788460591</v>
      </c>
    </row>
    <row r="273" spans="1:25" x14ac:dyDescent="0.25">
      <c r="A273" s="4">
        <v>267</v>
      </c>
      <c r="C273" s="110">
        <f>IF(male=0,VLOOKUP(((A271:A1105/'Life tables'!$I$2)*2)+age,lifetable,13,1),IF(male=1,VLOOKUP(((A271:A1105/'Life tables'!$I$2)*2)+age,lifetable,10,1),"error"))</f>
        <v>1.9370784166106159E-4</v>
      </c>
      <c r="F273" s="101">
        <f t="shared" si="77"/>
        <v>163.2777106726775</v>
      </c>
      <c r="G273" s="101">
        <f t="shared" si="78"/>
        <v>16.401587758491637</v>
      </c>
      <c r="H273" s="101">
        <f t="shared" si="79"/>
        <v>0.3753301856715624</v>
      </c>
      <c r="I273" s="101">
        <f t="shared" si="80"/>
        <v>0.3753301856715624</v>
      </c>
      <c r="J273" s="101">
        <f t="shared" si="81"/>
        <v>3.4950697890628907E-2</v>
      </c>
      <c r="K273" s="101">
        <f t="shared" si="82"/>
        <v>2.9421803088653303E-2</v>
      </c>
      <c r="L273" s="101">
        <f t="shared" si="91"/>
        <v>146.06109004186345</v>
      </c>
      <c r="M273" s="101">
        <f t="shared" si="83"/>
        <v>784.18599742337369</v>
      </c>
      <c r="N273" s="101">
        <f t="shared" si="84"/>
        <v>75.518810590808542</v>
      </c>
      <c r="O273" s="101">
        <f t="shared" si="85"/>
        <v>1.8026261808875694</v>
      </c>
      <c r="P273" s="101">
        <f t="shared" si="86"/>
        <v>1.8026261808875694</v>
      </c>
      <c r="Q273" s="101">
        <f t="shared" si="87"/>
        <v>0.16722992847970747</v>
      </c>
      <c r="R273" s="101">
        <f t="shared" si="88"/>
        <v>2.1002140435328193E-2</v>
      </c>
      <c r="S273" s="101">
        <f t="shared" si="76"/>
        <v>704.87370240187499</v>
      </c>
      <c r="T273" s="101">
        <f t="shared" si="92"/>
        <v>34.985693988066032</v>
      </c>
      <c r="U273" s="101">
        <f t="shared" si="92"/>
        <v>17.8032024857796</v>
      </c>
      <c r="V273" s="33">
        <f t="shared" si="93"/>
        <v>1000.0000000000025</v>
      </c>
      <c r="W273" s="105">
        <f t="shared" si="89"/>
        <v>135961.90991987265</v>
      </c>
      <c r="X273" s="112">
        <f t="shared" si="94"/>
        <v>947.21110352615688</v>
      </c>
      <c r="Y273" s="32">
        <f t="shared" si="90"/>
        <v>577.44813537632012</v>
      </c>
    </row>
    <row r="274" spans="1:25" x14ac:dyDescent="0.25">
      <c r="A274" s="4">
        <v>268</v>
      </c>
      <c r="C274" s="110">
        <f>IF(male=0,VLOOKUP(((A272:A1106/'Life tables'!$I$2)*2)+age,lifetable,13,1),IF(male=1,VLOOKUP(((A272:A1106/'Life tables'!$I$2)*2)+age,lifetable,10,1),"error"))</f>
        <v>1.9370784166106159E-4</v>
      </c>
      <c r="F274" s="101">
        <f t="shared" si="77"/>
        <v>163.22861505914031</v>
      </c>
      <c r="G274" s="101">
        <f t="shared" si="78"/>
        <v>16.396656001360366</v>
      </c>
      <c r="H274" s="101">
        <f t="shared" si="79"/>
        <v>0.37521732846852679</v>
      </c>
      <c r="I274" s="101">
        <f t="shared" si="80"/>
        <v>0.37521732846852679</v>
      </c>
      <c r="J274" s="101">
        <f t="shared" si="81"/>
        <v>3.4940188642615673E-2</v>
      </c>
      <c r="K274" s="101">
        <f t="shared" si="82"/>
        <v>2.9412956311784273E-2</v>
      </c>
      <c r="L274" s="101">
        <f t="shared" si="91"/>
        <v>146.01717125588848</v>
      </c>
      <c r="M274" s="101">
        <f t="shared" si="83"/>
        <v>783.98248846701676</v>
      </c>
      <c r="N274" s="101">
        <f t="shared" si="84"/>
        <v>75.499212237383276</v>
      </c>
      <c r="O274" s="101">
        <f t="shared" si="85"/>
        <v>1.802158370222779</v>
      </c>
      <c r="P274" s="101">
        <f t="shared" si="86"/>
        <v>1.802158370222779</v>
      </c>
      <c r="Q274" s="101">
        <f t="shared" si="87"/>
        <v>0.16718652960708238</v>
      </c>
      <c r="R274" s="101">
        <f t="shared" si="88"/>
        <v>2.0996690040019812E-2</v>
      </c>
      <c r="S274" s="101">
        <f t="shared" si="76"/>
        <v>704.69077626954083</v>
      </c>
      <c r="T274" s="101">
        <f t="shared" si="92"/>
        <v>35.187820706315733</v>
      </c>
      <c r="U274" s="101">
        <f t="shared" si="92"/>
        <v>17.853612132131403</v>
      </c>
      <c r="V274" s="33">
        <f t="shared" si="93"/>
        <v>1000.0000000000026</v>
      </c>
      <c r="W274" s="105">
        <f t="shared" si="89"/>
        <v>135769.77092502048</v>
      </c>
      <c r="X274" s="112">
        <f t="shared" si="94"/>
        <v>946.95856716155549</v>
      </c>
      <c r="Y274" s="32">
        <f t="shared" si="90"/>
        <v>577.12816072719738</v>
      </c>
    </row>
    <row r="275" spans="1:25" x14ac:dyDescent="0.25">
      <c r="A275" s="4">
        <v>269</v>
      </c>
      <c r="C275" s="110">
        <f>IF(male=0,VLOOKUP(((A273:A1107/'Life tables'!$I$2)*2)+age,lifetable,13,1),IF(male=1,VLOOKUP(((A273:A1107/'Life tables'!$I$2)*2)+age,lifetable,10,1),"error"))</f>
        <v>1.9370784166106159E-4</v>
      </c>
      <c r="F275" s="101">
        <f t="shared" si="77"/>
        <v>163.17970616546074</v>
      </c>
      <c r="G275" s="101">
        <f t="shared" si="78"/>
        <v>16.391743000629578</v>
      </c>
      <c r="H275" s="101">
        <f t="shared" si="79"/>
        <v>0.37510490048267303</v>
      </c>
      <c r="I275" s="101">
        <f t="shared" si="80"/>
        <v>0.37510490048267303</v>
      </c>
      <c r="J275" s="101">
        <f t="shared" si="81"/>
        <v>3.4929719363250372E-2</v>
      </c>
      <c r="K275" s="101">
        <f t="shared" si="82"/>
        <v>2.9404143180872554E-2</v>
      </c>
      <c r="L275" s="101">
        <f t="shared" si="91"/>
        <v>145.9734195013217</v>
      </c>
      <c r="M275" s="101">
        <f t="shared" si="83"/>
        <v>783.77886099609475</v>
      </c>
      <c r="N275" s="101">
        <f t="shared" si="84"/>
        <v>75.479602470748603</v>
      </c>
      <c r="O275" s="101">
        <f t="shared" si="85"/>
        <v>1.8016902871258631</v>
      </c>
      <c r="P275" s="101">
        <f t="shared" si="86"/>
        <v>1.8016902871258631</v>
      </c>
      <c r="Q275" s="101">
        <f t="shared" si="87"/>
        <v>0.16714310546088407</v>
      </c>
      <c r="R275" s="101">
        <f t="shared" si="88"/>
        <v>2.0991236470643607E-2</v>
      </c>
      <c r="S275" s="101">
        <f t="shared" si="76"/>
        <v>704.50774360916284</v>
      </c>
      <c r="T275" s="101">
        <f t="shared" si="92"/>
        <v>35.389893531139869</v>
      </c>
      <c r="U275" s="101">
        <f t="shared" si="92"/>
        <v>17.904007511782918</v>
      </c>
      <c r="V275" s="33">
        <f t="shared" si="93"/>
        <v>1000.0000000000025</v>
      </c>
      <c r="W275" s="105">
        <f t="shared" si="89"/>
        <v>135577.89315208147</v>
      </c>
      <c r="X275" s="112">
        <f t="shared" si="94"/>
        <v>946.7060989570798</v>
      </c>
      <c r="Y275" s="32">
        <f t="shared" si="90"/>
        <v>576.80836382406824</v>
      </c>
    </row>
    <row r="276" spans="1:25" x14ac:dyDescent="0.25">
      <c r="A276" s="4">
        <v>270</v>
      </c>
      <c r="C276" s="110">
        <f>IF(male=0,VLOOKUP(((A274:A1108/'Life tables'!$I$2)*2)+age,lifetable,13,1),IF(male=1,VLOOKUP(((A274:A1108/'Life tables'!$I$2)*2)+age,lifetable,10,1),"error"))</f>
        <v>1.9370784166106159E-4</v>
      </c>
      <c r="F276" s="101">
        <f t="shared" si="77"/>
        <v>163.13097852803571</v>
      </c>
      <c r="G276" s="101">
        <f t="shared" si="78"/>
        <v>16.386848207468908</v>
      </c>
      <c r="H276" s="101">
        <f t="shared" si="79"/>
        <v>0.37499288915469248</v>
      </c>
      <c r="I276" s="101">
        <f t="shared" si="80"/>
        <v>0.37499288915469248</v>
      </c>
      <c r="J276" s="101">
        <f t="shared" si="81"/>
        <v>3.4919288883011816E-2</v>
      </c>
      <c r="K276" s="101">
        <f t="shared" si="82"/>
        <v>2.9395362711404992E-2</v>
      </c>
      <c r="L276" s="101">
        <f t="shared" si="91"/>
        <v>145.929829890663</v>
      </c>
      <c r="M276" s="101">
        <f t="shared" si="83"/>
        <v>783.57512042904432</v>
      </c>
      <c r="N276" s="101">
        <f t="shared" si="84"/>
        <v>75.459981812711732</v>
      </c>
      <c r="O276" s="101">
        <f t="shared" si="85"/>
        <v>1.8012219440523056</v>
      </c>
      <c r="P276" s="101">
        <f t="shared" si="86"/>
        <v>1.8012219440523056</v>
      </c>
      <c r="Q276" s="101">
        <f t="shared" si="87"/>
        <v>0.16709965719660974</v>
      </c>
      <c r="R276" s="101">
        <f t="shared" si="88"/>
        <v>2.0985779872316649E-2</v>
      </c>
      <c r="S276" s="101">
        <f t="shared" si="76"/>
        <v>704.32460929115905</v>
      </c>
      <c r="T276" s="101">
        <f t="shared" si="92"/>
        <v>35.591912477219488</v>
      </c>
      <c r="U276" s="101">
        <f t="shared" si="92"/>
        <v>17.954388654366639</v>
      </c>
      <c r="V276" s="33">
        <f t="shared" si="93"/>
        <v>1000.0000000000028</v>
      </c>
      <c r="W276" s="105">
        <f t="shared" si="89"/>
        <v>135386.27657929249</v>
      </c>
      <c r="X276" s="112">
        <f t="shared" si="94"/>
        <v>946.45369886841672</v>
      </c>
      <c r="Y276" s="32">
        <f t="shared" si="90"/>
        <v>576.48874455428643</v>
      </c>
    </row>
    <row r="277" spans="1:25" x14ac:dyDescent="0.25">
      <c r="A277" s="4">
        <v>271</v>
      </c>
      <c r="C277" s="110">
        <f>IF(male=0,VLOOKUP(((A275:A1109/'Life tables'!$I$2)*2)+age,lifetable,13,1),IF(male=1,VLOOKUP(((A275:A1109/'Life tables'!$I$2)*2)+age,lifetable,10,1),"error"))</f>
        <v>1.9370784166106159E-4</v>
      </c>
      <c r="F277" s="101">
        <f t="shared" si="77"/>
        <v>163.08242685352118</v>
      </c>
      <c r="G277" s="101">
        <f t="shared" si="78"/>
        <v>16.38197109015087</v>
      </c>
      <c r="H277" s="101">
        <f t="shared" si="79"/>
        <v>0.3748812823166548</v>
      </c>
      <c r="I277" s="101">
        <f t="shared" si="80"/>
        <v>0.3748812823166548</v>
      </c>
      <c r="J277" s="101">
        <f t="shared" si="81"/>
        <v>3.4908896068823955E-2</v>
      </c>
      <c r="K277" s="101">
        <f t="shared" si="82"/>
        <v>2.9386613949548241E-2</v>
      </c>
      <c r="L277" s="101">
        <f t="shared" si="91"/>
        <v>145.88639768871863</v>
      </c>
      <c r="M277" s="101">
        <f t="shared" si="83"/>
        <v>783.37127201489545</v>
      </c>
      <c r="N277" s="101">
        <f t="shared" si="84"/>
        <v>75.440350768765626</v>
      </c>
      <c r="O277" s="101">
        <f t="shared" si="85"/>
        <v>1.8007533530681712</v>
      </c>
      <c r="P277" s="101">
        <f t="shared" si="86"/>
        <v>1.8007533530681712</v>
      </c>
      <c r="Q277" s="101">
        <f t="shared" si="87"/>
        <v>0.16705618593363025</v>
      </c>
      <c r="R277" s="101">
        <f t="shared" si="88"/>
        <v>2.0980320385618926E-2</v>
      </c>
      <c r="S277" s="101">
        <f t="shared" si="76"/>
        <v>704.14137803367419</v>
      </c>
      <c r="T277" s="101">
        <f t="shared" si="92"/>
        <v>35.79387755922194</v>
      </c>
      <c r="U277" s="101">
        <f t="shared" si="92"/>
        <v>18.004755588701805</v>
      </c>
      <c r="V277" s="33">
        <f t="shared" si="93"/>
        <v>1000.0000000000027</v>
      </c>
      <c r="W277" s="105">
        <f t="shared" si="89"/>
        <v>135194.92117368151</v>
      </c>
      <c r="X277" s="112">
        <f t="shared" si="94"/>
        <v>946.20136685207899</v>
      </c>
      <c r="Y277" s="32">
        <f t="shared" si="90"/>
        <v>576.16930280571307</v>
      </c>
    </row>
    <row r="278" spans="1:25" x14ac:dyDescent="0.25">
      <c r="A278" s="4">
        <v>272</v>
      </c>
      <c r="C278" s="110">
        <f>IF(male=0,VLOOKUP(((A276:A1110/'Life tables'!$I$2)*2)+age,lifetable,13,1),IF(male=1,VLOOKUP(((A276:A1110/'Life tables'!$I$2)*2)+age,lifetable,10,1),"error"))</f>
        <v>1.9370784166106159E-4</v>
      </c>
      <c r="F278" s="101">
        <f t="shared" si="77"/>
        <v>163.03404601352372</v>
      </c>
      <c r="G278" s="101">
        <f t="shared" si="78"/>
        <v>16.377111133517605</v>
      </c>
      <c r="H278" s="101">
        <f t="shared" si="79"/>
        <v>0.37477006817980552</v>
      </c>
      <c r="I278" s="101">
        <f t="shared" si="80"/>
        <v>0.37477006817980552</v>
      </c>
      <c r="J278" s="101">
        <f t="shared" si="81"/>
        <v>3.4898539822919475E-2</v>
      </c>
      <c r="K278" s="101">
        <f t="shared" si="82"/>
        <v>2.9377895971192194E-2</v>
      </c>
      <c r="L278" s="101">
        <f t="shared" si="91"/>
        <v>145.84311830785239</v>
      </c>
      <c r="M278" s="101">
        <f t="shared" si="83"/>
        <v>783.16732083855538</v>
      </c>
      <c r="N278" s="101">
        <f t="shared" si="84"/>
        <v>75.42070982859785</v>
      </c>
      <c r="O278" s="101">
        <f t="shared" si="85"/>
        <v>1.8002845258622513</v>
      </c>
      <c r="P278" s="101">
        <f t="shared" si="86"/>
        <v>1.8002845258622513</v>
      </c>
      <c r="Q278" s="101">
        <f t="shared" si="87"/>
        <v>0.16701269275631678</v>
      </c>
      <c r="R278" s="101">
        <f t="shared" si="88"/>
        <v>2.0974858146734887E-2</v>
      </c>
      <c r="S278" s="101">
        <f t="shared" si="76"/>
        <v>703.95805440733</v>
      </c>
      <c r="T278" s="101">
        <f t="shared" si="92"/>
        <v>35.995788791801175</v>
      </c>
      <c r="U278" s="101">
        <f t="shared" si="92"/>
        <v>18.055108342819732</v>
      </c>
      <c r="V278" s="33">
        <f t="shared" si="93"/>
        <v>1000.0000000000028</v>
      </c>
      <c r="W278" s="105">
        <f t="shared" si="89"/>
        <v>135003.82689144736</v>
      </c>
      <c r="X278" s="112">
        <f t="shared" si="94"/>
        <v>945.94910286538197</v>
      </c>
      <c r="Y278" s="32">
        <f t="shared" si="90"/>
        <v>575.85003846670281</v>
      </c>
    </row>
    <row r="279" spans="1:25" x14ac:dyDescent="0.25">
      <c r="A279" s="4">
        <v>273</v>
      </c>
      <c r="C279" s="110">
        <f>IF(male=0,VLOOKUP(((A277:A1111/'Life tables'!$I$2)*2)+age,lifetable,13,1),IF(male=1,VLOOKUP(((A277:A1111/'Life tables'!$I$2)*2)+age,lifetable,10,1),"error"))</f>
        <v>1.9370784166106159E-4</v>
      </c>
      <c r="F279" s="101">
        <f t="shared" si="77"/>
        <v>162.98583103945731</v>
      </c>
      <c r="G279" s="101">
        <f t="shared" si="78"/>
        <v>16.37226783846425</v>
      </c>
      <c r="H279" s="101">
        <f t="shared" si="79"/>
        <v>0.37465923532274287</v>
      </c>
      <c r="I279" s="101">
        <f t="shared" si="80"/>
        <v>0.37465923532274287</v>
      </c>
      <c r="J279" s="101">
        <f t="shared" si="81"/>
        <v>3.4888219081738954E-2</v>
      </c>
      <c r="K279" s="101">
        <f t="shared" si="82"/>
        <v>2.9369207881023231E-2</v>
      </c>
      <c r="L279" s="101">
        <f t="shared" si="91"/>
        <v>145.79998730338482</v>
      </c>
      <c r="M279" s="101">
        <f t="shared" si="83"/>
        <v>782.96327182592472</v>
      </c>
      <c r="N279" s="101">
        <f t="shared" si="84"/>
        <v>75.40105946658332</v>
      </c>
      <c r="O279" s="101">
        <f t="shared" si="85"/>
        <v>1.799815473757826</v>
      </c>
      <c r="P279" s="101">
        <f t="shared" si="86"/>
        <v>1.799815473757826</v>
      </c>
      <c r="Q279" s="101">
        <f t="shared" si="87"/>
        <v>0.16696917871513178</v>
      </c>
      <c r="R279" s="101">
        <f t="shared" si="88"/>
        <v>2.0969393287590447E-2</v>
      </c>
      <c r="S279" s="101">
        <f t="shared" si="76"/>
        <v>703.77464283982306</v>
      </c>
      <c r="T279" s="101">
        <f t="shared" si="92"/>
        <v>36.197646189598046</v>
      </c>
      <c r="U279" s="101">
        <f t="shared" si="92"/>
        <v>18.105446943988348</v>
      </c>
      <c r="V279" s="33">
        <f t="shared" si="93"/>
        <v>1000.000000000003</v>
      </c>
      <c r="W279" s="105">
        <f t="shared" si="89"/>
        <v>134812.99367832579</v>
      </c>
      <c r="X279" s="112">
        <f t="shared" si="94"/>
        <v>945.69690686641661</v>
      </c>
      <c r="Y279" s="32">
        <f t="shared" si="90"/>
        <v>575.53095142609004</v>
      </c>
    </row>
    <row r="280" spans="1:25" x14ac:dyDescent="0.25">
      <c r="A280" s="4">
        <v>274</v>
      </c>
      <c r="C280" s="110">
        <f>IF(male=0,VLOOKUP(((A278:A1112/'Life tables'!$I$2)*2)+age,lifetable,13,1),IF(male=1,VLOOKUP(((A278:A1112/'Life tables'!$I$2)*2)+age,lifetable,10,1),"error"))</f>
        <v>1.9370784166106159E-4</v>
      </c>
      <c r="F280" s="101">
        <f t="shared" si="77"/>
        <v>162.93777711756064</v>
      </c>
      <c r="G280" s="101">
        <f t="shared" si="78"/>
        <v>16.367440721438413</v>
      </c>
      <c r="H280" s="101">
        <f t="shared" si="79"/>
        <v>0.37454877267996439</v>
      </c>
      <c r="I280" s="101">
        <f t="shared" si="80"/>
        <v>0.37454877267996439</v>
      </c>
      <c r="J280" s="101">
        <f t="shared" si="81"/>
        <v>3.4877932814864253E-2</v>
      </c>
      <c r="K280" s="101">
        <f t="shared" si="82"/>
        <v>2.9360548811626329E-2</v>
      </c>
      <c r="L280" s="101">
        <f t="shared" si="91"/>
        <v>145.7570003691358</v>
      </c>
      <c r="M280" s="101">
        <f t="shared" si="83"/>
        <v>782.75912974885591</v>
      </c>
      <c r="N280" s="101">
        <f t="shared" si="84"/>
        <v>75.381400142261754</v>
      </c>
      <c r="O280" s="101">
        <f t="shared" si="85"/>
        <v>1.799346207724061</v>
      </c>
      <c r="P280" s="101">
        <f t="shared" si="86"/>
        <v>1.799346207724061</v>
      </c>
      <c r="Q280" s="101">
        <f t="shared" si="87"/>
        <v>0.1669256448276866</v>
      </c>
      <c r="R280" s="101">
        <f t="shared" si="88"/>
        <v>2.0963925935985797E-2</v>
      </c>
      <c r="S280" s="101">
        <f t="shared" si="76"/>
        <v>703.59114762038234</v>
      </c>
      <c r="T280" s="101">
        <f t="shared" si="92"/>
        <v>36.399449767240597</v>
      </c>
      <c r="U280" s="101">
        <f t="shared" si="92"/>
        <v>18.155771418735959</v>
      </c>
      <c r="V280" s="33">
        <f t="shared" si="93"/>
        <v>1000.000000000003</v>
      </c>
      <c r="W280" s="105">
        <f t="shared" si="89"/>
        <v>134622.42146994427</v>
      </c>
      <c r="X280" s="112">
        <f t="shared" si="94"/>
        <v>945.44477881402634</v>
      </c>
      <c r="Y280" s="32">
        <f t="shared" si="90"/>
        <v>575.2120415731755</v>
      </c>
    </row>
    <row r="281" spans="1:25" x14ac:dyDescent="0.25">
      <c r="A281" s="4">
        <v>275</v>
      </c>
      <c r="C281" s="110">
        <f>IF(male=0,VLOOKUP(((A279:A1113/'Life tables'!$I$2)*2)+age,lifetable,13,1),IF(male=1,VLOOKUP(((A279:A1113/'Life tables'!$I$2)*2)+age,lifetable,10,1),"error"))</f>
        <v>1.9370784166106159E-4</v>
      </c>
      <c r="F281" s="101">
        <f t="shared" si="77"/>
        <v>162.88987958406955</v>
      </c>
      <c r="G281" s="101">
        <f t="shared" si="78"/>
        <v>16.362629313955217</v>
      </c>
      <c r="H281" s="101">
        <f t="shared" si="79"/>
        <v>0.37443866953076937</v>
      </c>
      <c r="I281" s="101">
        <f t="shared" si="80"/>
        <v>0.37443866953076937</v>
      </c>
      <c r="J281" s="101">
        <f t="shared" si="81"/>
        <v>3.4867680023985111E-2</v>
      </c>
      <c r="K281" s="101">
        <f t="shared" si="82"/>
        <v>2.9351917922615205E-2</v>
      </c>
      <c r="L281" s="101">
        <f t="shared" si="91"/>
        <v>145.7141533331062</v>
      </c>
      <c r="M281" s="101">
        <f t="shared" si="83"/>
        <v>782.55489922995673</v>
      </c>
      <c r="N281" s="101">
        <f t="shared" si="84"/>
        <v>75.361732300800313</v>
      </c>
      <c r="O281" s="101">
        <f t="shared" si="85"/>
        <v>1.7988767383870496</v>
      </c>
      <c r="P281" s="101">
        <f t="shared" si="86"/>
        <v>1.7988767383870496</v>
      </c>
      <c r="Q281" s="101">
        <f t="shared" si="87"/>
        <v>0.16688209207976568</v>
      </c>
      <c r="R281" s="101">
        <f t="shared" si="88"/>
        <v>2.0958456215724029E-2</v>
      </c>
      <c r="S281" s="101">
        <f t="shared" si="76"/>
        <v>703.40757290408681</v>
      </c>
      <c r="T281" s="101">
        <f t="shared" si="92"/>
        <v>36.60119953934435</v>
      </c>
      <c r="U281" s="101">
        <f t="shared" si="92"/>
        <v>18.206081792874297</v>
      </c>
      <c r="V281" s="33">
        <f t="shared" si="93"/>
        <v>1000.000000000003</v>
      </c>
      <c r="W281" s="105">
        <f t="shared" si="89"/>
        <v>134432.11019216516</v>
      </c>
      <c r="X281" s="112">
        <f t="shared" si="94"/>
        <v>945.19271866778422</v>
      </c>
      <c r="Y281" s="32">
        <f t="shared" si="90"/>
        <v>574.89330879771387</v>
      </c>
    </row>
    <row r="282" spans="1:25" x14ac:dyDescent="0.25">
      <c r="A282" s="4">
        <v>276</v>
      </c>
      <c r="C282" s="110">
        <f>IF(male=0,VLOOKUP(((A280:A1114/'Life tables'!$I$2)*2)+age,lifetable,13,1),IF(male=1,VLOOKUP(((A280:A1114/'Life tables'!$I$2)*2)+age,lifetable,10,1),"error"))</f>
        <v>1.9370784166106159E-4</v>
      </c>
      <c r="F282" s="101">
        <f t="shared" si="77"/>
        <v>162.84213392054048</v>
      </c>
      <c r="G282" s="101">
        <f t="shared" si="78"/>
        <v>16.357833162127555</v>
      </c>
      <c r="H282" s="101">
        <f t="shared" si="79"/>
        <v>0.37432891548850877</v>
      </c>
      <c r="I282" s="101">
        <f t="shared" si="80"/>
        <v>0.37432891548850877</v>
      </c>
      <c r="J282" s="101">
        <f t="shared" si="81"/>
        <v>3.485745974189812E-2</v>
      </c>
      <c r="K282" s="101">
        <f t="shared" si="82"/>
        <v>2.9343314399789572E-2</v>
      </c>
      <c r="L282" s="101">
        <f t="shared" si="91"/>
        <v>145.67144215329421</v>
      </c>
      <c r="M282" s="101">
        <f t="shared" si="83"/>
        <v>782.35058474724383</v>
      </c>
      <c r="N282" s="101">
        <f t="shared" si="84"/>
        <v>75.342056373441679</v>
      </c>
      <c r="O282" s="101">
        <f t="shared" si="85"/>
        <v>1.7984070760405106</v>
      </c>
      <c r="P282" s="101">
        <f t="shared" si="86"/>
        <v>1.7984070760405106</v>
      </c>
      <c r="Q282" s="101">
        <f t="shared" si="87"/>
        <v>0.16683852142631903</v>
      </c>
      <c r="R282" s="101">
        <f t="shared" si="88"/>
        <v>2.0952984246735796E-2</v>
      </c>
      <c r="S282" s="101">
        <f t="shared" si="76"/>
        <v>703.22392271604804</v>
      </c>
      <c r="T282" s="101">
        <f t="shared" si="92"/>
        <v>36.802895520512564</v>
      </c>
      <c r="U282" s="101">
        <f t="shared" si="92"/>
        <v>18.256378091520823</v>
      </c>
      <c r="V282" s="33">
        <f t="shared" si="93"/>
        <v>1000.000000000003</v>
      </c>
      <c r="W282" s="105">
        <f t="shared" si="89"/>
        <v>134242.05976141818</v>
      </c>
      <c r="X282" s="112">
        <f t="shared" si="94"/>
        <v>944.94072638796956</v>
      </c>
      <c r="Y282" s="32">
        <f t="shared" si="90"/>
        <v>574.57475298989903</v>
      </c>
    </row>
    <row r="283" spans="1:25" x14ac:dyDescent="0.25">
      <c r="A283" s="4">
        <v>277</v>
      </c>
      <c r="C283" s="110">
        <f>IF(male=0,VLOOKUP(((A281:A1115/'Life tables'!$I$2)*2)+age,lifetable,13,1),IF(male=1,VLOOKUP(((A281:A1115/'Life tables'!$I$2)*2)+age,lifetable,10,1),"error"))</f>
        <v>1.9370784166106159E-4</v>
      </c>
      <c r="F283" s="101">
        <f t="shared" si="77"/>
        <v>162.79453574931901</v>
      </c>
      <c r="G283" s="101">
        <f t="shared" si="78"/>
        <v>16.353051826210876</v>
      </c>
      <c r="H283" s="101">
        <f t="shared" si="79"/>
        <v>0.37421950049016894</v>
      </c>
      <c r="I283" s="101">
        <f t="shared" si="80"/>
        <v>0.37421950049016894</v>
      </c>
      <c r="J283" s="101">
        <f t="shared" si="81"/>
        <v>3.4847271031536765E-2</v>
      </c>
      <c r="K283" s="101">
        <f t="shared" si="82"/>
        <v>2.9334737454318641E-2</v>
      </c>
      <c r="L283" s="101">
        <f t="shared" si="91"/>
        <v>145.62886291364194</v>
      </c>
      <c r="M283" s="101">
        <f t="shared" si="83"/>
        <v>782.14619063865041</v>
      </c>
      <c r="N283" s="101">
        <f t="shared" si="84"/>
        <v>75.322372777938241</v>
      </c>
      <c r="O283" s="101">
        <f t="shared" si="85"/>
        <v>1.7979372306561501</v>
      </c>
      <c r="P283" s="101">
        <f t="shared" si="86"/>
        <v>1.7979372306561501</v>
      </c>
      <c r="Q283" s="101">
        <f t="shared" si="87"/>
        <v>0.16679493379242344</v>
      </c>
      <c r="R283" s="101">
        <f t="shared" si="88"/>
        <v>2.0947510145200018E-2</v>
      </c>
      <c r="S283" s="101">
        <f t="shared" si="76"/>
        <v>703.0402009554623</v>
      </c>
      <c r="T283" s="101">
        <f t="shared" si="92"/>
        <v>37.004537725336526</v>
      </c>
      <c r="U283" s="101">
        <f t="shared" si="92"/>
        <v>18.306660339120342</v>
      </c>
      <c r="V283" s="33">
        <f t="shared" si="93"/>
        <v>1000.0000000000028</v>
      </c>
      <c r="W283" s="105">
        <f t="shared" si="89"/>
        <v>134052.27008502113</v>
      </c>
      <c r="X283" s="112">
        <f t="shared" si="94"/>
        <v>944.68880193554605</v>
      </c>
      <c r="Y283" s="32">
        <f t="shared" si="90"/>
        <v>574.25637404035433</v>
      </c>
    </row>
    <row r="284" spans="1:25" x14ac:dyDescent="0.25">
      <c r="A284" s="4">
        <v>278</v>
      </c>
      <c r="C284" s="110">
        <f>IF(male=0,VLOOKUP(((A282:A1116/'Life tables'!$I$2)*2)+age,lifetable,13,1),IF(male=1,VLOOKUP(((A282:A1116/'Life tables'!$I$2)*2)+age,lifetable,10,1),"error"))</f>
        <v>1.9370784166106159E-4</v>
      </c>
      <c r="F284" s="101">
        <f t="shared" si="77"/>
        <v>162.74708082915041</v>
      </c>
      <c r="G284" s="101">
        <f t="shared" si="78"/>
        <v>16.348284880162264</v>
      </c>
      <c r="H284" s="101">
        <f t="shared" si="79"/>
        <v>0.37411041478628121</v>
      </c>
      <c r="I284" s="101">
        <f t="shared" si="80"/>
        <v>0.37411041478628121</v>
      </c>
      <c r="J284" s="101">
        <f t="shared" si="81"/>
        <v>3.483711298503181E-2</v>
      </c>
      <c r="K284" s="101">
        <f t="shared" si="82"/>
        <v>2.9326186321950134E-2</v>
      </c>
      <c r="L284" s="101">
        <f t="shared" si="91"/>
        <v>145.58641182010859</v>
      </c>
      <c r="M284" s="101">
        <f t="shared" si="83"/>
        <v>781.94172110639568</v>
      </c>
      <c r="N284" s="101">
        <f t="shared" si="84"/>
        <v>75.302681918972809</v>
      </c>
      <c r="O284" s="101">
        <f t="shared" si="85"/>
        <v>1.7974672118937043</v>
      </c>
      <c r="P284" s="101">
        <f t="shared" si="86"/>
        <v>1.7974672118937043</v>
      </c>
      <c r="Q284" s="101">
        <f t="shared" si="87"/>
        <v>0.16675133007421425</v>
      </c>
      <c r="R284" s="101">
        <f t="shared" si="88"/>
        <v>2.0942034023660905E-2</v>
      </c>
      <c r="S284" s="101">
        <f t="shared" si="76"/>
        <v>702.85641139953759</v>
      </c>
      <c r="T284" s="101">
        <f t="shared" si="92"/>
        <v>37.20612616839577</v>
      </c>
      <c r="U284" s="101">
        <f t="shared" si="92"/>
        <v>18.356928559465953</v>
      </c>
      <c r="V284" s="33">
        <f t="shared" si="93"/>
        <v>1000.0000000000028</v>
      </c>
      <c r="W284" s="105">
        <f t="shared" si="89"/>
        <v>133862.74106149131</v>
      </c>
      <c r="X284" s="112">
        <f t="shared" si="94"/>
        <v>944.4369452721412</v>
      </c>
      <c r="Y284" s="32">
        <f t="shared" si="90"/>
        <v>573.93817184012039</v>
      </c>
    </row>
    <row r="285" spans="1:25" x14ac:dyDescent="0.25">
      <c r="A285" s="4">
        <v>279</v>
      </c>
      <c r="C285" s="110">
        <f>IF(male=0,VLOOKUP(((A283:A1117/'Life tables'!$I$2)*2)+age,lifetable,13,1),IF(male=1,VLOOKUP(((A283:A1117/'Life tables'!$I$2)*2)+age,lifetable,10,1),"error"))</f>
        <v>1.9370784166106159E-4</v>
      </c>
      <c r="F285" s="101">
        <f t="shared" si="77"/>
        <v>162.69976505092657</v>
      </c>
      <c r="G285" s="101">
        <f t="shared" si="78"/>
        <v>16.343531911213212</v>
      </c>
      <c r="H285" s="101">
        <f t="shared" si="79"/>
        <v>0.37400164893114529</v>
      </c>
      <c r="I285" s="101">
        <f t="shared" si="80"/>
        <v>0.37400164893114529</v>
      </c>
      <c r="J285" s="101">
        <f t="shared" si="81"/>
        <v>3.4826984722800859E-2</v>
      </c>
      <c r="K285" s="101">
        <f t="shared" si="82"/>
        <v>2.931766026224393E-2</v>
      </c>
      <c r="L285" s="101">
        <f t="shared" si="91"/>
        <v>145.54408519686604</v>
      </c>
      <c r="M285" s="101">
        <f t="shared" si="83"/>
        <v>781.73718022121466</v>
      </c>
      <c r="N285" s="101">
        <f t="shared" si="84"/>
        <v>75.282984188565962</v>
      </c>
      <c r="O285" s="101">
        <f t="shared" si="85"/>
        <v>1.7969970291106647</v>
      </c>
      <c r="P285" s="101">
        <f t="shared" si="86"/>
        <v>1.7969970291106647</v>
      </c>
      <c r="Q285" s="101">
        <f t="shared" si="87"/>
        <v>0.16670771113978747</v>
      </c>
      <c r="R285" s="101">
        <f t="shared" si="88"/>
        <v>2.0936555991141255E-2</v>
      </c>
      <c r="S285" s="101">
        <f t="shared" si="76"/>
        <v>702.67255770729639</v>
      </c>
      <c r="T285" s="101">
        <f t="shared" si="92"/>
        <v>37.407660864258361</v>
      </c>
      <c r="U285" s="101">
        <f t="shared" si="92"/>
        <v>18.407182775719338</v>
      </c>
      <c r="V285" s="33">
        <f t="shared" si="93"/>
        <v>1000.0000000000028</v>
      </c>
      <c r="W285" s="105">
        <f t="shared" si="89"/>
        <v>133673.4725808464</v>
      </c>
      <c r="X285" s="112">
        <f t="shared" si="94"/>
        <v>944.18515636002519</v>
      </c>
      <c r="Y285" s="32">
        <f t="shared" si="90"/>
        <v>573.62014628064185</v>
      </c>
    </row>
    <row r="286" spans="1:25" x14ac:dyDescent="0.25">
      <c r="A286" s="4">
        <v>280</v>
      </c>
      <c r="C286" s="110">
        <f>IF(male=0,VLOOKUP(((A284:A1118/'Life tables'!$I$2)*2)+age,lifetable,13,1),IF(male=1,VLOOKUP(((A284:A1118/'Life tables'!$I$2)*2)+age,lifetable,10,1),"error"))</f>
        <v>1.9370784166106159E-4</v>
      </c>
      <c r="F286" s="101">
        <f t="shared" si="77"/>
        <v>162.65258443356578</v>
      </c>
      <c r="G286" s="101">
        <f t="shared" si="78"/>
        <v>16.338792519455726</v>
      </c>
      <c r="H286" s="101">
        <f t="shared" si="79"/>
        <v>0.37389319377335817</v>
      </c>
      <c r="I286" s="101">
        <f t="shared" si="80"/>
        <v>0.37389319377335817</v>
      </c>
      <c r="J286" s="101">
        <f t="shared" si="81"/>
        <v>3.4816885392666481E-2</v>
      </c>
      <c r="K286" s="101">
        <f t="shared" si="82"/>
        <v>2.9309158557829583E-2</v>
      </c>
      <c r="L286" s="101">
        <f t="shared" si="91"/>
        <v>145.50187948261285</v>
      </c>
      <c r="M286" s="101">
        <f t="shared" si="83"/>
        <v>781.53257192645947</v>
      </c>
      <c r="N286" s="101">
        <f t="shared" si="84"/>
        <v>75.263279966471089</v>
      </c>
      <c r="O286" s="101">
        <f t="shared" si="85"/>
        <v>1.7965266913717044</v>
      </c>
      <c r="P286" s="101">
        <f t="shared" si="86"/>
        <v>1.7965266913717044</v>
      </c>
      <c r="Q286" s="101">
        <f t="shared" si="87"/>
        <v>0.16666407783007436</v>
      </c>
      <c r="R286" s="101">
        <f t="shared" si="88"/>
        <v>2.0931076153252286E-2</v>
      </c>
      <c r="S286" s="101">
        <f t="shared" si="76"/>
        <v>702.48864342326169</v>
      </c>
      <c r="T286" s="101">
        <f t="shared" si="92"/>
        <v>37.609141827481103</v>
      </c>
      <c r="U286" s="101">
        <f t="shared" si="92"/>
        <v>18.457423010430421</v>
      </c>
      <c r="V286" s="33">
        <f t="shared" si="93"/>
        <v>1000.000000000003</v>
      </c>
      <c r="W286" s="105">
        <f t="shared" si="89"/>
        <v>133484.46452489562</v>
      </c>
      <c r="X286" s="112">
        <f t="shared" si="94"/>
        <v>943.93343516209143</v>
      </c>
      <c r="Y286" s="32">
        <f t="shared" si="90"/>
        <v>573.30229725375807</v>
      </c>
    </row>
    <row r="287" spans="1:25" x14ac:dyDescent="0.25">
      <c r="A287" s="4">
        <v>281</v>
      </c>
      <c r="C287" s="110">
        <f>IF(male=0,VLOOKUP(((A285:A1119/'Life tables'!$I$2)*2)+age,lifetable,13,1),IF(male=1,VLOOKUP(((A285:A1119/'Life tables'!$I$2)*2)+age,lifetable,10,1),"error"))</f>
        <v>1.9370784166106159E-4</v>
      </c>
      <c r="F287" s="101">
        <f t="shared" si="77"/>
        <v>162.60553512002087</v>
      </c>
      <c r="G287" s="101">
        <f t="shared" si="78"/>
        <v>16.334066317441355</v>
      </c>
      <c r="H287" s="101">
        <f t="shared" si="79"/>
        <v>0.37378504044663785</v>
      </c>
      <c r="I287" s="101">
        <f t="shared" si="80"/>
        <v>0.37378504044663785</v>
      </c>
      <c r="J287" s="101">
        <f t="shared" si="81"/>
        <v>3.4806814169001617E-2</v>
      </c>
      <c r="K287" s="101">
        <f t="shared" si="82"/>
        <v>2.930068051368705E-2</v>
      </c>
      <c r="L287" s="101">
        <f t="shared" si="91"/>
        <v>145.45979122700356</v>
      </c>
      <c r="M287" s="101">
        <f t="shared" si="83"/>
        <v>781.32790004207061</v>
      </c>
      <c r="N287" s="101">
        <f t="shared" si="84"/>
        <v>75.243569620556713</v>
      </c>
      <c r="O287" s="101">
        <f t="shared" si="85"/>
        <v>1.7960562074578073</v>
      </c>
      <c r="P287" s="101">
        <f t="shared" si="86"/>
        <v>1.7960562074578073</v>
      </c>
      <c r="Q287" s="101">
        <f t="shared" si="87"/>
        <v>0.16662043095968826</v>
      </c>
      <c r="R287" s="101">
        <f t="shared" si="88"/>
        <v>2.092559461229998E-2</v>
      </c>
      <c r="S287" s="101">
        <f t="shared" si="76"/>
        <v>702.30467198102633</v>
      </c>
      <c r="T287" s="101">
        <f t="shared" si="92"/>
        <v>37.810569072609795</v>
      </c>
      <c r="U287" s="101">
        <f t="shared" si="92"/>
        <v>18.507649285556408</v>
      </c>
      <c r="V287" s="33">
        <f t="shared" si="93"/>
        <v>1000.0000000000032</v>
      </c>
      <c r="W287" s="105">
        <f t="shared" si="89"/>
        <v>133295.71676752105</v>
      </c>
      <c r="X287" s="112">
        <f t="shared" si="94"/>
        <v>943.68178164183689</v>
      </c>
      <c r="Y287" s="32">
        <f t="shared" si="90"/>
        <v>572.98462465169291</v>
      </c>
    </row>
    <row r="288" spans="1:25" x14ac:dyDescent="0.25">
      <c r="A288" s="4">
        <v>282</v>
      </c>
      <c r="C288" s="110">
        <f>IF(male=0,VLOOKUP(((A286:A1120/'Life tables'!$I$2)*2)+age,lifetable,13,1),IF(male=1,VLOOKUP(((A286:A1120/'Life tables'!$I$2)*2)+age,lifetable,10,1),"error"))</f>
        <v>1.9370784166106159E-4</v>
      </c>
      <c r="F288" s="101">
        <f t="shared" si="77"/>
        <v>162.55861337341182</v>
      </c>
      <c r="G288" s="101">
        <f t="shared" si="78"/>
        <v>16.32935292979267</v>
      </c>
      <c r="H288" s="101">
        <f t="shared" si="79"/>
        <v>0.37367718036093323</v>
      </c>
      <c r="I288" s="101">
        <f t="shared" si="80"/>
        <v>0.37367718036093323</v>
      </c>
      <c r="J288" s="101">
        <f t="shared" si="81"/>
        <v>3.4796770251901865E-2</v>
      </c>
      <c r="K288" s="101">
        <f t="shared" si="82"/>
        <v>2.9292225456449782E-2</v>
      </c>
      <c r="L288" s="101">
        <f t="shared" si="91"/>
        <v>145.41781708718892</v>
      </c>
      <c r="M288" s="101">
        <f t="shared" si="83"/>
        <v>781.12316826842516</v>
      </c>
      <c r="N288" s="101">
        <f t="shared" si="84"/>
        <v>75.223853507177168</v>
      </c>
      <c r="O288" s="101">
        <f t="shared" si="85"/>
        <v>1.7955855858751146</v>
      </c>
      <c r="P288" s="101">
        <f t="shared" si="86"/>
        <v>1.7955855858751146</v>
      </c>
      <c r="Q288" s="101">
        <f t="shared" si="87"/>
        <v>0.16657677131774523</v>
      </c>
      <c r="R288" s="101">
        <f t="shared" si="88"/>
        <v>2.0920111467388182E-2</v>
      </c>
      <c r="S288" s="101">
        <f t="shared" si="76"/>
        <v>702.12064670671259</v>
      </c>
      <c r="T288" s="101">
        <f t="shared" si="92"/>
        <v>38.011942614179439</v>
      </c>
      <c r="U288" s="101">
        <f t="shared" si="92"/>
        <v>18.557861622480246</v>
      </c>
      <c r="V288" s="33">
        <f t="shared" si="93"/>
        <v>1000.0000000000031</v>
      </c>
      <c r="W288" s="105">
        <f t="shared" si="89"/>
        <v>133107.22917495086</v>
      </c>
      <c r="X288" s="112">
        <f t="shared" si="94"/>
        <v>943.43019576334336</v>
      </c>
      <c r="Y288" s="32">
        <f t="shared" si="90"/>
        <v>572.6671283670413</v>
      </c>
    </row>
    <row r="289" spans="1:25" x14ac:dyDescent="0.25">
      <c r="A289" s="4">
        <v>283</v>
      </c>
      <c r="C289" s="110">
        <f>IF(male=0,VLOOKUP(((A287:A1121/'Life tables'!$I$2)*2)+age,lifetable,13,1),IF(male=1,VLOOKUP(((A287:A1121/'Life tables'!$I$2)*2)+age,lifetable,10,1),"error"))</f>
        <v>1.9370784166106159E-4</v>
      </c>
      <c r="F289" s="101">
        <f t="shared" si="77"/>
        <v>162.51181557327899</v>
      </c>
      <c r="G289" s="101">
        <f t="shared" si="78"/>
        <v>16.324651992826926</v>
      </c>
      <c r="H289" s="101">
        <f t="shared" si="79"/>
        <v>0.37356960519381144</v>
      </c>
      <c r="I289" s="101">
        <f t="shared" si="80"/>
        <v>0.37356960519381144</v>
      </c>
      <c r="J289" s="101">
        <f t="shared" si="81"/>
        <v>3.4786752866383358E-2</v>
      </c>
      <c r="K289" s="101">
        <f t="shared" si="82"/>
        <v>2.928379273372959E-2</v>
      </c>
      <c r="L289" s="101">
        <f t="shared" si="91"/>
        <v>145.37595382446432</v>
      </c>
      <c r="M289" s="101">
        <f t="shared" si="83"/>
        <v>780.91838019006445</v>
      </c>
      <c r="N289" s="101">
        <f t="shared" si="84"/>
        <v>75.204131971531552</v>
      </c>
      <c r="O289" s="101">
        <f t="shared" si="85"/>
        <v>1.7951148348634929</v>
      </c>
      <c r="P289" s="101">
        <f t="shared" si="86"/>
        <v>1.7951148348634929</v>
      </c>
      <c r="Q289" s="101">
        <f t="shared" si="87"/>
        <v>0.16653309966865901</v>
      </c>
      <c r="R289" s="101">
        <f t="shared" si="88"/>
        <v>2.0914626814518399E-2</v>
      </c>
      <c r="S289" s="101">
        <f t="shared" si="76"/>
        <v>701.93657082232278</v>
      </c>
      <c r="T289" s="101">
        <f t="shared" si="92"/>
        <v>38.213262466714482</v>
      </c>
      <c r="U289" s="101">
        <f t="shared" si="92"/>
        <v>18.608060042028495</v>
      </c>
      <c r="V289" s="33">
        <f t="shared" si="93"/>
        <v>1000.0000000000031</v>
      </c>
      <c r="W289" s="105">
        <f t="shared" si="89"/>
        <v>132919.00160602256</v>
      </c>
      <c r="X289" s="112">
        <f t="shared" si="94"/>
        <v>943.17867749126015</v>
      </c>
      <c r="Y289" s="32">
        <f t="shared" si="90"/>
        <v>572.34980829276333</v>
      </c>
    </row>
    <row r="290" spans="1:25" x14ac:dyDescent="0.25">
      <c r="A290" s="4">
        <v>284</v>
      </c>
      <c r="C290" s="110">
        <f>IF(male=0,VLOOKUP(((A288:A1122/'Life tables'!$I$2)*2)+age,lifetable,13,1),IF(male=1,VLOOKUP(((A288:A1122/'Life tables'!$I$2)*2)+age,lifetable,10,1),"error"))</f>
        <v>1.9370784166106159E-4</v>
      </c>
      <c r="F290" s="101">
        <f t="shared" si="77"/>
        <v>162.46513821195322</v>
      </c>
      <c r="G290" s="101">
        <f t="shared" si="78"/>
        <v>16.319963154191417</v>
      </c>
      <c r="H290" s="101">
        <f t="shared" si="79"/>
        <v>0.37346230688211363</v>
      </c>
      <c r="I290" s="101">
        <f t="shared" si="80"/>
        <v>0.37346230688211363</v>
      </c>
      <c r="J290" s="101">
        <f t="shared" si="81"/>
        <v>3.4776761261605782E-2</v>
      </c>
      <c r="K290" s="101">
        <f t="shared" si="82"/>
        <v>2.9275381713462546E-2</v>
      </c>
      <c r="L290" s="101">
        <f t="shared" si="91"/>
        <v>145.3341983010225</v>
      </c>
      <c r="M290" s="101">
        <f t="shared" si="83"/>
        <v>780.71353927930693</v>
      </c>
      <c r="N290" s="101">
        <f t="shared" si="84"/>
        <v>75.184405348011651</v>
      </c>
      <c r="O290" s="101">
        <f t="shared" si="85"/>
        <v>1.7946439624048394</v>
      </c>
      <c r="P290" s="101">
        <f t="shared" si="86"/>
        <v>1.7946439624048394</v>
      </c>
      <c r="Q290" s="101">
        <f t="shared" si="87"/>
        <v>0.16648941675291171</v>
      </c>
      <c r="R290" s="101">
        <f t="shared" si="88"/>
        <v>2.0909140746686577E-2</v>
      </c>
      <c r="S290" s="101">
        <f t="shared" si="76"/>
        <v>701.752447448986</v>
      </c>
      <c r="T290" s="101">
        <f t="shared" si="92"/>
        <v>38.414528644729003</v>
      </c>
      <c r="U290" s="101">
        <f t="shared" si="92"/>
        <v>18.658244564488644</v>
      </c>
      <c r="V290" s="33">
        <f t="shared" si="93"/>
        <v>1000.0000000000031</v>
      </c>
      <c r="W290" s="105">
        <f t="shared" si="89"/>
        <v>132731.03391243872</v>
      </c>
      <c r="X290" s="112">
        <f t="shared" si="94"/>
        <v>942.92722679078543</v>
      </c>
      <c r="Y290" s="32">
        <f t="shared" si="90"/>
        <v>572.0326643221706</v>
      </c>
    </row>
    <row r="291" spans="1:25" x14ac:dyDescent="0.25">
      <c r="A291" s="4">
        <v>285</v>
      </c>
      <c r="C291" s="110">
        <f>IF(male=0,VLOOKUP(((A289:A1123/'Life tables'!$I$2)*2)+age,lifetable,13,1),IF(male=1,VLOOKUP(((A289:A1123/'Life tables'!$I$2)*2)+age,lifetable,10,1),"error"))</f>
        <v>1.9370784166106159E-4</v>
      </c>
      <c r="F291" s="101">
        <f t="shared" si="77"/>
        <v>162.41857789103909</v>
      </c>
      <c r="G291" s="101">
        <f t="shared" si="78"/>
        <v>16.315286072510212</v>
      </c>
      <c r="H291" s="101">
        <f t="shared" si="79"/>
        <v>0.37335527761387105</v>
      </c>
      <c r="I291" s="101">
        <f t="shared" si="80"/>
        <v>0.37335527761387105</v>
      </c>
      <c r="J291" s="101">
        <f t="shared" si="81"/>
        <v>3.4766794710119626E-2</v>
      </c>
      <c r="K291" s="101">
        <f t="shared" si="82"/>
        <v>2.9266991783275284E-2</v>
      </c>
      <c r="L291" s="101">
        <f t="shared" si="91"/>
        <v>145.29254747680775</v>
      </c>
      <c r="M291" s="101">
        <f t="shared" si="83"/>
        <v>780.50864889974639</v>
      </c>
      <c r="N291" s="101">
        <f t="shared" si="84"/>
        <v>75.164673960538835</v>
      </c>
      <c r="O291" s="101">
        <f t="shared" si="85"/>
        <v>1.7941729762311238</v>
      </c>
      <c r="P291" s="101">
        <f t="shared" si="86"/>
        <v>1.7941729762311238</v>
      </c>
      <c r="Q291" s="101">
        <f t="shared" si="87"/>
        <v>0.16644572328779922</v>
      </c>
      <c r="R291" s="101">
        <f t="shared" si="88"/>
        <v>2.090365335397679E-2</v>
      </c>
      <c r="S291" s="101">
        <f t="shared" si="76"/>
        <v>701.56827961010356</v>
      </c>
      <c r="T291" s="101">
        <f t="shared" si="92"/>
        <v>38.61574116272692</v>
      </c>
      <c r="U291" s="101">
        <f t="shared" si="92"/>
        <v>18.708415209625898</v>
      </c>
      <c r="V291" s="33">
        <f t="shared" si="93"/>
        <v>1000.0000000000032</v>
      </c>
      <c r="W291" s="105">
        <f t="shared" si="89"/>
        <v>132543.32593901354</v>
      </c>
      <c r="X291" s="112">
        <f t="shared" si="94"/>
        <v>942.67584362765035</v>
      </c>
      <c r="Y291" s="32">
        <f t="shared" si="90"/>
        <v>571.71569634891932</v>
      </c>
    </row>
    <row r="292" spans="1:25" x14ac:dyDescent="0.25">
      <c r="A292" s="4">
        <v>286</v>
      </c>
      <c r="C292" s="110">
        <f>IF(male=0,VLOOKUP(((A290:A1124/'Life tables'!$I$2)*2)+age,lifetable,13,1),IF(male=1,VLOOKUP(((A290:A1124/'Life tables'!$I$2)*2)+age,lifetable,10,1),"error"))</f>
        <v>1.9370784166106159E-4</v>
      </c>
      <c r="F292" s="101">
        <f t="shared" si="77"/>
        <v>162.37213131800772</v>
      </c>
      <c r="G292" s="101">
        <f t="shared" si="78"/>
        <v>16.310620417041889</v>
      </c>
      <c r="H292" s="101">
        <f t="shared" si="79"/>
        <v>0.37324850982047258</v>
      </c>
      <c r="I292" s="101">
        <f t="shared" si="80"/>
        <v>0.37324850982047258</v>
      </c>
      <c r="J292" s="101">
        <f t="shared" si="81"/>
        <v>3.4756852507136823E-2</v>
      </c>
      <c r="K292" s="101">
        <f t="shared" si="82"/>
        <v>2.9258622349871043E-2</v>
      </c>
      <c r="L292" s="101">
        <f t="shared" si="91"/>
        <v>145.25099840646789</v>
      </c>
      <c r="M292" s="101">
        <f t="shared" si="83"/>
        <v>780.30371230964272</v>
      </c>
      <c r="N292" s="101">
        <f t="shared" si="84"/>
        <v>75.144938122890608</v>
      </c>
      <c r="O292" s="101">
        <f t="shared" si="85"/>
        <v>1.7937018838321821</v>
      </c>
      <c r="P292" s="101">
        <f t="shared" si="86"/>
        <v>1.7937018838321821</v>
      </c>
      <c r="Q292" s="101">
        <f t="shared" si="87"/>
        <v>0.16640201996815504</v>
      </c>
      <c r="R292" s="101">
        <f t="shared" si="88"/>
        <v>2.0898164723652052E-2</v>
      </c>
      <c r="S292" s="101">
        <f t="shared" si="76"/>
        <v>701.38407023439595</v>
      </c>
      <c r="T292" s="101">
        <f t="shared" si="92"/>
        <v>38.81690003520221</v>
      </c>
      <c r="U292" s="101">
        <f t="shared" si="92"/>
        <v>18.75857199669942</v>
      </c>
      <c r="V292" s="33">
        <f t="shared" si="93"/>
        <v>1000.0000000000033</v>
      </c>
      <c r="W292" s="105">
        <f t="shared" si="89"/>
        <v>132355.87752391203</v>
      </c>
      <c r="X292" s="112">
        <f t="shared" si="94"/>
        <v>942.42452796810164</v>
      </c>
      <c r="Y292" s="32">
        <f t="shared" si="90"/>
        <v>571.39890426700083</v>
      </c>
    </row>
    <row r="293" spans="1:25" x14ac:dyDescent="0.25">
      <c r="A293" s="4">
        <v>287</v>
      </c>
      <c r="C293" s="110">
        <f>IF(male=0,VLOOKUP(((A291:A1125/'Life tables'!$I$2)*2)+age,lifetable,13,1),IF(male=1,VLOOKUP(((A291:A1125/'Life tables'!$I$2)*2)+age,lifetable,10,1),"error"))</f>
        <v>2.1228983945331681E-4</v>
      </c>
      <c r="F293" s="101">
        <f t="shared" si="77"/>
        <v>162.32579530289581</v>
      </c>
      <c r="G293" s="101">
        <f t="shared" si="78"/>
        <v>16.305965867347961</v>
      </c>
      <c r="H293" s="101">
        <f t="shared" si="79"/>
        <v>0.37314199616907717</v>
      </c>
      <c r="I293" s="101">
        <f t="shared" si="80"/>
        <v>0.37314199616907717</v>
      </c>
      <c r="J293" s="101">
        <f t="shared" si="81"/>
        <v>3.808013640901433E-2</v>
      </c>
      <c r="K293" s="101">
        <f t="shared" si="82"/>
        <v>2.9250272838434861E-2</v>
      </c>
      <c r="L293" s="101">
        <f t="shared" si="91"/>
        <v>145.20621503396225</v>
      </c>
      <c r="M293" s="101">
        <f t="shared" si="83"/>
        <v>780.09873266520594</v>
      </c>
      <c r="N293" s="101">
        <f t="shared" si="84"/>
        <v>75.125198139016817</v>
      </c>
      <c r="O293" s="101">
        <f t="shared" si="85"/>
        <v>1.7932306924632659</v>
      </c>
      <c r="P293" s="101">
        <f t="shared" si="86"/>
        <v>1.7932306924632659</v>
      </c>
      <c r="Q293" s="101">
        <f t="shared" si="87"/>
        <v>0.18231672027867454</v>
      </c>
      <c r="R293" s="101">
        <f t="shared" si="88"/>
        <v>2.0892674940242259E-2</v>
      </c>
      <c r="S293" s="101">
        <f t="shared" si="76"/>
        <v>701.1838637460437</v>
      </c>
      <c r="T293" s="101">
        <f t="shared" si="92"/>
        <v>39.037296891889902</v>
      </c>
      <c r="U293" s="101">
        <f t="shared" si="92"/>
        <v>18.808714944478098</v>
      </c>
      <c r="V293" s="33">
        <f t="shared" si="93"/>
        <v>1000.0000000000034</v>
      </c>
      <c r="W293" s="105">
        <f t="shared" si="89"/>
        <v>132166.34605264818</v>
      </c>
      <c r="X293" s="112">
        <f t="shared" si="94"/>
        <v>942.1539881636354</v>
      </c>
      <c r="Y293" s="32">
        <f t="shared" si="90"/>
        <v>571.07040448554562</v>
      </c>
    </row>
    <row r="294" spans="1:25" x14ac:dyDescent="0.25">
      <c r="A294" s="4">
        <v>288</v>
      </c>
      <c r="C294" s="110">
        <f>IF(male=0,VLOOKUP(((A292:A1126/'Life tables'!$I$2)*2)+age,lifetable,13,1),IF(male=1,VLOOKUP(((A292:A1126/'Life tables'!$I$2)*2)+age,lifetable,10,1),"error"))</f>
        <v>2.1228983945331681E-4</v>
      </c>
      <c r="F294" s="101">
        <f t="shared" si="77"/>
        <v>162.27623352130038</v>
      </c>
      <c r="G294" s="101">
        <f t="shared" si="78"/>
        <v>16.300987282659605</v>
      </c>
      <c r="H294" s="101">
        <f t="shared" si="79"/>
        <v>0.37302806737492766</v>
      </c>
      <c r="I294" s="101">
        <f t="shared" si="80"/>
        <v>0.37302806737492766</v>
      </c>
      <c r="J294" s="101">
        <f t="shared" si="81"/>
        <v>3.8068509671561376E-2</v>
      </c>
      <c r="K294" s="101">
        <f t="shared" si="82"/>
        <v>2.9241342060481054E-2</v>
      </c>
      <c r="L294" s="101">
        <f t="shared" si="91"/>
        <v>145.16188025215888</v>
      </c>
      <c r="M294" s="101">
        <f t="shared" si="83"/>
        <v>779.87775464233493</v>
      </c>
      <c r="N294" s="101">
        <f t="shared" si="84"/>
        <v>75.103917476637278</v>
      </c>
      <c r="O294" s="101">
        <f t="shared" si="85"/>
        <v>1.792722725258117</v>
      </c>
      <c r="P294" s="101">
        <f t="shared" si="86"/>
        <v>1.792722725258117</v>
      </c>
      <c r="Q294" s="101">
        <f t="shared" si="87"/>
        <v>0.18226507554872368</v>
      </c>
      <c r="R294" s="101">
        <f t="shared" si="88"/>
        <v>2.0886756686811687E-2</v>
      </c>
      <c r="S294" s="101">
        <f t="shared" si="76"/>
        <v>700.98523988294585</v>
      </c>
      <c r="T294" s="101">
        <f t="shared" si="92"/>
        <v>39.25763047711019</v>
      </c>
      <c r="U294" s="101">
        <f t="shared" si="92"/>
        <v>18.858843043225392</v>
      </c>
      <c r="V294" s="33">
        <f t="shared" si="93"/>
        <v>1000.0000000000034</v>
      </c>
      <c r="W294" s="105">
        <f t="shared" si="89"/>
        <v>131976.71781027305</v>
      </c>
      <c r="X294" s="112">
        <f t="shared" si="94"/>
        <v>941.88352647966769</v>
      </c>
      <c r="Y294" s="32">
        <f t="shared" si="90"/>
        <v>570.74228389779103</v>
      </c>
    </row>
    <row r="295" spans="1:25" x14ac:dyDescent="0.25">
      <c r="A295" s="4">
        <v>289</v>
      </c>
      <c r="C295" s="110">
        <f>IF(male=0,VLOOKUP(((A293:A1127/'Life tables'!$I$2)*2)+age,lifetable,13,1),IF(male=1,VLOOKUP(((A293:A1127/'Life tables'!$I$2)*2)+age,lifetable,10,1),"error"))</f>
        <v>2.1228983945331681E-4</v>
      </c>
      <c r="F295" s="101">
        <f t="shared" si="77"/>
        <v>162.22677849917315</v>
      </c>
      <c r="G295" s="101">
        <f t="shared" si="78"/>
        <v>16.296019422183267</v>
      </c>
      <c r="H295" s="101">
        <f t="shared" si="79"/>
        <v>0.37291438399119492</v>
      </c>
      <c r="I295" s="101">
        <f t="shared" si="80"/>
        <v>0.37291438399119492</v>
      </c>
      <c r="J295" s="101">
        <f t="shared" si="81"/>
        <v>3.8056907978896326E-2</v>
      </c>
      <c r="K295" s="101">
        <f t="shared" si="82"/>
        <v>2.9232430520033936E-2</v>
      </c>
      <c r="L295" s="101">
        <f t="shared" si="91"/>
        <v>145.11764097050857</v>
      </c>
      <c r="M295" s="101">
        <f t="shared" si="83"/>
        <v>779.65674798049463</v>
      </c>
      <c r="N295" s="101">
        <f t="shared" si="84"/>
        <v>75.082634056262947</v>
      </c>
      <c r="O295" s="101">
        <f t="shared" si="85"/>
        <v>1.7922146922199182</v>
      </c>
      <c r="P295" s="101">
        <f t="shared" si="86"/>
        <v>1.7922146922199182</v>
      </c>
      <c r="Q295" s="101">
        <f t="shared" si="87"/>
        <v>0.18221342412556496</v>
      </c>
      <c r="R295" s="101">
        <f t="shared" si="88"/>
        <v>2.0880837666369643E-2</v>
      </c>
      <c r="S295" s="101">
        <f t="shared" si="76"/>
        <v>700.78659027799995</v>
      </c>
      <c r="T295" s="101">
        <f t="shared" si="92"/>
        <v>39.477900809214653</v>
      </c>
      <c r="U295" s="101">
        <f t="shared" si="92"/>
        <v>18.908956311411796</v>
      </c>
      <c r="V295" s="33">
        <f t="shared" si="93"/>
        <v>1000.0000000000034</v>
      </c>
      <c r="W295" s="105">
        <f t="shared" si="89"/>
        <v>131787.35627739143</v>
      </c>
      <c r="X295" s="112">
        <f t="shared" si="94"/>
        <v>941.61314287937694</v>
      </c>
      <c r="Y295" s="32">
        <f t="shared" si="90"/>
        <v>570.41435207292375</v>
      </c>
    </row>
    <row r="296" spans="1:25" x14ac:dyDescent="0.25">
      <c r="A296" s="4">
        <v>290</v>
      </c>
      <c r="C296" s="110">
        <f>IF(male=0,VLOOKUP(((A294:A1128/'Life tables'!$I$2)*2)+age,lifetable,13,1),IF(male=1,VLOOKUP(((A294:A1128/'Life tables'!$I$2)*2)+age,lifetable,10,1),"error"))</f>
        <v>2.1228983945331681E-4</v>
      </c>
      <c r="F296" s="101">
        <f t="shared" si="77"/>
        <v>162.17742731886776</v>
      </c>
      <c r="G296" s="101">
        <f t="shared" si="78"/>
        <v>16.29106199283526</v>
      </c>
      <c r="H296" s="101">
        <f t="shared" si="79"/>
        <v>0.37280093931101893</v>
      </c>
      <c r="I296" s="101">
        <f t="shared" si="80"/>
        <v>0.37280093931101893</v>
      </c>
      <c r="J296" s="101">
        <f t="shared" si="81"/>
        <v>3.8045330646566185E-2</v>
      </c>
      <c r="K296" s="101">
        <f t="shared" si="82"/>
        <v>2.9223537691348646E-2</v>
      </c>
      <c r="L296" s="101">
        <f t="shared" si="91"/>
        <v>145.07349457907253</v>
      </c>
      <c r="M296" s="101">
        <f t="shared" si="83"/>
        <v>779.43571556050915</v>
      </c>
      <c r="N296" s="101">
        <f t="shared" si="84"/>
        <v>75.061348155323429</v>
      </c>
      <c r="O296" s="101">
        <f t="shared" si="85"/>
        <v>1.7917065999708857</v>
      </c>
      <c r="P296" s="101">
        <f t="shared" si="86"/>
        <v>1.7917065999708857</v>
      </c>
      <c r="Q296" s="101">
        <f t="shared" si="87"/>
        <v>0.18216176668247525</v>
      </c>
      <c r="R296" s="101">
        <f t="shared" si="88"/>
        <v>2.0874917956070622E-2</v>
      </c>
      <c r="S296" s="101">
        <f t="shared" si="76"/>
        <v>700.5879175206054</v>
      </c>
      <c r="T296" s="101">
        <f t="shared" si="92"/>
        <v>39.698107906543697</v>
      </c>
      <c r="U296" s="101">
        <f t="shared" si="92"/>
        <v>18.959054767059214</v>
      </c>
      <c r="V296" s="33">
        <f t="shared" si="93"/>
        <v>1000.0000000000034</v>
      </c>
      <c r="W296" s="105">
        <f t="shared" si="89"/>
        <v>131598.26125234566</v>
      </c>
      <c r="X296" s="112">
        <f t="shared" si="94"/>
        <v>941.34283732640051</v>
      </c>
      <c r="Y296" s="32">
        <f t="shared" si="90"/>
        <v>570.0866088949773</v>
      </c>
    </row>
    <row r="297" spans="1:25" x14ac:dyDescent="0.25">
      <c r="A297" s="4">
        <v>291</v>
      </c>
      <c r="C297" s="110">
        <f>IF(male=0,VLOOKUP(((A295:A1129/'Life tables'!$I$2)*2)+age,lifetable,13,1),IF(male=1,VLOOKUP(((A295:A1129/'Life tables'!$I$2)*2)+age,lifetable,10,1),"error"))</f>
        <v>2.1228983945331681E-4</v>
      </c>
      <c r="F297" s="101">
        <f t="shared" si="77"/>
        <v>162.12817715364909</v>
      </c>
      <c r="G297" s="101">
        <f t="shared" si="78"/>
        <v>16.286114710664126</v>
      </c>
      <c r="H297" s="101">
        <f t="shared" si="79"/>
        <v>0.37268772683651935</v>
      </c>
      <c r="I297" s="101">
        <f t="shared" si="80"/>
        <v>0.37268772683651935</v>
      </c>
      <c r="J297" s="101">
        <f t="shared" si="81"/>
        <v>3.8033777011444947E-2</v>
      </c>
      <c r="K297" s="101">
        <f t="shared" si="82"/>
        <v>2.9214663065062076E-2</v>
      </c>
      <c r="L297" s="101">
        <f t="shared" si="91"/>
        <v>145.02943854923541</v>
      </c>
      <c r="M297" s="101">
        <f t="shared" si="83"/>
        <v>779.21466017275145</v>
      </c>
      <c r="N297" s="101">
        <f t="shared" si="84"/>
        <v>75.040060042537689</v>
      </c>
      <c r="O297" s="101">
        <f t="shared" si="85"/>
        <v>1.7911984549253128</v>
      </c>
      <c r="P297" s="101">
        <f t="shared" si="86"/>
        <v>1.7911984549253128</v>
      </c>
      <c r="Q297" s="101">
        <f t="shared" si="87"/>
        <v>0.18211010387159207</v>
      </c>
      <c r="R297" s="101">
        <f t="shared" si="88"/>
        <v>2.0868997630646643E-2</v>
      </c>
      <c r="S297" s="101">
        <f t="shared" si="76"/>
        <v>700.38922411886097</v>
      </c>
      <c r="T297" s="101">
        <f t="shared" si="92"/>
        <v>39.918251787426733</v>
      </c>
      <c r="U297" s="101">
        <f t="shared" si="92"/>
        <v>19.009138427754923</v>
      </c>
      <c r="V297" s="33">
        <f t="shared" si="93"/>
        <v>1000.0000000000035</v>
      </c>
      <c r="W297" s="105">
        <f t="shared" si="89"/>
        <v>131409.43252790725</v>
      </c>
      <c r="X297" s="112">
        <f t="shared" si="94"/>
        <v>941.07260978482191</v>
      </c>
      <c r="Y297" s="32">
        <f t="shared" si="90"/>
        <v>569.75905424828795</v>
      </c>
    </row>
    <row r="298" spans="1:25" x14ac:dyDescent="0.25">
      <c r="A298" s="4">
        <v>292</v>
      </c>
      <c r="C298" s="110">
        <f>IF(male=0,VLOOKUP(((A296:A1130/'Life tables'!$I$2)*2)+age,lifetable,13,1),IF(male=1,VLOOKUP(((A296:A1130/'Life tables'!$I$2)*2)+age,lifetable,10,1),"error"))</f>
        <v>2.1228983945331681E-4</v>
      </c>
      <c r="F298" s="101">
        <f t="shared" si="77"/>
        <v>162.07902526485711</v>
      </c>
      <c r="G298" s="101">
        <f t="shared" si="78"/>
        <v>16.281177300565737</v>
      </c>
      <c r="H298" s="101">
        <f t="shared" si="79"/>
        <v>0.37257474027227616</v>
      </c>
      <c r="I298" s="101">
        <f t="shared" si="80"/>
        <v>0.37257474027227616</v>
      </c>
      <c r="J298" s="101">
        <f t="shared" si="81"/>
        <v>3.8022246431068212E-2</v>
      </c>
      <c r="K298" s="101">
        <f t="shared" si="82"/>
        <v>2.920580614768177E-2</v>
      </c>
      <c r="L298" s="101">
        <f t="shared" si="91"/>
        <v>144.98547043116807</v>
      </c>
      <c r="M298" s="101">
        <f t="shared" si="83"/>
        <v>778.99358451996466</v>
      </c>
      <c r="N298" s="101">
        <f t="shared" si="84"/>
        <v>75.01876997818573</v>
      </c>
      <c r="O298" s="101">
        <f t="shared" si="85"/>
        <v>1.7906902632960568</v>
      </c>
      <c r="P298" s="101">
        <f t="shared" si="86"/>
        <v>1.7906902632960568</v>
      </c>
      <c r="Q298" s="101">
        <f t="shared" si="87"/>
        <v>0.18205843632457294</v>
      </c>
      <c r="R298" s="101">
        <f t="shared" si="88"/>
        <v>2.0863076762482821E-2</v>
      </c>
      <c r="S298" s="101">
        <f t="shared" si="76"/>
        <v>700.19051250209975</v>
      </c>
      <c r="T298" s="101">
        <f t="shared" si="92"/>
        <v>40.138332470182377</v>
      </c>
      <c r="U298" s="101">
        <f t="shared" si="92"/>
        <v>19.059207310665087</v>
      </c>
      <c r="V298" s="33">
        <f t="shared" si="93"/>
        <v>1000.0000000000034</v>
      </c>
      <c r="W298" s="105">
        <f t="shared" si="89"/>
        <v>131220.86989147452</v>
      </c>
      <c r="X298" s="112">
        <f t="shared" si="94"/>
        <v>940.80246021915593</v>
      </c>
      <c r="Y298" s="32">
        <f t="shared" si="90"/>
        <v>569.43168801748834</v>
      </c>
    </row>
    <row r="299" spans="1:25" x14ac:dyDescent="0.25">
      <c r="A299" s="4">
        <v>293</v>
      </c>
      <c r="C299" s="110">
        <f>IF(male=0,VLOOKUP(((A297:A1131/'Life tables'!$I$2)*2)+age,lifetable,13,1),IF(male=1,VLOOKUP(((A297:A1131/'Life tables'!$I$2)*2)+age,lifetable,10,1),"error"))</f>
        <v>2.1228983945331681E-4</v>
      </c>
      <c r="F299" s="101">
        <f t="shared" si="77"/>
        <v>162.02996899915897</v>
      </c>
      <c r="G299" s="101">
        <f t="shared" si="78"/>
        <v>16.276249496007253</v>
      </c>
      <c r="H299" s="101">
        <f t="shared" si="79"/>
        <v>0.37246197351901278</v>
      </c>
      <c r="I299" s="101">
        <f t="shared" si="80"/>
        <v>0.37246197351901278</v>
      </c>
      <c r="J299" s="101">
        <f t="shared" si="81"/>
        <v>3.8010738282988496E-2</v>
      </c>
      <c r="K299" s="101">
        <f t="shared" si="82"/>
        <v>2.9196966461090816E-2</v>
      </c>
      <c r="L299" s="101">
        <f t="shared" si="91"/>
        <v>144.9415878513696</v>
      </c>
      <c r="M299" s="101">
        <f t="shared" si="83"/>
        <v>778.77249121999705</v>
      </c>
      <c r="N299" s="101">
        <f t="shared" si="84"/>
        <v>74.997478214372023</v>
      </c>
      <c r="O299" s="101">
        <f t="shared" si="85"/>
        <v>1.7901820311008252</v>
      </c>
      <c r="P299" s="101">
        <f t="shared" si="86"/>
        <v>1.7901820311008252</v>
      </c>
      <c r="Q299" s="101">
        <f t="shared" si="87"/>
        <v>0.18200676465323465</v>
      </c>
      <c r="R299" s="101">
        <f t="shared" si="88"/>
        <v>2.0857155421690601E-2</v>
      </c>
      <c r="S299" s="101">
        <f t="shared" si="76"/>
        <v>699.99178502334848</v>
      </c>
      <c r="T299" s="101">
        <f t="shared" si="92"/>
        <v>40.3583499731186</v>
      </c>
      <c r="U299" s="101">
        <f t="shared" si="92"/>
        <v>19.109261432547868</v>
      </c>
      <c r="V299" s="33">
        <f t="shared" si="93"/>
        <v>1000.0000000000035</v>
      </c>
      <c r="W299" s="105">
        <f t="shared" si="89"/>
        <v>131032.57312526324</v>
      </c>
      <c r="X299" s="112">
        <f t="shared" si="94"/>
        <v>940.53238859433702</v>
      </c>
      <c r="Y299" s="32">
        <f t="shared" si="90"/>
        <v>569.10451008749862</v>
      </c>
    </row>
    <row r="300" spans="1:25" x14ac:dyDescent="0.25">
      <c r="A300" s="4">
        <v>294</v>
      </c>
      <c r="C300" s="110">
        <f>IF(male=0,VLOOKUP(((A298:A1132/'Life tables'!$I$2)*2)+age,lifetable,13,1),IF(male=1,VLOOKUP(((A298:A1132/'Life tables'!$I$2)*2)+age,lifetable,10,1),"error"))</f>
        <v>2.1228983945331681E-4</v>
      </c>
      <c r="F300" s="101">
        <f t="shared" si="77"/>
        <v>161.98100578588668</v>
      </c>
      <c r="G300" s="101">
        <f t="shared" si="78"/>
        <v>16.271331038759691</v>
      </c>
      <c r="H300" s="101">
        <f t="shared" si="79"/>
        <v>0.37234942066747623</v>
      </c>
      <c r="I300" s="101">
        <f t="shared" si="80"/>
        <v>0.37234942066747623</v>
      </c>
      <c r="J300" s="101">
        <f t="shared" si="81"/>
        <v>3.7999251964150792E-2</v>
      </c>
      <c r="K300" s="101">
        <f t="shared" si="82"/>
        <v>2.9188143542068064E-2</v>
      </c>
      <c r="L300" s="101">
        <f t="shared" si="91"/>
        <v>144.89778851028581</v>
      </c>
      <c r="M300" s="101">
        <f t="shared" si="83"/>
        <v>778.55138280845028</v>
      </c>
      <c r="N300" s="101">
        <f t="shared" si="84"/>
        <v>74.976184995280505</v>
      </c>
      <c r="O300" s="101">
        <f t="shared" si="85"/>
        <v>1.789673764168263</v>
      </c>
      <c r="P300" s="101">
        <f t="shared" si="86"/>
        <v>1.789673764168263</v>
      </c>
      <c r="Q300" s="101">
        <f t="shared" si="87"/>
        <v>0.18195508945017214</v>
      </c>
      <c r="R300" s="101">
        <f t="shared" si="88"/>
        <v>2.08512336761787E-2</v>
      </c>
      <c r="S300" s="101">
        <f t="shared" si="76"/>
        <v>699.79304396170687</v>
      </c>
      <c r="T300" s="101">
        <f t="shared" si="92"/>
        <v>40.578304314532922</v>
      </c>
      <c r="U300" s="101">
        <f t="shared" si="92"/>
        <v>19.159300809766115</v>
      </c>
      <c r="V300" s="33">
        <f t="shared" si="93"/>
        <v>1000.0000000000034</v>
      </c>
      <c r="W300" s="105">
        <f t="shared" si="89"/>
        <v>130844.5420064917</v>
      </c>
      <c r="X300" s="112">
        <f t="shared" si="94"/>
        <v>940.26239487570433</v>
      </c>
      <c r="Y300" s="32">
        <f t="shared" si="90"/>
        <v>568.77752034351965</v>
      </c>
    </row>
    <row r="301" spans="1:25" x14ac:dyDescent="0.25">
      <c r="A301" s="4">
        <v>295</v>
      </c>
      <c r="C301" s="110">
        <f>IF(male=0,VLOOKUP(((A299:A1133/'Life tables'!$I$2)*2)+age,lifetable,13,1),IF(male=1,VLOOKUP(((A299:A1133/'Life tables'!$I$2)*2)+age,lifetable,10,1),"error"))</f>
        <v>2.1228983945331681E-4</v>
      </c>
      <c r="F301" s="101">
        <f t="shared" si="77"/>
        <v>161.93213313445813</v>
      </c>
      <c r="G301" s="101">
        <f t="shared" si="78"/>
        <v>16.266421678638867</v>
      </c>
      <c r="H301" s="101">
        <f t="shared" si="79"/>
        <v>0.37223707599250888</v>
      </c>
      <c r="I301" s="101">
        <f t="shared" si="80"/>
        <v>0.37223707599250888</v>
      </c>
      <c r="J301" s="101">
        <f t="shared" si="81"/>
        <v>3.7987786890287478E-2</v>
      </c>
      <c r="K301" s="101">
        <f t="shared" si="82"/>
        <v>2.9179336941823442E-2</v>
      </c>
      <c r="L301" s="101">
        <f t="shared" si="91"/>
        <v>144.85407018000214</v>
      </c>
      <c r="M301" s="101">
        <f t="shared" si="83"/>
        <v>778.3302617412462</v>
      </c>
      <c r="N301" s="101">
        <f t="shared" si="84"/>
        <v>74.954890557421777</v>
      </c>
      <c r="O301" s="101">
        <f t="shared" si="85"/>
        <v>1.7891654681438534</v>
      </c>
      <c r="P301" s="101">
        <f t="shared" si="86"/>
        <v>1.7891654681438534</v>
      </c>
      <c r="Q301" s="101">
        <f t="shared" si="87"/>
        <v>0.18190341128935858</v>
      </c>
      <c r="R301" s="101">
        <f t="shared" si="88"/>
        <v>2.0845311591721837E-2</v>
      </c>
      <c r="S301" s="101">
        <f t="shared" si="76"/>
        <v>699.59429152465566</v>
      </c>
      <c r="T301" s="101">
        <f t="shared" si="92"/>
        <v>40.798195512712567</v>
      </c>
      <c r="U301" s="101">
        <f t="shared" si="92"/>
        <v>19.209325458299659</v>
      </c>
      <c r="V301" s="33">
        <f t="shared" si="93"/>
        <v>1000.0000000000034</v>
      </c>
      <c r="W301" s="105">
        <f t="shared" si="89"/>
        <v>130656.77630755916</v>
      </c>
      <c r="X301" s="112">
        <f t="shared" si="94"/>
        <v>939.99247902899117</v>
      </c>
      <c r="Y301" s="32">
        <f t="shared" si="90"/>
        <v>568.45071867102683</v>
      </c>
    </row>
    <row r="302" spans="1:25" x14ac:dyDescent="0.25">
      <c r="A302" s="4">
        <v>296</v>
      </c>
      <c r="C302" s="110">
        <f>IF(male=0,VLOOKUP(((A300:A1134/'Life tables'!$I$2)*2)+age,lifetable,13,1),IF(male=1,VLOOKUP(((A300:A1134/'Life tables'!$I$2)*2)+age,lifetable,10,1),"error"))</f>
        <v>2.1228983945331681E-4</v>
      </c>
      <c r="F302" s="101">
        <f t="shared" si="77"/>
        <v>161.88334863187839</v>
      </c>
      <c r="G302" s="101">
        <f t="shared" si="78"/>
        <v>16.261521173254394</v>
      </c>
      <c r="H302" s="101">
        <f t="shared" si="79"/>
        <v>0.37212493394730434</v>
      </c>
      <c r="I302" s="101">
        <f t="shared" si="80"/>
        <v>0.37212493394730434</v>
      </c>
      <c r="J302" s="101">
        <f t="shared" si="81"/>
        <v>3.7976342495332154E-2</v>
      </c>
      <c r="K302" s="101">
        <f t="shared" si="82"/>
        <v>2.9170546225547683E-2</v>
      </c>
      <c r="L302" s="101">
        <f t="shared" si="91"/>
        <v>144.81043070200852</v>
      </c>
      <c r="M302" s="101">
        <f t="shared" si="83"/>
        <v>778.10913039711284</v>
      </c>
      <c r="N302" s="101">
        <f t="shared" si="84"/>
        <v>74.933595129872486</v>
      </c>
      <c r="O302" s="101">
        <f t="shared" si="85"/>
        <v>1.7886571484956328</v>
      </c>
      <c r="P302" s="101">
        <f t="shared" si="86"/>
        <v>1.7886571484956328</v>
      </c>
      <c r="Q302" s="101">
        <f t="shared" si="87"/>
        <v>0.18185173072672586</v>
      </c>
      <c r="R302" s="101">
        <f t="shared" si="88"/>
        <v>2.0839389232027324E-2</v>
      </c>
      <c r="S302" s="101">
        <f t="shared" si="76"/>
        <v>699.39552985029036</v>
      </c>
      <c r="T302" s="101">
        <f t="shared" si="92"/>
        <v>41.018023585934628</v>
      </c>
      <c r="U302" s="101">
        <f t="shared" si="92"/>
        <v>19.259335393757233</v>
      </c>
      <c r="V302" s="33">
        <f t="shared" si="93"/>
        <v>1000.0000000000036</v>
      </c>
      <c r="W302" s="105">
        <f t="shared" si="89"/>
        <v>130469.27579621921</v>
      </c>
      <c r="X302" s="112">
        <f t="shared" si="94"/>
        <v>939.7226410203117</v>
      </c>
      <c r="Y302" s="32">
        <f t="shared" si="90"/>
        <v>568.12410495576228</v>
      </c>
    </row>
    <row r="303" spans="1:25" x14ac:dyDescent="0.25">
      <c r="A303" s="4">
        <v>297</v>
      </c>
      <c r="C303" s="110">
        <f>IF(male=0,VLOOKUP(((A301:A1135/'Life tables'!$I$2)*2)+age,lifetable,13,1),IF(male=1,VLOOKUP(((A301:A1135/'Life tables'!$I$2)*2)+age,lifetable,10,1),"error"))</f>
        <v>2.1228983945331681E-4</v>
      </c>
      <c r="F303" s="101">
        <f t="shared" si="77"/>
        <v>161.83464994031928</v>
      </c>
      <c r="G303" s="101">
        <f t="shared" si="78"/>
        <v>16.256629287766536</v>
      </c>
      <c r="H303" s="101">
        <f t="shared" si="79"/>
        <v>0.37201298915784387</v>
      </c>
      <c r="I303" s="101">
        <f t="shared" si="80"/>
        <v>0.37201298915784387</v>
      </c>
      <c r="J303" s="101">
        <f t="shared" si="81"/>
        <v>3.7964918230851893E-2</v>
      </c>
      <c r="K303" s="101">
        <f t="shared" si="82"/>
        <v>2.916177097197618E-2</v>
      </c>
      <c r="L303" s="101">
        <f t="shared" si="91"/>
        <v>144.76686798503422</v>
      </c>
      <c r="M303" s="101">
        <f t="shared" si="83"/>
        <v>777.88799107999239</v>
      </c>
      <c r="N303" s="101">
        <f t="shared" si="84"/>
        <v>74.912298934507263</v>
      </c>
      <c r="O303" s="101">
        <f t="shared" si="85"/>
        <v>1.7881488105197259</v>
      </c>
      <c r="P303" s="101">
        <f t="shared" si="86"/>
        <v>1.7881488105197259</v>
      </c>
      <c r="Q303" s="101">
        <f t="shared" si="87"/>
        <v>0.18180004830072788</v>
      </c>
      <c r="R303" s="101">
        <f t="shared" si="88"/>
        <v>2.0833466658799552E-2</v>
      </c>
      <c r="S303" s="101">
        <f t="shared" si="76"/>
        <v>699.19676100948618</v>
      </c>
      <c r="T303" s="101">
        <f t="shared" si="92"/>
        <v>41.237788552466206</v>
      </c>
      <c r="U303" s="101">
        <f t="shared" si="92"/>
        <v>19.309330631388008</v>
      </c>
      <c r="V303" s="33">
        <f t="shared" si="93"/>
        <v>1000.0000000000035</v>
      </c>
      <c r="W303" s="105">
        <f t="shared" si="89"/>
        <v>130282.04023574671</v>
      </c>
      <c r="X303" s="112">
        <f t="shared" si="94"/>
        <v>939.45288081614933</v>
      </c>
      <c r="Y303" s="32">
        <f t="shared" si="90"/>
        <v>567.79767908372946</v>
      </c>
    </row>
    <row r="304" spans="1:25" x14ac:dyDescent="0.25">
      <c r="A304" s="4">
        <v>298</v>
      </c>
      <c r="C304" s="110">
        <f>IF(male=0,VLOOKUP(((A302:A1136/'Life tables'!$I$2)*2)+age,lifetable,13,1),IF(male=1,VLOOKUP(((A302:A1136/'Life tables'!$I$2)*2)+age,lifetable,10,1),"error"))</f>
        <v>2.1228983945331681E-4</v>
      </c>
      <c r="F304" s="101">
        <f t="shared" si="77"/>
        <v>161.7860347947738</v>
      </c>
      <c r="G304" s="101">
        <f t="shared" si="78"/>
        <v>16.251745794650599</v>
      </c>
      <c r="H304" s="101">
        <f t="shared" si="79"/>
        <v>0.37190123641750433</v>
      </c>
      <c r="I304" s="101">
        <f t="shared" si="80"/>
        <v>0.37190123641750433</v>
      </c>
      <c r="J304" s="101">
        <f t="shared" si="81"/>
        <v>3.7953513565496873E-2</v>
      </c>
      <c r="K304" s="101">
        <f t="shared" si="82"/>
        <v>2.915301077296633E-2</v>
      </c>
      <c r="L304" s="101">
        <f t="shared" si="91"/>
        <v>144.72338000294974</v>
      </c>
      <c r="M304" s="101">
        <f t="shared" si="83"/>
        <v>777.66684602137548</v>
      </c>
      <c r="N304" s="101">
        <f t="shared" si="84"/>
        <v>74.891002186223488</v>
      </c>
      <c r="O304" s="101">
        <f t="shared" si="85"/>
        <v>1.7876404593457103</v>
      </c>
      <c r="P304" s="101">
        <f t="shared" si="86"/>
        <v>1.7876404593457103</v>
      </c>
      <c r="Q304" s="101">
        <f t="shared" si="87"/>
        <v>0.1817483645328859</v>
      </c>
      <c r="R304" s="101">
        <f t="shared" si="88"/>
        <v>2.0827543931802497E-2</v>
      </c>
      <c r="S304" s="101">
        <f t="shared" si="76"/>
        <v>698.9979870079959</v>
      </c>
      <c r="T304" s="101">
        <f t="shared" si="92"/>
        <v>41.45749043056459</v>
      </c>
      <c r="U304" s="101">
        <f t="shared" si="92"/>
        <v>19.359311186092775</v>
      </c>
      <c r="V304" s="33">
        <f t="shared" si="93"/>
        <v>1000.0000000000035</v>
      </c>
      <c r="W304" s="105">
        <f t="shared" si="89"/>
        <v>130095.06938509997</v>
      </c>
      <c r="X304" s="112">
        <f t="shared" si="94"/>
        <v>939.18319838334617</v>
      </c>
      <c r="Y304" s="32">
        <f t="shared" si="90"/>
        <v>567.47144094118607</v>
      </c>
    </row>
    <row r="305" spans="1:25" x14ac:dyDescent="0.25">
      <c r="A305" s="4">
        <v>299</v>
      </c>
      <c r="C305" s="110">
        <f>IF(male=0,VLOOKUP(((A303:A1137/'Life tables'!$I$2)*2)+age,lifetable,13,1),IF(male=1,VLOOKUP(((A303:A1137/'Life tables'!$I$2)*2)+age,lifetable,10,1),"error"))</f>
        <v>2.1228983945331681E-4</v>
      </c>
      <c r="F305" s="101">
        <f t="shared" si="77"/>
        <v>161.73750100078456</v>
      </c>
      <c r="G305" s="101">
        <f t="shared" si="78"/>
        <v>16.246870473468746</v>
      </c>
      <c r="H305" s="101">
        <f t="shared" si="79"/>
        <v>0.37178967068183666</v>
      </c>
      <c r="I305" s="101">
        <f t="shared" si="80"/>
        <v>0.37178967068183666</v>
      </c>
      <c r="J305" s="101">
        <f t="shared" si="81"/>
        <v>3.7942127984467638E-2</v>
      </c>
      <c r="K305" s="101">
        <f t="shared" si="82"/>
        <v>2.9144265233088208E-2</v>
      </c>
      <c r="L305" s="101">
        <f t="shared" si="91"/>
        <v>144.67996479273458</v>
      </c>
      <c r="M305" s="101">
        <f t="shared" si="83"/>
        <v>777.44569738256178</v>
      </c>
      <c r="N305" s="101">
        <f t="shared" si="84"/>
        <v>74.869705093159013</v>
      </c>
      <c r="O305" s="101">
        <f t="shared" si="85"/>
        <v>1.7871320999418148</v>
      </c>
      <c r="P305" s="101">
        <f t="shared" si="86"/>
        <v>1.7871320999418148</v>
      </c>
      <c r="Q305" s="101">
        <f t="shared" si="87"/>
        <v>0.18169667992831692</v>
      </c>
      <c r="R305" s="101">
        <f t="shared" si="88"/>
        <v>2.0821621108920284E-2</v>
      </c>
      <c r="S305" s="101">
        <f t="shared" si="76"/>
        <v>698.7992097884819</v>
      </c>
      <c r="T305" s="101">
        <f t="shared" si="92"/>
        <v>41.677129238477377</v>
      </c>
      <c r="U305" s="101">
        <f t="shared" si="92"/>
        <v>19.409277072434783</v>
      </c>
      <c r="V305" s="33">
        <f t="shared" si="93"/>
        <v>1000.0000000000038</v>
      </c>
      <c r="W305" s="105">
        <f t="shared" si="89"/>
        <v>129908.36299907739</v>
      </c>
      <c r="X305" s="112">
        <f t="shared" si="94"/>
        <v>938.91359368909161</v>
      </c>
      <c r="Y305" s="32">
        <f t="shared" si="90"/>
        <v>567.14539041463809</v>
      </c>
    </row>
    <row r="306" spans="1:25" x14ac:dyDescent="0.25">
      <c r="A306" s="4">
        <v>300</v>
      </c>
      <c r="C306" s="110">
        <f>IF(male=0,VLOOKUP(((A304:A1138/'Life tables'!$I$2)*2)+age,lifetable,13,1),IF(male=1,VLOOKUP(((A304:A1138/'Life tables'!$I$2)*2)+age,lifetable,10,1),"error"))</f>
        <v>2.1228983945331681E-4</v>
      </c>
      <c r="F306" s="101">
        <f t="shared" si="77"/>
        <v>161.68904643224244</v>
      </c>
      <c r="G306" s="101">
        <f t="shared" si="78"/>
        <v>16.242003110648863</v>
      </c>
      <c r="H306" s="101">
        <f t="shared" si="79"/>
        <v>0.37167828706350553</v>
      </c>
      <c r="I306" s="101">
        <f t="shared" si="80"/>
        <v>0.37167828706350553</v>
      </c>
      <c r="J306" s="101">
        <f t="shared" si="81"/>
        <v>3.7930760988998544E-2</v>
      </c>
      <c r="K306" s="101">
        <f t="shared" si="82"/>
        <v>2.9135533969227887E-2</v>
      </c>
      <c r="L306" s="101">
        <f t="shared" si="91"/>
        <v>144.63662045250834</v>
      </c>
      <c r="M306" s="101">
        <f t="shared" si="83"/>
        <v>777.22454725684906</v>
      </c>
      <c r="N306" s="101">
        <f t="shared" si="84"/>
        <v>74.848407856902938</v>
      </c>
      <c r="O306" s="101">
        <f t="shared" si="85"/>
        <v>1.7866237371199509</v>
      </c>
      <c r="P306" s="101">
        <f t="shared" si="86"/>
        <v>1.7866237371199509</v>
      </c>
      <c r="Q306" s="101">
        <f t="shared" si="87"/>
        <v>0.18164499497624501</v>
      </c>
      <c r="R306" s="101">
        <f t="shared" si="88"/>
        <v>2.0815698246215812E-2</v>
      </c>
      <c r="S306" s="101">
        <f t="shared" si="76"/>
        <v>698.60043123248374</v>
      </c>
      <c r="T306" s="101">
        <f t="shared" si="92"/>
        <v>41.896704994442622</v>
      </c>
      <c r="U306" s="101">
        <f t="shared" si="92"/>
        <v>19.459228304650228</v>
      </c>
      <c r="V306" s="33">
        <f t="shared" si="93"/>
        <v>1000.0000000000036</v>
      </c>
      <c r="W306" s="105">
        <f t="shared" si="89"/>
        <v>129721.92082846917</v>
      </c>
      <c r="X306" s="112">
        <f t="shared" si="94"/>
        <v>938.6440667009108</v>
      </c>
      <c r="Y306" s="32">
        <f t="shared" si="90"/>
        <v>566.81952739083442</v>
      </c>
    </row>
    <row r="307" spans="1:25" x14ac:dyDescent="0.25">
      <c r="A307" s="4">
        <v>301</v>
      </c>
      <c r="C307" s="110">
        <f>IF(male=0,VLOOKUP(((A305:A1139/'Life tables'!$I$2)*2)+age,lifetable,13,1),IF(male=1,VLOOKUP(((A305:A1139/'Life tables'!$I$2)*2)+age,lifetable,10,1),"error"))</f>
        <v>2.1228983945331681E-4</v>
      </c>
      <c r="F307" s="101">
        <f t="shared" si="77"/>
        <v>161.64066902925421</v>
      </c>
      <c r="G307" s="101">
        <f t="shared" si="78"/>
        <v>16.23714349927037</v>
      </c>
      <c r="H307" s="101">
        <f t="shared" si="79"/>
        <v>0.37156708082738749</v>
      </c>
      <c r="I307" s="101">
        <f t="shared" si="80"/>
        <v>0.37156708082738749</v>
      </c>
      <c r="J307" s="101">
        <f t="shared" si="81"/>
        <v>3.7919412095857634E-2</v>
      </c>
      <c r="K307" s="101">
        <f t="shared" si="82"/>
        <v>2.9126816610203218E-2</v>
      </c>
      <c r="L307" s="101">
        <f t="shared" si="91"/>
        <v>144.59334513962301</v>
      </c>
      <c r="M307" s="101">
        <f t="shared" si="83"/>
        <v>777.00339767165656</v>
      </c>
      <c r="N307" s="101">
        <f t="shared" si="84"/>
        <v>74.82711067270013</v>
      </c>
      <c r="O307" s="101">
        <f t="shared" si="85"/>
        <v>1.7861153755405932</v>
      </c>
      <c r="P307" s="101">
        <f t="shared" si="86"/>
        <v>1.7861153755405932</v>
      </c>
      <c r="Q307" s="101">
        <f t="shared" si="87"/>
        <v>0.18159331015049793</v>
      </c>
      <c r="R307" s="101">
        <f t="shared" si="88"/>
        <v>2.08097753979876E-2</v>
      </c>
      <c r="S307" s="101">
        <f t="shared" si="76"/>
        <v>698.40165316232674</v>
      </c>
      <c r="T307" s="101">
        <f t="shared" si="92"/>
        <v>42.116217716688979</v>
      </c>
      <c r="U307" s="101">
        <f t="shared" si="92"/>
        <v>19.509164896658419</v>
      </c>
      <c r="V307" s="33">
        <f t="shared" si="93"/>
        <v>1000.0000000000035</v>
      </c>
      <c r="W307" s="105">
        <f t="shared" si="89"/>
        <v>129535.74262020347</v>
      </c>
      <c r="X307" s="112">
        <f t="shared" si="94"/>
        <v>938.37461738665615</v>
      </c>
      <c r="Y307" s="32">
        <f t="shared" si="90"/>
        <v>566.49385175676025</v>
      </c>
    </row>
    <row r="308" spans="1:25" x14ac:dyDescent="0.25">
      <c r="A308" s="4">
        <v>302</v>
      </c>
      <c r="C308" s="110">
        <f>IF(male=0,VLOOKUP(((A306:A1140/'Life tables'!$I$2)*2)+age,lifetable,13,1),IF(male=1,VLOOKUP(((A306:A1140/'Life tables'!$I$2)*2)+age,lifetable,10,1),"error"))</f>
        <v>2.1228983945331681E-4</v>
      </c>
      <c r="F308" s="101">
        <f t="shared" si="77"/>
        <v>161.5923667960767</v>
      </c>
      <c r="G308" s="101">
        <f t="shared" si="78"/>
        <v>16.232291438856688</v>
      </c>
      <c r="H308" s="101">
        <f t="shared" si="79"/>
        <v>0.37145604738582233</v>
      </c>
      <c r="I308" s="101">
        <f t="shared" si="80"/>
        <v>0.37145604738582233</v>
      </c>
      <c r="J308" s="101">
        <f t="shared" si="81"/>
        <v>3.7908080836861945E-2</v>
      </c>
      <c r="K308" s="101">
        <f t="shared" si="82"/>
        <v>2.9118112796391548E-2</v>
      </c>
      <c r="L308" s="101">
        <f t="shared" si="91"/>
        <v>144.5501370688151</v>
      </c>
      <c r="M308" s="101">
        <f t="shared" si="83"/>
        <v>776.78225059057945</v>
      </c>
      <c r="N308" s="101">
        <f t="shared" si="84"/>
        <v>74.80581372964906</v>
      </c>
      <c r="O308" s="101">
        <f t="shared" si="85"/>
        <v>1.7856070197175022</v>
      </c>
      <c r="P308" s="101">
        <f t="shared" si="86"/>
        <v>1.7856070197175022</v>
      </c>
      <c r="Q308" s="101">
        <f t="shared" si="87"/>
        <v>0.18154162590998724</v>
      </c>
      <c r="R308" s="101">
        <f t="shared" si="88"/>
        <v>2.0803852616824835E-2</v>
      </c>
      <c r="S308" s="101">
        <f t="shared" si="76"/>
        <v>698.20287734296858</v>
      </c>
      <c r="T308" s="101">
        <f t="shared" si="92"/>
        <v>42.335667423435829</v>
      </c>
      <c r="U308" s="101">
        <f t="shared" si="92"/>
        <v>19.559086862071634</v>
      </c>
      <c r="V308" s="33">
        <f t="shared" si="93"/>
        <v>1000.0000000000034</v>
      </c>
      <c r="W308" s="105">
        <f t="shared" si="89"/>
        <v>129349.82811748901</v>
      </c>
      <c r="X308" s="112">
        <f t="shared" si="94"/>
        <v>938.10524571449605</v>
      </c>
      <c r="Y308" s="32">
        <f t="shared" si="90"/>
        <v>566.16836339963265</v>
      </c>
    </row>
    <row r="309" spans="1:25" x14ac:dyDescent="0.25">
      <c r="A309" s="4">
        <v>303</v>
      </c>
      <c r="C309" s="110">
        <f>IF(male=0,VLOOKUP(((A307:A1141/'Life tables'!$I$2)*2)+age,lifetable,13,1),IF(male=1,VLOOKUP(((A307:A1141/'Life tables'!$I$2)*2)+age,lifetable,10,1),"error"))</f>
        <v>2.1228983945331681E-4</v>
      </c>
      <c r="F309" s="101">
        <f t="shared" si="77"/>
        <v>161.54413779911539</v>
      </c>
      <c r="G309" s="101">
        <f t="shared" si="78"/>
        <v>16.227446735174194</v>
      </c>
      <c r="H309" s="101">
        <f t="shared" si="79"/>
        <v>0.37134518229401237</v>
      </c>
      <c r="I309" s="101">
        <f t="shared" si="80"/>
        <v>0.37134518229401237</v>
      </c>
      <c r="J309" s="101">
        <f t="shared" si="81"/>
        <v>3.7896766758407988E-2</v>
      </c>
      <c r="K309" s="101">
        <f t="shared" si="82"/>
        <v>2.9109422179369095E-2</v>
      </c>
      <c r="L309" s="101">
        <f t="shared" si="91"/>
        <v>144.50699451041538</v>
      </c>
      <c r="M309" s="101">
        <f t="shared" si="83"/>
        <v>776.56110791538094</v>
      </c>
      <c r="N309" s="101">
        <f t="shared" si="84"/>
        <v>74.78451721089364</v>
      </c>
      <c r="O309" s="101">
        <f t="shared" si="85"/>
        <v>1.7850986740223047</v>
      </c>
      <c r="P309" s="101">
        <f t="shared" si="86"/>
        <v>1.7850986740223047</v>
      </c>
      <c r="Q309" s="101">
        <f t="shared" si="87"/>
        <v>0.18148994269917351</v>
      </c>
      <c r="R309" s="101">
        <f t="shared" si="88"/>
        <v>2.0797929953660709E-2</v>
      </c>
      <c r="S309" s="101">
        <f t="shared" si="76"/>
        <v>698.00410548378989</v>
      </c>
      <c r="T309" s="101">
        <f t="shared" si="92"/>
        <v>42.55505413289341</v>
      </c>
      <c r="U309" s="101">
        <f t="shared" si="92"/>
        <v>19.608994214204664</v>
      </c>
      <c r="V309" s="33">
        <f t="shared" si="93"/>
        <v>1000.0000000000038</v>
      </c>
      <c r="W309" s="105">
        <f t="shared" si="89"/>
        <v>129164.17705995178</v>
      </c>
      <c r="X309" s="112">
        <f t="shared" si="94"/>
        <v>937.83595165290581</v>
      </c>
      <c r="Y309" s="32">
        <f t="shared" si="90"/>
        <v>565.84306220689405</v>
      </c>
    </row>
    <row r="310" spans="1:25" x14ac:dyDescent="0.25">
      <c r="A310" s="4">
        <v>304</v>
      </c>
      <c r="C310" s="110">
        <f>IF(male=0,VLOOKUP(((A308:A1142/'Life tables'!$I$2)*2)+age,lifetable,13,1),IF(male=1,VLOOKUP(((A308:A1142/'Life tables'!$I$2)*2)+age,lifetable,10,1),"error"))</f>
        <v>2.1228983945331681E-4</v>
      </c>
      <c r="F310" s="101">
        <f t="shared" si="77"/>
        <v>161.49598016498524</v>
      </c>
      <c r="G310" s="101">
        <f t="shared" si="78"/>
        <v>16.222609200037443</v>
      </c>
      <c r="H310" s="101">
        <f t="shared" si="79"/>
        <v>0.37123448124556491</v>
      </c>
      <c r="I310" s="101">
        <f t="shared" si="80"/>
        <v>0.37123448124556491</v>
      </c>
      <c r="J310" s="101">
        <f t="shared" si="81"/>
        <v>3.7885469421016907E-2</v>
      </c>
      <c r="K310" s="101">
        <f t="shared" si="82"/>
        <v>2.910074442156152E-2</v>
      </c>
      <c r="L310" s="101">
        <f t="shared" si="91"/>
        <v>144.46391578861409</v>
      </c>
      <c r="M310" s="101">
        <f t="shared" si="83"/>
        <v>776.33997148792059</v>
      </c>
      <c r="N310" s="101">
        <f t="shared" si="84"/>
        <v>74.763221293808954</v>
      </c>
      <c r="O310" s="101">
        <f t="shared" si="85"/>
        <v>1.7845903426889249</v>
      </c>
      <c r="P310" s="101">
        <f t="shared" si="86"/>
        <v>1.7845903426889249</v>
      </c>
      <c r="Q310" s="101">
        <f t="shared" si="87"/>
        <v>0.18143826094851745</v>
      </c>
      <c r="R310" s="101">
        <f t="shared" si="88"/>
        <v>2.0792007457824072E-2</v>
      </c>
      <c r="S310" s="101">
        <f t="shared" si="76"/>
        <v>697.80533924032738</v>
      </c>
      <c r="T310" s="101">
        <f t="shared" si="92"/>
        <v>42.774377863262941</v>
      </c>
      <c r="U310" s="101">
        <f t="shared" si="92"/>
        <v>19.658886966084051</v>
      </c>
      <c r="V310" s="33">
        <f t="shared" si="93"/>
        <v>1000.0000000000039</v>
      </c>
      <c r="W310" s="105">
        <f t="shared" si="89"/>
        <v>128978.78918376815</v>
      </c>
      <c r="X310" s="112">
        <f t="shared" si="94"/>
        <v>937.56673517065678</v>
      </c>
      <c r="Y310" s="32">
        <f t="shared" si="90"/>
        <v>565.51794806620705</v>
      </c>
    </row>
    <row r="311" spans="1:25" x14ac:dyDescent="0.25">
      <c r="A311" s="4">
        <v>305</v>
      </c>
      <c r="C311" s="110">
        <f>IF(male=0,VLOOKUP(((A309:A1143/'Life tables'!$I$2)*2)+age,lifetable,13,1),IF(male=1,VLOOKUP(((A309:A1143/'Life tables'!$I$2)*2)+age,lifetable,10,1),"error"))</f>
        <v>2.1228983945331681E-4</v>
      </c>
      <c r="F311" s="101">
        <f t="shared" si="77"/>
        <v>161.44789207863235</v>
      </c>
      <c r="G311" s="101">
        <f t="shared" si="78"/>
        <v>16.217778651120476</v>
      </c>
      <c r="H311" s="101">
        <f t="shared" si="79"/>
        <v>0.37112394006817417</v>
      </c>
      <c r="I311" s="101">
        <f t="shared" si="80"/>
        <v>0.37112394006817417</v>
      </c>
      <c r="J311" s="101">
        <f t="shared" si="81"/>
        <v>3.7874188398893789E-2</v>
      </c>
      <c r="K311" s="101">
        <f t="shared" si="82"/>
        <v>2.9092079195905451E-2</v>
      </c>
      <c r="L311" s="101">
        <f t="shared" si="91"/>
        <v>144.42089927978071</v>
      </c>
      <c r="M311" s="101">
        <f t="shared" si="83"/>
        <v>776.11884309202458</v>
      </c>
      <c r="N311" s="101">
        <f t="shared" si="84"/>
        <v>74.7419261501813</v>
      </c>
      <c r="O311" s="101">
        <f t="shared" si="85"/>
        <v>1.7840820298178848</v>
      </c>
      <c r="P311" s="101">
        <f t="shared" si="86"/>
        <v>1.7840820298178848</v>
      </c>
      <c r="Q311" s="101">
        <f t="shared" si="87"/>
        <v>0.18138658107491668</v>
      </c>
      <c r="R311" s="101">
        <f t="shared" si="88"/>
        <v>2.0786085177089519E-2</v>
      </c>
      <c r="S311" s="101">
        <f t="shared" si="76"/>
        <v>697.60658021595555</v>
      </c>
      <c r="T311" s="101">
        <f t="shared" si="92"/>
        <v>42.993638632736754</v>
      </c>
      <c r="U311" s="101">
        <f t="shared" si="92"/>
        <v>19.708765130457046</v>
      </c>
      <c r="V311" s="33">
        <f t="shared" si="93"/>
        <v>1000.000000000004</v>
      </c>
      <c r="W311" s="105">
        <f t="shared" si="89"/>
        <v>128793.66422179321</v>
      </c>
      <c r="X311" s="112">
        <f t="shared" si="94"/>
        <v>937.29759623681014</v>
      </c>
      <c r="Y311" s="32">
        <f t="shared" si="90"/>
        <v>565.19302086545156</v>
      </c>
    </row>
    <row r="312" spans="1:25" x14ac:dyDescent="0.25">
      <c r="A312" s="4">
        <v>306</v>
      </c>
      <c r="C312" s="110">
        <f>IF(male=0,VLOOKUP(((A310:A1144/'Life tables'!$I$2)*2)+age,lifetable,13,1),IF(male=1,VLOOKUP(((A310:A1144/'Life tables'!$I$2)*2)+age,lifetable,10,1),"error"))</f>
        <v>2.1228983945331681E-4</v>
      </c>
      <c r="F312" s="101">
        <f t="shared" si="77"/>
        <v>161.39987178151415</v>
      </c>
      <c r="G312" s="101">
        <f t="shared" si="78"/>
        <v>16.212954911774009</v>
      </c>
      <c r="H312" s="101">
        <f t="shared" si="79"/>
        <v>0.37101355471943842</v>
      </c>
      <c r="I312" s="101">
        <f t="shared" si="80"/>
        <v>0.37101355471943842</v>
      </c>
      <c r="J312" s="101">
        <f t="shared" si="81"/>
        <v>3.7862923279500714E-2</v>
      </c>
      <c r="K312" s="101">
        <f t="shared" si="82"/>
        <v>2.908342618552057E-2</v>
      </c>
      <c r="L312" s="101">
        <f t="shared" si="91"/>
        <v>144.37794341083625</v>
      </c>
      <c r="M312" s="101">
        <f t="shared" si="83"/>
        <v>775.89772445529604</v>
      </c>
      <c r="N312" s="101">
        <f t="shared" si="84"/>
        <v>74.720631946382625</v>
      </c>
      <c r="O312" s="101">
        <f t="shared" si="85"/>
        <v>1.7835737393804647</v>
      </c>
      <c r="P312" s="101">
        <f t="shared" si="86"/>
        <v>1.7835737393804647</v>
      </c>
      <c r="Q312" s="101">
        <f t="shared" si="87"/>
        <v>0.18133490348212902</v>
      </c>
      <c r="R312" s="101">
        <f t="shared" si="88"/>
        <v>2.0780163157725871E-2</v>
      </c>
      <c r="S312" s="101">
        <f t="shared" si="76"/>
        <v>697.40782996351265</v>
      </c>
      <c r="T312" s="101">
        <f t="shared" si="92"/>
        <v>43.212836459498384</v>
      </c>
      <c r="U312" s="101">
        <f t="shared" si="92"/>
        <v>19.758628719800292</v>
      </c>
      <c r="V312" s="33">
        <f t="shared" si="93"/>
        <v>1000.000000000004</v>
      </c>
      <c r="W312" s="105">
        <f t="shared" si="89"/>
        <v>128608.80190368534</v>
      </c>
      <c r="X312" s="112">
        <f t="shared" si="94"/>
        <v>937.02853482070532</v>
      </c>
      <c r="Y312" s="32">
        <f t="shared" si="90"/>
        <v>564.86828049271674</v>
      </c>
    </row>
    <row r="313" spans="1:25" x14ac:dyDescent="0.25">
      <c r="A313" s="4">
        <v>307</v>
      </c>
      <c r="C313" s="110">
        <f>IF(male=0,VLOOKUP(((A311:A1145/'Life tables'!$I$2)*2)+age,lifetable,13,1),IF(male=1,VLOOKUP(((A311:A1145/'Life tables'!$I$2)*2)+age,lifetable,10,1),"error"))</f>
        <v>2.1228983945331681E-4</v>
      </c>
      <c r="F313" s="101">
        <f t="shared" si="77"/>
        <v>161.35191756983608</v>
      </c>
      <c r="G313" s="101">
        <f t="shared" si="78"/>
        <v>16.20813781084831</v>
      </c>
      <c r="H313" s="101">
        <f t="shared" si="79"/>
        <v>0.37090332128280634</v>
      </c>
      <c r="I313" s="101">
        <f t="shared" si="80"/>
        <v>0.37090332128280634</v>
      </c>
      <c r="J313" s="101">
        <f t="shared" si="81"/>
        <v>3.7851673663143182E-2</v>
      </c>
      <c r="K313" s="101">
        <f t="shared" si="82"/>
        <v>2.9074785083391862E-2</v>
      </c>
      <c r="L313" s="101">
        <f t="shared" si="91"/>
        <v>144.3350466576756</v>
      </c>
      <c r="M313" s="101">
        <f t="shared" si="83"/>
        <v>775.6766172508693</v>
      </c>
      <c r="N313" s="101">
        <f t="shared" si="84"/>
        <v>74.69933884353938</v>
      </c>
      <c r="O313" s="101">
        <f t="shared" si="85"/>
        <v>1.7830654752227366</v>
      </c>
      <c r="P313" s="101">
        <f t="shared" si="86"/>
        <v>1.7830654752227366</v>
      </c>
      <c r="Q313" s="101">
        <f t="shared" si="87"/>
        <v>0.1812832285611824</v>
      </c>
      <c r="R313" s="101">
        <f t="shared" si="88"/>
        <v>2.0774241444543168E-2</v>
      </c>
      <c r="S313" s="101">
        <f t="shared" si="76"/>
        <v>697.20908998687867</v>
      </c>
      <c r="T313" s="101">
        <f t="shared" si="92"/>
        <v>43.431971361722709</v>
      </c>
      <c r="U313" s="101">
        <f t="shared" si="92"/>
        <v>19.808477746328226</v>
      </c>
      <c r="V313" s="33">
        <f t="shared" si="93"/>
        <v>1000.000000000004</v>
      </c>
      <c r="W313" s="105">
        <f t="shared" si="89"/>
        <v>128424.20195602621</v>
      </c>
      <c r="X313" s="112">
        <f t="shared" si="94"/>
        <v>936.75955089195304</v>
      </c>
      <c r="Y313" s="32">
        <f t="shared" si="90"/>
        <v>564.54372683629822</v>
      </c>
    </row>
    <row r="314" spans="1:25" x14ac:dyDescent="0.25">
      <c r="A314" s="4">
        <v>308</v>
      </c>
      <c r="C314" s="110">
        <f>IF(male=0,VLOOKUP(((A312:A1146/'Life tables'!$I$2)*2)+age,lifetable,13,1),IF(male=1,VLOOKUP(((A312:A1146/'Life tables'!$I$2)*2)+age,lifetable,10,1),"error"))</f>
        <v>2.1228983945331681E-4</v>
      </c>
      <c r="F314" s="101">
        <f t="shared" si="77"/>
        <v>161.30402779284361</v>
      </c>
      <c r="G314" s="101">
        <f t="shared" si="78"/>
        <v>16.203327182521637</v>
      </c>
      <c r="H314" s="101">
        <f t="shared" si="79"/>
        <v>0.37079323596365105</v>
      </c>
      <c r="I314" s="101">
        <f t="shared" si="80"/>
        <v>0.37079323596365105</v>
      </c>
      <c r="J314" s="101">
        <f t="shared" si="81"/>
        <v>3.7840439162569399E-2</v>
      </c>
      <c r="K314" s="101">
        <f t="shared" si="82"/>
        <v>2.9066155592061868E-2</v>
      </c>
      <c r="L314" s="101">
        <f t="shared" si="91"/>
        <v>144.29220754364005</v>
      </c>
      <c r="M314" s="101">
        <f t="shared" si="83"/>
        <v>775.45552309910954</v>
      </c>
      <c r="N314" s="101">
        <f t="shared" si="84"/>
        <v>74.678046997696256</v>
      </c>
      <c r="O314" s="101">
        <f t="shared" si="85"/>
        <v>1.782557241069471</v>
      </c>
      <c r="P314" s="101">
        <f t="shared" si="86"/>
        <v>1.782557241069471</v>
      </c>
      <c r="Q314" s="101">
        <f t="shared" si="87"/>
        <v>0.1812315566907719</v>
      </c>
      <c r="R314" s="101">
        <f t="shared" si="88"/>
        <v>2.0768320080938176E-2</v>
      </c>
      <c r="S314" s="101">
        <f t="shared" si="76"/>
        <v>697.0103617425026</v>
      </c>
      <c r="T314" s="101">
        <f t="shared" si="92"/>
        <v>43.65104335757605</v>
      </c>
      <c r="U314" s="101">
        <f t="shared" si="92"/>
        <v>19.858312222001224</v>
      </c>
      <c r="V314" s="33">
        <f t="shared" si="93"/>
        <v>1000.0000000000041</v>
      </c>
      <c r="W314" s="105">
        <f t="shared" si="89"/>
        <v>128239.86410243748</v>
      </c>
      <c r="X314" s="112">
        <f t="shared" si="94"/>
        <v>936.49064442042675</v>
      </c>
      <c r="Y314" s="32">
        <f t="shared" si="90"/>
        <v>564.2193597846931</v>
      </c>
    </row>
    <row r="315" spans="1:25" x14ac:dyDescent="0.25">
      <c r="A315" s="4">
        <v>309</v>
      </c>
      <c r="C315" s="110">
        <f>IF(male=0,VLOOKUP(((A313:A1147/'Life tables'!$I$2)*2)+age,lifetable,13,1),IF(male=1,VLOOKUP(((A313:A1147/'Life tables'!$I$2)*2)+age,lifetable,10,1),"error"))</f>
        <v>2.1228983945331681E-4</v>
      </c>
      <c r="F315" s="101">
        <f t="shared" si="77"/>
        <v>161.25620085116745</v>
      </c>
      <c r="G315" s="101">
        <f t="shared" si="78"/>
        <v>16.198522866133992</v>
      </c>
      <c r="H315" s="101">
        <f t="shared" si="79"/>
        <v>0.37068329508546588</v>
      </c>
      <c r="I315" s="101">
        <f t="shared" si="80"/>
        <v>0.37068329508546588</v>
      </c>
      <c r="J315" s="101">
        <f t="shared" si="81"/>
        <v>3.7829219402582055E-2</v>
      </c>
      <c r="K315" s="101">
        <f t="shared" si="82"/>
        <v>2.9057537423332457E-2</v>
      </c>
      <c r="L315" s="101">
        <f t="shared" si="91"/>
        <v>144.2494246380366</v>
      </c>
      <c r="M315" s="101">
        <f t="shared" si="83"/>
        <v>775.23444356925938</v>
      </c>
      <c r="N315" s="101">
        <f t="shared" si="84"/>
        <v>74.656756559974696</v>
      </c>
      <c r="O315" s="101">
        <f t="shared" si="85"/>
        <v>1.7820490405279212</v>
      </c>
      <c r="P315" s="101">
        <f t="shared" si="86"/>
        <v>1.7820490405279212</v>
      </c>
      <c r="Q315" s="101">
        <f t="shared" si="87"/>
        <v>0.18117988823764505</v>
      </c>
      <c r="R315" s="101">
        <f t="shared" si="88"/>
        <v>2.0762399108938488E-2</v>
      </c>
      <c r="S315" s="101">
        <f t="shared" si="76"/>
        <v>696.81164664088226</v>
      </c>
      <c r="T315" s="101">
        <f t="shared" si="92"/>
        <v>43.870052465216276</v>
      </c>
      <c r="U315" s="101">
        <f t="shared" si="92"/>
        <v>19.908132158533494</v>
      </c>
      <c r="V315" s="33">
        <f t="shared" si="93"/>
        <v>1000.0000000000041</v>
      </c>
      <c r="W315" s="105">
        <f t="shared" si="89"/>
        <v>128055.78806369306</v>
      </c>
      <c r="X315" s="112">
        <f t="shared" si="94"/>
        <v>936.22181537625431</v>
      </c>
      <c r="Y315" s="32">
        <f t="shared" si="90"/>
        <v>563.89517922659547</v>
      </c>
    </row>
    <row r="316" spans="1:25" x14ac:dyDescent="0.25">
      <c r="A316" s="4">
        <v>310</v>
      </c>
      <c r="C316" s="110">
        <f>IF(male=0,VLOOKUP(((A314:A1148/'Life tables'!$I$2)*2)+age,lifetable,13,1),IF(male=1,VLOOKUP(((A314:A1148/'Life tables'!$I$2)*2)+age,lifetable,10,1),"error"))</f>
        <v>2.1228983945331681E-4</v>
      </c>
      <c r="F316" s="101">
        <f t="shared" si="77"/>
        <v>161.20843519522037</v>
      </c>
      <c r="G316" s="101">
        <f t="shared" si="78"/>
        <v>16.193724706026099</v>
      </c>
      <c r="H316" s="101">
        <f t="shared" si="79"/>
        <v>0.37057349508617954</v>
      </c>
      <c r="I316" s="101">
        <f t="shared" si="80"/>
        <v>0.37057349508617954</v>
      </c>
      <c r="J316" s="101">
        <f t="shared" si="81"/>
        <v>3.7818014019662255E-2</v>
      </c>
      <c r="K316" s="101">
        <f t="shared" si="82"/>
        <v>2.9048930297976002E-2</v>
      </c>
      <c r="L316" s="101">
        <f t="shared" si="91"/>
        <v>144.20669655470428</v>
      </c>
      <c r="M316" s="101">
        <f t="shared" si="83"/>
        <v>775.01338018103399</v>
      </c>
      <c r="N316" s="101">
        <f t="shared" si="84"/>
        <v>74.635467676726577</v>
      </c>
      <c r="O316" s="101">
        <f t="shared" si="85"/>
        <v>1.7815408770914916</v>
      </c>
      <c r="P316" s="101">
        <f t="shared" si="86"/>
        <v>1.7815408770914916</v>
      </c>
      <c r="Q316" s="101">
        <f t="shared" si="87"/>
        <v>0.18112822355697411</v>
      </c>
      <c r="R316" s="101">
        <f t="shared" si="88"/>
        <v>2.075647856924526E-2</v>
      </c>
      <c r="S316" s="101">
        <f t="shared" si="76"/>
        <v>696.61294604799821</v>
      </c>
      <c r="T316" s="101">
        <f t="shared" si="92"/>
        <v>44.088998702792914</v>
      </c>
      <c r="U316" s="101">
        <f t="shared" si="92"/>
        <v>19.957937567400716</v>
      </c>
      <c r="V316" s="33">
        <f t="shared" si="93"/>
        <v>1000.0000000000041</v>
      </c>
      <c r="W316" s="105">
        <f t="shared" si="89"/>
        <v>127871.9735578283</v>
      </c>
      <c r="X316" s="112">
        <f t="shared" si="94"/>
        <v>935.95306372981054</v>
      </c>
      <c r="Y316" s="32">
        <f t="shared" si="90"/>
        <v>563.57118505089272</v>
      </c>
    </row>
    <row r="317" spans="1:25" x14ac:dyDescent="0.25">
      <c r="A317" s="4">
        <v>311</v>
      </c>
      <c r="C317" s="110">
        <f>IF(male=0,VLOOKUP(((A315:A1149/'Life tables'!$I$2)*2)+age,lifetable,13,1),IF(male=1,VLOOKUP(((A315:A1149/'Life tables'!$I$2)*2)+age,lifetable,10,1),"error"))</f>
        <v>2.1228983945331681E-4</v>
      </c>
      <c r="F317" s="101">
        <f t="shared" si="77"/>
        <v>161.16072932364403</v>
      </c>
      <c r="G317" s="101">
        <f t="shared" si="78"/>
        <v>16.188932551383367</v>
      </c>
      <c r="H317" s="101">
        <f t="shared" si="79"/>
        <v>0.37046383251458537</v>
      </c>
      <c r="I317" s="101">
        <f t="shared" si="80"/>
        <v>0.37046383251458537</v>
      </c>
      <c r="J317" s="101">
        <f t="shared" si="81"/>
        <v>3.7806822661605149E-2</v>
      </c>
      <c r="K317" s="101">
        <f t="shared" si="82"/>
        <v>2.9040333945455445E-2</v>
      </c>
      <c r="L317" s="101">
        <f t="shared" si="91"/>
        <v>144.16402195062443</v>
      </c>
      <c r="M317" s="101">
        <f t="shared" si="83"/>
        <v>774.79233440616645</v>
      </c>
      <c r="N317" s="101">
        <f t="shared" si="84"/>
        <v>74.61418048968298</v>
      </c>
      <c r="O317" s="101">
        <f t="shared" si="85"/>
        <v>1.7810327541432878</v>
      </c>
      <c r="P317" s="101">
        <f t="shared" si="86"/>
        <v>1.7810327541432878</v>
      </c>
      <c r="Q317" s="101">
        <f t="shared" si="87"/>
        <v>0.18107656299271757</v>
      </c>
      <c r="R317" s="101">
        <f t="shared" si="88"/>
        <v>2.0750558501274576E-2</v>
      </c>
      <c r="S317" s="101">
        <f t="shared" si="76"/>
        <v>696.41426128670287</v>
      </c>
      <c r="T317" s="101">
        <f t="shared" si="92"/>
        <v>44.307882088447236</v>
      </c>
      <c r="U317" s="101">
        <f t="shared" si="92"/>
        <v>20.007728459847446</v>
      </c>
      <c r="V317" s="33">
        <f t="shared" si="93"/>
        <v>1000.0000000000042</v>
      </c>
      <c r="W317" s="105">
        <f t="shared" si="89"/>
        <v>127688.42030024508</v>
      </c>
      <c r="X317" s="112">
        <f t="shared" si="94"/>
        <v>935.68438945170942</v>
      </c>
      <c r="Y317" s="32">
        <f t="shared" si="90"/>
        <v>563.24737714665969</v>
      </c>
    </row>
    <row r="318" spans="1:25" x14ac:dyDescent="0.25">
      <c r="A318" s="4">
        <v>312</v>
      </c>
      <c r="C318" s="110">
        <f>IF(male=0,VLOOKUP(((A316:A1150/'Life tables'!$I$2)*2)+age,lifetable,13,1),IF(male=1,VLOOKUP(((A316:A1150/'Life tables'!$I$2)*2)+age,lifetable,10,1),"error"))</f>
        <v>2.1228983945331681E-4</v>
      </c>
      <c r="F318" s="101">
        <f t="shared" si="77"/>
        <v>161.11308178180423</v>
      </c>
      <c r="G318" s="101">
        <f t="shared" si="78"/>
        <v>16.184146256084745</v>
      </c>
      <c r="H318" s="101">
        <f t="shared" si="79"/>
        <v>0.37035430402688274</v>
      </c>
      <c r="I318" s="101">
        <f t="shared" si="80"/>
        <v>0.37035430402688274</v>
      </c>
      <c r="J318" s="101">
        <f t="shared" si="81"/>
        <v>3.7795644987166983E-2</v>
      </c>
      <c r="K318" s="101">
        <f t="shared" si="82"/>
        <v>2.9031748103653193E-2</v>
      </c>
      <c r="L318" s="101">
        <f t="shared" si="91"/>
        <v>144.12139952457488</v>
      </c>
      <c r="M318" s="101">
        <f t="shared" si="83"/>
        <v>774.57130766990531</v>
      </c>
      <c r="N318" s="101">
        <f t="shared" si="84"/>
        <v>74.592895136098434</v>
      </c>
      <c r="O318" s="101">
        <f t="shared" si="85"/>
        <v>1.7805246749595616</v>
      </c>
      <c r="P318" s="101">
        <f t="shared" si="86"/>
        <v>1.7805246749595616</v>
      </c>
      <c r="Q318" s="101">
        <f t="shared" si="87"/>
        <v>0.18102490687796993</v>
      </c>
      <c r="R318" s="101">
        <f t="shared" si="88"/>
        <v>2.0744638943197578E-2</v>
      </c>
      <c r="S318" s="101">
        <f t="shared" si="76"/>
        <v>696.21559363806659</v>
      </c>
      <c r="T318" s="101">
        <f t="shared" si="92"/>
        <v>44.526702640312372</v>
      </c>
      <c r="U318" s="101">
        <f t="shared" si="92"/>
        <v>20.057504846894297</v>
      </c>
      <c r="V318" s="33">
        <f t="shared" si="93"/>
        <v>1000.0000000000042</v>
      </c>
      <c r="W318" s="105">
        <f t="shared" si="89"/>
        <v>127505.1280038143</v>
      </c>
      <c r="X318" s="112">
        <f t="shared" si="94"/>
        <v>935.41579251279757</v>
      </c>
      <c r="Y318" s="32">
        <f t="shared" si="90"/>
        <v>562.92375540315629</v>
      </c>
    </row>
    <row r="319" spans="1:25" x14ac:dyDescent="0.25">
      <c r="A319" s="4">
        <v>313</v>
      </c>
      <c r="C319" s="110">
        <f>IF(male=0,VLOOKUP(((A317:A1151/'Life tables'!$I$2)*2)+age,lifetable,13,1),IF(male=1,VLOOKUP(((A317:A1151/'Life tables'!$I$2)*2)+age,lifetable,10,1),"error"))</f>
        <v>2.3219220175896282E-4</v>
      </c>
      <c r="F319" s="101">
        <f t="shared" si="77"/>
        <v>161.06549116033315</v>
      </c>
      <c r="G319" s="101">
        <f t="shared" si="78"/>
        <v>16.179365678556294</v>
      </c>
      <c r="H319" s="101">
        <f t="shared" si="79"/>
        <v>0.3702449063833258</v>
      </c>
      <c r="I319" s="101">
        <f t="shared" si="80"/>
        <v>0.3702449063833258</v>
      </c>
      <c r="J319" s="101">
        <f t="shared" si="81"/>
        <v>4.1326809519880263E-2</v>
      </c>
      <c r="K319" s="101">
        <f t="shared" si="82"/>
        <v>2.9023172518608427E-2</v>
      </c>
      <c r="L319" s="101">
        <f t="shared" si="91"/>
        <v>144.07528568697171</v>
      </c>
      <c r="M319" s="101">
        <f t="shared" si="83"/>
        <v>774.35030135246438</v>
      </c>
      <c r="N319" s="101">
        <f t="shared" si="84"/>
        <v>74.571611748890504</v>
      </c>
      <c r="O319" s="101">
        <f t="shared" si="85"/>
        <v>1.7800166427130415</v>
      </c>
      <c r="P319" s="101">
        <f t="shared" si="86"/>
        <v>1.7800166427130415</v>
      </c>
      <c r="Q319" s="101">
        <f t="shared" si="87"/>
        <v>0.19793966009131278</v>
      </c>
      <c r="R319" s="101">
        <f t="shared" si="88"/>
        <v>2.0738719931979271E-2</v>
      </c>
      <c r="S319" s="101">
        <f t="shared" si="76"/>
        <v>695.99997793812452</v>
      </c>
      <c r="T319" s="101">
        <f t="shared" si="92"/>
        <v>44.765969109923567</v>
      </c>
      <c r="U319" s="101">
        <f t="shared" si="92"/>
        <v>20.107266739344883</v>
      </c>
      <c r="V319" s="33">
        <f t="shared" si="93"/>
        <v>1000.0000000000043</v>
      </c>
      <c r="W319" s="105">
        <f t="shared" si="89"/>
        <v>127319.67942853006</v>
      </c>
      <c r="X319" s="112">
        <f t="shared" si="94"/>
        <v>935.12676415073577</v>
      </c>
      <c r="Y319" s="32">
        <f t="shared" si="90"/>
        <v>562.58778061282021</v>
      </c>
    </row>
    <row r="320" spans="1:25" x14ac:dyDescent="0.25">
      <c r="A320" s="4">
        <v>314</v>
      </c>
      <c r="C320" s="110">
        <f>IF(male=0,VLOOKUP(((A318:A1152/'Life tables'!$I$2)*2)+age,lifetable,13,1),IF(male=1,VLOOKUP(((A318:A1152/'Life tables'!$I$2)*2)+age,lifetable,10,1),"error"))</f>
        <v>2.3219220175896282E-4</v>
      </c>
      <c r="F320" s="101">
        <f t="shared" si="77"/>
        <v>161.01441369554229</v>
      </c>
      <c r="G320" s="101">
        <f t="shared" si="78"/>
        <v>16.174234840318807</v>
      </c>
      <c r="H320" s="101">
        <f t="shared" si="79"/>
        <v>0.37012749345375562</v>
      </c>
      <c r="I320" s="101">
        <f t="shared" si="80"/>
        <v>0.37012749345375562</v>
      </c>
      <c r="J320" s="101">
        <f t="shared" si="81"/>
        <v>4.131370386550972E-2</v>
      </c>
      <c r="K320" s="101">
        <f t="shared" si="82"/>
        <v>2.9013968622343875E-2</v>
      </c>
      <c r="L320" s="101">
        <f t="shared" si="91"/>
        <v>144.02959619582811</v>
      </c>
      <c r="M320" s="101">
        <f t="shared" si="83"/>
        <v>774.11235045519334</v>
      </c>
      <c r="N320" s="101">
        <f t="shared" si="84"/>
        <v>74.548696561932346</v>
      </c>
      <c r="O320" s="101">
        <f t="shared" si="85"/>
        <v>1.7794696595756279</v>
      </c>
      <c r="P320" s="101">
        <f t="shared" si="86"/>
        <v>1.7794696595756279</v>
      </c>
      <c r="Q320" s="101">
        <f t="shared" si="87"/>
        <v>0.19787883501041334</v>
      </c>
      <c r="R320" s="101">
        <f t="shared" si="88"/>
        <v>2.0732347109488663E-2</v>
      </c>
      <c r="S320" s="101">
        <f t="shared" si="76"/>
        <v>695.78610339198985</v>
      </c>
      <c r="T320" s="101">
        <f t="shared" si="92"/>
        <v>45.005161648799493</v>
      </c>
      <c r="U320" s="101">
        <f t="shared" si="92"/>
        <v>20.157013055076717</v>
      </c>
      <c r="V320" s="33">
        <f t="shared" si="93"/>
        <v>1000.0000000000041</v>
      </c>
      <c r="W320" s="105">
        <f t="shared" si="89"/>
        <v>127134.1240499402</v>
      </c>
      <c r="X320" s="112">
        <f t="shared" si="94"/>
        <v>934.8378252961279</v>
      </c>
      <c r="Y320" s="32">
        <f t="shared" si="90"/>
        <v>562.25220703425032</v>
      </c>
    </row>
    <row r="321" spans="1:25" x14ac:dyDescent="0.25">
      <c r="A321" s="4">
        <v>315</v>
      </c>
      <c r="C321" s="110">
        <f>IF(male=0,VLOOKUP(((A319:A1153/'Life tables'!$I$2)*2)+age,lifetable,13,1),IF(male=1,VLOOKUP(((A319:A1153/'Life tables'!$I$2)*2)+age,lifetable,10,1),"error"))</f>
        <v>2.3219220175896282E-4</v>
      </c>
      <c r="F321" s="101">
        <f t="shared" si="77"/>
        <v>160.96339297329777</v>
      </c>
      <c r="G321" s="101">
        <f t="shared" si="78"/>
        <v>16.169109701988859</v>
      </c>
      <c r="H321" s="101">
        <f t="shared" si="79"/>
        <v>0.37001021095956682</v>
      </c>
      <c r="I321" s="101">
        <f t="shared" si="80"/>
        <v>0.37001021095956682</v>
      </c>
      <c r="J321" s="101">
        <f t="shared" si="81"/>
        <v>4.1300612770362177E-2</v>
      </c>
      <c r="K321" s="101">
        <f t="shared" si="82"/>
        <v>2.9004774950794131E-2</v>
      </c>
      <c r="L321" s="101">
        <f t="shared" si="91"/>
        <v>143.98395746166861</v>
      </c>
      <c r="M321" s="101">
        <f t="shared" si="83"/>
        <v>773.87443232283022</v>
      </c>
      <c r="N321" s="101">
        <f t="shared" si="84"/>
        <v>74.525784530305813</v>
      </c>
      <c r="O321" s="101">
        <f t="shared" si="85"/>
        <v>1.778922751755653</v>
      </c>
      <c r="P321" s="101">
        <f t="shared" si="86"/>
        <v>1.778922751755653</v>
      </c>
      <c r="Q321" s="101">
        <f t="shared" si="87"/>
        <v>0.19781801830488971</v>
      </c>
      <c r="R321" s="101">
        <f t="shared" si="88"/>
        <v>2.0725975164510788E-2</v>
      </c>
      <c r="S321" s="101">
        <f t="shared" si="76"/>
        <v>695.57225829554363</v>
      </c>
      <c r="T321" s="101">
        <f t="shared" si="92"/>
        <v>45.244280279874744</v>
      </c>
      <c r="U321" s="101">
        <f t="shared" si="92"/>
        <v>20.206743805192023</v>
      </c>
      <c r="V321" s="33">
        <f t="shared" si="93"/>
        <v>1000.0000000000041</v>
      </c>
      <c r="W321" s="105">
        <f t="shared" si="89"/>
        <v>126948.83679682635</v>
      </c>
      <c r="X321" s="112">
        <f t="shared" si="94"/>
        <v>934.54897591493739</v>
      </c>
      <c r="Y321" s="32">
        <f t="shared" si="90"/>
        <v>561.91683372225134</v>
      </c>
    </row>
    <row r="322" spans="1:25" x14ac:dyDescent="0.25">
      <c r="A322" s="4">
        <v>316</v>
      </c>
      <c r="C322" s="110">
        <f>IF(male=0,VLOOKUP(((A320:A1154/'Life tables'!$I$2)*2)+age,lifetable,13,1),IF(male=1,VLOOKUP(((A320:A1154/'Life tables'!$I$2)*2)+age,lifetable,10,1),"error"))</f>
        <v>2.3219220175896282E-4</v>
      </c>
      <c r="F322" s="101">
        <f t="shared" si="77"/>
        <v>160.91242769722606</v>
      </c>
      <c r="G322" s="101">
        <f t="shared" si="78"/>
        <v>16.16399013334301</v>
      </c>
      <c r="H322" s="101">
        <f t="shared" si="79"/>
        <v>0.369893055920756</v>
      </c>
      <c r="I322" s="101">
        <f t="shared" si="80"/>
        <v>0.369893055920756</v>
      </c>
      <c r="J322" s="101">
        <f t="shared" si="81"/>
        <v>4.1287535901809072E-2</v>
      </c>
      <c r="K322" s="101">
        <f t="shared" si="82"/>
        <v>2.8995591270359351E-2</v>
      </c>
      <c r="L322" s="101">
        <f t="shared" si="91"/>
        <v>143.93836832486937</v>
      </c>
      <c r="M322" s="101">
        <f t="shared" si="83"/>
        <v>773.63654821771138</v>
      </c>
      <c r="N322" s="101">
        <f t="shared" si="84"/>
        <v>74.502875775576626</v>
      </c>
      <c r="O322" s="101">
        <f t="shared" si="85"/>
        <v>1.7783759221548781</v>
      </c>
      <c r="P322" s="101">
        <f t="shared" si="86"/>
        <v>1.7783759221548781</v>
      </c>
      <c r="Q322" s="101">
        <f t="shared" si="87"/>
        <v>0.1977572102974206</v>
      </c>
      <c r="R322" s="101">
        <f t="shared" si="88"/>
        <v>2.0719604130853653E-2</v>
      </c>
      <c r="S322" s="101">
        <f t="shared" si="76"/>
        <v>695.35844378339675</v>
      </c>
      <c r="T322" s="101">
        <f t="shared" si="92"/>
        <v>45.48332502607397</v>
      </c>
      <c r="U322" s="101">
        <f t="shared" si="92"/>
        <v>20.256459000593235</v>
      </c>
      <c r="V322" s="33">
        <f t="shared" si="93"/>
        <v>1000.0000000000043</v>
      </c>
      <c r="W322" s="105">
        <f t="shared" si="89"/>
        <v>126763.81735622941</v>
      </c>
      <c r="X322" s="112">
        <f t="shared" si="94"/>
        <v>934.26021597333704</v>
      </c>
      <c r="Y322" s="32">
        <f t="shared" si="90"/>
        <v>561.58166055406502</v>
      </c>
    </row>
    <row r="323" spans="1:25" x14ac:dyDescent="0.25">
      <c r="A323" s="4">
        <v>317</v>
      </c>
      <c r="C323" s="110">
        <f>IF(male=0,VLOOKUP(((A321:A1155/'Life tables'!$I$2)*2)+age,lifetable,13,1),IF(male=1,VLOOKUP(((A321:A1155/'Life tables'!$I$2)*2)+age,lifetable,10,1),"error"))</f>
        <v>2.3219220175896282E-4</v>
      </c>
      <c r="F323" s="101">
        <f t="shared" si="77"/>
        <v>160.86151661128113</v>
      </c>
      <c r="G323" s="101">
        <f t="shared" si="78"/>
        <v>16.158876008208807</v>
      </c>
      <c r="H323" s="101">
        <f t="shared" si="79"/>
        <v>0.36977602545002164</v>
      </c>
      <c r="I323" s="101">
        <f t="shared" si="80"/>
        <v>0.36977602545002164</v>
      </c>
      <c r="J323" s="101">
        <f t="shared" si="81"/>
        <v>4.1274472937569258E-2</v>
      </c>
      <c r="K323" s="101">
        <f t="shared" si="82"/>
        <v>2.8986417354706501E-2</v>
      </c>
      <c r="L323" s="101">
        <f t="shared" si="91"/>
        <v>143.89282766188001</v>
      </c>
      <c r="M323" s="101">
        <f t="shared" si="83"/>
        <v>773.39869936205582</v>
      </c>
      <c r="N323" s="101">
        <f t="shared" si="84"/>
        <v>74.479970415447127</v>
      </c>
      <c r="O323" s="101">
        <f t="shared" si="85"/>
        <v>1.777829173582846</v>
      </c>
      <c r="P323" s="101">
        <f t="shared" si="86"/>
        <v>1.777829173582846</v>
      </c>
      <c r="Q323" s="101">
        <f t="shared" si="87"/>
        <v>0.19769641130043003</v>
      </c>
      <c r="R323" s="101">
        <f t="shared" si="88"/>
        <v>2.0713234041250837E-2</v>
      </c>
      <c r="S323" s="101">
        <f t="shared" ref="S323:S386" si="95">M323-SUM(N323:R323)</f>
        <v>695.14466095410137</v>
      </c>
      <c r="T323" s="101">
        <f t="shared" si="92"/>
        <v>45.722295910311971</v>
      </c>
      <c r="U323" s="101">
        <f t="shared" si="92"/>
        <v>20.306158651989193</v>
      </c>
      <c r="V323" s="33">
        <f t="shared" si="93"/>
        <v>1000.0000000000042</v>
      </c>
      <c r="W323" s="105">
        <f t="shared" si="89"/>
        <v>126579.06541312525</v>
      </c>
      <c r="X323" s="112">
        <f t="shared" si="94"/>
        <v>933.97154543770307</v>
      </c>
      <c r="Y323" s="32">
        <f t="shared" si="90"/>
        <v>561.24668740710922</v>
      </c>
    </row>
    <row r="324" spans="1:25" x14ac:dyDescent="0.25">
      <c r="A324" s="4">
        <v>318</v>
      </c>
      <c r="C324" s="110">
        <f>IF(male=0,VLOOKUP(((A322:A1156/'Life tables'!$I$2)*2)+age,lifetable,13,1),IF(male=1,VLOOKUP(((A322:A1156/'Life tables'!$I$2)*2)+age,lifetable,10,1),"error"))</f>
        <v>2.3219220175896282E-4</v>
      </c>
      <c r="F324" s="101">
        <f t="shared" si="77"/>
        <v>160.81065849848517</v>
      </c>
      <c r="G324" s="101">
        <f t="shared" si="78"/>
        <v>16.153767204338287</v>
      </c>
      <c r="H324" s="101">
        <f t="shared" si="79"/>
        <v>0.36965911674986918</v>
      </c>
      <c r="I324" s="101">
        <f t="shared" si="80"/>
        <v>0.36965911674986918</v>
      </c>
      <c r="J324" s="101">
        <f t="shared" si="81"/>
        <v>4.1261423565385834E-2</v>
      </c>
      <c r="K324" s="101">
        <f t="shared" si="82"/>
        <v>2.897725298454245E-2</v>
      </c>
      <c r="L324" s="101">
        <f t="shared" si="91"/>
        <v>143.84733438409722</v>
      </c>
      <c r="M324" s="101">
        <f t="shared" si="83"/>
        <v>773.1608869392179</v>
      </c>
      <c r="N324" s="101">
        <f t="shared" si="84"/>
        <v>74.457068563876902</v>
      </c>
      <c r="O324" s="101">
        <f t="shared" si="85"/>
        <v>1.7772825087597601</v>
      </c>
      <c r="P324" s="101">
        <f t="shared" si="86"/>
        <v>1.7772825087597601</v>
      </c>
      <c r="Q324" s="101">
        <f t="shared" si="87"/>
        <v>0.19763562161640741</v>
      </c>
      <c r="R324" s="101">
        <f t="shared" si="88"/>
        <v>2.0706864927395045E-2</v>
      </c>
      <c r="S324" s="101">
        <f t="shared" si="95"/>
        <v>694.93091087127766</v>
      </c>
      <c r="T324" s="101">
        <f t="shared" si="92"/>
        <v>45.961192955493765</v>
      </c>
      <c r="U324" s="101">
        <f t="shared" si="92"/>
        <v>20.35584276990113</v>
      </c>
      <c r="V324" s="33">
        <f t="shared" si="93"/>
        <v>1000.0000000000041</v>
      </c>
      <c r="W324" s="105">
        <f t="shared" si="89"/>
        <v>126394.58065051014</v>
      </c>
      <c r="X324" s="112">
        <f t="shared" si="94"/>
        <v>933.68296427460928</v>
      </c>
      <c r="Y324" s="32">
        <f t="shared" si="90"/>
        <v>560.9119141589772</v>
      </c>
    </row>
    <row r="325" spans="1:25" x14ac:dyDescent="0.25">
      <c r="A325" s="4">
        <v>319</v>
      </c>
      <c r="C325" s="110">
        <f>IF(male=0,VLOOKUP(((A323:A1157/'Life tables'!$I$2)*2)+age,lifetable,13,1),IF(male=1,VLOOKUP(((A323:A1157/'Life tables'!$I$2)*2)+age,lifetable,10,1),"error"))</f>
        <v>2.3219220175896282E-4</v>
      </c>
      <c r="F325" s="101">
        <f t="shared" si="77"/>
        <v>160.75985217970913</v>
      </c>
      <c r="G325" s="101">
        <f t="shared" si="78"/>
        <v>16.148663603285467</v>
      </c>
      <c r="H325" s="101">
        <f t="shared" si="79"/>
        <v>0.36954232710980783</v>
      </c>
      <c r="I325" s="101">
        <f t="shared" si="80"/>
        <v>0.36954232710980783</v>
      </c>
      <c r="J325" s="101">
        <f t="shared" si="81"/>
        <v>4.1248387482713256E-2</v>
      </c>
      <c r="K325" s="101">
        <f t="shared" si="82"/>
        <v>2.896809794739421E-2</v>
      </c>
      <c r="L325" s="101">
        <f t="shared" si="91"/>
        <v>143.80188743677394</v>
      </c>
      <c r="M325" s="101">
        <f t="shared" si="83"/>
        <v>772.92311209490026</v>
      </c>
      <c r="N325" s="101">
        <f t="shared" si="84"/>
        <v>74.43417033119961</v>
      </c>
      <c r="O325" s="101">
        <f t="shared" si="85"/>
        <v>1.7767359303192729</v>
      </c>
      <c r="P325" s="101">
        <f t="shared" si="86"/>
        <v>1.7767359303192729</v>
      </c>
      <c r="Q325" s="101">
        <f t="shared" si="87"/>
        <v>0.19757484153821758</v>
      </c>
      <c r="R325" s="101">
        <f t="shared" si="88"/>
        <v>2.0700496819970587E-2</v>
      </c>
      <c r="S325" s="101">
        <f t="shared" si="95"/>
        <v>694.71719456470396</v>
      </c>
      <c r="T325" s="101">
        <f t="shared" si="92"/>
        <v>46.200016184514695</v>
      </c>
      <c r="U325" s="101">
        <f t="shared" si="92"/>
        <v>20.405511364668495</v>
      </c>
      <c r="V325" s="33">
        <f t="shared" si="93"/>
        <v>1000.0000000000043</v>
      </c>
      <c r="W325" s="105">
        <f t="shared" si="89"/>
        <v>126210.36274948163</v>
      </c>
      <c r="X325" s="112">
        <f t="shared" si="94"/>
        <v>933.39447245082101</v>
      </c>
      <c r="Y325" s="32">
        <f t="shared" si="90"/>
        <v>560.57734068743218</v>
      </c>
    </row>
    <row r="326" spans="1:25" x14ac:dyDescent="0.25">
      <c r="A326" s="4">
        <v>320</v>
      </c>
      <c r="C326" s="110">
        <f>IF(male=0,VLOOKUP(((A324:A1158/'Life tables'!$I$2)*2)+age,lifetable,13,1),IF(male=1,VLOOKUP(((A324:A1158/'Life tables'!$I$2)*2)+age,lifetable,10,1),"error"))</f>
        <v>2.3219220175896282E-4</v>
      </c>
      <c r="F326" s="101">
        <f t="shared" si="77"/>
        <v>160.70909651249096</v>
      </c>
      <c r="G326" s="101">
        <f t="shared" si="78"/>
        <v>16.143565090287641</v>
      </c>
      <c r="H326" s="101">
        <f t="shared" si="79"/>
        <v>0.36942565390363413</v>
      </c>
      <c r="I326" s="101">
        <f t="shared" si="80"/>
        <v>0.36942565390363413</v>
      </c>
      <c r="J326" s="101">
        <f t="shared" si="81"/>
        <v>4.1235364396414211E-2</v>
      </c>
      <c r="K326" s="101">
        <f t="shared" si="82"/>
        <v>2.8958952037395999E-2</v>
      </c>
      <c r="L326" s="101">
        <f t="shared" si="91"/>
        <v>143.75648579796223</v>
      </c>
      <c r="M326" s="101">
        <f t="shared" si="83"/>
        <v>772.68537593833025</v>
      </c>
      <c r="N326" s="101">
        <f t="shared" si="84"/>
        <v>74.411275824236228</v>
      </c>
      <c r="O326" s="101">
        <f t="shared" si="85"/>
        <v>1.7761894408111909</v>
      </c>
      <c r="P326" s="101">
        <f t="shared" si="86"/>
        <v>1.7761894408111909</v>
      </c>
      <c r="Q326" s="101">
        <f t="shared" si="87"/>
        <v>0.19751407134940166</v>
      </c>
      <c r="R326" s="101">
        <f t="shared" si="88"/>
        <v>2.069412974868489E-2</v>
      </c>
      <c r="S326" s="101">
        <f t="shared" si="95"/>
        <v>694.50351303137359</v>
      </c>
      <c r="T326" s="101">
        <f t="shared" si="92"/>
        <v>46.438765620260511</v>
      </c>
      <c r="U326" s="101">
        <f t="shared" si="92"/>
        <v>20.455164446454575</v>
      </c>
      <c r="V326" s="33">
        <f t="shared" si="93"/>
        <v>1000.0000000000043</v>
      </c>
      <c r="W326" s="105">
        <f t="shared" si="89"/>
        <v>126026.41138931838</v>
      </c>
      <c r="X326" s="112">
        <f t="shared" si="94"/>
        <v>933.10606993328929</v>
      </c>
      <c r="Y326" s="32">
        <f t="shared" si="90"/>
        <v>560.2429668704043</v>
      </c>
    </row>
    <row r="327" spans="1:25" x14ac:dyDescent="0.25">
      <c r="A327" s="4">
        <v>321</v>
      </c>
      <c r="C327" s="110">
        <f>IF(male=0,VLOOKUP(((A325:A1159/'Life tables'!$I$2)*2)+age,lifetable,13,1),IF(male=1,VLOOKUP(((A325:A1159/'Life tables'!$I$2)*2)+age,lifetable,10,1),"error"))</f>
        <v>2.3219220175896282E-4</v>
      </c>
      <c r="F327" s="101">
        <f t="shared" ref="F327:F390" si="96">E326*(1-pCAUC)+(L326+G326+H326+I326 )*(1-pCAUC)+(S326+N326+O326+P326)*(pUAUC)</f>
        <v>160.65839038989094</v>
      </c>
      <c r="G327" s="101">
        <f t="shared" ref="G327:G390" si="97">F327*(rrOSEX)</f>
        <v>16.138471554150403</v>
      </c>
      <c r="H327" s="101">
        <f t="shared" ref="H327:H390" si="98">F327*rrEREX</f>
        <v>0.36930909458680061</v>
      </c>
      <c r="I327" s="101">
        <f t="shared" ref="I327:I390" si="99">F327*rrHOEX</f>
        <v>0.36930909458680061</v>
      </c>
      <c r="J327" s="101">
        <f t="shared" ref="J327:J390" si="100">F327*mr + G327*mr + H327*mr+I327*mr</f>
        <v>4.1222354022465775E-2</v>
      </c>
      <c r="K327" s="101">
        <f t="shared" ref="K327:K390" si="101">F327*amr + I327*amrHOEX</f>
        <v>2.8949815055082977E-2</v>
      </c>
      <c r="L327" s="101">
        <f t="shared" si="91"/>
        <v>143.71112847748938</v>
      </c>
      <c r="M327" s="101">
        <f t="shared" ref="M327:M390" si="102">E326*pCAUC+(L326+G326+H326+I326)*pCAUC+(S326+N326+O326+P326)*(1-pUAUC)</f>
        <v>772.44767954339841</v>
      </c>
      <c r="N327" s="101">
        <f t="shared" ref="N327:N390" si="103">M327*rrOSEXc</f>
        <v>74.388385146404744</v>
      </c>
      <c r="O327" s="101">
        <f t="shared" ref="O327:O390" si="104">M327*rrEREXc</f>
        <v>1.7756430427040906</v>
      </c>
      <c r="P327" s="101">
        <f t="shared" ref="P327:P390" si="105">M327*rrHOEXc</f>
        <v>1.7756430427040906</v>
      </c>
      <c r="Q327" s="101">
        <f t="shared" ref="Q327:Q390" si="106">M327*mr + N327*mr + O327*mr+P327*mr</f>
        <v>0.19745331132446778</v>
      </c>
      <c r="R327" s="101">
        <f t="shared" ref="R327:R390" si="107">M327*amrc + P327*amrHOEX</f>
        <v>2.0687763742298994E-2</v>
      </c>
      <c r="S327" s="101">
        <f t="shared" si="95"/>
        <v>694.28986723651872</v>
      </c>
      <c r="T327" s="101">
        <f t="shared" si="92"/>
        <v>46.677441285607443</v>
      </c>
      <c r="U327" s="101">
        <f t="shared" si="92"/>
        <v>20.504802025251955</v>
      </c>
      <c r="V327" s="33">
        <f t="shared" si="93"/>
        <v>1000.0000000000044</v>
      </c>
      <c r="W327" s="105">
        <f t="shared" ref="W327:W390" si="108">(cNES*L327+(cNES+cOSEX)*G327+(cNES+cEREX)*H327+(cNES+cHOEX)*I327 +(cNES+ cNES)*S327 +(cNES+ cOSEX)*N327 + (cNES+cEREX)*O327 + (cNES+cHOEX)*P327)/(1+cDR)^A$5:A$65536</f>
        <v>125842.72624755597</v>
      </c>
      <c r="X327" s="112">
        <f t="shared" si="94"/>
        <v>932.81775668914509</v>
      </c>
      <c r="Y327" s="32">
        <f t="shared" ref="Y327:Y390" si="109">(uNES*L327+ uOCEX*G327+uEREX*H327+uHOEX*I327+uNES*S327+ uOCEX*N327+uEREX*O327+uHOEX*P327)/(1+oDR)^A$5:A$65536</f>
        <v>559.90879258598932</v>
      </c>
    </row>
    <row r="328" spans="1:25" x14ac:dyDescent="0.25">
      <c r="A328" s="4">
        <v>322</v>
      </c>
      <c r="C328" s="110">
        <f>IF(male=0,VLOOKUP(((A326:A1160/'Life tables'!$I$2)*2)+age,lifetable,13,1),IF(male=1,VLOOKUP(((A326:A1160/'Life tables'!$I$2)*2)+age,lifetable,10,1),"error"))</f>
        <v>2.3219220175896282E-4</v>
      </c>
      <c r="F328" s="101">
        <f t="shared" si="96"/>
        <v>160.60773273938258</v>
      </c>
      <c r="G328" s="101">
        <f t="shared" si="97"/>
        <v>16.133382887136218</v>
      </c>
      <c r="H328" s="101">
        <f t="shared" si="98"/>
        <v>0.3691926466938662</v>
      </c>
      <c r="I328" s="101">
        <f t="shared" si="99"/>
        <v>0.3691926466938662</v>
      </c>
      <c r="J328" s="101">
        <f t="shared" si="100"/>
        <v>4.120935608567497E-2</v>
      </c>
      <c r="K328" s="101">
        <f t="shared" si="101"/>
        <v>2.894068680719139E-2</v>
      </c>
      <c r="L328" s="101">
        <f t="shared" ref="L328:L391" si="110">F328-SUM(G328:K328)</f>
        <v>143.66581451596576</v>
      </c>
      <c r="M328" s="101">
        <f t="shared" si="102"/>
        <v>772.21002394976256</v>
      </c>
      <c r="N328" s="101">
        <f t="shared" si="103"/>
        <v>74.365498397826471</v>
      </c>
      <c r="O328" s="101">
        <f t="shared" si="104"/>
        <v>1.7750967383878571</v>
      </c>
      <c r="P328" s="101">
        <f t="shared" si="105"/>
        <v>1.7750967383878571</v>
      </c>
      <c r="Q328" s="101">
        <f t="shared" si="106"/>
        <v>0.19739256172917363</v>
      </c>
      <c r="R328" s="101">
        <f t="shared" si="107"/>
        <v>2.0681398828657101E-2</v>
      </c>
      <c r="S328" s="101">
        <f t="shared" si="95"/>
        <v>694.07625811460252</v>
      </c>
      <c r="T328" s="101">
        <f t="shared" ref="T328:U391" si="111">J328+Q328+T327</f>
        <v>46.916043203422291</v>
      </c>
      <c r="U328" s="101">
        <f t="shared" si="111"/>
        <v>20.554424110887805</v>
      </c>
      <c r="V328" s="33">
        <f t="shared" ref="V328:V391" si="112">SUM(G328:I328,L328,N328,O328,P328,S328,T328,U328)</f>
        <v>1000.0000000000045</v>
      </c>
      <c r="W328" s="105">
        <f t="shared" si="108"/>
        <v>125659.30700006151</v>
      </c>
      <c r="X328" s="112">
        <f t="shared" ref="X328:X391" si="113">(L328+G328+H328+I328+N328+O328+P328+S328)</f>
        <v>932.52953268569445</v>
      </c>
      <c r="Y328" s="32">
        <f t="shared" si="109"/>
        <v>559.57481771244352</v>
      </c>
    </row>
    <row r="329" spans="1:25" x14ac:dyDescent="0.25">
      <c r="A329" s="4">
        <v>323</v>
      </c>
      <c r="C329" s="110">
        <f>IF(male=0,VLOOKUP(((A327:A1161/'Life tables'!$I$2)*2)+age,lifetable,13,1),IF(male=1,VLOOKUP(((A327:A1161/'Life tables'!$I$2)*2)+age,lifetable,10,1),"error"))</f>
        <v>2.3219220175896282E-4</v>
      </c>
      <c r="F329" s="101">
        <f t="shared" si="96"/>
        <v>160.55712252177833</v>
      </c>
      <c r="G329" s="101">
        <f t="shared" si="97"/>
        <v>16.128298984856521</v>
      </c>
      <c r="H329" s="101">
        <f t="shared" si="98"/>
        <v>0.36907630783602685</v>
      </c>
      <c r="I329" s="101">
        <f t="shared" si="99"/>
        <v>0.36907630783602685</v>
      </c>
      <c r="J329" s="101">
        <f t="shared" si="100"/>
        <v>4.1196370319402979E-2</v>
      </c>
      <c r="K329" s="101">
        <f t="shared" si="101"/>
        <v>2.8931567106464995E-2</v>
      </c>
      <c r="L329" s="101">
        <f t="shared" si="110"/>
        <v>143.62054298382387</v>
      </c>
      <c r="M329" s="101">
        <f t="shared" si="102"/>
        <v>771.97241016391627</v>
      </c>
      <c r="N329" s="101">
        <f t="shared" si="103"/>
        <v>74.342615675428917</v>
      </c>
      <c r="O329" s="101">
        <f t="shared" si="104"/>
        <v>1.7745505301761397</v>
      </c>
      <c r="P329" s="101">
        <f t="shared" si="105"/>
        <v>1.7745505301761397</v>
      </c>
      <c r="Q329" s="101">
        <f t="shared" si="106"/>
        <v>0.19733182282079936</v>
      </c>
      <c r="R329" s="101">
        <f t="shared" si="107"/>
        <v>2.0675035034715215E-2</v>
      </c>
      <c r="S329" s="101">
        <f t="shared" si="95"/>
        <v>693.86268657027949</v>
      </c>
      <c r="T329" s="101">
        <f t="shared" si="111"/>
        <v>47.154571396562496</v>
      </c>
      <c r="U329" s="101">
        <f t="shared" si="111"/>
        <v>20.604030713028983</v>
      </c>
      <c r="V329" s="33">
        <f t="shared" si="112"/>
        <v>1000.0000000000045</v>
      </c>
      <c r="W329" s="105">
        <f t="shared" si="108"/>
        <v>125476.15332110481</v>
      </c>
      <c r="X329" s="112">
        <f t="shared" si="113"/>
        <v>932.24139789041305</v>
      </c>
      <c r="Y329" s="32">
        <f t="shared" si="109"/>
        <v>559.24104212818168</v>
      </c>
    </row>
    <row r="330" spans="1:25" x14ac:dyDescent="0.25">
      <c r="A330" s="4">
        <v>324</v>
      </c>
      <c r="C330" s="110">
        <f>IF(male=0,VLOOKUP(((A328:A1162/'Life tables'!$I$2)*2)+age,lifetable,13,1),IF(male=1,VLOOKUP(((A328:A1162/'Life tables'!$I$2)*2)+age,lifetable,10,1),"error"))</f>
        <v>2.3219220175896282E-4</v>
      </c>
      <c r="F330" s="101">
        <f t="shared" si="96"/>
        <v>160.50655873018869</v>
      </c>
      <c r="G330" s="101">
        <f t="shared" si="97"/>
        <v>16.123219746167155</v>
      </c>
      <c r="H330" s="101">
        <f t="shared" si="98"/>
        <v>0.3689600756987228</v>
      </c>
      <c r="I330" s="101">
        <f t="shared" si="99"/>
        <v>0.3689600756987228</v>
      </c>
      <c r="J330" s="101">
        <f t="shared" si="100"/>
        <v>4.11833964652982E-2</v>
      </c>
      <c r="K330" s="101">
        <f t="shared" si="101"/>
        <v>2.892245577146748E-2</v>
      </c>
      <c r="L330" s="101">
        <f t="shared" si="110"/>
        <v>143.57531298038731</v>
      </c>
      <c r="M330" s="101">
        <f t="shared" si="102"/>
        <v>771.7348391602244</v>
      </c>
      <c r="N330" s="101">
        <f t="shared" si="103"/>
        <v>74.319737073045516</v>
      </c>
      <c r="O330" s="101">
        <f t="shared" si="104"/>
        <v>1.7740044203087335</v>
      </c>
      <c r="P330" s="101">
        <f t="shared" si="105"/>
        <v>1.7740044203087335</v>
      </c>
      <c r="Q330" s="101">
        <f t="shared" si="106"/>
        <v>0.1972710948484124</v>
      </c>
      <c r="R330" s="101">
        <f t="shared" si="107"/>
        <v>2.0668672386568866E-2</v>
      </c>
      <c r="S330" s="101">
        <f t="shared" si="95"/>
        <v>693.6491534793264</v>
      </c>
      <c r="T330" s="101">
        <f t="shared" si="111"/>
        <v>47.393025887876206</v>
      </c>
      <c r="U330" s="101">
        <f t="shared" si="111"/>
        <v>20.653621841187018</v>
      </c>
      <c r="V330" s="33">
        <f t="shared" si="112"/>
        <v>1000.0000000000045</v>
      </c>
      <c r="W330" s="105">
        <f t="shared" si="108"/>
        <v>125293.26488342804</v>
      </c>
      <c r="X330" s="112">
        <f t="shared" si="113"/>
        <v>931.9533522709412</v>
      </c>
      <c r="Y330" s="32">
        <f t="shared" si="109"/>
        <v>558.90746571177465</v>
      </c>
    </row>
    <row r="331" spans="1:25" x14ac:dyDescent="0.25">
      <c r="A331" s="4">
        <v>325</v>
      </c>
      <c r="C331" s="110">
        <f>IF(male=0,VLOOKUP(((A329:A1163/'Life tables'!$I$2)*2)+age,lifetable,13,1),IF(male=1,VLOOKUP(((A329:A1163/'Life tables'!$I$2)*2)+age,lifetable,10,1),"error"))</f>
        <v>2.3219220175896282E-4</v>
      </c>
      <c r="F331" s="101">
        <f t="shared" si="96"/>
        <v>160.45604038901396</v>
      </c>
      <c r="G331" s="101">
        <f t="shared" si="97"/>
        <v>16.11814507306709</v>
      </c>
      <c r="H331" s="101">
        <f t="shared" si="98"/>
        <v>0.36884394803932086</v>
      </c>
      <c r="I331" s="101">
        <f t="shared" si="99"/>
        <v>0.36884394803932086</v>
      </c>
      <c r="J331" s="101">
        <f t="shared" si="100"/>
        <v>4.1170434273037473E-2</v>
      </c>
      <c r="K331" s="101">
        <f t="shared" si="101"/>
        <v>2.8913352626400803E-2</v>
      </c>
      <c r="L331" s="101">
        <f t="shared" si="110"/>
        <v>143.53012363296881</v>
      </c>
      <c r="M331" s="101">
        <f t="shared" si="102"/>
        <v>771.49731188192732</v>
      </c>
      <c r="N331" s="101">
        <f t="shared" si="103"/>
        <v>74.29686268151238</v>
      </c>
      <c r="O331" s="101">
        <f t="shared" si="104"/>
        <v>1.7734584109538865</v>
      </c>
      <c r="P331" s="101">
        <f t="shared" si="105"/>
        <v>1.7734584109538865</v>
      </c>
      <c r="Q331" s="101">
        <f t="shared" si="106"/>
        <v>0.1972103780531243</v>
      </c>
      <c r="R331" s="101">
        <f t="shared" si="107"/>
        <v>2.0662310909480005E-2</v>
      </c>
      <c r="S331" s="101">
        <f t="shared" si="95"/>
        <v>693.43565968954454</v>
      </c>
      <c r="T331" s="101">
        <f t="shared" si="111"/>
        <v>47.631406700202369</v>
      </c>
      <c r="U331" s="101">
        <f t="shared" si="111"/>
        <v>20.703197504722898</v>
      </c>
      <c r="V331" s="33">
        <f t="shared" si="112"/>
        <v>1000.0000000000044</v>
      </c>
      <c r="W331" s="105">
        <f t="shared" si="108"/>
        <v>125110.64135831222</v>
      </c>
      <c r="X331" s="112">
        <f t="shared" si="113"/>
        <v>931.66539579507923</v>
      </c>
      <c r="Y331" s="32">
        <f t="shared" si="109"/>
        <v>558.57408834194644</v>
      </c>
    </row>
    <row r="332" spans="1:25" x14ac:dyDescent="0.25">
      <c r="A332" s="4">
        <v>326</v>
      </c>
      <c r="C332" s="110">
        <f>IF(male=0,VLOOKUP(((A330:A1164/'Life tables'!$I$2)*2)+age,lifetable,13,1),IF(male=1,VLOOKUP(((A330:A1164/'Life tables'!$I$2)*2)+age,lifetable,10,1),"error"))</f>
        <v>2.3219220175896282E-4</v>
      </c>
      <c r="F332" s="101">
        <f t="shared" si="96"/>
        <v>160.4055665529674</v>
      </c>
      <c r="G332" s="101">
        <f t="shared" si="97"/>
        <v>16.113074870600297</v>
      </c>
      <c r="H332" s="101">
        <f t="shared" si="98"/>
        <v>0.36872792268486881</v>
      </c>
      <c r="I332" s="101">
        <f t="shared" si="99"/>
        <v>0.36872792268486881</v>
      </c>
      <c r="J332" s="101">
        <f t="shared" si="100"/>
        <v>4.1157483500075462E-2</v>
      </c>
      <c r="K332" s="101">
        <f t="shared" si="101"/>
        <v>2.8904257500929158E-2</v>
      </c>
      <c r="L332" s="101">
        <f t="shared" si="110"/>
        <v>143.48497409599636</v>
      </c>
      <c r="M332" s="101">
        <f t="shared" si="102"/>
        <v>771.25982924211189</v>
      </c>
      <c r="N332" s="101">
        <f t="shared" si="103"/>
        <v>74.273992588761743</v>
      </c>
      <c r="O332" s="101">
        <f t="shared" si="104"/>
        <v>1.7729125042105318</v>
      </c>
      <c r="P332" s="101">
        <f t="shared" si="105"/>
        <v>1.7729125042105318</v>
      </c>
      <c r="Q332" s="101">
        <f t="shared" si="106"/>
        <v>0.19714967266833838</v>
      </c>
      <c r="R332" s="101">
        <f t="shared" si="107"/>
        <v>2.0655950627903E-2</v>
      </c>
      <c r="S332" s="101">
        <f t="shared" si="95"/>
        <v>693.22220602163281</v>
      </c>
      <c r="T332" s="101">
        <f t="shared" si="111"/>
        <v>47.86971385637078</v>
      </c>
      <c r="U332" s="101">
        <f t="shared" si="111"/>
        <v>20.752757712851729</v>
      </c>
      <c r="V332" s="33">
        <f t="shared" si="112"/>
        <v>1000.0000000000044</v>
      </c>
      <c r="W332" s="105">
        <f t="shared" si="108"/>
        <v>124928.28241564255</v>
      </c>
      <c r="X332" s="112">
        <f t="shared" si="113"/>
        <v>931.37752843078204</v>
      </c>
      <c r="Y332" s="32">
        <f t="shared" si="109"/>
        <v>558.24090989757099</v>
      </c>
    </row>
    <row r="333" spans="1:25" x14ac:dyDescent="0.25">
      <c r="A333" s="4">
        <v>327</v>
      </c>
      <c r="C333" s="110">
        <f>IF(male=0,VLOOKUP(((A331:A1165/'Life tables'!$I$2)*2)+age,lifetable,13,1),IF(male=1,VLOOKUP(((A331:A1165/'Life tables'!$I$2)*2)+age,lifetable,10,1),"error"))</f>
        <v>2.3219220175896282E-4</v>
      </c>
      <c r="F333" s="101">
        <f t="shared" si="96"/>
        <v>160.35513630612863</v>
      </c>
      <c r="G333" s="101">
        <f t="shared" si="97"/>
        <v>16.10800904676065</v>
      </c>
      <c r="H333" s="101">
        <f t="shared" si="98"/>
        <v>0.36861199752991974</v>
      </c>
      <c r="I333" s="101">
        <f t="shared" si="99"/>
        <v>0.36861199752991974</v>
      </c>
      <c r="J333" s="101">
        <f t="shared" si="100"/>
        <v>4.1144543911401731E-2</v>
      </c>
      <c r="K333" s="101">
        <f t="shared" si="101"/>
        <v>2.8895170230008409E-2</v>
      </c>
      <c r="L333" s="101">
        <f t="shared" si="110"/>
        <v>143.43986355016673</v>
      </c>
      <c r="M333" s="101">
        <f t="shared" si="102"/>
        <v>771.02239212465349</v>
      </c>
      <c r="N333" s="101">
        <f t="shared" si="103"/>
        <v>74.251126879912704</v>
      </c>
      <c r="O333" s="101">
        <f t="shared" si="104"/>
        <v>1.7723667021104546</v>
      </c>
      <c r="P333" s="101">
        <f t="shared" si="105"/>
        <v>1.7723667021104546</v>
      </c>
      <c r="Q333" s="101">
        <f t="shared" si="106"/>
        <v>0.1970889789199913</v>
      </c>
      <c r="R333" s="101">
        <f t="shared" si="107"/>
        <v>2.0649591565509887E-2</v>
      </c>
      <c r="S333" s="101">
        <f t="shared" si="95"/>
        <v>693.0087932700344</v>
      </c>
      <c r="T333" s="101">
        <f t="shared" si="111"/>
        <v>48.107947379202173</v>
      </c>
      <c r="U333" s="101">
        <f t="shared" si="111"/>
        <v>20.802302474647249</v>
      </c>
      <c r="V333" s="33">
        <f t="shared" si="112"/>
        <v>1000.0000000000047</v>
      </c>
      <c r="W333" s="105">
        <f t="shared" si="108"/>
        <v>124746.18772397059</v>
      </c>
      <c r="X333" s="112">
        <f t="shared" si="113"/>
        <v>931.08975014615521</v>
      </c>
      <c r="Y333" s="32">
        <f t="shared" si="109"/>
        <v>557.9079302576705</v>
      </c>
    </row>
    <row r="334" spans="1:25" x14ac:dyDescent="0.25">
      <c r="A334" s="4">
        <v>328</v>
      </c>
      <c r="C334" s="110">
        <f>IF(male=0,VLOOKUP(((A332:A1166/'Life tables'!$I$2)*2)+age,lifetable,13,1),IF(male=1,VLOOKUP(((A332:A1166/'Life tables'!$I$2)*2)+age,lifetable,10,1),"error"))</f>
        <v>2.3219220175896282E-4</v>
      </c>
      <c r="F334" s="101">
        <f t="shared" si="96"/>
        <v>160.30474876102707</v>
      </c>
      <c r="G334" s="101">
        <f t="shared" si="97"/>
        <v>16.102947512399876</v>
      </c>
      <c r="H334" s="101">
        <f t="shared" si="98"/>
        <v>0.36849617053442485</v>
      </c>
      <c r="I334" s="101">
        <f t="shared" si="99"/>
        <v>0.36849617053442485</v>
      </c>
      <c r="J334" s="101">
        <f t="shared" si="100"/>
        <v>4.1131615279305651E-2</v>
      </c>
      <c r="K334" s="101">
        <f t="shared" si="101"/>
        <v>2.8886090653720921E-2</v>
      </c>
      <c r="L334" s="101">
        <f t="shared" si="110"/>
        <v>143.39479120162531</v>
      </c>
      <c r="M334" s="101">
        <f t="shared" si="102"/>
        <v>770.78500138512834</v>
      </c>
      <c r="N334" s="101">
        <f t="shared" si="103"/>
        <v>74.228265637359129</v>
      </c>
      <c r="O334" s="101">
        <f t="shared" si="104"/>
        <v>1.7718210066203866</v>
      </c>
      <c r="P334" s="101">
        <f t="shared" si="105"/>
        <v>1.7718210066203866</v>
      </c>
      <c r="Q334" s="101">
        <f t="shared" si="106"/>
        <v>0.19702829702678565</v>
      </c>
      <c r="R334" s="101">
        <f t="shared" si="107"/>
        <v>2.0643233745214783E-2</v>
      </c>
      <c r="S334" s="101">
        <f t="shared" si="95"/>
        <v>692.7954222037564</v>
      </c>
      <c r="T334" s="101">
        <f t="shared" si="111"/>
        <v>48.346107291508261</v>
      </c>
      <c r="U334" s="101">
        <f t="shared" si="111"/>
        <v>20.851831799046185</v>
      </c>
      <c r="V334" s="33">
        <f t="shared" si="112"/>
        <v>1000.0000000000048</v>
      </c>
      <c r="W334" s="105">
        <f t="shared" si="108"/>
        <v>124564.35695057524</v>
      </c>
      <c r="X334" s="112">
        <f t="shared" si="113"/>
        <v>930.80206090945035</v>
      </c>
      <c r="Y334" s="32">
        <f t="shared" si="109"/>
        <v>557.5751493014119</v>
      </c>
    </row>
    <row r="335" spans="1:25" x14ac:dyDescent="0.25">
      <c r="A335" s="4">
        <v>329</v>
      </c>
      <c r="C335" s="110">
        <f>IF(male=0,VLOOKUP(((A333:A1167/'Life tables'!$I$2)*2)+age,lifetable,13,1),IF(male=1,VLOOKUP(((A333:A1167/'Life tables'!$I$2)*2)+age,lifetable,10,1),"error"))</f>
        <v>2.3219220175896282E-4</v>
      </c>
      <c r="F335" s="101">
        <f t="shared" si="96"/>
        <v>160.25440305775371</v>
      </c>
      <c r="G335" s="101">
        <f t="shared" si="97"/>
        <v>16.097890181138315</v>
      </c>
      <c r="H335" s="101">
        <f t="shared" si="98"/>
        <v>0.36838043972169171</v>
      </c>
      <c r="I335" s="101">
        <f t="shared" si="99"/>
        <v>0.36838043972169171</v>
      </c>
      <c r="J335" s="101">
        <f t="shared" si="100"/>
        <v>4.1118697383148411E-2</v>
      </c>
      <c r="K335" s="101">
        <f t="shared" si="101"/>
        <v>2.8877018617115523E-2</v>
      </c>
      <c r="L335" s="101">
        <f t="shared" si="110"/>
        <v>143.34975628117175</v>
      </c>
      <c r="M335" s="101">
        <f t="shared" si="102"/>
        <v>770.54765785169673</v>
      </c>
      <c r="N335" s="101">
        <f t="shared" si="103"/>
        <v>74.205408940854653</v>
      </c>
      <c r="O335" s="101">
        <f t="shared" si="104"/>
        <v>1.7712754196440392</v>
      </c>
      <c r="P335" s="101">
        <f t="shared" si="105"/>
        <v>1.7712754196440392</v>
      </c>
      <c r="Q335" s="101">
        <f t="shared" si="106"/>
        <v>0.19696762720041608</v>
      </c>
      <c r="R335" s="101">
        <f t="shared" si="107"/>
        <v>2.0636877189197555E-2</v>
      </c>
      <c r="S335" s="101">
        <f t="shared" si="95"/>
        <v>692.58209356716441</v>
      </c>
      <c r="T335" s="101">
        <f t="shared" si="111"/>
        <v>48.584193616091824</v>
      </c>
      <c r="U335" s="101">
        <f t="shared" si="111"/>
        <v>20.901345694852498</v>
      </c>
      <c r="V335" s="33">
        <f t="shared" si="112"/>
        <v>1000.0000000000049</v>
      </c>
      <c r="W335" s="105">
        <f t="shared" si="108"/>
        <v>124382.78976152113</v>
      </c>
      <c r="X335" s="112">
        <f t="shared" si="113"/>
        <v>930.51446068906057</v>
      </c>
      <c r="Y335" s="32">
        <f t="shared" si="109"/>
        <v>557.24256690810569</v>
      </c>
    </row>
    <row r="336" spans="1:25" x14ac:dyDescent="0.25">
      <c r="A336" s="4">
        <v>330</v>
      </c>
      <c r="C336" s="110">
        <f>IF(male=0,VLOOKUP(((A334:A1168/'Life tables'!$I$2)*2)+age,lifetable,13,1),IF(male=1,VLOOKUP(((A334:A1168/'Life tables'!$I$2)*2)+age,lifetable,10,1),"error"))</f>
        <v>2.3219220175896282E-4</v>
      </c>
      <c r="F336" s="101">
        <f t="shared" si="96"/>
        <v>160.20409836310063</v>
      </c>
      <c r="G336" s="101">
        <f t="shared" si="97"/>
        <v>16.092836969278487</v>
      </c>
      <c r="H336" s="101">
        <f t="shared" si="98"/>
        <v>0.36826480317640636</v>
      </c>
      <c r="I336" s="101">
        <f t="shared" si="99"/>
        <v>0.36826480317640636</v>
      </c>
      <c r="J336" s="101">
        <f t="shared" si="100"/>
        <v>4.1105790009142315E-2</v>
      </c>
      <c r="K336" s="101">
        <f t="shared" si="101"/>
        <v>2.8867953970052429E-2</v>
      </c>
      <c r="L336" s="101">
        <f t="shared" si="110"/>
        <v>143.30475804349012</v>
      </c>
      <c r="M336" s="101">
        <f t="shared" si="102"/>
        <v>770.31036232596</v>
      </c>
      <c r="N336" s="101">
        <f t="shared" si="103"/>
        <v>74.182556867595196</v>
      </c>
      <c r="O336" s="101">
        <f t="shared" si="104"/>
        <v>1.7707299430240715</v>
      </c>
      <c r="P336" s="101">
        <f t="shared" si="105"/>
        <v>1.7707299430240715</v>
      </c>
      <c r="Q336" s="101">
        <f t="shared" si="106"/>
        <v>0.19690696964578802</v>
      </c>
      <c r="R336" s="101">
        <f t="shared" si="107"/>
        <v>2.063052191892676E-2</v>
      </c>
      <c r="S336" s="101">
        <f t="shared" si="95"/>
        <v>692.36880808075193</v>
      </c>
      <c r="T336" s="101">
        <f t="shared" si="111"/>
        <v>48.822206375746752</v>
      </c>
      <c r="U336" s="101">
        <f t="shared" si="111"/>
        <v>20.950844170741476</v>
      </c>
      <c r="V336" s="33">
        <f t="shared" si="112"/>
        <v>1000.0000000000049</v>
      </c>
      <c r="W336" s="105">
        <f t="shared" si="108"/>
        <v>124201.48582171554</v>
      </c>
      <c r="X336" s="112">
        <f t="shared" si="113"/>
        <v>930.22694945351668</v>
      </c>
      <c r="Y336" s="32">
        <f t="shared" si="109"/>
        <v>556.91018295720255</v>
      </c>
    </row>
    <row r="337" spans="1:25" x14ac:dyDescent="0.25">
      <c r="A337" s="4">
        <v>331</v>
      </c>
      <c r="C337" s="110">
        <f>IF(male=0,VLOOKUP(((A335:A1169/'Life tables'!$I$2)*2)+age,lifetable,13,1),IF(male=1,VLOOKUP(((A335:A1169/'Life tables'!$I$2)*2)+age,lifetable,10,1),"error"))</f>
        <v>2.3219220175896282E-4</v>
      </c>
      <c r="F337" s="101">
        <f t="shared" si="96"/>
        <v>160.15383386972721</v>
      </c>
      <c r="G337" s="101">
        <f t="shared" si="97"/>
        <v>16.08778779572134</v>
      </c>
      <c r="H337" s="101">
        <f t="shared" si="98"/>
        <v>0.3681492590427165</v>
      </c>
      <c r="I337" s="101">
        <f t="shared" si="99"/>
        <v>0.3681492590427165</v>
      </c>
      <c r="J337" s="101">
        <f t="shared" si="100"/>
        <v>4.1092892950136739E-2</v>
      </c>
      <c r="K337" s="101">
        <f t="shared" si="101"/>
        <v>2.8858896567053018E-2</v>
      </c>
      <c r="L337" s="101">
        <f t="shared" si="110"/>
        <v>143.25979576640324</v>
      </c>
      <c r="M337" s="101">
        <f t="shared" si="102"/>
        <v>770.07311558378944</v>
      </c>
      <c r="N337" s="101">
        <f t="shared" si="103"/>
        <v>74.159709492298859</v>
      </c>
      <c r="O337" s="101">
        <f t="shared" si="104"/>
        <v>1.7701845785439965</v>
      </c>
      <c r="P337" s="101">
        <f t="shared" si="105"/>
        <v>1.7701845785439965</v>
      </c>
      <c r="Q337" s="101">
        <f t="shared" si="106"/>
        <v>0.19684632456123002</v>
      </c>
      <c r="R337" s="101">
        <f t="shared" si="107"/>
        <v>2.0624167955181856E-2</v>
      </c>
      <c r="S337" s="101">
        <f t="shared" si="95"/>
        <v>692.15556644188621</v>
      </c>
      <c r="T337" s="101">
        <f t="shared" si="111"/>
        <v>49.06014559325812</v>
      </c>
      <c r="U337" s="101">
        <f t="shared" si="111"/>
        <v>21.000327235263711</v>
      </c>
      <c r="V337" s="33">
        <f t="shared" si="112"/>
        <v>1000.0000000000049</v>
      </c>
      <c r="W337" s="105">
        <f t="shared" si="108"/>
        <v>124020.44479496313</v>
      </c>
      <c r="X337" s="112">
        <f t="shared" si="113"/>
        <v>929.93952717148306</v>
      </c>
      <c r="Y337" s="32">
        <f t="shared" si="109"/>
        <v>556.5779973282921</v>
      </c>
    </row>
    <row r="338" spans="1:25" x14ac:dyDescent="0.25">
      <c r="A338" s="4">
        <v>332</v>
      </c>
      <c r="C338" s="110">
        <f>IF(male=0,VLOOKUP(((A336:A1170/'Life tables'!$I$2)*2)+age,lifetable,13,1),IF(male=1,VLOOKUP(((A336:A1170/'Life tables'!$I$2)*2)+age,lifetable,10,1),"error"))</f>
        <v>2.3219220175896282E-4</v>
      </c>
      <c r="F338" s="101">
        <f t="shared" si="96"/>
        <v>160.10360879535301</v>
      </c>
      <c r="G338" s="101">
        <f t="shared" si="97"/>
        <v>16.08274258188516</v>
      </c>
      <c r="H338" s="101">
        <f t="shared" si="98"/>
        <v>0.36803380552237641</v>
      </c>
      <c r="I338" s="101">
        <f t="shared" si="99"/>
        <v>0.36803380552237641</v>
      </c>
      <c r="J338" s="101">
        <f t="shared" si="100"/>
        <v>4.1080006005411146E-2</v>
      </c>
      <c r="K338" s="101">
        <f t="shared" si="101"/>
        <v>2.884984626715438E-2</v>
      </c>
      <c r="L338" s="101">
        <f t="shared" si="110"/>
        <v>143.21486875015054</v>
      </c>
      <c r="M338" s="101">
        <f t="shared" si="102"/>
        <v>769.83591837613005</v>
      </c>
      <c r="N338" s="101">
        <f t="shared" si="103"/>
        <v>74.136866887283261</v>
      </c>
      <c r="O338" s="101">
        <f t="shared" si="104"/>
        <v>1.7696393279300284</v>
      </c>
      <c r="P338" s="101">
        <f t="shared" si="105"/>
        <v>1.7696393279300284</v>
      </c>
      <c r="Q338" s="101">
        <f t="shared" si="106"/>
        <v>0.1967856921386989</v>
      </c>
      <c r="R338" s="101">
        <f t="shared" si="107"/>
        <v>2.0617815318074717E-2</v>
      </c>
      <c r="S338" s="101">
        <f t="shared" si="95"/>
        <v>691.94236932552997</v>
      </c>
      <c r="T338" s="101">
        <f t="shared" si="111"/>
        <v>49.298011291402233</v>
      </c>
      <c r="U338" s="101">
        <f t="shared" si="111"/>
        <v>21.04979489684894</v>
      </c>
      <c r="V338" s="33">
        <f t="shared" si="112"/>
        <v>1000.0000000000049</v>
      </c>
      <c r="W338" s="105">
        <f t="shared" si="108"/>
        <v>123839.6663440191</v>
      </c>
      <c r="X338" s="112">
        <f t="shared" si="113"/>
        <v>929.6521938117537</v>
      </c>
      <c r="Y338" s="32">
        <f t="shared" si="109"/>
        <v>556.2460099010998</v>
      </c>
    </row>
    <row r="339" spans="1:25" x14ac:dyDescent="0.25">
      <c r="A339" s="4">
        <v>333</v>
      </c>
      <c r="C339" s="110">
        <f>IF(male=0,VLOOKUP(((A337:A1171/'Life tables'!$I$2)*2)+age,lifetable,13,1),IF(male=1,VLOOKUP(((A337:A1171/'Life tables'!$I$2)*2)+age,lifetable,10,1),"error"))</f>
        <v>2.3219220175896282E-4</v>
      </c>
      <c r="F339" s="101">
        <f t="shared" si="96"/>
        <v>160.053422381975</v>
      </c>
      <c r="G339" s="101">
        <f t="shared" si="97"/>
        <v>16.077701251626962</v>
      </c>
      <c r="H339" s="101">
        <f t="shared" si="98"/>
        <v>0.36791844087294717</v>
      </c>
      <c r="I339" s="101">
        <f t="shared" si="99"/>
        <v>0.36791844087294717</v>
      </c>
      <c r="J339" s="101">
        <f t="shared" si="100"/>
        <v>4.1067128980474168E-2</v>
      </c>
      <c r="K339" s="101">
        <f t="shared" si="101"/>
        <v>2.884080293376827E-2</v>
      </c>
      <c r="L339" s="101">
        <f t="shared" si="110"/>
        <v>143.16997631668789</v>
      </c>
      <c r="M339" s="101">
        <f t="shared" si="102"/>
        <v>769.59877142977871</v>
      </c>
      <c r="N339" s="101">
        <f t="shared" si="103"/>
        <v>74.114029122540543</v>
      </c>
      <c r="O339" s="101">
        <f t="shared" si="104"/>
        <v>1.7690941928528718</v>
      </c>
      <c r="P339" s="101">
        <f t="shared" si="105"/>
        <v>1.7690941928528718</v>
      </c>
      <c r="Q339" s="101">
        <f t="shared" si="106"/>
        <v>0.19672507256397867</v>
      </c>
      <c r="R339" s="101">
        <f t="shared" si="107"/>
        <v>2.0611464027070484E-2</v>
      </c>
      <c r="S339" s="101">
        <f t="shared" si="95"/>
        <v>691.72921738494142</v>
      </c>
      <c r="T339" s="101">
        <f t="shared" si="111"/>
        <v>49.535803492946684</v>
      </c>
      <c r="U339" s="101">
        <f t="shared" si="111"/>
        <v>21.099247163809778</v>
      </c>
      <c r="V339" s="33">
        <f t="shared" si="112"/>
        <v>1000.0000000000049</v>
      </c>
      <c r="W339" s="105">
        <f t="shared" si="108"/>
        <v>123659.15013064031</v>
      </c>
      <c r="X339" s="112">
        <f t="shared" si="113"/>
        <v>929.36494934324844</v>
      </c>
      <c r="Y339" s="32">
        <f t="shared" si="109"/>
        <v>555.91422055548492</v>
      </c>
    </row>
    <row r="340" spans="1:25" x14ac:dyDescent="0.25">
      <c r="A340" s="4">
        <v>334</v>
      </c>
      <c r="C340" s="110">
        <f>IF(male=0,VLOOKUP(((A338:A1172/'Life tables'!$I$2)*2)+age,lifetable,13,1),IF(male=1,VLOOKUP(((A338:A1172/'Life tables'!$I$2)*2)+age,lifetable,10,1),"error"))</f>
        <v>2.3219220175896282E-4</v>
      </c>
      <c r="F340" s="101">
        <f t="shared" si="96"/>
        <v>160.00327389510988</v>
      </c>
      <c r="G340" s="101">
        <f t="shared" si="97"/>
        <v>16.072663731166362</v>
      </c>
      <c r="H340" s="101">
        <f t="shared" si="98"/>
        <v>0.36780316340605546</v>
      </c>
      <c r="I340" s="101">
        <f t="shared" si="99"/>
        <v>0.36780316340605546</v>
      </c>
      <c r="J340" s="101">
        <f t="shared" si="100"/>
        <v>4.1054261686869216E-2</v>
      </c>
      <c r="K340" s="101">
        <f t="shared" si="101"/>
        <v>2.8831766434544583E-2</v>
      </c>
      <c r="L340" s="101">
        <f t="shared" si="110"/>
        <v>143.12511780900999</v>
      </c>
      <c r="M340" s="101">
        <f t="shared" si="102"/>
        <v>769.36167544813861</v>
      </c>
      <c r="N340" s="101">
        <f t="shared" si="103"/>
        <v>74.091196265809927</v>
      </c>
      <c r="O340" s="101">
        <f t="shared" si="104"/>
        <v>1.7685491749294557</v>
      </c>
      <c r="P340" s="101">
        <f t="shared" si="105"/>
        <v>1.7685491749294557</v>
      </c>
      <c r="Q340" s="101">
        <f t="shared" si="106"/>
        <v>0.19666446601687348</v>
      </c>
      <c r="R340" s="101">
        <f t="shared" si="107"/>
        <v>2.0605114101007765E-2</v>
      </c>
      <c r="S340" s="101">
        <f t="shared" si="95"/>
        <v>691.51611125235195</v>
      </c>
      <c r="T340" s="101">
        <f t="shared" si="111"/>
        <v>49.773522220650428</v>
      </c>
      <c r="U340" s="101">
        <f t="shared" si="111"/>
        <v>21.14868404434533</v>
      </c>
      <c r="V340" s="33">
        <f t="shared" si="112"/>
        <v>1000.000000000005</v>
      </c>
      <c r="W340" s="105">
        <f t="shared" si="108"/>
        <v>123478.89581563516</v>
      </c>
      <c r="X340" s="112">
        <f t="shared" si="113"/>
        <v>929.07779373500921</v>
      </c>
      <c r="Y340" s="32">
        <f t="shared" si="109"/>
        <v>555.58262917144009</v>
      </c>
    </row>
    <row r="341" spans="1:25" x14ac:dyDescent="0.25">
      <c r="A341" s="4">
        <v>335</v>
      </c>
      <c r="C341" s="110">
        <f>IF(male=0,VLOOKUP(((A339:A1173/'Life tables'!$I$2)*2)+age,lifetable,13,1),IF(male=1,VLOOKUP(((A339:A1173/'Life tables'!$I$2)*2)+age,lifetable,10,1),"error"))</f>
        <v>2.3219220175896282E-4</v>
      </c>
      <c r="F341" s="101">
        <f t="shared" si="96"/>
        <v>159.95316262305963</v>
      </c>
      <c r="G341" s="101">
        <f t="shared" si="97"/>
        <v>16.067629949011799</v>
      </c>
      <c r="H341" s="101">
        <f t="shared" si="98"/>
        <v>0.3676879714857047</v>
      </c>
      <c r="I341" s="101">
        <f t="shared" si="99"/>
        <v>0.3676879714857047</v>
      </c>
      <c r="J341" s="101">
        <f t="shared" si="100"/>
        <v>4.1041403941986056E-2</v>
      </c>
      <c r="K341" s="101">
        <f t="shared" si="101"/>
        <v>2.8822736641238991E-2</v>
      </c>
      <c r="L341" s="101">
        <f t="shared" si="110"/>
        <v>143.0802925904932</v>
      </c>
      <c r="M341" s="101">
        <f t="shared" si="102"/>
        <v>769.12463111194972</v>
      </c>
      <c r="N341" s="101">
        <f t="shared" si="103"/>
        <v>74.06836838264816</v>
      </c>
      <c r="O341" s="101">
        <f t="shared" si="104"/>
        <v>1.7680042757246126</v>
      </c>
      <c r="P341" s="101">
        <f t="shared" si="105"/>
        <v>1.7680042757246126</v>
      </c>
      <c r="Q341" s="101">
        <f t="shared" si="106"/>
        <v>0.19660387267139423</v>
      </c>
      <c r="R341" s="101">
        <f t="shared" si="107"/>
        <v>2.0598765558118202E-2</v>
      </c>
      <c r="S341" s="101">
        <f t="shared" si="95"/>
        <v>691.30305153962286</v>
      </c>
      <c r="T341" s="101">
        <f t="shared" si="111"/>
        <v>50.011167497263806</v>
      </c>
      <c r="U341" s="101">
        <f t="shared" si="111"/>
        <v>21.198105546544689</v>
      </c>
      <c r="V341" s="33">
        <f t="shared" si="112"/>
        <v>1000.0000000000052</v>
      </c>
      <c r="W341" s="105">
        <f t="shared" si="108"/>
        <v>123298.90305891131</v>
      </c>
      <c r="X341" s="112">
        <f t="shared" si="113"/>
        <v>928.79072695619675</v>
      </c>
      <c r="Y341" s="32">
        <f t="shared" si="109"/>
        <v>555.25123562908641</v>
      </c>
    </row>
    <row r="342" spans="1:25" x14ac:dyDescent="0.25">
      <c r="A342" s="4">
        <v>336</v>
      </c>
      <c r="C342" s="110">
        <f>IF(male=0,VLOOKUP(((A340:A1174/'Life tables'!$I$2)*2)+age,lifetable,13,1),IF(male=1,VLOOKUP(((A340:A1174/'Life tables'!$I$2)*2)+age,lifetable,10,1),"error"))</f>
        <v>2.3219220175896282E-4</v>
      </c>
      <c r="F342" s="101">
        <f t="shared" si="96"/>
        <v>159.90308787620037</v>
      </c>
      <c r="G342" s="101">
        <f t="shared" si="97"/>
        <v>16.062599835889117</v>
      </c>
      <c r="H342" s="101">
        <f t="shared" si="98"/>
        <v>0.36757286352664087</v>
      </c>
      <c r="I342" s="101">
        <f t="shared" si="99"/>
        <v>0.36757286352664087</v>
      </c>
      <c r="J342" s="101">
        <f t="shared" si="100"/>
        <v>4.1028555568878321E-2</v>
      </c>
      <c r="K342" s="101">
        <f t="shared" si="101"/>
        <v>2.8813713429584824E-2</v>
      </c>
      <c r="L342" s="101">
        <f t="shared" si="110"/>
        <v>143.03550004425952</v>
      </c>
      <c r="M342" s="101">
        <f t="shared" si="102"/>
        <v>768.88763907999623</v>
      </c>
      <c r="N342" s="101">
        <f t="shared" si="103"/>
        <v>74.045545536497585</v>
      </c>
      <c r="O342" s="101">
        <f t="shared" si="104"/>
        <v>1.7674594967527044</v>
      </c>
      <c r="P342" s="101">
        <f t="shared" si="105"/>
        <v>1.7674594967527044</v>
      </c>
      <c r="Q342" s="101">
        <f t="shared" si="106"/>
        <v>0.19654329269593956</v>
      </c>
      <c r="R342" s="101">
        <f t="shared" si="107"/>
        <v>2.0592418416045411E-2</v>
      </c>
      <c r="S342" s="101">
        <f t="shared" si="95"/>
        <v>691.09003883888124</v>
      </c>
      <c r="T342" s="101">
        <f t="shared" si="111"/>
        <v>50.248739345528627</v>
      </c>
      <c r="U342" s="101">
        <f t="shared" si="111"/>
        <v>21.247511678390318</v>
      </c>
      <c r="V342" s="33">
        <f t="shared" si="112"/>
        <v>1000.0000000000051</v>
      </c>
      <c r="W342" s="105">
        <f t="shared" si="108"/>
        <v>123119.17151952247</v>
      </c>
      <c r="X342" s="112">
        <f t="shared" si="113"/>
        <v>928.50374897608617</v>
      </c>
      <c r="Y342" s="32">
        <f t="shared" si="109"/>
        <v>554.92003980867366</v>
      </c>
    </row>
    <row r="343" spans="1:25" x14ac:dyDescent="0.25">
      <c r="A343" s="4">
        <v>337</v>
      </c>
      <c r="C343" s="110">
        <f>IF(male=0,VLOOKUP(((A341:A1175/'Life tables'!$I$2)*2)+age,lifetable,13,1),IF(male=1,VLOOKUP(((A341:A1175/'Life tables'!$I$2)*2)+age,lifetable,10,1),"error"))</f>
        <v>2.3219220175896282E-4</v>
      </c>
      <c r="F343" s="101">
        <f t="shared" si="96"/>
        <v>159.85304898629309</v>
      </c>
      <c r="G343" s="101">
        <f t="shared" si="97"/>
        <v>16.057573324672305</v>
      </c>
      <c r="H343" s="101">
        <f t="shared" si="98"/>
        <v>0.36745783799276782</v>
      </c>
      <c r="I343" s="101">
        <f t="shared" si="99"/>
        <v>0.36745783799276782</v>
      </c>
      <c r="J343" s="101">
        <f t="shared" si="100"/>
        <v>4.1015716396086643E-2</v>
      </c>
      <c r="K343" s="101">
        <f t="shared" si="101"/>
        <v>2.8804696679168851E-2</v>
      </c>
      <c r="L343" s="101">
        <f t="shared" si="110"/>
        <v>142.99073957255999</v>
      </c>
      <c r="M343" s="101">
        <f t="shared" si="102"/>
        <v>768.65069998979322</v>
      </c>
      <c r="N343" s="101">
        <f t="shared" si="103"/>
        <v>74.022727788752292</v>
      </c>
      <c r="O343" s="101">
        <f t="shared" si="104"/>
        <v>1.7669148394792016</v>
      </c>
      <c r="P343" s="101">
        <f t="shared" si="105"/>
        <v>1.7669148394792016</v>
      </c>
      <c r="Q343" s="101">
        <f t="shared" si="106"/>
        <v>0.19648272625347138</v>
      </c>
      <c r="R343" s="101">
        <f t="shared" si="107"/>
        <v>2.0586072691863376E-2</v>
      </c>
      <c r="S343" s="101">
        <f t="shared" si="95"/>
        <v>690.87707372313719</v>
      </c>
      <c r="T343" s="101">
        <f t="shared" si="111"/>
        <v>50.486237788178187</v>
      </c>
      <c r="U343" s="101">
        <f t="shared" si="111"/>
        <v>21.296902447761351</v>
      </c>
      <c r="V343" s="33">
        <f t="shared" si="112"/>
        <v>1000.0000000000052</v>
      </c>
      <c r="W343" s="105">
        <f t="shared" si="108"/>
        <v>122939.7008557129</v>
      </c>
      <c r="X343" s="112">
        <f t="shared" si="113"/>
        <v>928.2168597640657</v>
      </c>
      <c r="Y343" s="32">
        <f t="shared" si="109"/>
        <v>554.58904159057874</v>
      </c>
    </row>
    <row r="344" spans="1:25" x14ac:dyDescent="0.25">
      <c r="A344" s="4">
        <v>338</v>
      </c>
      <c r="C344" s="110">
        <f>IF(male=0,VLOOKUP(((A342:A1176/'Life tables'!$I$2)*2)+age,lifetable,13,1),IF(male=1,VLOOKUP(((A342:A1176/'Life tables'!$I$2)*2)+age,lifetable,10,1),"error"))</f>
        <v>2.3219220175896282E-4</v>
      </c>
      <c r="F344" s="101">
        <f t="shared" si="96"/>
        <v>159.80304530581591</v>
      </c>
      <c r="G344" s="101">
        <f t="shared" si="97"/>
        <v>16.052550350316434</v>
      </c>
      <c r="H344" s="101">
        <f t="shared" si="98"/>
        <v>0.36734289339561221</v>
      </c>
      <c r="I344" s="101">
        <f t="shared" si="99"/>
        <v>0.36734289339561221</v>
      </c>
      <c r="J344" s="101">
        <f t="shared" si="100"/>
        <v>4.1002886257467334E-2</v>
      </c>
      <c r="K344" s="101">
        <f t="shared" si="101"/>
        <v>2.8795686273310965E-2</v>
      </c>
      <c r="L344" s="101">
        <f t="shared" si="110"/>
        <v>142.94601059617747</v>
      </c>
      <c r="M344" s="101">
        <f t="shared" si="102"/>
        <v>768.4138144582497</v>
      </c>
      <c r="N344" s="101">
        <f t="shared" si="103"/>
        <v>73.999915198821952</v>
      </c>
      <c r="O344" s="101">
        <f t="shared" si="104"/>
        <v>1.7663703053222071</v>
      </c>
      <c r="P344" s="101">
        <f t="shared" si="105"/>
        <v>1.7663703053222071</v>
      </c>
      <c r="Q344" s="101">
        <f t="shared" si="106"/>
        <v>0.19642217350168401</v>
      </c>
      <c r="R344" s="101">
        <f t="shared" si="107"/>
        <v>2.0579728402094211E-2</v>
      </c>
      <c r="S344" s="101">
        <f t="shared" si="95"/>
        <v>690.6641567468796</v>
      </c>
      <c r="T344" s="101">
        <f t="shared" si="111"/>
        <v>50.723662847937341</v>
      </c>
      <c r="U344" s="101">
        <f t="shared" si="111"/>
        <v>21.346277862436757</v>
      </c>
      <c r="V344" s="33">
        <f t="shared" si="112"/>
        <v>1000.0000000000052</v>
      </c>
      <c r="W344" s="105">
        <f t="shared" si="108"/>
        <v>122760.49072496117</v>
      </c>
      <c r="X344" s="112">
        <f t="shared" si="113"/>
        <v>927.93005928963112</v>
      </c>
      <c r="Y344" s="32">
        <f t="shared" si="109"/>
        <v>554.25824085530246</v>
      </c>
    </row>
    <row r="345" spans="1:25" x14ac:dyDescent="0.25">
      <c r="A345" s="4">
        <v>339</v>
      </c>
      <c r="C345" s="110">
        <f>IF(male=0,VLOOKUP(((A343:A1177/'Life tables'!$I$2)*2)+age,lifetable,13,1),IF(male=1,VLOOKUP(((A343:A1177/'Life tables'!$I$2)*2)+age,lifetable,10,1),"error"))</f>
        <v>2.5345550293476293E-4</v>
      </c>
      <c r="F345" s="101">
        <f t="shared" si="96"/>
        <v>159.75307620731772</v>
      </c>
      <c r="G345" s="101">
        <f t="shared" si="97"/>
        <v>16.047530849792729</v>
      </c>
      <c r="H345" s="101">
        <f t="shared" si="98"/>
        <v>0.3672280282928379</v>
      </c>
      <c r="I345" s="101">
        <f t="shared" si="99"/>
        <v>0.3672280282928379</v>
      </c>
      <c r="J345" s="101">
        <f t="shared" si="100"/>
        <v>4.4743783207101963E-2</v>
      </c>
      <c r="K345" s="101">
        <f t="shared" si="101"/>
        <v>2.8786682098947702E-2</v>
      </c>
      <c r="L345" s="101">
        <f t="shared" si="110"/>
        <v>142.89755883563328</v>
      </c>
      <c r="M345" s="101">
        <f t="shared" si="102"/>
        <v>768.17698308231331</v>
      </c>
      <c r="N345" s="101">
        <f t="shared" si="103"/>
        <v>73.977107824193908</v>
      </c>
      <c r="O345" s="101">
        <f t="shared" si="104"/>
        <v>1.7658258956539379</v>
      </c>
      <c r="P345" s="101">
        <f t="shared" si="105"/>
        <v>1.7658258956539379</v>
      </c>
      <c r="Q345" s="101">
        <f t="shared" si="106"/>
        <v>0.21434370524023322</v>
      </c>
      <c r="R345" s="101">
        <f t="shared" si="107"/>
        <v>2.0573385562725425E-2</v>
      </c>
      <c r="S345" s="101">
        <f t="shared" si="95"/>
        <v>690.43330637600855</v>
      </c>
      <c r="T345" s="101">
        <f t="shared" si="111"/>
        <v>50.982750336384676</v>
      </c>
      <c r="U345" s="101">
        <f t="shared" si="111"/>
        <v>21.395637930098431</v>
      </c>
      <c r="V345" s="33">
        <f t="shared" si="112"/>
        <v>1000.0000000000052</v>
      </c>
      <c r="W345" s="105">
        <f t="shared" si="108"/>
        <v>122579.05464916745</v>
      </c>
      <c r="X345" s="112">
        <f t="shared" si="113"/>
        <v>927.62161173352206</v>
      </c>
      <c r="Y345" s="32">
        <f t="shared" si="109"/>
        <v>553.91444717311447</v>
      </c>
    </row>
    <row r="346" spans="1:25" x14ac:dyDescent="0.25">
      <c r="A346" s="4">
        <v>340</v>
      </c>
      <c r="C346" s="110">
        <f>IF(male=0,VLOOKUP(((A344:A1178/'Life tables'!$I$2)*2)+age,lifetable,13,1),IF(male=1,VLOOKUP(((A344:A1178/'Life tables'!$I$2)*2)+age,lifetable,10,1),"error"))</f>
        <v>2.5345550293476293E-4</v>
      </c>
      <c r="F346" s="101">
        <f t="shared" si="96"/>
        <v>159.69938727411562</v>
      </c>
      <c r="G346" s="101">
        <f t="shared" si="97"/>
        <v>16.042137684087834</v>
      </c>
      <c r="H346" s="101">
        <f t="shared" si="98"/>
        <v>0.36710461232145863</v>
      </c>
      <c r="I346" s="101">
        <f t="shared" si="99"/>
        <v>0.36710461232145863</v>
      </c>
      <c r="J346" s="101">
        <f t="shared" si="100"/>
        <v>4.4728745963094868E-2</v>
      </c>
      <c r="K346" s="101">
        <f t="shared" si="101"/>
        <v>2.8777007629516422E-2</v>
      </c>
      <c r="L346" s="101">
        <f t="shared" si="110"/>
        <v>142.84953461179225</v>
      </c>
      <c r="M346" s="101">
        <f t="shared" si="102"/>
        <v>767.92222445940649</v>
      </c>
      <c r="N346" s="101">
        <f t="shared" si="103"/>
        <v>73.952574016840941</v>
      </c>
      <c r="O346" s="101">
        <f t="shared" si="104"/>
        <v>1.7652402762154786</v>
      </c>
      <c r="P346" s="101">
        <f t="shared" si="105"/>
        <v>1.7652402762154786</v>
      </c>
      <c r="Q346" s="101">
        <f t="shared" si="106"/>
        <v>0.21427262017991724</v>
      </c>
      <c r="R346" s="101">
        <f t="shared" si="107"/>
        <v>2.056656259420395E-2</v>
      </c>
      <c r="S346" s="101">
        <f t="shared" si="95"/>
        <v>690.20433070736044</v>
      </c>
      <c r="T346" s="101">
        <f t="shared" si="111"/>
        <v>51.241751702527687</v>
      </c>
      <c r="U346" s="101">
        <f t="shared" si="111"/>
        <v>21.44498150032215</v>
      </c>
      <c r="V346" s="33">
        <f t="shared" si="112"/>
        <v>1000.0000000000052</v>
      </c>
      <c r="W346" s="105">
        <f t="shared" si="108"/>
        <v>122397.50084934584</v>
      </c>
      <c r="X346" s="112">
        <f t="shared" si="113"/>
        <v>927.31326679715539</v>
      </c>
      <c r="Y346" s="32">
        <f t="shared" si="109"/>
        <v>553.57107778481839</v>
      </c>
    </row>
    <row r="347" spans="1:25" x14ac:dyDescent="0.25">
      <c r="A347" s="4">
        <v>341</v>
      </c>
      <c r="C347" s="110">
        <f>IF(male=0,VLOOKUP(((A345:A1179/'Life tables'!$I$2)*2)+age,lifetable,13,1),IF(male=1,VLOOKUP(((A345:A1179/'Life tables'!$I$2)*2)+age,lifetable,10,1),"error"))</f>
        <v>2.5345550293476293E-4</v>
      </c>
      <c r="F347" s="101">
        <f t="shared" si="96"/>
        <v>159.64573452401075</v>
      </c>
      <c r="G347" s="101">
        <f t="shared" si="97"/>
        <v>16.036748153050777</v>
      </c>
      <c r="H347" s="101">
        <f t="shared" si="98"/>
        <v>0.3669812795249876</v>
      </c>
      <c r="I347" s="101">
        <f t="shared" si="99"/>
        <v>0.3669812795249876</v>
      </c>
      <c r="J347" s="101">
        <f t="shared" si="100"/>
        <v>4.4713718853281695E-2</v>
      </c>
      <c r="K347" s="101">
        <f t="shared" si="101"/>
        <v>2.8767339680093033E-2</v>
      </c>
      <c r="L347" s="101">
        <f t="shared" si="110"/>
        <v>142.80154275337662</v>
      </c>
      <c r="M347" s="101">
        <f t="shared" si="102"/>
        <v>767.6675322731445</v>
      </c>
      <c r="N347" s="101">
        <f t="shared" si="103"/>
        <v>73.928046607480823</v>
      </c>
      <c r="O347" s="101">
        <f t="shared" si="104"/>
        <v>1.7646548094964454</v>
      </c>
      <c r="P347" s="101">
        <f t="shared" si="105"/>
        <v>1.7646548094964454</v>
      </c>
      <c r="Q347" s="101">
        <f t="shared" si="106"/>
        <v>0.21420155365735616</v>
      </c>
      <c r="R347" s="101">
        <f t="shared" si="107"/>
        <v>2.0559741404994721E-2</v>
      </c>
      <c r="S347" s="101">
        <f t="shared" si="95"/>
        <v>689.97541475160847</v>
      </c>
      <c r="T347" s="101">
        <f t="shared" si="111"/>
        <v>51.500666975038321</v>
      </c>
      <c r="U347" s="101">
        <f t="shared" si="111"/>
        <v>21.494308581407239</v>
      </c>
      <c r="V347" s="33">
        <f t="shared" si="112"/>
        <v>1000.0000000000052</v>
      </c>
      <c r="W347" s="105">
        <f t="shared" si="108"/>
        <v>122216.21495218074</v>
      </c>
      <c r="X347" s="112">
        <f t="shared" si="113"/>
        <v>927.00502444355959</v>
      </c>
      <c r="Y347" s="32">
        <f t="shared" si="109"/>
        <v>553.22792129558081</v>
      </c>
    </row>
    <row r="348" spans="1:25" x14ac:dyDescent="0.25">
      <c r="A348" s="4">
        <v>342</v>
      </c>
      <c r="C348" s="110">
        <f>IF(male=0,VLOOKUP(((A346:A1180/'Life tables'!$I$2)*2)+age,lifetable,13,1),IF(male=1,VLOOKUP(((A346:A1180/'Life tables'!$I$2)*2)+age,lifetable,10,1),"error"))</f>
        <v>2.5345550293476293E-4</v>
      </c>
      <c r="F348" s="101">
        <f t="shared" si="96"/>
        <v>159.59211737206147</v>
      </c>
      <c r="G348" s="101">
        <f t="shared" si="97"/>
        <v>16.031362197922956</v>
      </c>
      <c r="H348" s="101">
        <f t="shared" si="98"/>
        <v>0.36685802855880612</v>
      </c>
      <c r="I348" s="101">
        <f t="shared" si="99"/>
        <v>0.36685802855880612</v>
      </c>
      <c r="J348" s="101">
        <f t="shared" si="100"/>
        <v>4.4698701713831529E-2</v>
      </c>
      <c r="K348" s="101">
        <f t="shared" si="101"/>
        <v>2.8757678145274058E-2</v>
      </c>
      <c r="L348" s="101">
        <f t="shared" si="110"/>
        <v>142.75358273716179</v>
      </c>
      <c r="M348" s="101">
        <f t="shared" si="102"/>
        <v>767.4129070714979</v>
      </c>
      <c r="N348" s="101">
        <f t="shared" si="103"/>
        <v>73.903525648884298</v>
      </c>
      <c r="O348" s="101">
        <f t="shared" si="104"/>
        <v>1.7640694967564703</v>
      </c>
      <c r="P348" s="101">
        <f t="shared" si="105"/>
        <v>1.7640694967564703</v>
      </c>
      <c r="Q348" s="101">
        <f t="shared" si="106"/>
        <v>0.21413050582544968</v>
      </c>
      <c r="R348" s="101">
        <f t="shared" si="107"/>
        <v>2.0552922009773527E-2</v>
      </c>
      <c r="S348" s="101">
        <f t="shared" si="95"/>
        <v>689.74655900126538</v>
      </c>
      <c r="T348" s="101">
        <f t="shared" si="111"/>
        <v>51.7594961825776</v>
      </c>
      <c r="U348" s="101">
        <f t="shared" si="111"/>
        <v>21.543619181562285</v>
      </c>
      <c r="V348" s="33">
        <f t="shared" si="112"/>
        <v>1000.0000000000048</v>
      </c>
      <c r="W348" s="105">
        <f t="shared" si="108"/>
        <v>122035.19659470173</v>
      </c>
      <c r="X348" s="112">
        <f t="shared" si="113"/>
        <v>926.69688463586499</v>
      </c>
      <c r="Y348" s="32">
        <f t="shared" si="109"/>
        <v>552.8849775719566</v>
      </c>
    </row>
    <row r="349" spans="1:25" x14ac:dyDescent="0.25">
      <c r="A349" s="4">
        <v>343</v>
      </c>
      <c r="C349" s="110">
        <f>IF(male=0,VLOOKUP(((A347:A1181/'Life tables'!$I$2)*2)+age,lifetable,13,1),IF(male=1,VLOOKUP(((A347:A1181/'Life tables'!$I$2)*2)+age,lifetable,10,1),"error"))</f>
        <v>2.5345550293476293E-4</v>
      </c>
      <c r="F349" s="101">
        <f t="shared" si="96"/>
        <v>159.53853525142065</v>
      </c>
      <c r="G349" s="101">
        <f t="shared" si="97"/>
        <v>16.025979761763388</v>
      </c>
      <c r="H349" s="101">
        <f t="shared" si="98"/>
        <v>0.36673485811988987</v>
      </c>
      <c r="I349" s="101">
        <f t="shared" si="99"/>
        <v>0.36673485811988987</v>
      </c>
      <c r="J349" s="101">
        <f t="shared" si="100"/>
        <v>4.4683694385981264E-2</v>
      </c>
      <c r="K349" s="101">
        <f t="shared" si="101"/>
        <v>2.8748022922916571E-2</v>
      </c>
      <c r="L349" s="101">
        <f t="shared" si="110"/>
        <v>142.70565405610859</v>
      </c>
      <c r="M349" s="101">
        <f t="shared" si="102"/>
        <v>767.15834938444436</v>
      </c>
      <c r="N349" s="101">
        <f t="shared" si="103"/>
        <v>73.879011192089351</v>
      </c>
      <c r="O349" s="101">
        <f t="shared" si="104"/>
        <v>1.7634843392138253</v>
      </c>
      <c r="P349" s="101">
        <f t="shared" si="105"/>
        <v>1.7634843392138253</v>
      </c>
      <c r="Q349" s="101">
        <f t="shared" si="106"/>
        <v>0.21405947683207699</v>
      </c>
      <c r="R349" s="101">
        <f t="shared" si="107"/>
        <v>2.0546104422734281E-2</v>
      </c>
      <c r="S349" s="101">
        <f t="shared" si="95"/>
        <v>689.51776393267255</v>
      </c>
      <c r="T349" s="101">
        <f t="shared" si="111"/>
        <v>52.018239353795657</v>
      </c>
      <c r="U349" s="101">
        <f t="shared" si="111"/>
        <v>21.592913308907935</v>
      </c>
      <c r="V349" s="33">
        <f t="shared" si="112"/>
        <v>1000.0000000000049</v>
      </c>
      <c r="W349" s="105">
        <f t="shared" si="108"/>
        <v>121854.44541337946</v>
      </c>
      <c r="X349" s="112">
        <f t="shared" si="113"/>
        <v>926.38884733730129</v>
      </c>
      <c r="Y349" s="32">
        <f t="shared" si="109"/>
        <v>552.54224648062984</v>
      </c>
    </row>
    <row r="350" spans="1:25" x14ac:dyDescent="0.25">
      <c r="A350" s="4">
        <v>344</v>
      </c>
      <c r="C350" s="110">
        <f>IF(male=0,VLOOKUP(((A348:A1182/'Life tables'!$I$2)*2)+age,lifetable,13,1),IF(male=1,VLOOKUP(((A348:A1182/'Life tables'!$I$2)*2)+age,lifetable,10,1),"error"))</f>
        <v>2.5345550293476293E-4</v>
      </c>
      <c r="F350" s="101">
        <f t="shared" si="96"/>
        <v>159.48498761277045</v>
      </c>
      <c r="G350" s="101">
        <f t="shared" si="97"/>
        <v>16.020600789391942</v>
      </c>
      <c r="H350" s="101">
        <f t="shared" si="98"/>
        <v>0.36661176694550945</v>
      </c>
      <c r="I350" s="101">
        <f t="shared" si="99"/>
        <v>0.36661176694550945</v>
      </c>
      <c r="J350" s="101">
        <f t="shared" si="100"/>
        <v>4.4668696715877518E-2</v>
      </c>
      <c r="K350" s="101">
        <f t="shared" si="101"/>
        <v>2.8738373914036313E-2</v>
      </c>
      <c r="L350" s="101">
        <f t="shared" si="110"/>
        <v>142.65775621885757</v>
      </c>
      <c r="M350" s="101">
        <f t="shared" si="102"/>
        <v>766.90385972453089</v>
      </c>
      <c r="N350" s="101">
        <f t="shared" si="103"/>
        <v>73.854503286455397</v>
      </c>
      <c r="O350" s="101">
        <f t="shared" si="104"/>
        <v>1.7628993380467137</v>
      </c>
      <c r="P350" s="101">
        <f t="shared" si="105"/>
        <v>1.7628993380467137</v>
      </c>
      <c r="Q350" s="101">
        <f t="shared" si="106"/>
        <v>0.21398846682025352</v>
      </c>
      <c r="R350" s="101">
        <f t="shared" si="107"/>
        <v>2.0539288657604064E-2</v>
      </c>
      <c r="S350" s="101">
        <f t="shared" si="95"/>
        <v>689.28903000650416</v>
      </c>
      <c r="T350" s="101">
        <f t="shared" si="111"/>
        <v>52.276896517331785</v>
      </c>
      <c r="U350" s="101">
        <f t="shared" si="111"/>
        <v>21.642190971479575</v>
      </c>
      <c r="V350" s="33">
        <f t="shared" si="112"/>
        <v>1000.0000000000048</v>
      </c>
      <c r="W350" s="105">
        <f t="shared" si="108"/>
        <v>121673.96104416181</v>
      </c>
      <c r="X350" s="112">
        <f t="shared" si="113"/>
        <v>926.08091251119345</v>
      </c>
      <c r="Y350" s="32">
        <f t="shared" si="109"/>
        <v>552.19972788841164</v>
      </c>
    </row>
    <row r="351" spans="1:25" x14ac:dyDescent="0.25">
      <c r="A351" s="4">
        <v>345</v>
      </c>
      <c r="C351" s="110">
        <f>IF(male=0,VLOOKUP(((A349:A1183/'Life tables'!$I$2)*2)+age,lifetable,13,1),IF(male=1,VLOOKUP(((A349:A1183/'Life tables'!$I$2)*2)+age,lifetable,10,1),"error"))</f>
        <v>2.5345550293476293E-4</v>
      </c>
      <c r="F351" s="101">
        <f t="shared" si="96"/>
        <v>159.43147392377458</v>
      </c>
      <c r="G351" s="101">
        <f t="shared" si="97"/>
        <v>16.015225227334323</v>
      </c>
      <c r="H351" s="101">
        <f t="shared" si="98"/>
        <v>0.36648875381197121</v>
      </c>
      <c r="I351" s="101">
        <f t="shared" si="99"/>
        <v>0.36648875381197121</v>
      </c>
      <c r="J351" s="101">
        <f t="shared" si="100"/>
        <v>4.4653708554423042E-2</v>
      </c>
      <c r="K351" s="101">
        <f t="shared" si="101"/>
        <v>2.8728731022709033E-2</v>
      </c>
      <c r="L351" s="101">
        <f t="shared" si="110"/>
        <v>142.60988874923919</v>
      </c>
      <c r="M351" s="101">
        <f t="shared" si="102"/>
        <v>766.64943858741901</v>
      </c>
      <c r="N351" s="101">
        <f t="shared" si="103"/>
        <v>73.830001979715689</v>
      </c>
      <c r="O351" s="101">
        <f t="shared" si="104"/>
        <v>1.7623144943945241</v>
      </c>
      <c r="P351" s="101">
        <f t="shared" si="105"/>
        <v>1.7623144943945241</v>
      </c>
      <c r="Q351" s="101">
        <f t="shared" si="106"/>
        <v>0.21391747592828333</v>
      </c>
      <c r="R351" s="101">
        <f t="shared" si="107"/>
        <v>2.0532474727657731E-2</v>
      </c>
      <c r="S351" s="101">
        <f t="shared" si="95"/>
        <v>689.06035766825835</v>
      </c>
      <c r="T351" s="101">
        <f t="shared" si="111"/>
        <v>52.53546770181449</v>
      </c>
      <c r="U351" s="101">
        <f t="shared" si="111"/>
        <v>21.691452177229941</v>
      </c>
      <c r="V351" s="33">
        <f t="shared" si="112"/>
        <v>1000.000000000005</v>
      </c>
      <c r="W351" s="105">
        <f t="shared" si="108"/>
        <v>121493.74312250897</v>
      </c>
      <c r="X351" s="112">
        <f t="shared" si="113"/>
        <v>925.77308012096057</v>
      </c>
      <c r="Y351" s="32">
        <f t="shared" si="109"/>
        <v>551.85742166224054</v>
      </c>
    </row>
    <row r="352" spans="1:25" x14ac:dyDescent="0.25">
      <c r="A352" s="4">
        <v>346</v>
      </c>
      <c r="C352" s="110">
        <f>IF(male=0,VLOOKUP(((A350:A1184/'Life tables'!$I$2)*2)+age,lifetable,13,1),IF(male=1,VLOOKUP(((A350:A1184/'Life tables'!$I$2)*2)+age,lifetable,10,1),"error"))</f>
        <v>2.5345550293476293E-4</v>
      </c>
      <c r="F352" s="101">
        <f t="shared" si="96"/>
        <v>159.37799366854776</v>
      </c>
      <c r="G352" s="101">
        <f t="shared" si="97"/>
        <v>16.009853023768784</v>
      </c>
      <c r="H352" s="101">
        <f t="shared" si="98"/>
        <v>0.36636581753339803</v>
      </c>
      <c r="I352" s="101">
        <f t="shared" si="99"/>
        <v>0.36636581753339803</v>
      </c>
      <c r="J352" s="101">
        <f t="shared" si="100"/>
        <v>4.4638729757128258E-2</v>
      </c>
      <c r="K352" s="101">
        <f t="shared" si="101"/>
        <v>2.8719094155974852E-2</v>
      </c>
      <c r="L352" s="101">
        <f t="shared" si="110"/>
        <v>142.56205118579908</v>
      </c>
      <c r="M352" s="101">
        <f t="shared" si="102"/>
        <v>766.3950864524129</v>
      </c>
      <c r="N352" s="101">
        <f t="shared" si="103"/>
        <v>73.805507318028276</v>
      </c>
      <c r="O352" s="101">
        <f t="shared" si="104"/>
        <v>1.7617298093590439</v>
      </c>
      <c r="P352" s="101">
        <f t="shared" si="105"/>
        <v>1.7617298093590439</v>
      </c>
      <c r="Q352" s="101">
        <f t="shared" si="106"/>
        <v>0.21384650428990615</v>
      </c>
      <c r="R352" s="101">
        <f t="shared" si="107"/>
        <v>2.0525662645732048E-2</v>
      </c>
      <c r="S352" s="101">
        <f t="shared" si="95"/>
        <v>688.83174734873091</v>
      </c>
      <c r="T352" s="101">
        <f t="shared" si="111"/>
        <v>52.793952935861526</v>
      </c>
      <c r="U352" s="101">
        <f t="shared" si="111"/>
        <v>21.740696934031646</v>
      </c>
      <c r="V352" s="33">
        <f t="shared" si="112"/>
        <v>1000.0000000000052</v>
      </c>
      <c r="W352" s="105">
        <f t="shared" si="108"/>
        <v>121313.79128342743</v>
      </c>
      <c r="X352" s="112">
        <f t="shared" si="113"/>
        <v>925.46535013011191</v>
      </c>
      <c r="Y352" s="32">
        <f t="shared" si="109"/>
        <v>551.51532766917819</v>
      </c>
    </row>
    <row r="353" spans="1:25" x14ac:dyDescent="0.25">
      <c r="A353" s="4">
        <v>347</v>
      </c>
      <c r="C353" s="110">
        <f>IF(male=0,VLOOKUP(((A351:A1185/'Life tables'!$I$2)*2)+age,lifetable,13,1),IF(male=1,VLOOKUP(((A351:A1185/'Life tables'!$I$2)*2)+age,lifetable,10,1),"error"))</f>
        <v>2.5345550293476293E-4</v>
      </c>
      <c r="F353" s="101">
        <f t="shared" si="96"/>
        <v>159.3245463471419</v>
      </c>
      <c r="G353" s="101">
        <f t="shared" si="97"/>
        <v>16.004484128474484</v>
      </c>
      <c r="H353" s="101">
        <f t="shared" si="98"/>
        <v>0.36624295696054787</v>
      </c>
      <c r="I353" s="101">
        <f t="shared" si="99"/>
        <v>0.36624295696054787</v>
      </c>
      <c r="J353" s="101">
        <f t="shared" si="100"/>
        <v>4.4623760183967236E-2</v>
      </c>
      <c r="K353" s="101">
        <f t="shared" si="101"/>
        <v>2.8709463223745704E-2</v>
      </c>
      <c r="L353" s="101">
        <f t="shared" si="110"/>
        <v>142.51424308133861</v>
      </c>
      <c r="M353" s="101">
        <f t="shared" si="102"/>
        <v>766.14080378297012</v>
      </c>
      <c r="N353" s="101">
        <f t="shared" si="103"/>
        <v>73.781019346025118</v>
      </c>
      <c r="O353" s="101">
        <f t="shared" si="104"/>
        <v>1.7611452840056332</v>
      </c>
      <c r="P353" s="101">
        <f t="shared" si="105"/>
        <v>1.7611452840056332</v>
      </c>
      <c r="Q353" s="101">
        <f t="shared" si="106"/>
        <v>0.21377555203444018</v>
      </c>
      <c r="R353" s="101">
        <f t="shared" si="107"/>
        <v>2.051885242423937E-2</v>
      </c>
      <c r="S353" s="101">
        <f t="shared" si="95"/>
        <v>688.6031994644751</v>
      </c>
      <c r="T353" s="101">
        <f t="shared" si="111"/>
        <v>53.052352248079934</v>
      </c>
      <c r="U353" s="101">
        <f t="shared" si="111"/>
        <v>21.78992524967963</v>
      </c>
      <c r="V353" s="33">
        <f t="shared" si="112"/>
        <v>1000.0000000000052</v>
      </c>
      <c r="W353" s="105">
        <f t="shared" si="108"/>
        <v>121134.10516150278</v>
      </c>
      <c r="X353" s="112">
        <f t="shared" si="113"/>
        <v>925.15772250224563</v>
      </c>
      <c r="Y353" s="32">
        <f t="shared" si="109"/>
        <v>551.17344577641018</v>
      </c>
    </row>
    <row r="354" spans="1:25" x14ac:dyDescent="0.25">
      <c r="A354" s="4">
        <v>348</v>
      </c>
      <c r="C354" s="110">
        <f>IF(male=0,VLOOKUP(((A352:A1186/'Life tables'!$I$2)*2)+age,lifetable,13,1),IF(male=1,VLOOKUP(((A352:A1186/'Life tables'!$I$2)*2)+age,lifetable,10,1),"error"))</f>
        <v>2.5345550293476293E-4</v>
      </c>
      <c r="F354" s="101">
        <f t="shared" si="96"/>
        <v>159.27113147504821</v>
      </c>
      <c r="G354" s="101">
        <f t="shared" si="97"/>
        <v>15.999118492781504</v>
      </c>
      <c r="H354" s="101">
        <f t="shared" si="98"/>
        <v>0.36612017097966937</v>
      </c>
      <c r="I354" s="101">
        <f t="shared" si="99"/>
        <v>0.36612017097966937</v>
      </c>
      <c r="J354" s="101">
        <f t="shared" si="100"/>
        <v>4.4608799699238318E-2</v>
      </c>
      <c r="K354" s="101">
        <f t="shared" si="101"/>
        <v>2.8699838138715593E-2</v>
      </c>
      <c r="L354" s="101">
        <f t="shared" si="110"/>
        <v>142.46646400246942</v>
      </c>
      <c r="M354" s="101">
        <f t="shared" si="102"/>
        <v>765.88659102719726</v>
      </c>
      <c r="N354" s="101">
        <f t="shared" si="103"/>
        <v>73.756538106859836</v>
      </c>
      <c r="O354" s="101">
        <f t="shared" si="104"/>
        <v>1.7605609193643652</v>
      </c>
      <c r="P354" s="101">
        <f t="shared" si="105"/>
        <v>1.7605609193643652</v>
      </c>
      <c r="Q354" s="101">
        <f t="shared" si="106"/>
        <v>0.21370461928692011</v>
      </c>
      <c r="R354" s="101">
        <f t="shared" si="107"/>
        <v>2.0512044075180938E-2</v>
      </c>
      <c r="S354" s="101">
        <f t="shared" si="95"/>
        <v>688.37471441824664</v>
      </c>
      <c r="T354" s="101">
        <f t="shared" si="111"/>
        <v>53.31066566706609</v>
      </c>
      <c r="U354" s="101">
        <f t="shared" si="111"/>
        <v>21.839137131893526</v>
      </c>
      <c r="V354" s="33">
        <f t="shared" si="112"/>
        <v>1000.0000000000051</v>
      </c>
      <c r="W354" s="105">
        <f t="shared" si="108"/>
        <v>120954.68439093172</v>
      </c>
      <c r="X354" s="112">
        <f t="shared" si="113"/>
        <v>924.85019720104538</v>
      </c>
      <c r="Y354" s="32">
        <f t="shared" si="109"/>
        <v>550.83177585124349</v>
      </c>
    </row>
    <row r="355" spans="1:25" x14ac:dyDescent="0.25">
      <c r="A355" s="4">
        <v>349</v>
      </c>
      <c r="C355" s="110">
        <f>IF(male=0,VLOOKUP(((A353:A1187/'Life tables'!$I$2)*2)+age,lifetable,13,1),IF(male=1,VLOOKUP(((A353:A1187/'Life tables'!$I$2)*2)+age,lifetable,10,1),"error"))</f>
        <v>2.5345550293476293E-4</v>
      </c>
      <c r="F355" s="101">
        <f t="shared" si="96"/>
        <v>159.21774858271482</v>
      </c>
      <c r="G355" s="101">
        <f t="shared" si="97"/>
        <v>15.993756069522377</v>
      </c>
      <c r="H355" s="101">
        <f t="shared" si="98"/>
        <v>0.36599745851139287</v>
      </c>
      <c r="I355" s="101">
        <f t="shared" si="99"/>
        <v>0.36599745851139287</v>
      </c>
      <c r="J355" s="101">
        <f t="shared" si="100"/>
        <v>4.4593848171429029E-2</v>
      </c>
      <c r="K355" s="101">
        <f t="shared" si="101"/>
        <v>2.8690218816273691E-2</v>
      </c>
      <c r="L355" s="101">
        <f t="shared" si="110"/>
        <v>142.41871352918196</v>
      </c>
      <c r="M355" s="101">
        <f t="shared" si="102"/>
        <v>765.63244861833061</v>
      </c>
      <c r="N355" s="101">
        <f t="shared" si="103"/>
        <v>73.732063642254062</v>
      </c>
      <c r="O355" s="101">
        <f t="shared" si="104"/>
        <v>1.7599767164311297</v>
      </c>
      <c r="P355" s="101">
        <f t="shared" si="105"/>
        <v>1.7599767164311297</v>
      </c>
      <c r="Q355" s="101">
        <f t="shared" si="106"/>
        <v>0.21363370616823155</v>
      </c>
      <c r="R355" s="101">
        <f t="shared" si="107"/>
        <v>2.050523761015972E-2</v>
      </c>
      <c r="S355" s="101">
        <f t="shared" si="95"/>
        <v>688.14629259943592</v>
      </c>
      <c r="T355" s="101">
        <f t="shared" si="111"/>
        <v>53.568893221405752</v>
      </c>
      <c r="U355" s="101">
        <f t="shared" si="111"/>
        <v>21.888332588319958</v>
      </c>
      <c r="V355" s="33">
        <f t="shared" si="112"/>
        <v>1000.0000000000051</v>
      </c>
      <c r="W355" s="105">
        <f t="shared" si="108"/>
        <v>120775.52860555227</v>
      </c>
      <c r="X355" s="112">
        <f t="shared" si="113"/>
        <v>924.54277419027937</v>
      </c>
      <c r="Y355" s="32">
        <f t="shared" si="109"/>
        <v>550.49031776110576</v>
      </c>
    </row>
    <row r="356" spans="1:25" x14ac:dyDescent="0.25">
      <c r="A356" s="4">
        <v>350</v>
      </c>
      <c r="C356" s="110">
        <f>IF(male=0,VLOOKUP(((A354:A1188/'Life tables'!$I$2)*2)+age,lifetable,13,1),IF(male=1,VLOOKUP(((A354:A1188/'Life tables'!$I$2)*2)+age,lifetable,10,1),"error"))</f>
        <v>2.5345550293476293E-4</v>
      </c>
      <c r="F356" s="101">
        <f t="shared" si="96"/>
        <v>159.16439721507965</v>
      </c>
      <c r="G356" s="101">
        <f t="shared" si="97"/>
        <v>15.988396812985163</v>
      </c>
      <c r="H356" s="101">
        <f t="shared" si="98"/>
        <v>0.36587481850965692</v>
      </c>
      <c r="I356" s="101">
        <f t="shared" si="99"/>
        <v>0.36587481850965692</v>
      </c>
      <c r="J356" s="101">
        <f t="shared" si="100"/>
        <v>4.457890547308517E-2</v>
      </c>
      <c r="K356" s="101">
        <f t="shared" si="101"/>
        <v>2.8680605174420157E-2</v>
      </c>
      <c r="L356" s="101">
        <f t="shared" si="110"/>
        <v>142.37099125442768</v>
      </c>
      <c r="M356" s="101">
        <f t="shared" si="102"/>
        <v>765.37837697519967</v>
      </c>
      <c r="N356" s="101">
        <f t="shared" si="103"/>
        <v>73.70759599254194</v>
      </c>
      <c r="O356" s="101">
        <f t="shared" si="104"/>
        <v>1.7593926761687</v>
      </c>
      <c r="P356" s="101">
        <f t="shared" si="105"/>
        <v>1.7593926761687</v>
      </c>
      <c r="Q356" s="101">
        <f t="shared" si="106"/>
        <v>0.21356281279523998</v>
      </c>
      <c r="R356" s="101">
        <f t="shared" si="107"/>
        <v>2.0498433040392852E-2</v>
      </c>
      <c r="S356" s="101">
        <f t="shared" si="95"/>
        <v>687.91793438448474</v>
      </c>
      <c r="T356" s="101">
        <f t="shared" si="111"/>
        <v>53.827034939674078</v>
      </c>
      <c r="U356" s="101">
        <f t="shared" si="111"/>
        <v>21.937511626534771</v>
      </c>
      <c r="V356" s="33">
        <f t="shared" si="112"/>
        <v>1000.000000000005</v>
      </c>
      <c r="W356" s="105">
        <f t="shared" si="108"/>
        <v>120596.6374388738</v>
      </c>
      <c r="X356" s="112">
        <f t="shared" si="113"/>
        <v>924.23545343379624</v>
      </c>
      <c r="Y356" s="32">
        <f t="shared" si="109"/>
        <v>550.14907137354476</v>
      </c>
    </row>
    <row r="357" spans="1:25" x14ac:dyDescent="0.25">
      <c r="A357" s="4">
        <v>351</v>
      </c>
      <c r="C357" s="110">
        <f>IF(male=0,VLOOKUP(((A355:A1189/'Life tables'!$I$2)*2)+age,lifetable,13,1),IF(male=1,VLOOKUP(((A355:A1189/'Life tables'!$I$2)*2)+age,lifetable,10,1),"error"))</f>
        <v>2.5345550293476293E-4</v>
      </c>
      <c r="F357" s="101">
        <f t="shared" si="96"/>
        <v>159.11107693111751</v>
      </c>
      <c r="G357" s="101">
        <f t="shared" si="97"/>
        <v>15.98304067886796</v>
      </c>
      <c r="H357" s="101">
        <f t="shared" si="98"/>
        <v>0.36575224996066685</v>
      </c>
      <c r="I357" s="101">
        <f t="shared" si="99"/>
        <v>0.36575224996066685</v>
      </c>
      <c r="J357" s="101">
        <f t="shared" si="100"/>
        <v>4.4563971480684E-2</v>
      </c>
      <c r="K357" s="101">
        <f t="shared" si="101"/>
        <v>2.8670997133684518E-2</v>
      </c>
      <c r="L357" s="101">
        <f t="shared" si="110"/>
        <v>142.32329678371386</v>
      </c>
      <c r="M357" s="101">
        <f t="shared" si="102"/>
        <v>765.12437650267873</v>
      </c>
      <c r="N357" s="101">
        <f t="shared" si="103"/>
        <v>73.683135196713764</v>
      </c>
      <c r="O357" s="101">
        <f t="shared" si="104"/>
        <v>1.7588087995077692</v>
      </c>
      <c r="P357" s="101">
        <f t="shared" si="105"/>
        <v>1.7588087995077692</v>
      </c>
      <c r="Q357" s="101">
        <f t="shared" si="106"/>
        <v>0.21349193928091723</v>
      </c>
      <c r="R357" s="101">
        <f t="shared" si="107"/>
        <v>2.0491630376723705E-2</v>
      </c>
      <c r="S357" s="101">
        <f t="shared" si="95"/>
        <v>687.6896401372918</v>
      </c>
      <c r="T357" s="101">
        <f t="shared" si="111"/>
        <v>54.085090850435677</v>
      </c>
      <c r="U357" s="101">
        <f t="shared" si="111"/>
        <v>21.98667425404518</v>
      </c>
      <c r="V357" s="33">
        <f t="shared" si="112"/>
        <v>1000.000000000005</v>
      </c>
      <c r="W357" s="105">
        <f t="shared" si="108"/>
        <v>120418.01052410544</v>
      </c>
      <c r="X357" s="112">
        <f t="shared" si="113"/>
        <v>923.92823489552427</v>
      </c>
      <c r="Y357" s="32">
        <f t="shared" si="109"/>
        <v>549.80803655622481</v>
      </c>
    </row>
    <row r="358" spans="1:25" x14ac:dyDescent="0.25">
      <c r="A358" s="4">
        <v>352</v>
      </c>
      <c r="C358" s="110">
        <f>IF(male=0,VLOOKUP(((A356:A1190/'Life tables'!$I$2)*2)+age,lifetable,13,1),IF(male=1,VLOOKUP(((A356:A1190/'Life tables'!$I$2)*2)+age,lifetable,10,1),"error"))</f>
        <v>2.5345550293476293E-4</v>
      </c>
      <c r="F358" s="101">
        <f t="shared" si="96"/>
        <v>159.05778730340177</v>
      </c>
      <c r="G358" s="101">
        <f t="shared" si="97"/>
        <v>15.977687624234868</v>
      </c>
      <c r="H358" s="101">
        <f t="shared" si="98"/>
        <v>0.36562975188188734</v>
      </c>
      <c r="I358" s="101">
        <f t="shared" si="99"/>
        <v>0.36562975188188734</v>
      </c>
      <c r="J358" s="101">
        <f t="shared" si="100"/>
        <v>4.4549046074511496E-2</v>
      </c>
      <c r="K358" s="101">
        <f t="shared" si="101"/>
        <v>2.8661394617046695E-2</v>
      </c>
      <c r="L358" s="101">
        <f t="shared" si="110"/>
        <v>142.27562973471157</v>
      </c>
      <c r="M358" s="101">
        <f t="shared" si="102"/>
        <v>764.87044759212245</v>
      </c>
      <c r="N358" s="101">
        <f t="shared" si="103"/>
        <v>73.658681292457842</v>
      </c>
      <c r="O358" s="101">
        <f t="shared" si="104"/>
        <v>1.7582250873479539</v>
      </c>
      <c r="P358" s="101">
        <f t="shared" si="105"/>
        <v>1.7582250873479539</v>
      </c>
      <c r="Q358" s="101">
        <f t="shared" si="106"/>
        <v>0.21342108573446253</v>
      </c>
      <c r="R358" s="101">
        <f t="shared" si="107"/>
        <v>2.0484829629633581E-2</v>
      </c>
      <c r="S358" s="101">
        <f t="shared" si="95"/>
        <v>687.46141020960454</v>
      </c>
      <c r="T358" s="101">
        <f t="shared" si="111"/>
        <v>54.343060982244651</v>
      </c>
      <c r="U358" s="101">
        <f t="shared" si="111"/>
        <v>22.035820478291861</v>
      </c>
      <c r="V358" s="33">
        <f t="shared" si="112"/>
        <v>1000.000000000005</v>
      </c>
      <c r="W358" s="105">
        <f t="shared" si="108"/>
        <v>120239.64749418423</v>
      </c>
      <c r="X358" s="112">
        <f t="shared" si="113"/>
        <v>923.62111853946863</v>
      </c>
      <c r="Y358" s="32">
        <f t="shared" si="109"/>
        <v>549.46721317692732</v>
      </c>
    </row>
    <row r="359" spans="1:25" x14ac:dyDescent="0.25">
      <c r="A359" s="4">
        <v>353</v>
      </c>
      <c r="C359" s="110">
        <f>IF(male=0,VLOOKUP(((A357:A1191/'Life tables'!$I$2)*2)+age,lifetable,13,1),IF(male=1,VLOOKUP(((A357:A1191/'Life tables'!$I$2)*2)+age,lifetable,10,1),"error"))</f>
        <v>2.5345550293476293E-4</v>
      </c>
      <c r="F359" s="101">
        <f t="shared" si="96"/>
        <v>159.00452791767958</v>
      </c>
      <c r="G359" s="101">
        <f t="shared" si="97"/>
        <v>15.972337607473321</v>
      </c>
      <c r="H359" s="101">
        <f t="shared" si="98"/>
        <v>0.365507323321066</v>
      </c>
      <c r="I359" s="101">
        <f t="shared" si="99"/>
        <v>0.365507323321066</v>
      </c>
      <c r="J359" s="101">
        <f t="shared" si="100"/>
        <v>4.4534129138543363E-2</v>
      </c>
      <c r="K359" s="101">
        <f t="shared" si="101"/>
        <v>2.8651797549860455E-2</v>
      </c>
      <c r="L359" s="101">
        <f t="shared" si="110"/>
        <v>142.22798973687571</v>
      </c>
      <c r="M359" s="101">
        <f t="shared" si="102"/>
        <v>764.61659062178887</v>
      </c>
      <c r="N359" s="101">
        <f t="shared" si="103"/>
        <v>73.63423431620123</v>
      </c>
      <c r="O359" s="101">
        <f t="shared" si="104"/>
        <v>1.757641540558764</v>
      </c>
      <c r="P359" s="101">
        <f t="shared" si="105"/>
        <v>1.757641540558764</v>
      </c>
      <c r="Q359" s="101">
        <f t="shared" si="106"/>
        <v>0.21335025226142093</v>
      </c>
      <c r="R359" s="101">
        <f t="shared" si="107"/>
        <v>2.047803080925302E-2</v>
      </c>
      <c r="S359" s="101">
        <f t="shared" si="95"/>
        <v>687.23324494139945</v>
      </c>
      <c r="T359" s="101">
        <f t="shared" si="111"/>
        <v>54.600945363644612</v>
      </c>
      <c r="U359" s="101">
        <f t="shared" si="111"/>
        <v>22.084950306650974</v>
      </c>
      <c r="V359" s="33">
        <f t="shared" si="112"/>
        <v>1000.000000000005</v>
      </c>
      <c r="W359" s="105">
        <f t="shared" si="108"/>
        <v>120061.54798180136</v>
      </c>
      <c r="X359" s="112">
        <f t="shared" si="113"/>
        <v>923.31410432970938</v>
      </c>
      <c r="Y359" s="32">
        <f t="shared" si="109"/>
        <v>549.12660110355012</v>
      </c>
    </row>
    <row r="360" spans="1:25" x14ac:dyDescent="0.25">
      <c r="A360" s="4">
        <v>354</v>
      </c>
      <c r="C360" s="110">
        <f>IF(male=0,VLOOKUP(((A358:A1192/'Life tables'!$I$2)*2)+age,lifetable,13,1),IF(male=1,VLOOKUP(((A358:A1192/'Life tables'!$I$2)*2)+age,lifetable,10,1),"error"))</f>
        <v>2.5345550293476293E-4</v>
      </c>
      <c r="F360" s="101">
        <f t="shared" si="96"/>
        <v>158.95129837246014</v>
      </c>
      <c r="G360" s="101">
        <f t="shared" si="97"/>
        <v>15.966990588252729</v>
      </c>
      <c r="H360" s="101">
        <f t="shared" si="98"/>
        <v>0.36538496335528675</v>
      </c>
      <c r="I360" s="101">
        <f t="shared" si="99"/>
        <v>0.36538496335528675</v>
      </c>
      <c r="J360" s="101">
        <f t="shared" si="100"/>
        <v>4.4519220560329704E-2</v>
      </c>
      <c r="K360" s="101">
        <f t="shared" si="101"/>
        <v>2.8642205859779231E-2</v>
      </c>
      <c r="L360" s="101">
        <f t="shared" si="110"/>
        <v>142.18037643107672</v>
      </c>
      <c r="M360" s="101">
        <f t="shared" si="102"/>
        <v>764.36280595724929</v>
      </c>
      <c r="N360" s="101">
        <f t="shared" si="103"/>
        <v>73.609794303149229</v>
      </c>
      <c r="O360" s="101">
        <f t="shared" si="104"/>
        <v>1.7570581599805466</v>
      </c>
      <c r="P360" s="101">
        <f t="shared" si="105"/>
        <v>1.7570581599805466</v>
      </c>
      <c r="Q360" s="101">
        <f t="shared" si="106"/>
        <v>0.21327943896379734</v>
      </c>
      <c r="R360" s="101">
        <f t="shared" si="107"/>
        <v>2.0471233925372784E-2</v>
      </c>
      <c r="S360" s="101">
        <f t="shared" si="95"/>
        <v>687.0051446612498</v>
      </c>
      <c r="T360" s="101">
        <f t="shared" si="111"/>
        <v>54.85874402316874</v>
      </c>
      <c r="U360" s="101">
        <f t="shared" si="111"/>
        <v>22.134063746436127</v>
      </c>
      <c r="V360" s="33">
        <f t="shared" si="112"/>
        <v>1000.000000000005</v>
      </c>
      <c r="W360" s="105">
        <f t="shared" si="108"/>
        <v>119883.71161942846</v>
      </c>
      <c r="X360" s="112">
        <f t="shared" si="113"/>
        <v>923.00719223040016</v>
      </c>
      <c r="Y360" s="32">
        <f t="shared" si="109"/>
        <v>548.78620020410517</v>
      </c>
    </row>
    <row r="361" spans="1:25" x14ac:dyDescent="0.25">
      <c r="A361" s="4">
        <v>355</v>
      </c>
      <c r="C361" s="110">
        <f>IF(male=0,VLOOKUP(((A359:A1193/'Life tables'!$I$2)*2)+age,lifetable,13,1),IF(male=1,VLOOKUP(((A359:A1193/'Life tables'!$I$2)*2)+age,lifetable,10,1),"error"))</f>
        <v>2.5345550293476293E-4</v>
      </c>
      <c r="F361" s="101">
        <f t="shared" si="96"/>
        <v>158.89809827861637</v>
      </c>
      <c r="G361" s="101">
        <f t="shared" si="97"/>
        <v>15.96164652748446</v>
      </c>
      <c r="H361" s="101">
        <f t="shared" si="98"/>
        <v>0.36526267109005428</v>
      </c>
      <c r="I361" s="101">
        <f t="shared" si="99"/>
        <v>0.36526267109005428</v>
      </c>
      <c r="J361" s="101">
        <f t="shared" si="100"/>
        <v>4.4504320230883437E-2</v>
      </c>
      <c r="K361" s="101">
        <f t="shared" si="101"/>
        <v>2.8632619476684312E-2</v>
      </c>
      <c r="L361" s="101">
        <f t="shared" si="110"/>
        <v>142.13278946924424</v>
      </c>
      <c r="M361" s="101">
        <f t="shared" si="102"/>
        <v>764.10909395178385</v>
      </c>
      <c r="N361" s="101">
        <f t="shared" si="103"/>
        <v>73.585361287323508</v>
      </c>
      <c r="O361" s="101">
        <f t="shared" si="104"/>
        <v>1.7564749464253948</v>
      </c>
      <c r="P361" s="101">
        <f t="shared" si="105"/>
        <v>1.7564749464253948</v>
      </c>
      <c r="Q361" s="101">
        <f t="shared" si="106"/>
        <v>0.21320864594016734</v>
      </c>
      <c r="R361" s="101">
        <f t="shared" si="107"/>
        <v>2.0464438987454456E-2</v>
      </c>
      <c r="S361" s="101">
        <f t="shared" si="95"/>
        <v>686.77710968668191</v>
      </c>
      <c r="T361" s="101">
        <f t="shared" si="111"/>
        <v>55.116456989339788</v>
      </c>
      <c r="U361" s="101">
        <f t="shared" si="111"/>
        <v>22.183160804900265</v>
      </c>
      <c r="V361" s="33">
        <f t="shared" si="112"/>
        <v>1000.000000000005</v>
      </c>
      <c r="W361" s="105">
        <f t="shared" si="108"/>
        <v>119706.13803934243</v>
      </c>
      <c r="X361" s="112">
        <f t="shared" si="113"/>
        <v>922.70038220576498</v>
      </c>
      <c r="Y361" s="32">
        <f t="shared" si="109"/>
        <v>548.446010346717</v>
      </c>
    </row>
    <row r="362" spans="1:25" x14ac:dyDescent="0.25">
      <c r="A362" s="4">
        <v>356</v>
      </c>
      <c r="C362" s="110">
        <f>IF(male=0,VLOOKUP(((A360:A1194/'Life tables'!$I$2)*2)+age,lifetable,13,1),IF(male=1,VLOOKUP(((A360:A1194/'Life tables'!$I$2)*2)+age,lifetable,10,1),"error"))</f>
        <v>2.5345550293476293E-4</v>
      </c>
      <c r="F362" s="101">
        <f t="shared" si="96"/>
        <v>158.84492725899827</v>
      </c>
      <c r="G362" s="101">
        <f t="shared" si="97"/>
        <v>15.956305387283008</v>
      </c>
      <c r="H362" s="101">
        <f t="shared" si="98"/>
        <v>0.36514044565840542</v>
      </c>
      <c r="I362" s="101">
        <f t="shared" si="99"/>
        <v>0.36514044565840542</v>
      </c>
      <c r="J362" s="101">
        <f t="shared" si="100"/>
        <v>4.4489428044572066E-2</v>
      </c>
      <c r="K362" s="101">
        <f t="shared" si="101"/>
        <v>2.8623038332615217E-2</v>
      </c>
      <c r="L362" s="101">
        <f t="shared" si="110"/>
        <v>142.08522851402125</v>
      </c>
      <c r="M362" s="101">
        <f t="shared" si="102"/>
        <v>763.85545494676683</v>
      </c>
      <c r="N362" s="101">
        <f t="shared" si="103"/>
        <v>73.56093530159913</v>
      </c>
      <c r="O362" s="101">
        <f t="shared" si="104"/>
        <v>1.7558919006780336</v>
      </c>
      <c r="P362" s="101">
        <f t="shared" si="105"/>
        <v>1.7558919006780336</v>
      </c>
      <c r="Q362" s="101">
        <f t="shared" si="106"/>
        <v>0.21313787328578415</v>
      </c>
      <c r="R362" s="101">
        <f t="shared" si="107"/>
        <v>2.0457646004640753E-2</v>
      </c>
      <c r="S362" s="101">
        <f t="shared" si="95"/>
        <v>686.5491403245212</v>
      </c>
      <c r="T362" s="101">
        <f t="shared" si="111"/>
        <v>55.374084290670147</v>
      </c>
      <c r="U362" s="101">
        <f t="shared" si="111"/>
        <v>22.23224148923752</v>
      </c>
      <c r="V362" s="33">
        <f t="shared" si="112"/>
        <v>1000.000000000005</v>
      </c>
      <c r="W362" s="105">
        <f t="shared" si="108"/>
        <v>119528.82687364999</v>
      </c>
      <c r="X362" s="112">
        <f t="shared" si="113"/>
        <v>922.39367422009741</v>
      </c>
      <c r="Y362" s="32">
        <f t="shared" si="109"/>
        <v>548.10603139962348</v>
      </c>
    </row>
    <row r="363" spans="1:25" x14ac:dyDescent="0.25">
      <c r="A363" s="4">
        <v>357</v>
      </c>
      <c r="C363" s="110">
        <f>IF(male=0,VLOOKUP(((A361:A1195/'Life tables'!$I$2)*2)+age,lifetable,13,1),IF(male=1,VLOOKUP(((A361:A1195/'Life tables'!$I$2)*2)+age,lifetable,10,1),"error"))</f>
        <v>2.5345550293476293E-4</v>
      </c>
      <c r="F363" s="101">
        <f t="shared" si="96"/>
        <v>158.79178494805905</v>
      </c>
      <c r="G363" s="101">
        <f t="shared" si="97"/>
        <v>15.950967130928435</v>
      </c>
      <c r="H363" s="101">
        <f t="shared" si="98"/>
        <v>0.36501828622004939</v>
      </c>
      <c r="I363" s="101">
        <f t="shared" si="99"/>
        <v>0.36501828622004939</v>
      </c>
      <c r="J363" s="101">
        <f t="shared" si="100"/>
        <v>4.4474543899012939E-2</v>
      </c>
      <c r="K363" s="101">
        <f t="shared" si="101"/>
        <v>2.8613462361702296E-2</v>
      </c>
      <c r="L363" s="101">
        <f t="shared" si="110"/>
        <v>142.0376932384298</v>
      </c>
      <c r="M363" s="101">
        <f t="shared" si="102"/>
        <v>763.60188927203853</v>
      </c>
      <c r="N363" s="101">
        <f t="shared" si="103"/>
        <v>73.536516377740426</v>
      </c>
      <c r="O363" s="101">
        <f t="shared" si="104"/>
        <v>1.7553090234966742</v>
      </c>
      <c r="P363" s="101">
        <f t="shared" si="105"/>
        <v>1.7553090234966742</v>
      </c>
      <c r="Q363" s="101">
        <f t="shared" si="106"/>
        <v>0.21306712109268289</v>
      </c>
      <c r="R363" s="101">
        <f t="shared" si="107"/>
        <v>2.0450854985765484E-2</v>
      </c>
      <c r="S363" s="101">
        <f t="shared" si="95"/>
        <v>686.32123687122635</v>
      </c>
      <c r="T363" s="101">
        <f t="shared" si="111"/>
        <v>55.631625955661846</v>
      </c>
      <c r="U363" s="101">
        <f t="shared" si="111"/>
        <v>22.281305806584989</v>
      </c>
      <c r="V363" s="33">
        <f t="shared" si="112"/>
        <v>1000.0000000000053</v>
      </c>
      <c r="W363" s="105">
        <f t="shared" si="108"/>
        <v>119351.77775431052</v>
      </c>
      <c r="X363" s="112">
        <f t="shared" si="113"/>
        <v>922.08706823775844</v>
      </c>
      <c r="Y363" s="32">
        <f t="shared" si="109"/>
        <v>547.7662632311733</v>
      </c>
    </row>
    <row r="364" spans="1:25" x14ac:dyDescent="0.25">
      <c r="A364" s="4">
        <v>358</v>
      </c>
      <c r="C364" s="110">
        <f>IF(male=0,VLOOKUP(((A362:A1196/'Life tables'!$I$2)*2)+age,lifetable,13,1),IF(male=1,VLOOKUP(((A362:A1196/'Life tables'!$I$2)*2)+age,lifetable,10,1),"error"))</f>
        <v>2.5345550293476293E-4</v>
      </c>
      <c r="F364" s="101">
        <f t="shared" si="96"/>
        <v>158.73867099149257</v>
      </c>
      <c r="G364" s="101">
        <f t="shared" si="97"/>
        <v>15.945631722829946</v>
      </c>
      <c r="H364" s="101">
        <f t="shared" si="98"/>
        <v>0.36489619196053463</v>
      </c>
      <c r="I364" s="101">
        <f t="shared" si="99"/>
        <v>0.36489619196053463</v>
      </c>
      <c r="J364" s="101">
        <f t="shared" si="100"/>
        <v>4.4459667694971651E-2</v>
      </c>
      <c r="K364" s="101">
        <f t="shared" si="101"/>
        <v>2.8603891500101408E-2</v>
      </c>
      <c r="L364" s="101">
        <f t="shared" si="110"/>
        <v>141.99018332554647</v>
      </c>
      <c r="M364" s="101">
        <f t="shared" si="102"/>
        <v>763.3483972462659</v>
      </c>
      <c r="N364" s="101">
        <f t="shared" si="103"/>
        <v>73.512104546435737</v>
      </c>
      <c r="O364" s="101">
        <f t="shared" si="104"/>
        <v>1.7547263156138437</v>
      </c>
      <c r="P364" s="101">
        <f t="shared" si="105"/>
        <v>1.7547263156138437</v>
      </c>
      <c r="Q364" s="101">
        <f t="shared" si="106"/>
        <v>0.21299638944978083</v>
      </c>
      <c r="R364" s="101">
        <f t="shared" si="107"/>
        <v>2.0444065939363223E-2</v>
      </c>
      <c r="S364" s="101">
        <f t="shared" si="95"/>
        <v>686.09339961321336</v>
      </c>
      <c r="T364" s="101">
        <f t="shared" si="111"/>
        <v>55.889082012806597</v>
      </c>
      <c r="U364" s="101">
        <f t="shared" si="111"/>
        <v>22.330353764024455</v>
      </c>
      <c r="V364" s="33">
        <f t="shared" si="112"/>
        <v>1000.0000000000053</v>
      </c>
      <c r="W364" s="105">
        <f t="shared" si="108"/>
        <v>119174.99031315914</v>
      </c>
      <c r="X364" s="112">
        <f t="shared" si="113"/>
        <v>921.78056422317422</v>
      </c>
      <c r="Y364" s="32">
        <f t="shared" si="109"/>
        <v>547.42670570982511</v>
      </c>
    </row>
    <row r="365" spans="1:25" x14ac:dyDescent="0.25">
      <c r="A365" s="4">
        <v>359</v>
      </c>
      <c r="C365" s="110">
        <f>IF(male=0,VLOOKUP(((A363:A1197/'Life tables'!$I$2)*2)+age,lifetable,13,1),IF(male=1,VLOOKUP(((A363:A1197/'Life tables'!$I$2)*2)+age,lifetable,10,1),"error"))</f>
        <v>2.5345550293476293E-4</v>
      </c>
      <c r="F365" s="101">
        <f t="shared" si="96"/>
        <v>158.68558504588216</v>
      </c>
      <c r="G365" s="101">
        <f t="shared" si="97"/>
        <v>15.940299128490617</v>
      </c>
      <c r="H365" s="101">
        <f t="shared" si="98"/>
        <v>0.36477416209044139</v>
      </c>
      <c r="I365" s="101">
        <f t="shared" si="99"/>
        <v>0.36477416209044139</v>
      </c>
      <c r="J365" s="101">
        <f t="shared" si="100"/>
        <v>4.4444799336263795E-2</v>
      </c>
      <c r="K365" s="101">
        <f t="shared" si="101"/>
        <v>2.8594325685930636E-2</v>
      </c>
      <c r="L365" s="101">
        <f t="shared" si="110"/>
        <v>141.94269846818847</v>
      </c>
      <c r="M365" s="101">
        <f t="shared" si="102"/>
        <v>763.0949791772922</v>
      </c>
      <c r="N365" s="101">
        <f t="shared" si="103"/>
        <v>73.487699837331022</v>
      </c>
      <c r="O365" s="101">
        <f t="shared" si="104"/>
        <v>1.7541437777371882</v>
      </c>
      <c r="P365" s="101">
        <f t="shared" si="105"/>
        <v>1.7541437777371882</v>
      </c>
      <c r="Q365" s="101">
        <f t="shared" si="106"/>
        <v>0.21292567844297522</v>
      </c>
      <c r="R365" s="101">
        <f t="shared" si="107"/>
        <v>2.043727887367865E-2</v>
      </c>
      <c r="S365" s="101">
        <f t="shared" si="95"/>
        <v>685.86562882717021</v>
      </c>
      <c r="T365" s="101">
        <f t="shared" si="111"/>
        <v>56.146452490585837</v>
      </c>
      <c r="U365" s="101">
        <f t="shared" si="111"/>
        <v>22.379385368584064</v>
      </c>
      <c r="V365" s="33">
        <f t="shared" si="112"/>
        <v>1000.0000000000055</v>
      </c>
      <c r="W365" s="105">
        <f t="shared" si="108"/>
        <v>118998.46418192836</v>
      </c>
      <c r="X365" s="112">
        <f t="shared" si="113"/>
        <v>921.47416214083557</v>
      </c>
      <c r="Y365" s="32">
        <f t="shared" si="109"/>
        <v>547.08735870414785</v>
      </c>
    </row>
    <row r="366" spans="1:25" x14ac:dyDescent="0.25">
      <c r="A366" s="4">
        <v>360</v>
      </c>
      <c r="C366" s="110">
        <f>IF(male=0,VLOOKUP(((A364:A1198/'Life tables'!$I$2)*2)+age,lifetable,13,1),IF(male=1,VLOOKUP(((A364:A1198/'Life tables'!$I$2)*2)+age,lifetable,10,1),"error"))</f>
        <v>2.5345550293476293E-4</v>
      </c>
      <c r="F366" s="101">
        <f t="shared" si="96"/>
        <v>158.63252677836059</v>
      </c>
      <c r="G366" s="101">
        <f t="shared" si="97"/>
        <v>15.934969314473239</v>
      </c>
      <c r="H366" s="101">
        <f t="shared" si="98"/>
        <v>0.36465219584460024</v>
      </c>
      <c r="I366" s="101">
        <f t="shared" si="99"/>
        <v>0.36465219584460024</v>
      </c>
      <c r="J366" s="101">
        <f t="shared" si="100"/>
        <v>4.4429938729659578E-2</v>
      </c>
      <c r="K366" s="101">
        <f t="shared" si="101"/>
        <v>2.8584764859209008E-2</v>
      </c>
      <c r="L366" s="101">
        <f t="shared" si="110"/>
        <v>141.89523836860928</v>
      </c>
      <c r="M366" s="101">
        <f t="shared" si="102"/>
        <v>762.84163536247502</v>
      </c>
      <c r="N366" s="101">
        <f t="shared" si="103"/>
        <v>73.463302279062447</v>
      </c>
      <c r="O366" s="101">
        <f t="shared" si="104"/>
        <v>1.7535614105502504</v>
      </c>
      <c r="P366" s="101">
        <f t="shared" si="105"/>
        <v>1.7535614105502504</v>
      </c>
      <c r="Q366" s="101">
        <f t="shared" si="106"/>
        <v>0.21285498815523743</v>
      </c>
      <c r="R366" s="101">
        <f t="shared" si="107"/>
        <v>2.0430493796675622E-2</v>
      </c>
      <c r="S366" s="101">
        <f t="shared" si="95"/>
        <v>685.63792478036021</v>
      </c>
      <c r="T366" s="101">
        <f t="shared" si="111"/>
        <v>56.403737417470737</v>
      </c>
      <c r="U366" s="101">
        <f t="shared" si="111"/>
        <v>22.428400627239949</v>
      </c>
      <c r="V366" s="33">
        <f t="shared" si="112"/>
        <v>1000.0000000000057</v>
      </c>
      <c r="W366" s="105">
        <f t="shared" si="108"/>
        <v>118822.19899226927</v>
      </c>
      <c r="X366" s="112">
        <f t="shared" si="113"/>
        <v>921.16786195529494</v>
      </c>
      <c r="Y366" s="32">
        <f t="shared" si="109"/>
        <v>546.74822208281762</v>
      </c>
    </row>
    <row r="367" spans="1:25" x14ac:dyDescent="0.25">
      <c r="A367" s="4">
        <v>361</v>
      </c>
      <c r="C367" s="110">
        <f>IF(male=0,VLOOKUP(((A365:A1199/'Life tables'!$I$2)*2)+age,lifetable,13,1),IF(male=1,VLOOKUP(((A365:A1199/'Life tables'!$I$2)*2)+age,lifetable,10,1),"error"))</f>
        <v>2.5345550293476293E-4</v>
      </c>
      <c r="F367" s="101">
        <f t="shared" si="96"/>
        <v>158.57949586628033</v>
      </c>
      <c r="G367" s="101">
        <f t="shared" si="97"/>
        <v>15.929642248367193</v>
      </c>
      <c r="H367" s="101">
        <f t="shared" si="98"/>
        <v>0.36453029248133395</v>
      </c>
      <c r="I367" s="101">
        <f t="shared" si="99"/>
        <v>0.36453029248133395</v>
      </c>
      <c r="J367" s="101">
        <f t="shared" si="100"/>
        <v>4.4415085784791627E-2</v>
      </c>
      <c r="K367" s="101">
        <f t="shared" si="101"/>
        <v>2.8575208961797115E-2</v>
      </c>
      <c r="L367" s="101">
        <f t="shared" si="110"/>
        <v>141.84780273820388</v>
      </c>
      <c r="M367" s="101">
        <f t="shared" si="102"/>
        <v>762.58836608901447</v>
      </c>
      <c r="N367" s="101">
        <f t="shared" si="103"/>
        <v>73.43891189928803</v>
      </c>
      <c r="O367" s="101">
        <f t="shared" si="104"/>
        <v>1.7529792147132239</v>
      </c>
      <c r="P367" s="101">
        <f t="shared" si="105"/>
        <v>1.7529792147132239</v>
      </c>
      <c r="Q367" s="101">
        <f t="shared" si="106"/>
        <v>0.21278431866670475</v>
      </c>
      <c r="R367" s="101">
        <f t="shared" si="107"/>
        <v>2.0423710716045963E-2</v>
      </c>
      <c r="S367" s="101">
        <f t="shared" si="95"/>
        <v>685.41028773091728</v>
      </c>
      <c r="T367" s="101">
        <f t="shared" si="111"/>
        <v>56.660936821922235</v>
      </c>
      <c r="U367" s="101">
        <f t="shared" si="111"/>
        <v>22.477399546917791</v>
      </c>
      <c r="V367" s="33">
        <f t="shared" si="112"/>
        <v>1000.0000000000056</v>
      </c>
      <c r="W367" s="105">
        <f t="shared" si="108"/>
        <v>118646.19437577187</v>
      </c>
      <c r="X367" s="112">
        <f t="shared" si="113"/>
        <v>920.86166363116558</v>
      </c>
      <c r="Y367" s="32">
        <f t="shared" si="109"/>
        <v>546.40929571461902</v>
      </c>
    </row>
    <row r="368" spans="1:25" x14ac:dyDescent="0.25">
      <c r="A368" s="4">
        <v>362</v>
      </c>
      <c r="C368" s="110">
        <f>IF(male=0,VLOOKUP(((A366:A1200/'Life tables'!$I$2)*2)+age,lifetable,13,1),IF(male=1,VLOOKUP(((A366:A1200/'Life tables'!$I$2)*2)+age,lifetable,10,1),"error"))</f>
        <v>2.5345550293476293E-4</v>
      </c>
      <c r="F368" s="101">
        <f t="shared" si="96"/>
        <v>158.52649199689441</v>
      </c>
      <c r="G368" s="101">
        <f t="shared" si="97"/>
        <v>15.92431789875639</v>
      </c>
      <c r="H368" s="101">
        <f t="shared" si="98"/>
        <v>0.364408451281724</v>
      </c>
      <c r="I368" s="101">
        <f t="shared" si="99"/>
        <v>0.364408451281724</v>
      </c>
      <c r="J368" s="101">
        <f t="shared" si="100"/>
        <v>4.440024041406547E-2</v>
      </c>
      <c r="K368" s="101">
        <f t="shared" si="101"/>
        <v>2.8565657937339554E-2</v>
      </c>
      <c r="L368" s="101">
        <f t="shared" si="110"/>
        <v>141.80039129722317</v>
      </c>
      <c r="M368" s="101">
        <f t="shared" si="102"/>
        <v>762.33517163427109</v>
      </c>
      <c r="N368" s="101">
        <f t="shared" si="103"/>
        <v>73.414528724718181</v>
      </c>
      <c r="O368" s="101">
        <f t="shared" si="104"/>
        <v>1.7523971908636837</v>
      </c>
      <c r="P368" s="101">
        <f t="shared" si="105"/>
        <v>1.7523971908636837</v>
      </c>
      <c r="Q368" s="101">
        <f t="shared" si="106"/>
        <v>0.21271367005476868</v>
      </c>
      <c r="R368" s="101">
        <f t="shared" si="107"/>
        <v>2.0416929639217967E-2</v>
      </c>
      <c r="S368" s="101">
        <f t="shared" si="95"/>
        <v>685.18271792813152</v>
      </c>
      <c r="T368" s="101">
        <f t="shared" si="111"/>
        <v>56.918050732391066</v>
      </c>
      <c r="U368" s="101">
        <f t="shared" si="111"/>
        <v>22.526382134494348</v>
      </c>
      <c r="V368" s="33">
        <f t="shared" si="112"/>
        <v>1000.0000000000056</v>
      </c>
      <c r="W368" s="105">
        <f t="shared" si="108"/>
        <v>118470.44996398476</v>
      </c>
      <c r="X368" s="112">
        <f t="shared" si="113"/>
        <v>920.55556713312012</v>
      </c>
      <c r="Y368" s="32">
        <f t="shared" si="109"/>
        <v>546.07057946844225</v>
      </c>
    </row>
    <row r="369" spans="1:25" x14ac:dyDescent="0.25">
      <c r="A369" s="4">
        <v>363</v>
      </c>
      <c r="C369" s="110">
        <f>IF(male=0,VLOOKUP(((A367:A1201/'Life tables'!$I$2)*2)+age,lifetable,13,1),IF(male=1,VLOOKUP(((A367:A1201/'Life tables'!$I$2)*2)+age,lifetable,10,1),"error"))</f>
        <v>2.5345550293476293E-4</v>
      </c>
      <c r="F369" s="101">
        <f t="shared" si="96"/>
        <v>158.47351486704716</v>
      </c>
      <c r="G369" s="101">
        <f t="shared" si="97"/>
        <v>15.91899623518821</v>
      </c>
      <c r="H369" s="101">
        <f t="shared" si="98"/>
        <v>0.36428667154889949</v>
      </c>
      <c r="I369" s="101">
        <f t="shared" si="99"/>
        <v>0.36428667154889949</v>
      </c>
      <c r="J369" s="101">
        <f t="shared" si="100"/>
        <v>4.4385402532573004E-2</v>
      </c>
      <c r="K369" s="101">
        <f t="shared" si="101"/>
        <v>2.8556111731209234E-2</v>
      </c>
      <c r="L369" s="101">
        <f t="shared" si="110"/>
        <v>141.75300377449736</v>
      </c>
      <c r="M369" s="101">
        <f t="shared" si="102"/>
        <v>762.08205226607288</v>
      </c>
      <c r="N369" s="101">
        <f t="shared" si="103"/>
        <v>73.390152781145304</v>
      </c>
      <c r="O369" s="101">
        <f t="shared" si="104"/>
        <v>1.7518153396172917</v>
      </c>
      <c r="P369" s="101">
        <f t="shared" si="105"/>
        <v>1.7518153396172917</v>
      </c>
      <c r="Q369" s="101">
        <f t="shared" si="106"/>
        <v>0.21264304239416115</v>
      </c>
      <c r="R369" s="101">
        <f t="shared" si="107"/>
        <v>2.0410150573364625E-2</v>
      </c>
      <c r="S369" s="101">
        <f t="shared" si="95"/>
        <v>684.9552156127254</v>
      </c>
      <c r="T369" s="101">
        <f t="shared" si="111"/>
        <v>57.175079177317798</v>
      </c>
      <c r="U369" s="101">
        <f t="shared" si="111"/>
        <v>22.575348396798923</v>
      </c>
      <c r="V369" s="33">
        <f t="shared" si="112"/>
        <v>1000.0000000000053</v>
      </c>
      <c r="W369" s="105">
        <f t="shared" si="108"/>
        <v>118294.96538843449</v>
      </c>
      <c r="X369" s="112">
        <f t="shared" si="113"/>
        <v>920.24957242588869</v>
      </c>
      <c r="Y369" s="32">
        <f t="shared" si="109"/>
        <v>545.73207321328391</v>
      </c>
    </row>
    <row r="370" spans="1:25" x14ac:dyDescent="0.25">
      <c r="A370" s="4">
        <v>364</v>
      </c>
      <c r="C370" s="110">
        <f>IF(male=0,VLOOKUP(((A368:A1202/'Life tables'!$I$2)*2)+age,lifetable,13,1),IF(male=1,VLOOKUP(((A368:A1202/'Life tables'!$I$2)*2)+age,lifetable,10,1),"error"))</f>
        <v>2.5345550293476293E-4</v>
      </c>
      <c r="F370" s="101">
        <f t="shared" si="96"/>
        <v>158.42056418287461</v>
      </c>
      <c r="G370" s="101">
        <f t="shared" si="97"/>
        <v>15.913677228143401</v>
      </c>
      <c r="H370" s="101">
        <f t="shared" si="98"/>
        <v>0.36416495260734871</v>
      </c>
      <c r="I370" s="101">
        <f t="shared" si="99"/>
        <v>0.36416495260734871</v>
      </c>
      <c r="J370" s="101">
        <f t="shared" si="100"/>
        <v>4.4370572058008567E-2</v>
      </c>
      <c r="K370" s="101">
        <f t="shared" si="101"/>
        <v>2.8546570290453387E-2</v>
      </c>
      <c r="L370" s="101">
        <f t="shared" si="110"/>
        <v>141.70563990716806</v>
      </c>
      <c r="M370" s="101">
        <f t="shared" si="102"/>
        <v>761.82900824301407</v>
      </c>
      <c r="N370" s="101">
        <f t="shared" si="103"/>
        <v>73.365784093472612</v>
      </c>
      <c r="O370" s="101">
        <f t="shared" si="104"/>
        <v>1.7512336615684849</v>
      </c>
      <c r="P370" s="101">
        <f t="shared" si="105"/>
        <v>1.7512336615684849</v>
      </c>
      <c r="Q370" s="101">
        <f t="shared" si="106"/>
        <v>0.21257243575703738</v>
      </c>
      <c r="R370" s="101">
        <f t="shared" si="107"/>
        <v>2.0403373525411637E-2</v>
      </c>
      <c r="S370" s="101">
        <f t="shared" si="95"/>
        <v>684.72778101712197</v>
      </c>
      <c r="T370" s="101">
        <f t="shared" si="111"/>
        <v>57.432022185132844</v>
      </c>
      <c r="U370" s="101">
        <f t="shared" si="111"/>
        <v>22.624298340614789</v>
      </c>
      <c r="V370" s="33">
        <f t="shared" si="112"/>
        <v>1000.0000000000053</v>
      </c>
      <c r="W370" s="105">
        <f t="shared" si="108"/>
        <v>118119.74028064357</v>
      </c>
      <c r="X370" s="112">
        <f t="shared" si="113"/>
        <v>919.94367947425769</v>
      </c>
      <c r="Y370" s="32">
        <f t="shared" si="109"/>
        <v>545.39377681824556</v>
      </c>
    </row>
    <row r="371" spans="1:25" x14ac:dyDescent="0.25">
      <c r="A371" s="4">
        <v>365</v>
      </c>
      <c r="C371" s="110">
        <f>IF(male=0,VLOOKUP(((A369:A1203/'Life tables'!$I$2)*2)+age,lifetable,13,1),IF(male=1,VLOOKUP(((A369:A1203/'Life tables'!$I$2)*2)+age,lifetable,10,1),"error"))</f>
        <v>2.5345550293476293E-4</v>
      </c>
      <c r="F371" s="101">
        <f t="shared" si="96"/>
        <v>158.36763965951423</v>
      </c>
      <c r="G371" s="101">
        <f t="shared" si="97"/>
        <v>15.908360849006925</v>
      </c>
      <c r="H371" s="101">
        <f t="shared" si="98"/>
        <v>0.36404329380225159</v>
      </c>
      <c r="I371" s="101">
        <f t="shared" si="99"/>
        <v>0.36404329380225159</v>
      </c>
      <c r="J371" s="101">
        <f t="shared" si="100"/>
        <v>4.4355748910587578E-2</v>
      </c>
      <c r="K371" s="101">
        <f t="shared" si="101"/>
        <v>2.8537033563741241E-2</v>
      </c>
      <c r="L371" s="101">
        <f t="shared" si="110"/>
        <v>141.65829944042846</v>
      </c>
      <c r="M371" s="101">
        <f t="shared" si="102"/>
        <v>761.57603981474335</v>
      </c>
      <c r="N371" s="101">
        <f t="shared" si="103"/>
        <v>73.34142268574179</v>
      </c>
      <c r="O371" s="101">
        <f t="shared" si="104"/>
        <v>1.750652157291136</v>
      </c>
      <c r="P371" s="101">
        <f t="shared" si="105"/>
        <v>1.750652157291136</v>
      </c>
      <c r="Q371" s="101">
        <f t="shared" si="106"/>
        <v>0.21250185021305662</v>
      </c>
      <c r="R371" s="101">
        <f t="shared" si="107"/>
        <v>2.0396598502045112E-2</v>
      </c>
      <c r="S371" s="101">
        <f t="shared" si="95"/>
        <v>684.50041436570416</v>
      </c>
      <c r="T371" s="101">
        <f t="shared" si="111"/>
        <v>57.688879784256486</v>
      </c>
      <c r="U371" s="101">
        <f t="shared" si="111"/>
        <v>22.673231972680576</v>
      </c>
      <c r="V371" s="33">
        <f t="shared" si="112"/>
        <v>1000.0000000000052</v>
      </c>
      <c r="W371" s="105">
        <f t="shared" si="108"/>
        <v>117944.77427214844</v>
      </c>
      <c r="X371" s="112">
        <f t="shared" si="113"/>
        <v>919.63788824306812</v>
      </c>
      <c r="Y371" s="32">
        <f t="shared" si="109"/>
        <v>545.05569015253184</v>
      </c>
    </row>
    <row r="372" spans="1:25" x14ac:dyDescent="0.25">
      <c r="A372" s="4">
        <v>366</v>
      </c>
      <c r="C372" s="110">
        <f>IF(male=0,VLOOKUP(((A370:A1204/'Life tables'!$I$2)*2)+age,lifetable,13,1),IF(male=1,VLOOKUP(((A370:A1204/'Life tables'!$I$2)*2)+age,lifetable,10,1),"error"))</f>
        <v>2.7596604845614436E-4</v>
      </c>
      <c r="F372" s="101">
        <f t="shared" si="96"/>
        <v>158.31474102082362</v>
      </c>
      <c r="G372" s="101">
        <f t="shared" si="97"/>
        <v>15.903047070039703</v>
      </c>
      <c r="H372" s="101">
        <f t="shared" si="98"/>
        <v>0.36392169449883333</v>
      </c>
      <c r="I372" s="101">
        <f t="shared" si="99"/>
        <v>0.36392169449883333</v>
      </c>
      <c r="J372" s="101">
        <f t="shared" si="100"/>
        <v>4.8279054614162091E-2</v>
      </c>
      <c r="K372" s="101">
        <f t="shared" si="101"/>
        <v>2.8527501501313363E-2</v>
      </c>
      <c r="L372" s="101">
        <f t="shared" si="110"/>
        <v>141.60704400567079</v>
      </c>
      <c r="M372" s="101">
        <f t="shared" si="102"/>
        <v>761.32314722224453</v>
      </c>
      <c r="N372" s="101">
        <f t="shared" si="103"/>
        <v>73.317068581160115</v>
      </c>
      <c r="O372" s="101">
        <f t="shared" si="104"/>
        <v>1.7500708273392003</v>
      </c>
      <c r="P372" s="101">
        <f t="shared" si="105"/>
        <v>1.7500708273392003</v>
      </c>
      <c r="Q372" s="101">
        <f t="shared" si="106"/>
        <v>0.23129828249932749</v>
      </c>
      <c r="R372" s="101">
        <f t="shared" si="107"/>
        <v>2.0389825509719101E-2</v>
      </c>
      <c r="S372" s="101">
        <f t="shared" si="95"/>
        <v>684.25424887839699</v>
      </c>
      <c r="T372" s="101">
        <f t="shared" si="111"/>
        <v>57.968457121369973</v>
      </c>
      <c r="U372" s="101">
        <f t="shared" si="111"/>
        <v>22.722149299691608</v>
      </c>
      <c r="V372" s="33">
        <f t="shared" si="112"/>
        <v>1000.0000000000052</v>
      </c>
      <c r="W372" s="105">
        <f t="shared" si="108"/>
        <v>117767.53828302502</v>
      </c>
      <c r="X372" s="112">
        <f t="shared" si="113"/>
        <v>919.30939357894363</v>
      </c>
      <c r="Y372" s="32">
        <f t="shared" si="109"/>
        <v>544.70408091437253</v>
      </c>
    </row>
    <row r="373" spans="1:25" x14ac:dyDescent="0.25">
      <c r="A373" s="4">
        <v>367</v>
      </c>
      <c r="C373" s="110">
        <f>IF(male=0,VLOOKUP(((A371:A1205/'Life tables'!$I$2)*2)+age,lifetable,13,1),IF(male=1,VLOOKUP(((A371:A1205/'Life tables'!$I$2)*2)+age,lifetable,10,1),"error"))</f>
        <v>2.7596604845614436E-4</v>
      </c>
      <c r="F373" s="101">
        <f t="shared" si="96"/>
        <v>158.25792977435964</v>
      </c>
      <c r="G373" s="101">
        <f t="shared" si="97"/>
        <v>15.897340261433008</v>
      </c>
      <c r="H373" s="101">
        <f t="shared" si="98"/>
        <v>0.36379110119497265</v>
      </c>
      <c r="I373" s="101">
        <f t="shared" si="99"/>
        <v>0.36379110119497265</v>
      </c>
      <c r="J373" s="101">
        <f t="shared" si="100"/>
        <v>4.8261729674911026E-2</v>
      </c>
      <c r="K373" s="101">
        <f t="shared" si="101"/>
        <v>2.851726440710254E-2</v>
      </c>
      <c r="L373" s="101">
        <f t="shared" si="110"/>
        <v>141.55622831645468</v>
      </c>
      <c r="M373" s="101">
        <f t="shared" si="102"/>
        <v>761.05146380458405</v>
      </c>
      <c r="N373" s="101">
        <f t="shared" si="103"/>
        <v>73.290904879402646</v>
      </c>
      <c r="O373" s="101">
        <f t="shared" si="104"/>
        <v>1.7494463024902525</v>
      </c>
      <c r="P373" s="101">
        <f t="shared" si="105"/>
        <v>1.7494463024902525</v>
      </c>
      <c r="Q373" s="101">
        <f t="shared" si="106"/>
        <v>0.23121574211142823</v>
      </c>
      <c r="R373" s="101">
        <f t="shared" si="107"/>
        <v>2.0382549259811037E-2</v>
      </c>
      <c r="S373" s="101">
        <f t="shared" si="95"/>
        <v>684.01006802882966</v>
      </c>
      <c r="T373" s="101">
        <f t="shared" si="111"/>
        <v>58.247934593156309</v>
      </c>
      <c r="U373" s="101">
        <f t="shared" si="111"/>
        <v>22.771049113358522</v>
      </c>
      <c r="V373" s="33">
        <f t="shared" si="112"/>
        <v>1000.0000000000053</v>
      </c>
      <c r="W373" s="105">
        <f t="shared" si="108"/>
        <v>117590.17674727499</v>
      </c>
      <c r="X373" s="112">
        <f t="shared" si="113"/>
        <v>918.98101629349048</v>
      </c>
      <c r="Y373" s="32">
        <f t="shared" si="109"/>
        <v>544.35291818305416</v>
      </c>
    </row>
    <row r="374" spans="1:25" x14ac:dyDescent="0.25">
      <c r="A374" s="4">
        <v>368</v>
      </c>
      <c r="C374" s="110">
        <f>IF(male=0,VLOOKUP(((A372:A1206/'Life tables'!$I$2)*2)+age,lifetable,13,1),IF(male=1,VLOOKUP(((A372:A1206/'Life tables'!$I$2)*2)+age,lifetable,10,1),"error"))</f>
        <v>2.7596604845614436E-4</v>
      </c>
      <c r="F374" s="101">
        <f t="shared" si="96"/>
        <v>158.20114699561412</v>
      </c>
      <c r="G374" s="101">
        <f t="shared" si="97"/>
        <v>15.891636312468213</v>
      </c>
      <c r="H374" s="101">
        <f t="shared" si="98"/>
        <v>0.36366057333050356</v>
      </c>
      <c r="I374" s="101">
        <f t="shared" si="99"/>
        <v>0.36366057333050356</v>
      </c>
      <c r="J374" s="101">
        <f t="shared" si="100"/>
        <v>4.8244413417065923E-2</v>
      </c>
      <c r="K374" s="101">
        <f t="shared" si="101"/>
        <v>2.8507032442628057E-2</v>
      </c>
      <c r="L374" s="101">
        <f t="shared" si="110"/>
        <v>141.5054380906252</v>
      </c>
      <c r="M374" s="101">
        <f t="shared" si="102"/>
        <v>760.7798692978763</v>
      </c>
      <c r="N374" s="101">
        <f t="shared" si="103"/>
        <v>73.264749739962568</v>
      </c>
      <c r="O374" s="101">
        <f t="shared" si="104"/>
        <v>1.7488219820229332</v>
      </c>
      <c r="P374" s="101">
        <f t="shared" si="105"/>
        <v>1.7488219820229332</v>
      </c>
      <c r="Q374" s="101">
        <f t="shared" si="106"/>
        <v>0.23113322873564696</v>
      </c>
      <c r="R374" s="101">
        <f t="shared" si="107"/>
        <v>2.0375275391124169E-2</v>
      </c>
      <c r="S374" s="101">
        <f t="shared" si="95"/>
        <v>683.76596708974114</v>
      </c>
      <c r="T374" s="101">
        <f t="shared" si="111"/>
        <v>58.527312235309019</v>
      </c>
      <c r="U374" s="101">
        <f t="shared" si="111"/>
        <v>22.819931421192276</v>
      </c>
      <c r="V374" s="33">
        <f t="shared" si="112"/>
        <v>1000.0000000000053</v>
      </c>
      <c r="W374" s="105">
        <f t="shared" si="108"/>
        <v>117413.08189181135</v>
      </c>
      <c r="X374" s="112">
        <f t="shared" si="113"/>
        <v>918.65275634350405</v>
      </c>
      <c r="Y374" s="32">
        <f t="shared" si="109"/>
        <v>544.00198186142222</v>
      </c>
    </row>
    <row r="375" spans="1:25" x14ac:dyDescent="0.25">
      <c r="A375" s="4">
        <v>369</v>
      </c>
      <c r="C375" s="110">
        <f>IF(male=0,VLOOKUP(((A373:A1207/'Life tables'!$I$2)*2)+age,lifetable,13,1),IF(male=1,VLOOKUP(((A373:A1207/'Life tables'!$I$2)*2)+age,lifetable,10,1),"error"))</f>
        <v>2.7596604845614436E-4</v>
      </c>
      <c r="F375" s="101">
        <f t="shared" si="96"/>
        <v>158.14439241880842</v>
      </c>
      <c r="G375" s="101">
        <f t="shared" si="97"/>
        <v>15.885935196447296</v>
      </c>
      <c r="H375" s="101">
        <f t="shared" si="98"/>
        <v>0.36353011029447474</v>
      </c>
      <c r="I375" s="101">
        <f t="shared" si="99"/>
        <v>0.36353011029447474</v>
      </c>
      <c r="J375" s="101">
        <f t="shared" si="100"/>
        <v>4.8227105759575922E-2</v>
      </c>
      <c r="K375" s="101">
        <f t="shared" si="101"/>
        <v>2.8496805559997979E-2</v>
      </c>
      <c r="L375" s="101">
        <f t="shared" si="110"/>
        <v>141.45467309045262</v>
      </c>
      <c r="M375" s="101">
        <f t="shared" si="102"/>
        <v>760.50836392469557</v>
      </c>
      <c r="N375" s="101">
        <f t="shared" si="103"/>
        <v>73.238603184274254</v>
      </c>
      <c r="O375" s="101">
        <f t="shared" si="104"/>
        <v>1.7481978664488789</v>
      </c>
      <c r="P375" s="101">
        <f t="shared" si="105"/>
        <v>1.7481978664488789</v>
      </c>
      <c r="Q375" s="101">
        <f t="shared" si="106"/>
        <v>0.23105074243960405</v>
      </c>
      <c r="R375" s="101">
        <f t="shared" si="107"/>
        <v>2.0368003909619497E-2</v>
      </c>
      <c r="S375" s="101">
        <f t="shared" si="95"/>
        <v>683.52194626117432</v>
      </c>
      <c r="T375" s="101">
        <f t="shared" si="111"/>
        <v>58.806590083508198</v>
      </c>
      <c r="U375" s="101">
        <f t="shared" si="111"/>
        <v>22.868796230661893</v>
      </c>
      <c r="V375" s="33">
        <f t="shared" si="112"/>
        <v>1000.0000000000053</v>
      </c>
      <c r="W375" s="105">
        <f t="shared" si="108"/>
        <v>117236.25332963275</v>
      </c>
      <c r="X375" s="112">
        <f t="shared" si="113"/>
        <v>918.32461368583517</v>
      </c>
      <c r="Y375" s="32">
        <f t="shared" si="109"/>
        <v>543.65127180286311</v>
      </c>
    </row>
    <row r="376" spans="1:25" x14ac:dyDescent="0.25">
      <c r="A376" s="4">
        <v>370</v>
      </c>
      <c r="C376" s="110">
        <f>IF(male=0,VLOOKUP(((A374:A1208/'Life tables'!$I$2)*2)+age,lifetable,13,1),IF(male=1,VLOOKUP(((A374:A1208/'Life tables'!$I$2)*2)+age,lifetable,10,1),"error"))</f>
        <v>2.7596604845614436E-4</v>
      </c>
      <c r="F376" s="101">
        <f t="shared" si="96"/>
        <v>158.08766578625128</v>
      </c>
      <c r="G376" s="101">
        <f t="shared" si="97"/>
        <v>15.88023688748463</v>
      </c>
      <c r="H376" s="101">
        <f t="shared" si="98"/>
        <v>0.36339971149452538</v>
      </c>
      <c r="I376" s="101">
        <f t="shared" si="99"/>
        <v>0.36339971149452538</v>
      </c>
      <c r="J376" s="101">
        <f t="shared" si="100"/>
        <v>4.8209806623856509E-2</v>
      </c>
      <c r="K376" s="101">
        <f t="shared" si="101"/>
        <v>2.8486583712777666E-2</v>
      </c>
      <c r="L376" s="101">
        <f t="shared" si="110"/>
        <v>141.40393308544097</v>
      </c>
      <c r="M376" s="101">
        <f t="shared" si="102"/>
        <v>760.23694789958392</v>
      </c>
      <c r="N376" s="101">
        <f t="shared" si="103"/>
        <v>73.212465232998582</v>
      </c>
      <c r="O376" s="101">
        <f t="shared" si="104"/>
        <v>1.7475739562612622</v>
      </c>
      <c r="P376" s="101">
        <f t="shared" si="105"/>
        <v>1.7475739562612622</v>
      </c>
      <c r="Q376" s="101">
        <f t="shared" si="106"/>
        <v>0.23096828328847996</v>
      </c>
      <c r="R376" s="101">
        <f t="shared" si="107"/>
        <v>2.0360734821042902E-2</v>
      </c>
      <c r="S376" s="101">
        <f t="shared" si="95"/>
        <v>683.27800573595334</v>
      </c>
      <c r="T376" s="101">
        <f t="shared" si="111"/>
        <v>59.085768173420533</v>
      </c>
      <c r="U376" s="101">
        <f t="shared" si="111"/>
        <v>22.917643549195713</v>
      </c>
      <c r="V376" s="33">
        <f t="shared" si="112"/>
        <v>1000.0000000000053</v>
      </c>
      <c r="W376" s="105">
        <f t="shared" si="108"/>
        <v>117059.69067384595</v>
      </c>
      <c r="X376" s="112">
        <f t="shared" si="113"/>
        <v>917.99658827738904</v>
      </c>
      <c r="Y376" s="32">
        <f t="shared" si="109"/>
        <v>543.30078786087768</v>
      </c>
    </row>
    <row r="377" spans="1:25" x14ac:dyDescent="0.25">
      <c r="A377" s="4">
        <v>371</v>
      </c>
      <c r="C377" s="110">
        <f>IF(male=0,VLOOKUP(((A375:A1209/'Life tables'!$I$2)*2)+age,lifetable,13,1),IF(male=1,VLOOKUP(((A375:A1209/'Life tables'!$I$2)*2)+age,lifetable,10,1),"error"))</f>
        <v>2.7596604845614436E-4</v>
      </c>
      <c r="F377" s="101">
        <f t="shared" si="96"/>
        <v>158.03096684808602</v>
      </c>
      <c r="G377" s="101">
        <f t="shared" si="97"/>
        <v>15.87454136048159</v>
      </c>
      <c r="H377" s="101">
        <f t="shared" si="98"/>
        <v>0.3632693763563043</v>
      </c>
      <c r="I377" s="101">
        <f t="shared" si="99"/>
        <v>0.3632693763563043</v>
      </c>
      <c r="J377" s="101">
        <f t="shared" si="100"/>
        <v>4.8192515933712328E-2</v>
      </c>
      <c r="K377" s="101">
        <f t="shared" si="101"/>
        <v>2.8476366855944232E-2</v>
      </c>
      <c r="L377" s="101">
        <f t="shared" si="110"/>
        <v>141.35321785210218</v>
      </c>
      <c r="M377" s="101">
        <f t="shared" si="102"/>
        <v>759.96562142930316</v>
      </c>
      <c r="N377" s="101">
        <f t="shared" si="103"/>
        <v>73.186335906047148</v>
      </c>
      <c r="O377" s="101">
        <f t="shared" si="104"/>
        <v>1.7469502519353715</v>
      </c>
      <c r="P377" s="101">
        <f t="shared" si="105"/>
        <v>1.7469502519353715</v>
      </c>
      <c r="Q377" s="101">
        <f t="shared" si="106"/>
        <v>0.23088585134509096</v>
      </c>
      <c r="R377" s="101">
        <f t="shared" si="107"/>
        <v>2.0353468130931907E-2</v>
      </c>
      <c r="S377" s="101">
        <f t="shared" si="95"/>
        <v>683.03414569990923</v>
      </c>
      <c r="T377" s="101">
        <f t="shared" si="111"/>
        <v>59.36484654069934</v>
      </c>
      <c r="U377" s="101">
        <f t="shared" si="111"/>
        <v>22.966473384182589</v>
      </c>
      <c r="V377" s="33">
        <f t="shared" si="112"/>
        <v>1000.0000000000055</v>
      </c>
      <c r="W377" s="105">
        <f t="shared" si="108"/>
        <v>116883.3935376812</v>
      </c>
      <c r="X377" s="112">
        <f t="shared" si="113"/>
        <v>917.66868007512358</v>
      </c>
      <c r="Y377" s="32">
        <f t="shared" si="109"/>
        <v>542.95052988908162</v>
      </c>
    </row>
    <row r="378" spans="1:25" x14ac:dyDescent="0.25">
      <c r="A378" s="4">
        <v>372</v>
      </c>
      <c r="C378" s="110">
        <f>IF(male=0,VLOOKUP(((A376:A1210/'Life tables'!$I$2)*2)+age,lifetable,13,1),IF(male=1,VLOOKUP(((A376:A1210/'Life tables'!$I$2)*2)+age,lifetable,10,1),"error"))</f>
        <v>2.7596604845614436E-4</v>
      </c>
      <c r="F378" s="101">
        <f t="shared" si="96"/>
        <v>157.97429536204547</v>
      </c>
      <c r="G378" s="101">
        <f t="shared" si="97"/>
        <v>15.86884859110193</v>
      </c>
      <c r="H378" s="101">
        <f t="shared" si="98"/>
        <v>0.36313910432290641</v>
      </c>
      <c r="I378" s="101">
        <f t="shared" si="99"/>
        <v>0.36313910432290641</v>
      </c>
      <c r="J378" s="101">
        <f t="shared" si="100"/>
        <v>4.8175233615262554E-2</v>
      </c>
      <c r="K378" s="101">
        <f t="shared" si="101"/>
        <v>2.8466154945842374E-2</v>
      </c>
      <c r="L378" s="101">
        <f t="shared" si="110"/>
        <v>141.30252717373662</v>
      </c>
      <c r="M378" s="101">
        <f t="shared" si="102"/>
        <v>759.69438471307797</v>
      </c>
      <c r="N378" s="101">
        <f t="shared" si="103"/>
        <v>73.160215222605743</v>
      </c>
      <c r="O378" s="101">
        <f t="shared" si="104"/>
        <v>1.7463267539291687</v>
      </c>
      <c r="P378" s="101">
        <f t="shared" si="105"/>
        <v>1.7463267539291687</v>
      </c>
      <c r="Q378" s="101">
        <f t="shared" si="106"/>
        <v>0.23080344666996377</v>
      </c>
      <c r="R378" s="101">
        <f t="shared" si="107"/>
        <v>2.0346203844622157E-2</v>
      </c>
      <c r="S378" s="101">
        <f t="shared" si="95"/>
        <v>682.79036633209932</v>
      </c>
      <c r="T378" s="101">
        <f t="shared" si="111"/>
        <v>59.643825220984567</v>
      </c>
      <c r="U378" s="101">
        <f t="shared" si="111"/>
        <v>23.015285742973052</v>
      </c>
      <c r="V378" s="33">
        <f t="shared" si="112"/>
        <v>1000.0000000000055</v>
      </c>
      <c r="W378" s="105">
        <f t="shared" si="108"/>
        <v>116707.36153450681</v>
      </c>
      <c r="X378" s="112">
        <f t="shared" si="113"/>
        <v>917.34088903604777</v>
      </c>
      <c r="Y378" s="32">
        <f t="shared" si="109"/>
        <v>542.60049774120307</v>
      </c>
    </row>
    <row r="379" spans="1:25" x14ac:dyDescent="0.25">
      <c r="A379" s="4">
        <v>373</v>
      </c>
      <c r="C379" s="110">
        <f>IF(male=0,VLOOKUP(((A377:A1211/'Life tables'!$I$2)*2)+age,lifetable,13,1),IF(male=1,VLOOKUP(((A377:A1211/'Life tables'!$I$2)*2)+age,lifetable,10,1),"error"))</f>
        <v>2.7596604845614436E-4</v>
      </c>
      <c r="F379" s="101">
        <f t="shared" si="96"/>
        <v>157.917651093215</v>
      </c>
      <c r="G379" s="101">
        <f t="shared" si="97"/>
        <v>15.863158555747987</v>
      </c>
      <c r="H379" s="101">
        <f t="shared" si="98"/>
        <v>0.36300889485432813</v>
      </c>
      <c r="I379" s="101">
        <f t="shared" si="99"/>
        <v>0.36300889485432813</v>
      </c>
      <c r="J379" s="101">
        <f t="shared" si="100"/>
        <v>4.8157959596868485E-2</v>
      </c>
      <c r="K379" s="101">
        <f t="shared" si="101"/>
        <v>2.8455947940141689E-2</v>
      </c>
      <c r="L379" s="101">
        <f t="shared" si="110"/>
        <v>141.25186084022135</v>
      </c>
      <c r="M379" s="101">
        <f t="shared" si="102"/>
        <v>759.42323794283288</v>
      </c>
      <c r="N379" s="101">
        <f t="shared" si="103"/>
        <v>73.134103201157103</v>
      </c>
      <c r="O379" s="101">
        <f t="shared" si="104"/>
        <v>1.7457034626838355</v>
      </c>
      <c r="P379" s="101">
        <f t="shared" si="105"/>
        <v>1.7457034626838355</v>
      </c>
      <c r="Q379" s="101">
        <f t="shared" si="106"/>
        <v>0.23072106932140718</v>
      </c>
      <c r="R379" s="101">
        <f t="shared" si="107"/>
        <v>2.0338941967253797E-2</v>
      </c>
      <c r="S379" s="101">
        <f t="shared" si="95"/>
        <v>682.54666780501941</v>
      </c>
      <c r="T379" s="101">
        <f t="shared" si="111"/>
        <v>59.922704249902843</v>
      </c>
      <c r="U379" s="101">
        <f t="shared" si="111"/>
        <v>23.064080632880447</v>
      </c>
      <c r="V379" s="33">
        <f t="shared" si="112"/>
        <v>1000.0000000000055</v>
      </c>
      <c r="W379" s="105">
        <f t="shared" si="108"/>
        <v>116531.59427784338</v>
      </c>
      <c r="X379" s="112">
        <f t="shared" si="113"/>
        <v>917.01321511722222</v>
      </c>
      <c r="Y379" s="32">
        <f t="shared" si="109"/>
        <v>542.25069127108486</v>
      </c>
    </row>
    <row r="380" spans="1:25" x14ac:dyDescent="0.25">
      <c r="A380" s="4">
        <v>374</v>
      </c>
      <c r="C380" s="110">
        <f>IF(male=0,VLOOKUP(((A378:A1212/'Life tables'!$I$2)*2)+age,lifetable,13,1),IF(male=1,VLOOKUP(((A378:A1212/'Life tables'!$I$2)*2)+age,lifetable,10,1),"error"))</f>
        <v>2.7596604845614436E-4</v>
      </c>
      <c r="F380" s="101">
        <f t="shared" si="96"/>
        <v>157.86103381380258</v>
      </c>
      <c r="G380" s="101">
        <f t="shared" si="97"/>
        <v>15.857471231537572</v>
      </c>
      <c r="H380" s="101">
        <f t="shared" si="98"/>
        <v>0.36287874742693871</v>
      </c>
      <c r="I380" s="101">
        <f t="shared" si="99"/>
        <v>0.36287874742693871</v>
      </c>
      <c r="J380" s="101">
        <f t="shared" si="100"/>
        <v>4.8140693809063557E-2</v>
      </c>
      <c r="K380" s="101">
        <f t="shared" si="101"/>
        <v>2.8445745797795227E-2</v>
      </c>
      <c r="L380" s="101">
        <f t="shared" si="110"/>
        <v>141.20121864780427</v>
      </c>
      <c r="M380" s="101">
        <f t="shared" si="102"/>
        <v>759.15218130341964</v>
      </c>
      <c r="N380" s="101">
        <f t="shared" si="103"/>
        <v>73.10799985950284</v>
      </c>
      <c r="O380" s="101">
        <f t="shared" si="104"/>
        <v>1.7450803786242945</v>
      </c>
      <c r="P380" s="101">
        <f t="shared" si="105"/>
        <v>1.7450803786242945</v>
      </c>
      <c r="Q380" s="101">
        <f t="shared" si="106"/>
        <v>0.23063871935558114</v>
      </c>
      <c r="R380" s="101">
        <f t="shared" si="107"/>
        <v>2.0331682503777544E-2</v>
      </c>
      <c r="S380" s="101">
        <f t="shared" si="95"/>
        <v>682.30305028480882</v>
      </c>
      <c r="T380" s="101">
        <f t="shared" si="111"/>
        <v>60.201483663067485</v>
      </c>
      <c r="U380" s="101">
        <f t="shared" si="111"/>
        <v>23.11285806118202</v>
      </c>
      <c r="V380" s="33">
        <f t="shared" si="112"/>
        <v>1000.0000000000055</v>
      </c>
      <c r="W380" s="105">
        <f t="shared" si="108"/>
        <v>116356.09138137751</v>
      </c>
      <c r="X380" s="112">
        <f t="shared" si="113"/>
        <v>916.68565827575594</v>
      </c>
      <c r="Y380" s="32">
        <f t="shared" si="109"/>
        <v>541.90111033268101</v>
      </c>
    </row>
    <row r="381" spans="1:25" x14ac:dyDescent="0.25">
      <c r="A381" s="4">
        <v>375</v>
      </c>
      <c r="C381" s="110">
        <f>IF(male=0,VLOOKUP(((A379:A1213/'Life tables'!$I$2)*2)+age,lifetable,13,1),IF(male=1,VLOOKUP(((A379:A1213/'Life tables'!$I$2)*2)+age,lifetable,10,1),"error"))</f>
        <v>2.7596604845614436E-4</v>
      </c>
      <c r="F381" s="101">
        <f t="shared" si="96"/>
        <v>157.80444330291613</v>
      </c>
      <c r="G381" s="101">
        <f t="shared" si="97"/>
        <v>15.851786596281613</v>
      </c>
      <c r="H381" s="101">
        <f t="shared" si="98"/>
        <v>0.36274866153296853</v>
      </c>
      <c r="I381" s="101">
        <f t="shared" si="99"/>
        <v>0.36274866153296853</v>
      </c>
      <c r="J381" s="101">
        <f t="shared" si="100"/>
        <v>4.8123436184485363E-2</v>
      </c>
      <c r="K381" s="101">
        <f t="shared" si="101"/>
        <v>2.8435548478999366E-2</v>
      </c>
      <c r="L381" s="101">
        <f t="shared" si="110"/>
        <v>141.15060039890508</v>
      </c>
      <c r="M381" s="101">
        <f t="shared" si="102"/>
        <v>758.88121497283976</v>
      </c>
      <c r="N381" s="101">
        <f t="shared" si="103"/>
        <v>73.081905214784896</v>
      </c>
      <c r="O381" s="101">
        <f t="shared" si="104"/>
        <v>1.7444575021597222</v>
      </c>
      <c r="P381" s="101">
        <f t="shared" si="105"/>
        <v>1.7444575021597222</v>
      </c>
      <c r="Q381" s="101">
        <f t="shared" si="106"/>
        <v>0.23055639682656448</v>
      </c>
      <c r="R381" s="101">
        <f t="shared" si="107"/>
        <v>2.0324425458960647E-2</v>
      </c>
      <c r="S381" s="101">
        <f t="shared" si="95"/>
        <v>682.05951393144983</v>
      </c>
      <c r="T381" s="101">
        <f t="shared" si="111"/>
        <v>60.480163496078532</v>
      </c>
      <c r="U381" s="101">
        <f t="shared" si="111"/>
        <v>23.161618035119979</v>
      </c>
      <c r="V381" s="33">
        <f t="shared" si="112"/>
        <v>1000.0000000000053</v>
      </c>
      <c r="W381" s="105">
        <f t="shared" si="108"/>
        <v>116180.85245897486</v>
      </c>
      <c r="X381" s="112">
        <f t="shared" si="113"/>
        <v>916.35821846880685</v>
      </c>
      <c r="Y381" s="32">
        <f t="shared" si="109"/>
        <v>541.55175478005708</v>
      </c>
    </row>
    <row r="382" spans="1:25" x14ac:dyDescent="0.25">
      <c r="A382" s="4">
        <v>376</v>
      </c>
      <c r="C382" s="110">
        <f>IF(male=0,VLOOKUP(((A380:A1214/'Life tables'!$I$2)*2)+age,lifetable,13,1),IF(male=1,VLOOKUP(((A380:A1214/'Life tables'!$I$2)*2)+age,lifetable,10,1),"error"))</f>
        <v>2.7596604845614436E-4</v>
      </c>
      <c r="F382" s="101">
        <f t="shared" si="96"/>
        <v>157.74787934634784</v>
      </c>
      <c r="G382" s="101">
        <f t="shared" si="97"/>
        <v>15.846104628462491</v>
      </c>
      <c r="H382" s="101">
        <f t="shared" si="98"/>
        <v>0.36261863668001321</v>
      </c>
      <c r="I382" s="101">
        <f t="shared" si="99"/>
        <v>0.36261863668001321</v>
      </c>
      <c r="J382" s="101">
        <f t="shared" si="100"/>
        <v>4.8106186657809927E-2</v>
      </c>
      <c r="K382" s="101">
        <f t="shared" si="101"/>
        <v>2.8425355945154964E-2</v>
      </c>
      <c r="L382" s="101">
        <f t="shared" si="110"/>
        <v>141.10000590192234</v>
      </c>
      <c r="M382" s="101">
        <f t="shared" si="102"/>
        <v>758.61033912245898</v>
      </c>
      <c r="N382" s="101">
        <f t="shared" si="103"/>
        <v>73.055819283506167</v>
      </c>
      <c r="O382" s="101">
        <f t="shared" si="104"/>
        <v>1.7438348336840404</v>
      </c>
      <c r="P382" s="101">
        <f t="shared" si="105"/>
        <v>1.7438348336840404</v>
      </c>
      <c r="Q382" s="101">
        <f t="shared" si="106"/>
        <v>0.23047410178641997</v>
      </c>
      <c r="R382" s="101">
        <f t="shared" si="107"/>
        <v>2.031717083739264E-2</v>
      </c>
      <c r="S382" s="101">
        <f t="shared" si="95"/>
        <v>681.81605889896093</v>
      </c>
      <c r="T382" s="101">
        <f t="shared" si="111"/>
        <v>60.758743784522764</v>
      </c>
      <c r="U382" s="101">
        <f t="shared" si="111"/>
        <v>23.210360561902526</v>
      </c>
      <c r="V382" s="33">
        <f t="shared" si="112"/>
        <v>1000.0000000000053</v>
      </c>
      <c r="W382" s="105">
        <f t="shared" si="108"/>
        <v>116005.87712469333</v>
      </c>
      <c r="X382" s="112">
        <f t="shared" si="113"/>
        <v>916.03089565358005</v>
      </c>
      <c r="Y382" s="32">
        <f t="shared" si="109"/>
        <v>541.20262446739014</v>
      </c>
    </row>
    <row r="383" spans="1:25" x14ac:dyDescent="0.25">
      <c r="A383" s="4">
        <v>377</v>
      </c>
      <c r="C383" s="110">
        <f>IF(male=0,VLOOKUP(((A381:A1215/'Life tables'!$I$2)*2)+age,lifetable,13,1),IF(male=1,VLOOKUP(((A381:A1215/'Life tables'!$I$2)*2)+age,lifetable,10,1),"error"))</f>
        <v>2.7596604845614436E-4</v>
      </c>
      <c r="F383" s="101">
        <f t="shared" si="96"/>
        <v>157.69134173636536</v>
      </c>
      <c r="G383" s="101">
        <f t="shared" si="97"/>
        <v>15.840425307213051</v>
      </c>
      <c r="H383" s="101">
        <f t="shared" si="98"/>
        <v>0.36248867239055371</v>
      </c>
      <c r="I383" s="101">
        <f t="shared" si="99"/>
        <v>0.36248867239055371</v>
      </c>
      <c r="J383" s="101">
        <f t="shared" si="100"/>
        <v>4.8088945165687978E-2</v>
      </c>
      <c r="K383" s="101">
        <f t="shared" si="101"/>
        <v>2.8415168158829725E-2</v>
      </c>
      <c r="L383" s="101">
        <f t="shared" si="110"/>
        <v>141.04943497104668</v>
      </c>
      <c r="M383" s="101">
        <f t="shared" si="102"/>
        <v>758.33955391721452</v>
      </c>
      <c r="N383" s="101">
        <f t="shared" si="103"/>
        <v>73.029742081550452</v>
      </c>
      <c r="O383" s="101">
        <f t="shared" si="104"/>
        <v>1.7432123735763942</v>
      </c>
      <c r="P383" s="101">
        <f t="shared" si="105"/>
        <v>1.7432123735763942</v>
      </c>
      <c r="Q383" s="101">
        <f t="shared" si="106"/>
        <v>0.23039183428525725</v>
      </c>
      <c r="R383" s="101">
        <f t="shared" si="107"/>
        <v>2.0309918643490889E-2</v>
      </c>
      <c r="S383" s="101">
        <f t="shared" si="95"/>
        <v>681.57268533558249</v>
      </c>
      <c r="T383" s="101">
        <f t="shared" si="111"/>
        <v>61.037224563973709</v>
      </c>
      <c r="U383" s="101">
        <f t="shared" si="111"/>
        <v>23.259085648704847</v>
      </c>
      <c r="V383" s="33">
        <f t="shared" si="112"/>
        <v>1000.0000000000051</v>
      </c>
      <c r="W383" s="105">
        <f t="shared" si="108"/>
        <v>115831.16499279483</v>
      </c>
      <c r="X383" s="112">
        <f t="shared" si="113"/>
        <v>915.70368978732654</v>
      </c>
      <c r="Y383" s="32">
        <f t="shared" si="109"/>
        <v>540.85371924896776</v>
      </c>
    </row>
    <row r="384" spans="1:25" x14ac:dyDescent="0.25">
      <c r="A384" s="4">
        <v>378</v>
      </c>
      <c r="C384" s="110">
        <f>IF(male=0,VLOOKUP(((A382:A1216/'Life tables'!$I$2)*2)+age,lifetable,13,1),IF(male=1,VLOOKUP(((A382:A1216/'Life tables'!$I$2)*2)+age,lifetable,10,1),"error"))</f>
        <v>2.7596604845614436E-4</v>
      </c>
      <c r="F384" s="101">
        <f t="shared" si="96"/>
        <v>157.63483027150926</v>
      </c>
      <c r="G384" s="101">
        <f t="shared" si="97"/>
        <v>15.834748612296277</v>
      </c>
      <c r="H384" s="101">
        <f t="shared" si="98"/>
        <v>0.3623587682014906</v>
      </c>
      <c r="I384" s="101">
        <f t="shared" si="99"/>
        <v>0.3623587682014906</v>
      </c>
      <c r="J384" s="101">
        <f t="shared" si="100"/>
        <v>4.8071711646683238E-2</v>
      </c>
      <c r="K384" s="101">
        <f t="shared" si="101"/>
        <v>2.8404985083721693E-2</v>
      </c>
      <c r="L384" s="101">
        <f t="shared" si="110"/>
        <v>140.99888742607959</v>
      </c>
      <c r="M384" s="101">
        <f t="shared" si="102"/>
        <v>758.06885951581728</v>
      </c>
      <c r="N384" s="101">
        <f t="shared" si="103"/>
        <v>73.003673624201966</v>
      </c>
      <c r="O384" s="101">
        <f t="shared" si="104"/>
        <v>1.7425901222016162</v>
      </c>
      <c r="P384" s="101">
        <f t="shared" si="105"/>
        <v>1.7425901222016162</v>
      </c>
      <c r="Q384" s="101">
        <f t="shared" si="106"/>
        <v>0.23030959437129456</v>
      </c>
      <c r="R384" s="101">
        <f t="shared" si="107"/>
        <v>2.0302668881506E-2</v>
      </c>
      <c r="S384" s="101">
        <f t="shared" si="95"/>
        <v>681.32939338395931</v>
      </c>
      <c r="T384" s="101">
        <f t="shared" si="111"/>
        <v>61.315605869991685</v>
      </c>
      <c r="U384" s="101">
        <f t="shared" si="111"/>
        <v>23.307793302670074</v>
      </c>
      <c r="V384" s="33">
        <f t="shared" si="112"/>
        <v>1000.0000000000052</v>
      </c>
      <c r="W384" s="105">
        <f t="shared" si="108"/>
        <v>115656.7156777577</v>
      </c>
      <c r="X384" s="112">
        <f t="shared" si="113"/>
        <v>915.37660082734328</v>
      </c>
      <c r="Y384" s="32">
        <f t="shared" si="109"/>
        <v>540.50503897918713</v>
      </c>
    </row>
    <row r="385" spans="1:25" x14ac:dyDescent="0.25">
      <c r="A385" s="4">
        <v>379</v>
      </c>
      <c r="C385" s="110">
        <f>IF(male=0,VLOOKUP(((A383:A1217/'Life tables'!$I$2)*2)+age,lifetable,13,1),IF(male=1,VLOOKUP(((A383:A1217/'Life tables'!$I$2)*2)+age,lifetable,10,1),"error"))</f>
        <v>2.7596604845614436E-4</v>
      </c>
      <c r="F385" s="101">
        <f t="shared" si="96"/>
        <v>157.57834475639706</v>
      </c>
      <c r="G385" s="101">
        <f t="shared" si="97"/>
        <v>15.829074524085586</v>
      </c>
      <c r="H385" s="101">
        <f t="shared" si="98"/>
        <v>0.3622289236636938</v>
      </c>
      <c r="I385" s="101">
        <f t="shared" si="99"/>
        <v>0.3622289236636938</v>
      </c>
      <c r="J385" s="101">
        <f t="shared" si="100"/>
        <v>4.8054486041212596E-2</v>
      </c>
      <c r="K385" s="101">
        <f t="shared" si="101"/>
        <v>2.8394806684623949E-2</v>
      </c>
      <c r="L385" s="101">
        <f t="shared" si="110"/>
        <v>140.94836309225826</v>
      </c>
      <c r="M385" s="101">
        <f t="shared" si="102"/>
        <v>757.79825607094619</v>
      </c>
      <c r="N385" s="101">
        <f t="shared" si="103"/>
        <v>72.977613926164011</v>
      </c>
      <c r="O385" s="101">
        <f t="shared" si="104"/>
        <v>1.7419680799106729</v>
      </c>
      <c r="P385" s="101">
        <f t="shared" si="105"/>
        <v>1.7419680799106729</v>
      </c>
      <c r="Q385" s="101">
        <f t="shared" si="106"/>
        <v>0.23022738209091737</v>
      </c>
      <c r="R385" s="101">
        <f t="shared" si="107"/>
        <v>2.0295421555527035E-2</v>
      </c>
      <c r="S385" s="101">
        <f t="shared" si="95"/>
        <v>681.08618318131437</v>
      </c>
      <c r="T385" s="101">
        <f t="shared" si="111"/>
        <v>61.593887738123819</v>
      </c>
      <c r="U385" s="101">
        <f t="shared" si="111"/>
        <v>23.356483530910225</v>
      </c>
      <c r="V385" s="33">
        <f t="shared" si="112"/>
        <v>1000.000000000005</v>
      </c>
      <c r="W385" s="105">
        <f t="shared" si="108"/>
        <v>115482.52879428775</v>
      </c>
      <c r="X385" s="112">
        <f t="shared" si="113"/>
        <v>915.04962873097099</v>
      </c>
      <c r="Y385" s="32">
        <f t="shared" si="109"/>
        <v>540.15658351255479</v>
      </c>
    </row>
    <row r="386" spans="1:25" x14ac:dyDescent="0.25">
      <c r="A386" s="4">
        <v>380</v>
      </c>
      <c r="C386" s="110">
        <f>IF(male=0,VLOOKUP(((A384:A1218/'Life tables'!$I$2)*2)+age,lifetable,13,1),IF(male=1,VLOOKUP(((A384:A1218/'Life tables'!$I$2)*2)+age,lifetable,10,1),"error"))</f>
        <v>2.7596604845614436E-4</v>
      </c>
      <c r="F386" s="101">
        <f t="shared" si="96"/>
        <v>157.52188500153335</v>
      </c>
      <c r="G386" s="101">
        <f t="shared" si="97"/>
        <v>15.823403023545771</v>
      </c>
      <c r="H386" s="101">
        <f t="shared" si="98"/>
        <v>0.36209913834156582</v>
      </c>
      <c r="I386" s="101">
        <f t="shared" si="99"/>
        <v>0.36209913834156582</v>
      </c>
      <c r="J386" s="101">
        <f t="shared" si="100"/>
        <v>4.8037268291488286E-2</v>
      </c>
      <c r="K386" s="101">
        <f t="shared" si="101"/>
        <v>2.8384632927390401E-2</v>
      </c>
      <c r="L386" s="101">
        <f t="shared" si="110"/>
        <v>140.89786180008556</v>
      </c>
      <c r="M386" s="101">
        <f t="shared" si="102"/>
        <v>757.52774372943759</v>
      </c>
      <c r="N386" s="101">
        <f t="shared" si="103"/>
        <v>72.95156300157727</v>
      </c>
      <c r="O386" s="101">
        <f t="shared" si="104"/>
        <v>1.7413462470411001</v>
      </c>
      <c r="P386" s="101">
        <f t="shared" si="105"/>
        <v>1.7413462470411001</v>
      </c>
      <c r="Q386" s="101">
        <f t="shared" si="106"/>
        <v>0.23014519748873613</v>
      </c>
      <c r="R386" s="101">
        <f t="shared" si="107"/>
        <v>2.0288176669486582E-2</v>
      </c>
      <c r="S386" s="101">
        <f t="shared" si="95"/>
        <v>680.84305485961988</v>
      </c>
      <c r="T386" s="101">
        <f t="shared" si="111"/>
        <v>61.872070203904045</v>
      </c>
      <c r="U386" s="101">
        <f t="shared" si="111"/>
        <v>23.405156340507101</v>
      </c>
      <c r="V386" s="33">
        <f t="shared" si="112"/>
        <v>1000.000000000005</v>
      </c>
      <c r="W386" s="105">
        <f t="shared" si="108"/>
        <v>115308.60395732988</v>
      </c>
      <c r="X386" s="112">
        <f t="shared" si="113"/>
        <v>914.72277345559382</v>
      </c>
      <c r="Y386" s="32">
        <f t="shared" si="109"/>
        <v>539.80835270368561</v>
      </c>
    </row>
    <row r="387" spans="1:25" x14ac:dyDescent="0.25">
      <c r="A387" s="4">
        <v>381</v>
      </c>
      <c r="C387" s="110">
        <f>IF(male=0,VLOOKUP(((A385:A1219/'Life tables'!$I$2)*2)+age,lifetable,13,1),IF(male=1,VLOOKUP(((A385:A1219/'Life tables'!$I$2)*2)+age,lifetable,10,1),"error"))</f>
        <v>2.7596604845614436E-4</v>
      </c>
      <c r="F387" s="101">
        <f t="shared" si="96"/>
        <v>157.46545082312548</v>
      </c>
      <c r="G387" s="101">
        <f t="shared" si="97"/>
        <v>15.817734092214472</v>
      </c>
      <c r="H387" s="101">
        <f t="shared" si="98"/>
        <v>0.36196941181261844</v>
      </c>
      <c r="I387" s="101">
        <f t="shared" si="99"/>
        <v>0.36196941181261844</v>
      </c>
      <c r="J387" s="101">
        <f t="shared" si="100"/>
        <v>4.8020058341461572E-2</v>
      </c>
      <c r="K387" s="101">
        <f t="shared" si="101"/>
        <v>2.8374463778902553E-2</v>
      </c>
      <c r="L387" s="101">
        <f t="shared" si="110"/>
        <v>140.84738338516541</v>
      </c>
      <c r="M387" s="101">
        <f t="shared" si="102"/>
        <v>757.25732263246823</v>
      </c>
      <c r="N387" s="101">
        <f t="shared" si="103"/>
        <v>72.925520864037338</v>
      </c>
      <c r="O387" s="101">
        <f t="shared" si="104"/>
        <v>1.7407246239174241</v>
      </c>
      <c r="P387" s="101">
        <f t="shared" si="105"/>
        <v>1.7407246239174241</v>
      </c>
      <c r="Q387" s="101">
        <f t="shared" si="106"/>
        <v>0.23006304060764196</v>
      </c>
      <c r="R387" s="101">
        <f t="shared" si="107"/>
        <v>2.0280934227165644E-2</v>
      </c>
      <c r="S387" s="101">
        <f t="shared" ref="S387:S450" si="114">M387-SUM(N387:R387)</f>
        <v>680.60000854576128</v>
      </c>
      <c r="T387" s="101">
        <f t="shared" si="111"/>
        <v>62.150153302853148</v>
      </c>
      <c r="U387" s="101">
        <f t="shared" si="111"/>
        <v>23.453811738513171</v>
      </c>
      <c r="V387" s="33">
        <f t="shared" si="112"/>
        <v>1000.000000000005</v>
      </c>
      <c r="W387" s="105">
        <f t="shared" si="108"/>
        <v>115134.94078207812</v>
      </c>
      <c r="X387" s="112">
        <f t="shared" si="113"/>
        <v>914.39603495863867</v>
      </c>
      <c r="Y387" s="32">
        <f t="shared" si="109"/>
        <v>539.46034640730318</v>
      </c>
    </row>
    <row r="388" spans="1:25" x14ac:dyDescent="0.25">
      <c r="A388" s="4">
        <v>382</v>
      </c>
      <c r="C388" s="110">
        <f>IF(male=0,VLOOKUP(((A386:A1220/'Life tables'!$I$2)*2)+age,lifetable,13,1),IF(male=1,VLOOKUP(((A386:A1220/'Life tables'!$I$2)*2)+age,lifetable,10,1),"error"))</f>
        <v>2.7596604845614436E-4</v>
      </c>
      <c r="F388" s="101">
        <f t="shared" si="96"/>
        <v>157.40904204290581</v>
      </c>
      <c r="G388" s="101">
        <f t="shared" si="97"/>
        <v>15.812067712184334</v>
      </c>
      <c r="H388" s="101">
        <f t="shared" si="98"/>
        <v>0.36183974366706362</v>
      </c>
      <c r="I388" s="101">
        <f t="shared" si="99"/>
        <v>0.36183974366706362</v>
      </c>
      <c r="J388" s="101">
        <f t="shared" si="100"/>
        <v>4.8002856136768676E-2</v>
      </c>
      <c r="K388" s="101">
        <f t="shared" si="101"/>
        <v>2.8364299207037494E-2</v>
      </c>
      <c r="L388" s="101">
        <f t="shared" si="110"/>
        <v>140.79692768804355</v>
      </c>
      <c r="M388" s="101">
        <f t="shared" si="102"/>
        <v>756.9869929157328</v>
      </c>
      <c r="N388" s="101">
        <f t="shared" si="103"/>
        <v>72.899487526611921</v>
      </c>
      <c r="O388" s="101">
        <f t="shared" si="104"/>
        <v>1.7401032108515693</v>
      </c>
      <c r="P388" s="101">
        <f t="shared" si="105"/>
        <v>1.7401032108515693</v>
      </c>
      <c r="Q388" s="101">
        <f t="shared" si="106"/>
        <v>0.2299809114888603</v>
      </c>
      <c r="R388" s="101">
        <f t="shared" si="107"/>
        <v>2.0273694232198408E-2</v>
      </c>
      <c r="S388" s="101">
        <f t="shared" si="114"/>
        <v>680.35704436169669</v>
      </c>
      <c r="T388" s="101">
        <f t="shared" si="111"/>
        <v>62.428137070478776</v>
      </c>
      <c r="U388" s="101">
        <f t="shared" si="111"/>
        <v>23.502449731952407</v>
      </c>
      <c r="V388" s="33">
        <f t="shared" si="112"/>
        <v>1000.000000000005</v>
      </c>
      <c r="W388" s="105">
        <f t="shared" si="108"/>
        <v>114961.53888398648</v>
      </c>
      <c r="X388" s="112">
        <f t="shared" si="113"/>
        <v>914.06941319757379</v>
      </c>
      <c r="Y388" s="32">
        <f t="shared" si="109"/>
        <v>539.1125644782386</v>
      </c>
    </row>
    <row r="389" spans="1:25" x14ac:dyDescent="0.25">
      <c r="A389" s="4">
        <v>383</v>
      </c>
      <c r="C389" s="110">
        <f>IF(male=0,VLOOKUP(((A387:A1221/'Life tables'!$I$2)*2)+age,lifetable,13,1),IF(male=1,VLOOKUP(((A387:A1221/'Life tables'!$I$2)*2)+age,lifetable,10,1),"error"))</f>
        <v>2.7596604845614436E-4</v>
      </c>
      <c r="F389" s="101">
        <f t="shared" si="96"/>
        <v>157.35265848795868</v>
      </c>
      <c r="G389" s="101">
        <f t="shared" si="97"/>
        <v>15.806403866085615</v>
      </c>
      <c r="H389" s="101">
        <f t="shared" si="98"/>
        <v>0.36171013350741638</v>
      </c>
      <c r="I389" s="101">
        <f t="shared" si="99"/>
        <v>0.36171013350741638</v>
      </c>
      <c r="J389" s="101">
        <f t="shared" si="100"/>
        <v>4.7985661624677878E-2</v>
      </c>
      <c r="K389" s="101">
        <f t="shared" si="101"/>
        <v>2.8354139180636721E-2</v>
      </c>
      <c r="L389" s="101">
        <f t="shared" si="110"/>
        <v>140.7464945540529</v>
      </c>
      <c r="M389" s="101">
        <f t="shared" si="102"/>
        <v>756.71675470961509</v>
      </c>
      <c r="N389" s="101">
        <f t="shared" si="103"/>
        <v>72.87346300185726</v>
      </c>
      <c r="O389" s="101">
        <f t="shared" si="104"/>
        <v>1.739482008143252</v>
      </c>
      <c r="P389" s="101">
        <f t="shared" si="105"/>
        <v>1.739482008143252</v>
      </c>
      <c r="Q389" s="101">
        <f t="shared" si="106"/>
        <v>0.22989881017200323</v>
      </c>
      <c r="R389" s="101">
        <f t="shared" si="107"/>
        <v>2.026645668807683E-2</v>
      </c>
      <c r="S389" s="101">
        <f t="shared" si="114"/>
        <v>680.11416242461121</v>
      </c>
      <c r="T389" s="101">
        <f t="shared" si="111"/>
        <v>62.706021542275458</v>
      </c>
      <c r="U389" s="101">
        <f t="shared" si="111"/>
        <v>23.551070327821119</v>
      </c>
      <c r="V389" s="33">
        <f t="shared" si="112"/>
        <v>1000.0000000000049</v>
      </c>
      <c r="W389" s="105">
        <f t="shared" si="108"/>
        <v>114788.39787877857</v>
      </c>
      <c r="X389" s="112">
        <f t="shared" si="113"/>
        <v>913.7429081299083</v>
      </c>
      <c r="Y389" s="32">
        <f t="shared" si="109"/>
        <v>538.76500677142997</v>
      </c>
    </row>
    <row r="390" spans="1:25" x14ac:dyDescent="0.25">
      <c r="A390" s="4">
        <v>384</v>
      </c>
      <c r="C390" s="110">
        <f>IF(male=0,VLOOKUP(((A388:A1222/'Life tables'!$I$2)*2)+age,lifetable,13,1),IF(male=1,VLOOKUP(((A388:A1222/'Life tables'!$I$2)*2)+age,lifetable,10,1),"error"))</f>
        <v>2.7596604845614436E-4</v>
      </c>
      <c r="F390" s="101">
        <f t="shared" si="96"/>
        <v>157.29629999055319</v>
      </c>
      <c r="G390" s="101">
        <f t="shared" si="97"/>
        <v>15.800742537069397</v>
      </c>
      <c r="H390" s="101">
        <f t="shared" si="98"/>
        <v>0.36158058094810974</v>
      </c>
      <c r="I390" s="101">
        <f t="shared" si="99"/>
        <v>0.36158058094810974</v>
      </c>
      <c r="J390" s="101">
        <f t="shared" si="100"/>
        <v>4.7968474754038627E-2</v>
      </c>
      <c r="K390" s="101">
        <f t="shared" si="101"/>
        <v>2.8343983669475978E-2</v>
      </c>
      <c r="L390" s="101">
        <f t="shared" si="110"/>
        <v>140.69608383316407</v>
      </c>
      <c r="M390" s="101">
        <f t="shared" si="102"/>
        <v>756.44660813935502</v>
      </c>
      <c r="N390" s="101">
        <f t="shared" si="103"/>
        <v>72.847447301834222</v>
      </c>
      <c r="O390" s="101">
        <f t="shared" si="104"/>
        <v>1.7388610160803641</v>
      </c>
      <c r="P390" s="101">
        <f t="shared" si="105"/>
        <v>1.7388610160803641</v>
      </c>
      <c r="Q390" s="101">
        <f t="shared" si="106"/>
        <v>0.22981673669511998</v>
      </c>
      <c r="R390" s="101">
        <f t="shared" si="107"/>
        <v>2.0259221598155096E-2</v>
      </c>
      <c r="S390" s="101">
        <f t="shared" si="114"/>
        <v>679.87136284706685</v>
      </c>
      <c r="T390" s="101">
        <f t="shared" si="111"/>
        <v>62.983806753724615</v>
      </c>
      <c r="U390" s="101">
        <f t="shared" si="111"/>
        <v>23.599673533088751</v>
      </c>
      <c r="V390" s="33">
        <f t="shared" si="112"/>
        <v>1000.0000000000049</v>
      </c>
      <c r="W390" s="105">
        <f t="shared" si="108"/>
        <v>114615.51738245769</v>
      </c>
      <c r="X390" s="112">
        <f t="shared" si="113"/>
        <v>913.41651971319152</v>
      </c>
      <c r="Y390" s="32">
        <f t="shared" si="109"/>
        <v>538.41767314192168</v>
      </c>
    </row>
    <row r="391" spans="1:25" x14ac:dyDescent="0.25">
      <c r="A391" s="4">
        <v>385</v>
      </c>
      <c r="C391" s="110">
        <f>IF(male=0,VLOOKUP(((A389:A1223/'Life tables'!$I$2)*2)+age,lifetable,13,1),IF(male=1,VLOOKUP(((A389:A1223/'Life tables'!$I$2)*2)+age,lifetable,10,1),"error"))</f>
        <v>2.7596604845614436E-4</v>
      </c>
      <c r="F391" s="101">
        <f t="shared" ref="F391:F454" si="115">E390*(1-pCAUC)+(L390+G390+H390+I390 )*(1-pCAUC)+(S390+N390+O390+P390)*(pUAUC)</f>
        <v>157.23996638798133</v>
      </c>
      <c r="G391" s="101">
        <f t="shared" ref="G391:G454" si="116">F391*(rrOSEX)</f>
        <v>15.795083708791319</v>
      </c>
      <c r="H391" s="101">
        <f t="shared" ref="H391:H454" si="117">F391*rrEREX</f>
        <v>0.36145108561512312</v>
      </c>
      <c r="I391" s="101">
        <f t="shared" ref="I391:I454" si="118">F391*rrHOEX</f>
        <v>0.36145108561512312</v>
      </c>
      <c r="J391" s="101">
        <f t="shared" ref="J391:J454" si="119">F391*mr + G391*mr + H391*mr+I391*mr</f>
        <v>4.7951295475232102E-2</v>
      </c>
      <c r="K391" s="101">
        <f t="shared" ref="K391:K454" si="120">F391*amr + I391*amrHOEX</f>
        <v>2.8333832644236126E-2</v>
      </c>
      <c r="L391" s="101">
        <f t="shared" si="110"/>
        <v>140.64569537984028</v>
      </c>
      <c r="M391" s="101">
        <f t="shared" ref="M391:M454" si="121">E390*pCAUC+(L390+G390+H390+I390)*pCAUC+(S390+N390+O390+P390)*(1-pUAUC)</f>
        <v>756.17655332521019</v>
      </c>
      <c r="N391" s="101">
        <f t="shared" ref="N391:N454" si="122">M391*rrOSEXc</f>
        <v>72.821440438123901</v>
      </c>
      <c r="O391" s="101">
        <f t="shared" ref="O391:O454" si="123">M391*rrEREXc</f>
        <v>1.7382402349393444</v>
      </c>
      <c r="P391" s="101">
        <f t="shared" ref="P391:P454" si="124">M391*rrHOEXc</f>
        <v>1.7382402349393444</v>
      </c>
      <c r="Q391" s="101">
        <f t="shared" ref="Q391:Q454" si="125">M391*mr + N391*mr + O391*mr+P391*mr</f>
        <v>0.22973469109474606</v>
      </c>
      <c r="R391" s="101">
        <f t="shared" ref="R391:R454" si="126">M391*amrc + P391*amrHOEX</f>
        <v>2.0251988965653951E-2</v>
      </c>
      <c r="S391" s="101">
        <f t="shared" si="114"/>
        <v>679.62864573714717</v>
      </c>
      <c r="T391" s="101">
        <f t="shared" si="111"/>
        <v>63.261492740294592</v>
      </c>
      <c r="U391" s="101">
        <f t="shared" si="111"/>
        <v>23.648259354698641</v>
      </c>
      <c r="V391" s="33">
        <f t="shared" si="112"/>
        <v>1000.0000000000049</v>
      </c>
      <c r="W391" s="105">
        <f t="shared" ref="W391:W454" si="127">(cNES*L391+(cNES+cOSEX)*G391+(cNES+cEREX)*H391+(cNES+cHOEX)*I391 +(cNES+ cNES)*S391 +(cNES+ cOSEX)*N391 + (cNES+cEREX)*O391 + (cNES+cHOEX)*P391)/(1+cDR)^A$5:A$65536</f>
        <v>114442.89701131546</v>
      </c>
      <c r="X391" s="112">
        <f t="shared" si="113"/>
        <v>913.09024790501167</v>
      </c>
      <c r="Y391" s="32">
        <f t="shared" ref="Y391:Y454" si="128">(uNES*L391+ uOCEX*G391+uEREX*H391+uHOEX*I391+uNES*S391+ uOCEX*N391+uEREX*O391+uHOEX*P391)/(1+oDR)^A$5:A$65536</f>
        <v>538.07056344486523</v>
      </c>
    </row>
    <row r="392" spans="1:25" x14ac:dyDescent="0.25">
      <c r="A392" s="4">
        <v>386</v>
      </c>
      <c r="C392" s="110">
        <f>IF(male=0,VLOOKUP(((A390:A1224/'Life tables'!$I$2)*2)+age,lifetable,13,1),IF(male=1,VLOOKUP(((A390:A1224/'Life tables'!$I$2)*2)+age,lifetable,10,1),"error"))</f>
        <v>2.7596604845614436E-4</v>
      </c>
      <c r="F392" s="101">
        <f t="shared" si="115"/>
        <v>157.18365752240081</v>
      </c>
      <c r="G392" s="101">
        <f t="shared" si="116"/>
        <v>15.789427365395794</v>
      </c>
      <c r="H392" s="101">
        <f t="shared" si="117"/>
        <v>0.36132164714562098</v>
      </c>
      <c r="I392" s="101">
        <f t="shared" si="118"/>
        <v>0.36132164714562098</v>
      </c>
      <c r="J392" s="101">
        <f t="shared" si="119"/>
        <v>4.7934123740123333E-2</v>
      </c>
      <c r="K392" s="101">
        <f t="shared" si="120"/>
        <v>2.8323686076474792E-2</v>
      </c>
      <c r="L392" s="101">
        <f t="shared" ref="L392:L455" si="129">F392-SUM(G392:K392)</f>
        <v>140.59532905289717</v>
      </c>
      <c r="M392" s="101">
        <f t="shared" si="121"/>
        <v>755.90659038261072</v>
      </c>
      <c r="N392" s="101">
        <f t="shared" si="122"/>
        <v>72.795442421842438</v>
      </c>
      <c r="O392" s="101">
        <f t="shared" si="123"/>
        <v>1.7376196649855347</v>
      </c>
      <c r="P392" s="101">
        <f t="shared" si="124"/>
        <v>1.7376196649855347</v>
      </c>
      <c r="Q392" s="101">
        <f t="shared" si="125"/>
        <v>0.22965267340595052</v>
      </c>
      <c r="R392" s="101">
        <f t="shared" si="126"/>
        <v>2.0244758793664861E-2</v>
      </c>
      <c r="S392" s="101">
        <f t="shared" si="114"/>
        <v>679.38601119859754</v>
      </c>
      <c r="T392" s="101">
        <f t="shared" ref="T392:U455" si="130">J392+Q392+T391</f>
        <v>63.539079537440664</v>
      </c>
      <c r="U392" s="101">
        <f t="shared" si="130"/>
        <v>23.69682779956878</v>
      </c>
      <c r="V392" s="33">
        <f t="shared" ref="V392:V455" si="131">SUM(G392:I392,L392,N392,O392,P392,S392,T392,U392)</f>
        <v>1000.0000000000048</v>
      </c>
      <c r="W392" s="105">
        <f t="shared" si="127"/>
        <v>114270.53638194119</v>
      </c>
      <c r="X392" s="112">
        <f t="shared" ref="X392:X455" si="132">(L392+G392+H392+I392+N392+O392+P392+S392)</f>
        <v>912.76409266299527</v>
      </c>
      <c r="Y392" s="32">
        <f t="shared" si="128"/>
        <v>537.72367753551657</v>
      </c>
    </row>
    <row r="393" spans="1:25" x14ac:dyDescent="0.25">
      <c r="A393" s="4">
        <v>387</v>
      </c>
      <c r="C393" s="110">
        <f>IF(male=0,VLOOKUP(((A391:A1225/'Life tables'!$I$2)*2)+age,lifetable,13,1),IF(male=1,VLOOKUP(((A391:A1225/'Life tables'!$I$2)*2)+age,lifetable,10,1),"error"))</f>
        <v>2.7596604845614436E-4</v>
      </c>
      <c r="F393" s="101">
        <f t="shared" si="115"/>
        <v>157.12737324068311</v>
      </c>
      <c r="G393" s="101">
        <f t="shared" si="116"/>
        <v>15.783773491500739</v>
      </c>
      <c r="H393" s="101">
        <f t="shared" si="117"/>
        <v>0.36119226518760317</v>
      </c>
      <c r="I393" s="101">
        <f t="shared" si="118"/>
        <v>0.36119226518760317</v>
      </c>
      <c r="J393" s="101">
        <f t="shared" si="119"/>
        <v>4.7916959502014821E-2</v>
      </c>
      <c r="K393" s="101">
        <f t="shared" si="120"/>
        <v>2.8313543938599011E-2</v>
      </c>
      <c r="L393" s="101">
        <f t="shared" si="129"/>
        <v>140.54498471536655</v>
      </c>
      <c r="M393" s="101">
        <f t="shared" si="121"/>
        <v>755.63671942231213</v>
      </c>
      <c r="N393" s="101">
        <f t="shared" si="122"/>
        <v>72.769453263655834</v>
      </c>
      <c r="O393" s="101">
        <f t="shared" si="123"/>
        <v>1.7369993064735312</v>
      </c>
      <c r="P393" s="101">
        <f t="shared" si="124"/>
        <v>1.7369993064735312</v>
      </c>
      <c r="Q393" s="101">
        <f t="shared" si="125"/>
        <v>0.22957068366238209</v>
      </c>
      <c r="R393" s="101">
        <f t="shared" si="126"/>
        <v>2.0237531085154085E-2</v>
      </c>
      <c r="S393" s="101">
        <f t="shared" si="114"/>
        <v>679.14345933096172</v>
      </c>
      <c r="T393" s="101">
        <f t="shared" si="130"/>
        <v>63.816567180605063</v>
      </c>
      <c r="U393" s="101">
        <f t="shared" si="130"/>
        <v>23.745378874592532</v>
      </c>
      <c r="V393" s="33">
        <f t="shared" si="131"/>
        <v>1000.0000000000048</v>
      </c>
      <c r="W393" s="105">
        <f t="shared" si="127"/>
        <v>114098.43511123049</v>
      </c>
      <c r="X393" s="112">
        <f t="shared" si="132"/>
        <v>912.43805394480717</v>
      </c>
      <c r="Y393" s="32">
        <f t="shared" si="128"/>
        <v>537.37701526923809</v>
      </c>
    </row>
    <row r="394" spans="1:25" x14ac:dyDescent="0.25">
      <c r="A394" s="4">
        <v>388</v>
      </c>
      <c r="C394" s="110">
        <f>IF(male=0,VLOOKUP(((A392:A1226/'Life tables'!$I$2)*2)+age,lifetable,13,1),IF(male=1,VLOOKUP(((A392:A1226/'Life tables'!$I$2)*2)+age,lifetable,10,1),"error"))</f>
        <v>2.7596604845614436E-4</v>
      </c>
      <c r="F394" s="101">
        <f t="shared" si="115"/>
        <v>157.07111339426621</v>
      </c>
      <c r="G394" s="101">
        <f t="shared" si="116"/>
        <v>15.778122072182789</v>
      </c>
      <c r="H394" s="101">
        <f t="shared" si="117"/>
        <v>0.36106293939956685</v>
      </c>
      <c r="I394" s="101">
        <f t="shared" si="118"/>
        <v>0.36106293939956685</v>
      </c>
      <c r="J394" s="101">
        <f t="shared" si="119"/>
        <v>4.789980271560168E-2</v>
      </c>
      <c r="K394" s="101">
        <f t="shared" si="120"/>
        <v>2.8303406203838664E-2</v>
      </c>
      <c r="L394" s="101">
        <f t="shared" si="129"/>
        <v>140.49466223436485</v>
      </c>
      <c r="M394" s="101">
        <f t="shared" si="121"/>
        <v>755.3669405505409</v>
      </c>
      <c r="N394" s="101">
        <f t="shared" si="122"/>
        <v>72.743472973793956</v>
      </c>
      <c r="O394" s="101">
        <f t="shared" si="123"/>
        <v>1.7363791596475193</v>
      </c>
      <c r="P394" s="101">
        <f t="shared" si="124"/>
        <v>1.7363791596475193</v>
      </c>
      <c r="Q394" s="101">
        <f t="shared" si="125"/>
        <v>0.22948872189631339</v>
      </c>
      <c r="R394" s="101">
        <f t="shared" si="126"/>
        <v>2.0230305842966593E-2</v>
      </c>
      <c r="S394" s="101">
        <f t="shared" si="114"/>
        <v>678.90099022971265</v>
      </c>
      <c r="T394" s="101">
        <f t="shared" si="130"/>
        <v>64.093955705216985</v>
      </c>
      <c r="U394" s="101">
        <f t="shared" si="130"/>
        <v>23.793912586639337</v>
      </c>
      <c r="V394" s="33">
        <f t="shared" si="131"/>
        <v>1000.0000000000048</v>
      </c>
      <c r="W394" s="105">
        <f t="shared" si="127"/>
        <v>113926.5928163935</v>
      </c>
      <c r="X394" s="112">
        <f t="shared" si="132"/>
        <v>912.11213170814847</v>
      </c>
      <c r="Y394" s="32">
        <f t="shared" si="128"/>
        <v>537.03057650149628</v>
      </c>
    </row>
    <row r="395" spans="1:25" x14ac:dyDescent="0.25">
      <c r="A395" s="4">
        <v>389</v>
      </c>
      <c r="C395" s="110">
        <f>IF(male=0,VLOOKUP(((A393:A1227/'Life tables'!$I$2)*2)+age,lifetable,13,1),IF(male=1,VLOOKUP(((A393:A1227/'Life tables'!$I$2)*2)+age,lifetable,10,1),"error"))</f>
        <v>2.7596604845614436E-4</v>
      </c>
      <c r="F395" s="101">
        <f t="shared" si="115"/>
        <v>157.01487783901169</v>
      </c>
      <c r="G395" s="101">
        <f t="shared" si="116"/>
        <v>15.77247309296294</v>
      </c>
      <c r="H395" s="101">
        <f t="shared" si="117"/>
        <v>0.3609336694501778</v>
      </c>
      <c r="I395" s="101">
        <f t="shared" si="118"/>
        <v>0.3609336694501778</v>
      </c>
      <c r="J395" s="101">
        <f t="shared" si="119"/>
        <v>4.7882653336928017E-2</v>
      </c>
      <c r="K395" s="101">
        <f t="shared" si="120"/>
        <v>2.8293272846220758E-2</v>
      </c>
      <c r="L395" s="101">
        <f t="shared" si="129"/>
        <v>140.44436148096526</v>
      </c>
      <c r="M395" s="101">
        <f t="shared" si="121"/>
        <v>755.09725386913669</v>
      </c>
      <c r="N395" s="101">
        <f t="shared" si="122"/>
        <v>72.717501562064143</v>
      </c>
      <c r="O395" s="101">
        <f t="shared" si="123"/>
        <v>1.7357592247416</v>
      </c>
      <c r="P395" s="101">
        <f t="shared" si="124"/>
        <v>1.7357592247416</v>
      </c>
      <c r="Q395" s="101">
        <f t="shared" si="125"/>
        <v>0.22940678813868451</v>
      </c>
      <c r="R395" s="101">
        <f t="shared" si="126"/>
        <v>2.0223083069829863E-2</v>
      </c>
      <c r="S395" s="101">
        <f t="shared" si="114"/>
        <v>678.65860398638085</v>
      </c>
      <c r="T395" s="101">
        <f t="shared" si="130"/>
        <v>64.371245146692601</v>
      </c>
      <c r="U395" s="101">
        <f t="shared" si="130"/>
        <v>23.842428942555387</v>
      </c>
      <c r="V395" s="33">
        <f t="shared" si="131"/>
        <v>1000.0000000000048</v>
      </c>
      <c r="W395" s="105">
        <f t="shared" si="127"/>
        <v>113755.00911496289</v>
      </c>
      <c r="X395" s="112">
        <f t="shared" si="132"/>
        <v>911.78632591075677</v>
      </c>
      <c r="Y395" s="32">
        <f t="shared" si="128"/>
        <v>536.68436108786193</v>
      </c>
    </row>
    <row r="396" spans="1:25" x14ac:dyDescent="0.25">
      <c r="A396" s="4">
        <v>390</v>
      </c>
      <c r="C396" s="110">
        <f>IF(male=0,VLOOKUP(((A394:A1228/'Life tables'!$I$2)*2)+age,lifetable,13,1),IF(male=1,VLOOKUP(((A394:A1228/'Life tables'!$I$2)*2)+age,lifetable,10,1),"error"))</f>
        <v>2.7596604845614436E-4</v>
      </c>
      <c r="F396" s="101">
        <f t="shared" si="115"/>
        <v>156.9586664350667</v>
      </c>
      <c r="G396" s="101">
        <f t="shared" si="116"/>
        <v>15.76682653979268</v>
      </c>
      <c r="H396" s="101">
        <f t="shared" si="117"/>
        <v>0.360804455017953</v>
      </c>
      <c r="I396" s="101">
        <f t="shared" si="118"/>
        <v>0.360804455017953</v>
      </c>
      <c r="J396" s="101">
        <f t="shared" si="119"/>
        <v>4.7865511323344816E-2</v>
      </c>
      <c r="K396" s="101">
        <f t="shared" si="120"/>
        <v>2.8283143840544523E-2</v>
      </c>
      <c r="L396" s="101">
        <f t="shared" si="129"/>
        <v>140.39408233007424</v>
      </c>
      <c r="M396" s="101">
        <f t="shared" si="121"/>
        <v>754.82765947569021</v>
      </c>
      <c r="N396" s="101">
        <f t="shared" si="122"/>
        <v>72.691539037864629</v>
      </c>
      <c r="O396" s="101">
        <f t="shared" si="123"/>
        <v>1.7351395019801072</v>
      </c>
      <c r="P396" s="101">
        <f t="shared" si="124"/>
        <v>1.7351395019801072</v>
      </c>
      <c r="Q396" s="101">
        <f t="shared" si="125"/>
        <v>0.22932488241914462</v>
      </c>
      <c r="R396" s="101">
        <f t="shared" si="126"/>
        <v>2.021586276835758E-2</v>
      </c>
      <c r="S396" s="101">
        <f t="shared" si="114"/>
        <v>678.41630068867789</v>
      </c>
      <c r="T396" s="101">
        <f t="shared" si="130"/>
        <v>64.648435540435088</v>
      </c>
      <c r="U396" s="101">
        <f t="shared" si="130"/>
        <v>23.89092794916429</v>
      </c>
      <c r="V396" s="33">
        <f t="shared" si="131"/>
        <v>1000.000000000005</v>
      </c>
      <c r="W396" s="105">
        <f t="shared" si="127"/>
        <v>113583.68362480163</v>
      </c>
      <c r="X396" s="112">
        <f t="shared" si="132"/>
        <v>911.46063651040561</v>
      </c>
      <c r="Y396" s="32">
        <f t="shared" si="128"/>
        <v>536.33836888401038</v>
      </c>
    </row>
    <row r="397" spans="1:25" x14ac:dyDescent="0.25">
      <c r="A397" s="4">
        <v>391</v>
      </c>
      <c r="C397" s="110">
        <f>IF(male=0,VLOOKUP(((A395:A1229/'Life tables'!$I$2)*2)+age,lifetable,13,1),IF(male=1,VLOOKUP(((A395:A1229/'Life tables'!$I$2)*2)+age,lifetable,10,1),"error"))</f>
        <v>2.7596604845614436E-4</v>
      </c>
      <c r="F397" s="101">
        <f t="shared" si="115"/>
        <v>156.90247904672987</v>
      </c>
      <c r="G397" s="101">
        <f t="shared" si="116"/>
        <v>15.76118239904052</v>
      </c>
      <c r="H397" s="101">
        <f t="shared" si="117"/>
        <v>0.3606752957909527</v>
      </c>
      <c r="I397" s="101">
        <f t="shared" si="118"/>
        <v>0.3606752957909527</v>
      </c>
      <c r="J397" s="101">
        <f t="shared" si="119"/>
        <v>4.7848376633469143E-2</v>
      </c>
      <c r="K397" s="101">
        <f t="shared" si="120"/>
        <v>2.827301916235727E-2</v>
      </c>
      <c r="L397" s="101">
        <f t="shared" si="129"/>
        <v>140.34382466031161</v>
      </c>
      <c r="M397" s="101">
        <f t="shared" si="121"/>
        <v>754.55815746367591</v>
      </c>
      <c r="N397" s="101">
        <f t="shared" si="122"/>
        <v>72.665585410197181</v>
      </c>
      <c r="O397" s="101">
        <f t="shared" si="123"/>
        <v>1.734519991577913</v>
      </c>
      <c r="P397" s="101">
        <f t="shared" si="124"/>
        <v>1.734519991577913</v>
      </c>
      <c r="Q397" s="101">
        <f t="shared" si="125"/>
        <v>0.22924300476609225</v>
      </c>
      <c r="R397" s="101">
        <f t="shared" si="126"/>
        <v>2.0208644941053185E-2</v>
      </c>
      <c r="S397" s="101">
        <f t="shared" si="114"/>
        <v>678.17408042061572</v>
      </c>
      <c r="T397" s="101">
        <f t="shared" si="130"/>
        <v>64.925526921834646</v>
      </c>
      <c r="U397" s="101">
        <f t="shared" si="130"/>
        <v>23.939409613267699</v>
      </c>
      <c r="V397" s="33">
        <f t="shared" si="131"/>
        <v>1000.000000000005</v>
      </c>
      <c r="W397" s="105">
        <f t="shared" si="127"/>
        <v>113412.61596411049</v>
      </c>
      <c r="X397" s="112">
        <f t="shared" si="132"/>
        <v>911.13506346490271</v>
      </c>
      <c r="Y397" s="32">
        <f t="shared" si="128"/>
        <v>535.99259974571987</v>
      </c>
    </row>
    <row r="398" spans="1:25" x14ac:dyDescent="0.25">
      <c r="A398" s="4">
        <v>392</v>
      </c>
      <c r="C398" s="110">
        <f>IF(male=0,VLOOKUP(((A396:A1230/'Life tables'!$I$2)*2)+age,lifetable,13,1),IF(male=1,VLOOKUP(((A396:A1230/'Life tables'!$I$2)*2)+age,lifetable,10,1),"error"))</f>
        <v>3.0034427820335718E-4</v>
      </c>
      <c r="F398" s="101">
        <f t="shared" si="115"/>
        <v>156.84631554232169</v>
      </c>
      <c r="G398" s="101">
        <f t="shared" si="116"/>
        <v>15.75554065747898</v>
      </c>
      <c r="H398" s="101">
        <f t="shared" si="117"/>
        <v>0.36054619146648215</v>
      </c>
      <c r="I398" s="101">
        <f t="shared" si="118"/>
        <v>0.36054619146648215</v>
      </c>
      <c r="J398" s="101">
        <f t="shared" si="119"/>
        <v>5.2056555888158718E-2</v>
      </c>
      <c r="K398" s="101">
        <f t="shared" si="120"/>
        <v>2.8262898787931034E-2</v>
      </c>
      <c r="L398" s="101">
        <f t="shared" si="129"/>
        <v>140.28936304723365</v>
      </c>
      <c r="M398" s="101">
        <f t="shared" si="121"/>
        <v>754.28874792258114</v>
      </c>
      <c r="N398" s="101">
        <f t="shared" si="122"/>
        <v>72.639640687679645</v>
      </c>
      <c r="O398" s="101">
        <f t="shared" si="123"/>
        <v>1.7339006937407238</v>
      </c>
      <c r="P398" s="101">
        <f t="shared" si="124"/>
        <v>1.7339006937407238</v>
      </c>
      <c r="Q398" s="101">
        <f t="shared" si="125"/>
        <v>0.24940474430768977</v>
      </c>
      <c r="R398" s="101">
        <f t="shared" si="126"/>
        <v>2.0201429590313333E-2</v>
      </c>
      <c r="S398" s="101">
        <f t="shared" si="114"/>
        <v>677.91169967352198</v>
      </c>
      <c r="T398" s="101">
        <f t="shared" si="130"/>
        <v>65.226988222030499</v>
      </c>
      <c r="U398" s="101">
        <f t="shared" si="130"/>
        <v>23.987873941645944</v>
      </c>
      <c r="V398" s="33">
        <f t="shared" si="131"/>
        <v>1000.0000000000051</v>
      </c>
      <c r="W398" s="105">
        <f t="shared" si="127"/>
        <v>113239.17247236386</v>
      </c>
      <c r="X398" s="112">
        <f t="shared" si="132"/>
        <v>910.78513783632866</v>
      </c>
      <c r="Y398" s="32">
        <f t="shared" si="128"/>
        <v>535.63242928460647</v>
      </c>
    </row>
    <row r="399" spans="1:25" x14ac:dyDescent="0.25">
      <c r="A399" s="4">
        <v>393</v>
      </c>
      <c r="C399" s="110">
        <f>IF(male=0,VLOOKUP(((A397:A1231/'Life tables'!$I$2)*2)+age,lifetable,13,1),IF(male=1,VLOOKUP(((A397:A1231/'Life tables'!$I$2)*2)+age,lifetable,10,1),"error"))</f>
        <v>3.0034427820335718E-4</v>
      </c>
      <c r="F399" s="101">
        <f t="shared" si="115"/>
        <v>156.78595037284757</v>
      </c>
      <c r="G399" s="101">
        <f t="shared" si="116"/>
        <v>15.749476849867964</v>
      </c>
      <c r="H399" s="101">
        <f t="shared" si="117"/>
        <v>0.36040742867899894</v>
      </c>
      <c r="I399" s="101">
        <f t="shared" si="118"/>
        <v>0.36040742867899894</v>
      </c>
      <c r="J399" s="101">
        <f t="shared" si="119"/>
        <v>5.2036520971765796E-2</v>
      </c>
      <c r="K399" s="101">
        <f t="shared" si="120"/>
        <v>2.8252021295085479E-2</v>
      </c>
      <c r="L399" s="101">
        <f t="shared" si="129"/>
        <v>140.23537012335476</v>
      </c>
      <c r="M399" s="101">
        <f t="shared" si="121"/>
        <v>753.99918746348089</v>
      </c>
      <c r="N399" s="101">
        <f t="shared" si="122"/>
        <v>72.611755388098629</v>
      </c>
      <c r="O399" s="101">
        <f t="shared" si="123"/>
        <v>1.7332350745301806</v>
      </c>
      <c r="P399" s="101">
        <f t="shared" si="124"/>
        <v>1.7332350745301806</v>
      </c>
      <c r="Q399" s="101">
        <f t="shared" si="125"/>
        <v>0.24930900146058718</v>
      </c>
      <c r="R399" s="101">
        <f t="shared" si="126"/>
        <v>2.0193674555861654E-2</v>
      </c>
      <c r="S399" s="101">
        <f t="shared" si="114"/>
        <v>677.65145925030549</v>
      </c>
      <c r="T399" s="101">
        <f t="shared" si="130"/>
        <v>65.528333744462856</v>
      </c>
      <c r="U399" s="101">
        <f t="shared" si="130"/>
        <v>24.036319637496891</v>
      </c>
      <c r="V399" s="33">
        <f t="shared" si="131"/>
        <v>1000.000000000005</v>
      </c>
      <c r="W399" s="105">
        <f t="shared" si="127"/>
        <v>113065.58640115221</v>
      </c>
      <c r="X399" s="112">
        <f t="shared" si="132"/>
        <v>910.43534661804517</v>
      </c>
      <c r="Y399" s="32">
        <f t="shared" si="128"/>
        <v>535.27273479339783</v>
      </c>
    </row>
    <row r="400" spans="1:25" x14ac:dyDescent="0.25">
      <c r="A400" s="4">
        <v>394</v>
      </c>
      <c r="C400" s="110">
        <f>IF(male=0,VLOOKUP(((A398:A1232/'Life tables'!$I$2)*2)+age,lifetable,13,1),IF(male=1,VLOOKUP(((A398:A1232/'Life tables'!$I$2)*2)+age,lifetable,10,1),"error"))</f>
        <v>3.0034427820335718E-4</v>
      </c>
      <c r="F400" s="101">
        <f t="shared" si="115"/>
        <v>156.72561238396813</v>
      </c>
      <c r="G400" s="101">
        <f t="shared" si="116"/>
        <v>15.743415772604571</v>
      </c>
      <c r="H400" s="101">
        <f t="shared" si="117"/>
        <v>0.36026872837216672</v>
      </c>
      <c r="I400" s="101">
        <f t="shared" si="118"/>
        <v>0.36026872837216672</v>
      </c>
      <c r="J400" s="101">
        <f t="shared" si="119"/>
        <v>5.2016495076484669E-2</v>
      </c>
      <c r="K400" s="101">
        <f t="shared" si="120"/>
        <v>2.8241148700043191E-2</v>
      </c>
      <c r="L400" s="101">
        <f t="shared" si="129"/>
        <v>140.1814015108427</v>
      </c>
      <c r="M400" s="101">
        <f t="shared" si="121"/>
        <v>753.70973423407702</v>
      </c>
      <c r="N400" s="101">
        <f t="shared" si="122"/>
        <v>72.583880414969713</v>
      </c>
      <c r="O400" s="101">
        <f t="shared" si="123"/>
        <v>1.7325697018109785</v>
      </c>
      <c r="P400" s="101">
        <f t="shared" si="124"/>
        <v>1.7325697018109785</v>
      </c>
      <c r="Q400" s="101">
        <f t="shared" si="125"/>
        <v>0.24921329406886572</v>
      </c>
      <c r="R400" s="101">
        <f t="shared" si="126"/>
        <v>2.0185922393245421E-2</v>
      </c>
      <c r="S400" s="101">
        <f t="shared" si="114"/>
        <v>677.39131519902321</v>
      </c>
      <c r="T400" s="101">
        <f t="shared" si="130"/>
        <v>65.829563533608209</v>
      </c>
      <c r="U400" s="101">
        <f t="shared" si="130"/>
        <v>24.084746708590181</v>
      </c>
      <c r="V400" s="33">
        <f t="shared" si="131"/>
        <v>1000.0000000000048</v>
      </c>
      <c r="W400" s="105">
        <f t="shared" si="127"/>
        <v>112892.26621804976</v>
      </c>
      <c r="X400" s="112">
        <f t="shared" si="132"/>
        <v>910.08568975780645</v>
      </c>
      <c r="Y400" s="32">
        <f t="shared" si="128"/>
        <v>534.9132818584817</v>
      </c>
    </row>
    <row r="401" spans="1:25" x14ac:dyDescent="0.25">
      <c r="A401" s="4">
        <v>395</v>
      </c>
      <c r="C401" s="110">
        <f>IF(male=0,VLOOKUP(((A399:A1233/'Life tables'!$I$2)*2)+age,lifetable,13,1),IF(male=1,VLOOKUP(((A399:A1233/'Life tables'!$I$2)*2)+age,lifetable,10,1),"error"))</f>
        <v>3.0034427820335718E-4</v>
      </c>
      <c r="F401" s="101">
        <f t="shared" si="115"/>
        <v>156.66530144015871</v>
      </c>
      <c r="G401" s="101">
        <f t="shared" si="116"/>
        <v>15.737357412075065</v>
      </c>
      <c r="H401" s="101">
        <f t="shared" si="117"/>
        <v>0.36013009023445181</v>
      </c>
      <c r="I401" s="101">
        <f t="shared" si="118"/>
        <v>0.36013009023445181</v>
      </c>
      <c r="J401" s="101">
        <f t="shared" si="119"/>
        <v>5.1996478157335331E-2</v>
      </c>
      <c r="K401" s="101">
        <f t="shared" si="120"/>
        <v>2.8230280978383319E-2</v>
      </c>
      <c r="L401" s="101">
        <f t="shared" si="129"/>
        <v>140.12745708847902</v>
      </c>
      <c r="M401" s="101">
        <f t="shared" si="121"/>
        <v>753.42038831764796</v>
      </c>
      <c r="N401" s="101">
        <f t="shared" si="122"/>
        <v>72.55601577631279</v>
      </c>
      <c r="O401" s="101">
        <f t="shared" si="123"/>
        <v>1.7319045757745513</v>
      </c>
      <c r="P401" s="101">
        <f t="shared" si="124"/>
        <v>1.7319045757745513</v>
      </c>
      <c r="Q401" s="101">
        <f t="shared" si="125"/>
        <v>0.24911762216006131</v>
      </c>
      <c r="R401" s="101">
        <f t="shared" si="126"/>
        <v>2.0178173104695003E-2</v>
      </c>
      <c r="S401" s="101">
        <f t="shared" si="114"/>
        <v>677.13126759452132</v>
      </c>
      <c r="T401" s="101">
        <f t="shared" si="130"/>
        <v>66.1306776339256</v>
      </c>
      <c r="U401" s="101">
        <f t="shared" si="130"/>
        <v>24.133155162673258</v>
      </c>
      <c r="V401" s="33">
        <f t="shared" si="131"/>
        <v>1000.0000000000051</v>
      </c>
      <c r="W401" s="105">
        <f t="shared" si="127"/>
        <v>112719.21152241858</v>
      </c>
      <c r="X401" s="112">
        <f t="shared" si="132"/>
        <v>909.73616720340624</v>
      </c>
      <c r="Y401" s="32">
        <f t="shared" si="128"/>
        <v>534.55407031732886</v>
      </c>
    </row>
    <row r="402" spans="1:25" x14ac:dyDescent="0.25">
      <c r="A402" s="4">
        <v>396</v>
      </c>
      <c r="C402" s="110">
        <f>IF(male=0,VLOOKUP(((A400:A1234/'Life tables'!$I$2)*2)+age,lifetable,13,1),IF(male=1,VLOOKUP(((A400:A1234/'Life tables'!$I$2)*2)+age,lifetable,10,1),"error"))</f>
        <v>3.0034427820335718E-4</v>
      </c>
      <c r="F402" s="101">
        <f t="shared" si="115"/>
        <v>156.60501740986101</v>
      </c>
      <c r="G402" s="101">
        <f t="shared" si="116"/>
        <v>15.731301755064136</v>
      </c>
      <c r="H402" s="101">
        <f t="shared" si="117"/>
        <v>0.35999151396343809</v>
      </c>
      <c r="I402" s="101">
        <f t="shared" si="118"/>
        <v>0.35999151396343809</v>
      </c>
      <c r="J402" s="101">
        <f t="shared" si="119"/>
        <v>5.1976470170654196E-2</v>
      </c>
      <c r="K402" s="101">
        <f t="shared" si="120"/>
        <v>2.8219418106399736E-2</v>
      </c>
      <c r="L402" s="101">
        <f t="shared" si="129"/>
        <v>140.07353673859294</v>
      </c>
      <c r="M402" s="101">
        <f t="shared" si="121"/>
        <v>753.13114979354543</v>
      </c>
      <c r="N402" s="101">
        <f t="shared" si="122"/>
        <v>72.52816147976958</v>
      </c>
      <c r="O402" s="101">
        <f t="shared" si="123"/>
        <v>1.7312396966033066</v>
      </c>
      <c r="P402" s="101">
        <f t="shared" si="124"/>
        <v>1.7312396966033066</v>
      </c>
      <c r="Q402" s="101">
        <f t="shared" si="125"/>
        <v>0.24902198576041143</v>
      </c>
      <c r="R402" s="101">
        <f t="shared" si="126"/>
        <v>2.0170426692335604E-2</v>
      </c>
      <c r="S402" s="101">
        <f t="shared" si="114"/>
        <v>676.87131650811648</v>
      </c>
      <c r="T402" s="101">
        <f t="shared" si="130"/>
        <v>66.431676089856666</v>
      </c>
      <c r="U402" s="101">
        <f t="shared" si="130"/>
        <v>24.181545007471993</v>
      </c>
      <c r="V402" s="33">
        <f t="shared" si="131"/>
        <v>1000.0000000000052</v>
      </c>
      <c r="W402" s="105">
        <f t="shared" si="127"/>
        <v>112546.42191400926</v>
      </c>
      <c r="X402" s="112">
        <f t="shared" si="132"/>
        <v>909.38677890267661</v>
      </c>
      <c r="Y402" s="32">
        <f t="shared" si="128"/>
        <v>534.19510000752916</v>
      </c>
    </row>
    <row r="403" spans="1:25" x14ac:dyDescent="0.25">
      <c r="A403" s="4">
        <v>397</v>
      </c>
      <c r="C403" s="110">
        <f>IF(male=0,VLOOKUP(((A401:A1235/'Life tables'!$I$2)*2)+age,lifetable,13,1),IF(male=1,VLOOKUP(((A401:A1235/'Life tables'!$I$2)*2)+age,lifetable,10,1),"error"))</f>
        <v>3.0034427820335718E-4</v>
      </c>
      <c r="F403" s="101">
        <f t="shared" si="115"/>
        <v>156.54476016535924</v>
      </c>
      <c r="G403" s="101">
        <f t="shared" si="116"/>
        <v>15.725248788742469</v>
      </c>
      <c r="H403" s="101">
        <f t="shared" si="117"/>
        <v>0.35985299926554254</v>
      </c>
      <c r="I403" s="101">
        <f t="shared" si="118"/>
        <v>0.35985299926554254</v>
      </c>
      <c r="J403" s="101">
        <f t="shared" si="119"/>
        <v>5.1956471074052997E-2</v>
      </c>
      <c r="K403" s="101">
        <f t="shared" si="120"/>
        <v>2.8208560061078719E-2</v>
      </c>
      <c r="L403" s="101">
        <f t="shared" si="129"/>
        <v>140.01964034695055</v>
      </c>
      <c r="M403" s="101">
        <f t="shared" si="121"/>
        <v>752.8420187373174</v>
      </c>
      <c r="N403" s="101">
        <f t="shared" si="122"/>
        <v>72.500317532615526</v>
      </c>
      <c r="O403" s="101">
        <f t="shared" si="123"/>
        <v>1.7305750644709084</v>
      </c>
      <c r="P403" s="101">
        <f t="shared" si="124"/>
        <v>1.7305750644709084</v>
      </c>
      <c r="Q403" s="101">
        <f t="shared" si="125"/>
        <v>0.24892638489489602</v>
      </c>
      <c r="R403" s="101">
        <f t="shared" si="126"/>
        <v>2.0162683158190555E-2</v>
      </c>
      <c r="S403" s="101">
        <f t="shared" si="114"/>
        <v>676.6114620077069</v>
      </c>
      <c r="T403" s="101">
        <f t="shared" si="130"/>
        <v>66.732558945825616</v>
      </c>
      <c r="U403" s="101">
        <f t="shared" si="130"/>
        <v>24.229916250691261</v>
      </c>
      <c r="V403" s="33">
        <f t="shared" si="131"/>
        <v>1000.0000000000053</v>
      </c>
      <c r="W403" s="105">
        <f t="shared" si="127"/>
        <v>112373.89699296752</v>
      </c>
      <c r="X403" s="112">
        <f t="shared" si="132"/>
        <v>909.0375248034884</v>
      </c>
      <c r="Y403" s="32">
        <f t="shared" si="128"/>
        <v>533.83637076679088</v>
      </c>
    </row>
    <row r="404" spans="1:25" x14ac:dyDescent="0.25">
      <c r="A404" s="4">
        <v>398</v>
      </c>
      <c r="C404" s="110">
        <f>IF(male=0,VLOOKUP(((A402:A1236/'Life tables'!$I$2)*2)+age,lifetable,13,1),IF(male=1,VLOOKUP(((A402:A1236/'Life tables'!$I$2)*2)+age,lifetable,10,1),"error"))</f>
        <v>3.0034427820335718E-4</v>
      </c>
      <c r="F404" s="101">
        <f t="shared" si="115"/>
        <v>156.48452958265997</v>
      </c>
      <c r="G404" s="101">
        <f t="shared" si="116"/>
        <v>15.719198500654663</v>
      </c>
      <c r="H404" s="101">
        <f t="shared" si="117"/>
        <v>0.35971454585573859</v>
      </c>
      <c r="I404" s="101">
        <f t="shared" si="118"/>
        <v>0.35971454585573859</v>
      </c>
      <c r="J404" s="101">
        <f t="shared" si="119"/>
        <v>5.193648082637891E-2</v>
      </c>
      <c r="K404" s="101">
        <f t="shared" si="120"/>
        <v>2.8197706820077287E-2</v>
      </c>
      <c r="L404" s="101">
        <f t="shared" si="129"/>
        <v>139.96576780264738</v>
      </c>
      <c r="M404" s="101">
        <f t="shared" si="121"/>
        <v>752.55299522082851</v>
      </c>
      <c r="N404" s="101">
        <f t="shared" si="122"/>
        <v>72.472483941771344</v>
      </c>
      <c r="O404" s="101">
        <f t="shared" si="123"/>
        <v>1.7299106795425534</v>
      </c>
      <c r="P404" s="101">
        <f t="shared" si="124"/>
        <v>1.7299106795425534</v>
      </c>
      <c r="Q404" s="101">
        <f t="shared" si="125"/>
        <v>0.24883081958727693</v>
      </c>
      <c r="R404" s="101">
        <f t="shared" si="126"/>
        <v>2.0154942504184543E-2</v>
      </c>
      <c r="S404" s="101">
        <f t="shared" si="114"/>
        <v>676.35170415788059</v>
      </c>
      <c r="T404" s="101">
        <f t="shared" si="130"/>
        <v>67.03332624623927</v>
      </c>
      <c r="U404" s="101">
        <f t="shared" si="130"/>
        <v>24.278268900015522</v>
      </c>
      <c r="V404" s="33">
        <f t="shared" si="131"/>
        <v>1000.0000000000053</v>
      </c>
      <c r="W404" s="105">
        <f t="shared" si="127"/>
        <v>112201.6363598411</v>
      </c>
      <c r="X404" s="112">
        <f t="shared" si="132"/>
        <v>908.68840485375063</v>
      </c>
      <c r="Y404" s="32">
        <f t="shared" si="128"/>
        <v>533.47788243294144</v>
      </c>
    </row>
    <row r="405" spans="1:25" x14ac:dyDescent="0.25">
      <c r="A405" s="4">
        <v>399</v>
      </c>
      <c r="C405" s="110">
        <f>IF(male=0,VLOOKUP(((A403:A1237/'Life tables'!$I$2)*2)+age,lifetable,13,1),IF(male=1,VLOOKUP(((A403:A1237/'Life tables'!$I$2)*2)+age,lifetable,10,1),"error"))</f>
        <v>3.0034427820335718E-4</v>
      </c>
      <c r="F405" s="101">
        <f t="shared" si="115"/>
        <v>156.42432554137577</v>
      </c>
      <c r="G405" s="101">
        <f t="shared" si="116"/>
        <v>15.713150878707548</v>
      </c>
      <c r="H405" s="101">
        <f t="shared" si="117"/>
        <v>0.35957615345728877</v>
      </c>
      <c r="I405" s="101">
        <f t="shared" si="118"/>
        <v>0.35957615345728877</v>
      </c>
      <c r="J405" s="101">
        <f t="shared" si="119"/>
        <v>5.1916499387675875E-2</v>
      </c>
      <c r="K405" s="101">
        <f t="shared" si="120"/>
        <v>2.8186858361702243E-2</v>
      </c>
      <c r="L405" s="101">
        <f t="shared" si="129"/>
        <v>139.91191899800427</v>
      </c>
      <c r="M405" s="101">
        <f t="shared" si="121"/>
        <v>752.26407931237475</v>
      </c>
      <c r="N405" s="101">
        <f t="shared" si="122"/>
        <v>72.444660713814102</v>
      </c>
      <c r="O405" s="101">
        <f t="shared" si="123"/>
        <v>1.7292465419752354</v>
      </c>
      <c r="P405" s="101">
        <f t="shared" si="124"/>
        <v>1.7292465419752354</v>
      </c>
      <c r="Q405" s="101">
        <f t="shared" si="125"/>
        <v>0.24873528986013624</v>
      </c>
      <c r="R405" s="101">
        <f t="shared" si="126"/>
        <v>2.0147204732146682E-2</v>
      </c>
      <c r="S405" s="101">
        <f t="shared" si="114"/>
        <v>676.09204302001785</v>
      </c>
      <c r="T405" s="101">
        <f t="shared" si="130"/>
        <v>67.333978035487078</v>
      </c>
      <c r="U405" s="101">
        <f t="shared" si="130"/>
        <v>24.326602963109373</v>
      </c>
      <c r="V405" s="33">
        <f t="shared" si="131"/>
        <v>1000.0000000000053</v>
      </c>
      <c r="W405" s="105">
        <f t="shared" si="127"/>
        <v>112029.6396155854</v>
      </c>
      <c r="X405" s="112">
        <f t="shared" si="132"/>
        <v>908.33941900140883</v>
      </c>
      <c r="Y405" s="32">
        <f t="shared" si="128"/>
        <v>533.11963484392527</v>
      </c>
    </row>
    <row r="406" spans="1:25" x14ac:dyDescent="0.25">
      <c r="A406" s="4">
        <v>400</v>
      </c>
      <c r="C406" s="110">
        <f>IF(male=0,VLOOKUP(((A404:A1238/'Life tables'!$I$2)*2)+age,lifetable,13,1),IF(male=1,VLOOKUP(((A404:A1238/'Life tables'!$I$2)*2)+age,lifetable,10,1),"error"))</f>
        <v>3.0034427820335718E-4</v>
      </c>
      <c r="F406" s="101">
        <f t="shared" si="115"/>
        <v>156.36414792461227</v>
      </c>
      <c r="G406" s="101">
        <f t="shared" si="116"/>
        <v>15.707105911158843</v>
      </c>
      <c r="H406" s="101">
        <f t="shared" si="117"/>
        <v>0.35943782180148554</v>
      </c>
      <c r="I406" s="101">
        <f t="shared" si="118"/>
        <v>0.35943782180148554</v>
      </c>
      <c r="J406" s="101">
        <f t="shared" si="119"/>
        <v>5.189652671914724E-2</v>
      </c>
      <c r="K406" s="101">
        <f t="shared" si="120"/>
        <v>2.8176014664889826E-2</v>
      </c>
      <c r="L406" s="101">
        <f t="shared" si="129"/>
        <v>139.85809382846642</v>
      </c>
      <c r="M406" s="101">
        <f t="shared" si="121"/>
        <v>751.97527107679662</v>
      </c>
      <c r="N406" s="101">
        <f t="shared" si="122"/>
        <v>72.416847854988063</v>
      </c>
      <c r="O406" s="101">
        <f t="shared" si="123"/>
        <v>1.7285826519180045</v>
      </c>
      <c r="P406" s="101">
        <f t="shared" si="124"/>
        <v>1.7285826519180045</v>
      </c>
      <c r="Q406" s="101">
        <f t="shared" si="125"/>
        <v>0.24863979573491338</v>
      </c>
      <c r="R406" s="101">
        <f t="shared" si="126"/>
        <v>2.0139469843813533E-2</v>
      </c>
      <c r="S406" s="101">
        <f t="shared" si="114"/>
        <v>675.83247865239377</v>
      </c>
      <c r="T406" s="101">
        <f t="shared" si="130"/>
        <v>67.634514357941143</v>
      </c>
      <c r="U406" s="101">
        <f t="shared" si="130"/>
        <v>24.374918447618075</v>
      </c>
      <c r="V406" s="33">
        <f t="shared" si="131"/>
        <v>1000.0000000000053</v>
      </c>
      <c r="W406" s="105">
        <f t="shared" si="127"/>
        <v>111857.90636157013</v>
      </c>
      <c r="X406" s="112">
        <f t="shared" si="132"/>
        <v>907.99056719444616</v>
      </c>
      <c r="Y406" s="32">
        <f t="shared" si="128"/>
        <v>532.76162783780512</v>
      </c>
    </row>
    <row r="407" spans="1:25" x14ac:dyDescent="0.25">
      <c r="A407" s="4">
        <v>401</v>
      </c>
      <c r="C407" s="110">
        <f>IF(male=0,VLOOKUP(((A405:A1239/'Life tables'!$I$2)*2)+age,lifetable,13,1),IF(male=1,VLOOKUP(((A405:A1239/'Life tables'!$I$2)*2)+age,lifetable,10,1),"error"))</f>
        <v>3.0034427820335718E-4</v>
      </c>
      <c r="F407" s="101">
        <f t="shared" si="115"/>
        <v>156.30399661885923</v>
      </c>
      <c r="G407" s="101">
        <f t="shared" si="116"/>
        <v>15.701063586606203</v>
      </c>
      <c r="H407" s="101">
        <f t="shared" si="117"/>
        <v>0.35929955062740021</v>
      </c>
      <c r="I407" s="101">
        <f t="shared" si="118"/>
        <v>0.35929955062740021</v>
      </c>
      <c r="J407" s="101">
        <f t="shared" si="119"/>
        <v>5.1876562783119466E-2</v>
      </c>
      <c r="K407" s="101">
        <f t="shared" si="120"/>
        <v>2.8165175709186072E-2</v>
      </c>
      <c r="L407" s="101">
        <f t="shared" si="129"/>
        <v>139.80429219250593</v>
      </c>
      <c r="M407" s="101">
        <f t="shared" si="121"/>
        <v>751.68657057558687</v>
      </c>
      <c r="N407" s="101">
        <f t="shared" si="122"/>
        <v>72.389045371215119</v>
      </c>
      <c r="O407" s="101">
        <f t="shared" si="123"/>
        <v>1.7279190095122154</v>
      </c>
      <c r="P407" s="101">
        <f t="shared" si="124"/>
        <v>1.7279190095122154</v>
      </c>
      <c r="Q407" s="101">
        <f t="shared" si="125"/>
        <v>0.24854433723194086</v>
      </c>
      <c r="R407" s="101">
        <f t="shared" si="126"/>
        <v>2.0131737840831995E-2</v>
      </c>
      <c r="S407" s="101">
        <f t="shared" si="114"/>
        <v>675.57301111027459</v>
      </c>
      <c r="T407" s="101">
        <f t="shared" si="130"/>
        <v>67.934935257956198</v>
      </c>
      <c r="U407" s="101">
        <f t="shared" si="130"/>
        <v>24.423215361168094</v>
      </c>
      <c r="V407" s="33">
        <f t="shared" si="131"/>
        <v>1000.0000000000053</v>
      </c>
      <c r="W407" s="105">
        <f t="shared" si="127"/>
        <v>111686.43619958444</v>
      </c>
      <c r="X407" s="112">
        <f t="shared" si="132"/>
        <v>907.64184938088113</v>
      </c>
      <c r="Y407" s="32">
        <f t="shared" si="128"/>
        <v>532.40386125276075</v>
      </c>
    </row>
    <row r="408" spans="1:25" x14ac:dyDescent="0.25">
      <c r="A408" s="4">
        <v>402</v>
      </c>
      <c r="C408" s="110">
        <f>IF(male=0,VLOOKUP(((A406:A1240/'Life tables'!$I$2)*2)+age,lifetable,13,1),IF(male=1,VLOOKUP(((A406:A1240/'Life tables'!$I$2)*2)+age,lifetable,10,1),"error"))</f>
        <v>3.0034427820335718E-4</v>
      </c>
      <c r="F408" s="101">
        <f t="shared" si="115"/>
        <v>156.24387151388461</v>
      </c>
      <c r="G408" s="101">
        <f t="shared" si="116"/>
        <v>15.69502389397659</v>
      </c>
      <c r="H408" s="101">
        <f t="shared" si="117"/>
        <v>0.35916133968163994</v>
      </c>
      <c r="I408" s="101">
        <f t="shared" si="118"/>
        <v>0.35916133968163994</v>
      </c>
      <c r="J408" s="101">
        <f t="shared" si="119"/>
        <v>5.1856607543007069E-2</v>
      </c>
      <c r="K408" s="101">
        <f t="shared" si="120"/>
        <v>2.8154341474727743E-2</v>
      </c>
      <c r="L408" s="101">
        <f t="shared" si="129"/>
        <v>139.75051399152701</v>
      </c>
      <c r="M408" s="101">
        <f t="shared" si="121"/>
        <v>751.3979778669966</v>
      </c>
      <c r="N408" s="101">
        <f t="shared" si="122"/>
        <v>72.361253268104988</v>
      </c>
      <c r="O408" s="101">
        <f t="shared" si="123"/>
        <v>1.7272556148917717</v>
      </c>
      <c r="P408" s="101">
        <f t="shared" si="124"/>
        <v>1.7272556148917717</v>
      </c>
      <c r="Q408" s="101">
        <f t="shared" si="125"/>
        <v>0.24844891437047931</v>
      </c>
      <c r="R408" s="101">
        <f t="shared" si="126"/>
        <v>2.0124008724762159E-2</v>
      </c>
      <c r="S408" s="101">
        <f t="shared" si="114"/>
        <v>675.31364044601287</v>
      </c>
      <c r="T408" s="101">
        <f t="shared" si="130"/>
        <v>68.235240779869685</v>
      </c>
      <c r="U408" s="101">
        <f t="shared" si="130"/>
        <v>24.471493711367582</v>
      </c>
      <c r="V408" s="33">
        <f t="shared" si="131"/>
        <v>1000.0000000000056</v>
      </c>
      <c r="W408" s="105">
        <f t="shared" si="127"/>
        <v>111515.22873184305</v>
      </c>
      <c r="X408" s="112">
        <f t="shared" si="132"/>
        <v>907.29326550876817</v>
      </c>
      <c r="Y408" s="32">
        <f t="shared" si="128"/>
        <v>532.04633492708899</v>
      </c>
    </row>
    <row r="409" spans="1:25" x14ac:dyDescent="0.25">
      <c r="A409" s="4">
        <v>403</v>
      </c>
      <c r="C409" s="110">
        <f>IF(male=0,VLOOKUP(((A407:A1241/'Life tables'!$I$2)*2)+age,lifetable,13,1),IF(male=1,VLOOKUP(((A407:A1241/'Life tables'!$I$2)*2)+age,lifetable,10,1),"error"))</f>
        <v>3.0034427820335718E-4</v>
      </c>
      <c r="F409" s="101">
        <f t="shared" si="115"/>
        <v>156.18377250263197</v>
      </c>
      <c r="G409" s="101">
        <f t="shared" si="116"/>
        <v>15.688986822515961</v>
      </c>
      <c r="H409" s="101">
        <f t="shared" si="117"/>
        <v>0.35902318871811156</v>
      </c>
      <c r="I409" s="101">
        <f t="shared" si="118"/>
        <v>0.35902318871811156</v>
      </c>
      <c r="J409" s="101">
        <f t="shared" si="119"/>
        <v>5.1836660963278505E-2</v>
      </c>
      <c r="K409" s="101">
        <f t="shared" si="120"/>
        <v>2.8143511942223805E-2</v>
      </c>
      <c r="L409" s="101">
        <f t="shared" si="129"/>
        <v>139.69675912977428</v>
      </c>
      <c r="M409" s="101">
        <f t="shared" si="121"/>
        <v>751.10949300613629</v>
      </c>
      <c r="N409" s="101">
        <f t="shared" si="122"/>
        <v>72.333471550964902</v>
      </c>
      <c r="O409" s="101">
        <f t="shared" si="123"/>
        <v>1.7265924681833567</v>
      </c>
      <c r="P409" s="101">
        <f t="shared" si="124"/>
        <v>1.7265924681833567</v>
      </c>
      <c r="Q409" s="101">
        <f t="shared" si="125"/>
        <v>0.24835352716875095</v>
      </c>
      <c r="R409" s="101">
        <f t="shared" si="126"/>
        <v>2.0116282497080001E-2</v>
      </c>
      <c r="S409" s="101">
        <f t="shared" si="114"/>
        <v>675.05436670913889</v>
      </c>
      <c r="T409" s="101">
        <f t="shared" si="130"/>
        <v>68.53543096800172</v>
      </c>
      <c r="U409" s="101">
        <f t="shared" si="130"/>
        <v>24.519753505806886</v>
      </c>
      <c r="V409" s="33">
        <f t="shared" si="131"/>
        <v>1000.0000000000056</v>
      </c>
      <c r="W409" s="105">
        <f t="shared" si="127"/>
        <v>111344.28356099104</v>
      </c>
      <c r="X409" s="112">
        <f t="shared" si="132"/>
        <v>906.94481552619698</v>
      </c>
      <c r="Y409" s="32">
        <f t="shared" si="128"/>
        <v>531.68904869920311</v>
      </c>
    </row>
    <row r="410" spans="1:25" x14ac:dyDescent="0.25">
      <c r="A410" s="4">
        <v>404</v>
      </c>
      <c r="C410" s="110">
        <f>IF(male=0,VLOOKUP(((A408:A1242/'Life tables'!$I$2)*2)+age,lifetable,13,1),IF(male=1,VLOOKUP(((A408:A1242/'Life tables'!$I$2)*2)+age,lifetable,10,1),"error"))</f>
        <v>3.0034427820335718E-4</v>
      </c>
      <c r="F410" s="101">
        <f t="shared" si="115"/>
        <v>156.12369948112146</v>
      </c>
      <c r="G410" s="101">
        <f t="shared" si="116"/>
        <v>15.682952361779325</v>
      </c>
      <c r="H410" s="101">
        <f t="shared" si="117"/>
        <v>0.3588850974977944</v>
      </c>
      <c r="I410" s="101">
        <f t="shared" si="118"/>
        <v>0.3588850974977944</v>
      </c>
      <c r="J410" s="101">
        <f t="shared" si="119"/>
        <v>5.181672300942336E-2</v>
      </c>
      <c r="K410" s="101">
        <f t="shared" si="120"/>
        <v>2.8132687092937637E-2</v>
      </c>
      <c r="L410" s="101">
        <f t="shared" si="129"/>
        <v>139.64302751424418</v>
      </c>
      <c r="M410" s="101">
        <f t="shared" si="121"/>
        <v>750.82111604507554</v>
      </c>
      <c r="N410" s="101">
        <f t="shared" si="122"/>
        <v>72.3057002248093</v>
      </c>
      <c r="O410" s="101">
        <f t="shared" si="123"/>
        <v>1.7259295695066639</v>
      </c>
      <c r="P410" s="101">
        <f t="shared" si="124"/>
        <v>1.7259295695066639</v>
      </c>
      <c r="Q410" s="101">
        <f t="shared" si="125"/>
        <v>0.24825817564397257</v>
      </c>
      <c r="R410" s="101">
        <f t="shared" si="126"/>
        <v>2.0108559159180049E-2</v>
      </c>
      <c r="S410" s="101">
        <f t="shared" si="114"/>
        <v>674.7951899464498</v>
      </c>
      <c r="T410" s="101">
        <f t="shared" si="130"/>
        <v>68.835505866655112</v>
      </c>
      <c r="U410" s="101">
        <f t="shared" si="130"/>
        <v>24.567994752059004</v>
      </c>
      <c r="V410" s="33">
        <f t="shared" si="131"/>
        <v>1000.0000000000057</v>
      </c>
      <c r="W410" s="105">
        <f t="shared" si="127"/>
        <v>111173.60029010962</v>
      </c>
      <c r="X410" s="112">
        <f t="shared" si="132"/>
        <v>906.59649938129155</v>
      </c>
      <c r="Y410" s="32">
        <f t="shared" si="128"/>
        <v>531.33200240763267</v>
      </c>
    </row>
    <row r="411" spans="1:25" x14ac:dyDescent="0.25">
      <c r="A411" s="4">
        <v>405</v>
      </c>
      <c r="C411" s="110">
        <f>IF(male=0,VLOOKUP(((A409:A1243/'Life tables'!$I$2)*2)+age,lifetable,13,1),IF(male=1,VLOOKUP(((A409:A1243/'Life tables'!$I$2)*2)+age,lifetable,10,1),"error"))</f>
        <v>3.0034427820335718E-4</v>
      </c>
      <c r="F411" s="101">
        <f t="shared" si="115"/>
        <v>156.0636523483534</v>
      </c>
      <c r="G411" s="101">
        <f t="shared" si="116"/>
        <v>15.676920501621048</v>
      </c>
      <c r="H411" s="101">
        <f t="shared" si="117"/>
        <v>0.358747065788518</v>
      </c>
      <c r="I411" s="101">
        <f t="shared" si="118"/>
        <v>0.358747065788518</v>
      </c>
      <c r="J411" s="101">
        <f t="shared" si="119"/>
        <v>5.1796793647920301E-2</v>
      </c>
      <c r="K411" s="101">
        <f t="shared" si="120"/>
        <v>2.8121866908669607E-2</v>
      </c>
      <c r="L411" s="101">
        <f t="shared" si="129"/>
        <v>139.58931905459872</v>
      </c>
      <c r="M411" s="101">
        <f t="shared" si="121"/>
        <v>750.53284703293809</v>
      </c>
      <c r="N411" s="101">
        <f t="shared" si="122"/>
        <v>72.277939294368906</v>
      </c>
      <c r="O411" s="101">
        <f t="shared" si="123"/>
        <v>1.7252669189746155</v>
      </c>
      <c r="P411" s="101">
        <f t="shared" si="124"/>
        <v>1.7252669189746155</v>
      </c>
      <c r="Q411" s="101">
        <f t="shared" si="125"/>
        <v>0.24816285981238689</v>
      </c>
      <c r="R411" s="101">
        <f t="shared" si="126"/>
        <v>2.0100838712377944E-2</v>
      </c>
      <c r="S411" s="101">
        <f t="shared" si="114"/>
        <v>674.53611020209519</v>
      </c>
      <c r="T411" s="101">
        <f t="shared" si="130"/>
        <v>69.135465520115417</v>
      </c>
      <c r="U411" s="101">
        <f t="shared" si="130"/>
        <v>24.616217457680051</v>
      </c>
      <c r="V411" s="33">
        <f t="shared" si="131"/>
        <v>1000.0000000000056</v>
      </c>
      <c r="W411" s="105">
        <f t="shared" si="127"/>
        <v>111003.17852272051</v>
      </c>
      <c r="X411" s="112">
        <f t="shared" si="132"/>
        <v>906.24831702221013</v>
      </c>
      <c r="Y411" s="32">
        <f t="shared" si="128"/>
        <v>530.97519589102239</v>
      </c>
    </row>
    <row r="412" spans="1:25" x14ac:dyDescent="0.25">
      <c r="A412" s="4">
        <v>406</v>
      </c>
      <c r="C412" s="110">
        <f>IF(male=0,VLOOKUP(((A410:A1244/'Life tables'!$I$2)*2)+age,lifetable,13,1),IF(male=1,VLOOKUP(((A410:A1244/'Life tables'!$I$2)*2)+age,lifetable,10,1),"error"))</f>
        <v>3.0034427820335718E-4</v>
      </c>
      <c r="F412" s="101">
        <f t="shared" si="115"/>
        <v>156.00363100621536</v>
      </c>
      <c r="G412" s="101">
        <f t="shared" si="116"/>
        <v>15.670891232185532</v>
      </c>
      <c r="H412" s="101">
        <f t="shared" si="117"/>
        <v>0.35860909336474922</v>
      </c>
      <c r="I412" s="101">
        <f t="shared" si="118"/>
        <v>0.35860909336474922</v>
      </c>
      <c r="J412" s="101">
        <f t="shared" si="119"/>
        <v>5.1776872846206294E-2</v>
      </c>
      <c r="K412" s="101">
        <f t="shared" si="120"/>
        <v>2.8111051371740366E-2</v>
      </c>
      <c r="L412" s="101">
        <f t="shared" si="129"/>
        <v>139.53563366308236</v>
      </c>
      <c r="M412" s="101">
        <f t="shared" si="121"/>
        <v>750.24468601599483</v>
      </c>
      <c r="N412" s="101">
        <f t="shared" si="122"/>
        <v>72.25018876409969</v>
      </c>
      <c r="O412" s="101">
        <f t="shared" si="123"/>
        <v>1.7246045166935751</v>
      </c>
      <c r="P412" s="101">
        <f t="shared" si="124"/>
        <v>1.7246045166935751</v>
      </c>
      <c r="Q412" s="101">
        <f t="shared" si="125"/>
        <v>0.24806757968929333</v>
      </c>
      <c r="R412" s="101">
        <f t="shared" si="126"/>
        <v>2.009312115791291E-2</v>
      </c>
      <c r="S412" s="101">
        <f t="shared" si="114"/>
        <v>674.2771275176608</v>
      </c>
      <c r="T412" s="101">
        <f t="shared" si="130"/>
        <v>69.435309972650913</v>
      </c>
      <c r="U412" s="101">
        <f t="shared" si="130"/>
        <v>24.664421630209706</v>
      </c>
      <c r="V412" s="33">
        <f t="shared" si="131"/>
        <v>1000.0000000000057</v>
      </c>
      <c r="W412" s="105">
        <f t="shared" si="127"/>
        <v>110833.01786279098</v>
      </c>
      <c r="X412" s="112">
        <f t="shared" si="132"/>
        <v>905.90026839714506</v>
      </c>
      <c r="Y412" s="32">
        <f t="shared" si="128"/>
        <v>530.61862898813456</v>
      </c>
    </row>
    <row r="413" spans="1:25" x14ac:dyDescent="0.25">
      <c r="A413" s="4">
        <v>407</v>
      </c>
      <c r="C413" s="110">
        <f>IF(male=0,VLOOKUP(((A411:A1245/'Life tables'!$I$2)*2)+age,lifetable,13,1),IF(male=1,VLOOKUP(((A411:A1245/'Life tables'!$I$2)*2)+age,lifetable,10,1),"error"))</f>
        <v>3.0034427820335718E-4</v>
      </c>
      <c r="F413" s="101">
        <f t="shared" si="115"/>
        <v>155.94363535939164</v>
      </c>
      <c r="G413" s="101">
        <f t="shared" si="116"/>
        <v>15.664864543898119</v>
      </c>
      <c r="H413" s="101">
        <f t="shared" si="117"/>
        <v>0.35847118000738365</v>
      </c>
      <c r="I413" s="101">
        <f t="shared" si="118"/>
        <v>0.35847118000738365</v>
      </c>
      <c r="J413" s="101">
        <f t="shared" si="119"/>
        <v>5.1756960572646504E-2</v>
      </c>
      <c r="K413" s="101">
        <f t="shared" si="120"/>
        <v>2.8100240464974512E-2</v>
      </c>
      <c r="L413" s="101">
        <f t="shared" si="129"/>
        <v>139.48197125444113</v>
      </c>
      <c r="M413" s="101">
        <f t="shared" si="121"/>
        <v>749.95663303775348</v>
      </c>
      <c r="N413" s="101">
        <f t="shared" si="122"/>
        <v>72.222448638191551</v>
      </c>
      <c r="O413" s="101">
        <f t="shared" si="123"/>
        <v>1.7239423627635551</v>
      </c>
      <c r="P413" s="101">
        <f t="shared" si="124"/>
        <v>1.7239423627635551</v>
      </c>
      <c r="Q413" s="101">
        <f t="shared" si="125"/>
        <v>0.24797233528907758</v>
      </c>
      <c r="R413" s="101">
        <f t="shared" si="126"/>
        <v>2.0085406496950182E-2</v>
      </c>
      <c r="S413" s="101">
        <f t="shared" si="114"/>
        <v>674.01824193224877</v>
      </c>
      <c r="T413" s="101">
        <f t="shared" si="130"/>
        <v>69.735039268512637</v>
      </c>
      <c r="U413" s="101">
        <f t="shared" si="130"/>
        <v>24.712607277171632</v>
      </c>
      <c r="V413" s="33">
        <f t="shared" si="131"/>
        <v>1000.0000000000058</v>
      </c>
      <c r="W413" s="105">
        <f t="shared" si="127"/>
        <v>110663.11791473842</v>
      </c>
      <c r="X413" s="112">
        <f t="shared" si="132"/>
        <v>905.55235345432141</v>
      </c>
      <c r="Y413" s="32">
        <f t="shared" si="128"/>
        <v>530.26230153784502</v>
      </c>
    </row>
    <row r="414" spans="1:25" x14ac:dyDescent="0.25">
      <c r="A414" s="4">
        <v>408</v>
      </c>
      <c r="C414" s="110">
        <f>IF(male=0,VLOOKUP(((A412:A1246/'Life tables'!$I$2)*2)+age,lifetable,13,1),IF(male=1,VLOOKUP(((A412:A1246/'Life tables'!$I$2)*2)+age,lifetable,10,1),"error"))</f>
        <v>3.0034427820335718E-4</v>
      </c>
      <c r="F414" s="101">
        <f t="shared" si="115"/>
        <v>155.88366531527603</v>
      </c>
      <c r="G414" s="101">
        <f t="shared" si="116"/>
        <v>15.658840427456319</v>
      </c>
      <c r="H414" s="101">
        <f t="shared" si="117"/>
        <v>0.35833332550354535</v>
      </c>
      <c r="I414" s="101">
        <f t="shared" si="118"/>
        <v>0.35833332550354535</v>
      </c>
      <c r="J414" s="101">
        <f t="shared" si="119"/>
        <v>5.1737056796505344E-2</v>
      </c>
      <c r="K414" s="101">
        <f t="shared" si="120"/>
        <v>2.8089434171684892E-2</v>
      </c>
      <c r="L414" s="101">
        <f t="shared" si="129"/>
        <v>139.42833174584445</v>
      </c>
      <c r="M414" s="101">
        <f t="shared" si="121"/>
        <v>749.66868813904523</v>
      </c>
      <c r="N414" s="101">
        <f t="shared" si="122"/>
        <v>72.194718920576605</v>
      </c>
      <c r="O414" s="101">
        <f t="shared" si="123"/>
        <v>1.7232804572784151</v>
      </c>
      <c r="P414" s="101">
        <f t="shared" si="124"/>
        <v>1.7232804572784151</v>
      </c>
      <c r="Q414" s="101">
        <f t="shared" si="125"/>
        <v>0.24787712662524053</v>
      </c>
      <c r="R414" s="101">
        <f t="shared" si="126"/>
        <v>2.0077694730583302E-2</v>
      </c>
      <c r="S414" s="101">
        <f t="shared" si="114"/>
        <v>673.75945348255595</v>
      </c>
      <c r="T414" s="101">
        <f t="shared" si="130"/>
        <v>70.034653451934389</v>
      </c>
      <c r="U414" s="101">
        <f t="shared" si="130"/>
        <v>24.760774406073899</v>
      </c>
      <c r="V414" s="33">
        <f t="shared" si="131"/>
        <v>1000.0000000000056</v>
      </c>
      <c r="W414" s="105">
        <f t="shared" si="127"/>
        <v>110493.47828343471</v>
      </c>
      <c r="X414" s="112">
        <f t="shared" si="132"/>
        <v>905.20457214199723</v>
      </c>
      <c r="Y414" s="32">
        <f t="shared" si="128"/>
        <v>529.90621337914433</v>
      </c>
    </row>
    <row r="415" spans="1:25" x14ac:dyDescent="0.25">
      <c r="A415" s="4">
        <v>409</v>
      </c>
      <c r="C415" s="110">
        <f>IF(male=0,VLOOKUP(((A413:A1247/'Life tables'!$I$2)*2)+age,lifetable,13,1),IF(male=1,VLOOKUP(((A413:A1247/'Life tables'!$I$2)*2)+age,lifetable,10,1),"error"))</f>
        <v>3.0034427820335718E-4</v>
      </c>
      <c r="F415" s="101">
        <f t="shared" si="115"/>
        <v>155.82372078388715</v>
      </c>
      <c r="G415" s="101">
        <f t="shared" si="116"/>
        <v>15.652818873821314</v>
      </c>
      <c r="H415" s="101">
        <f t="shared" si="117"/>
        <v>0.35819552964639195</v>
      </c>
      <c r="I415" s="101">
        <f t="shared" si="118"/>
        <v>0.35819552964639195</v>
      </c>
      <c r="J415" s="101">
        <f t="shared" si="119"/>
        <v>5.1717161487918439E-2</v>
      </c>
      <c r="K415" s="101">
        <f t="shared" si="120"/>
        <v>2.8078632475657315E-2</v>
      </c>
      <c r="L415" s="101">
        <f t="shared" si="129"/>
        <v>139.37471505680949</v>
      </c>
      <c r="M415" s="101">
        <f t="shared" si="121"/>
        <v>749.38085135811002</v>
      </c>
      <c r="N415" s="101">
        <f t="shared" si="122"/>
        <v>72.166999614937467</v>
      </c>
      <c r="O415" s="101">
        <f t="shared" si="123"/>
        <v>1.7226188003260581</v>
      </c>
      <c r="P415" s="101">
        <f t="shared" si="124"/>
        <v>1.7226188003260581</v>
      </c>
      <c r="Q415" s="101">
        <f t="shared" si="125"/>
        <v>0.24778195371042611</v>
      </c>
      <c r="R415" s="101">
        <f t="shared" si="126"/>
        <v>2.0069985859836419E-2</v>
      </c>
      <c r="S415" s="101">
        <f t="shared" si="114"/>
        <v>673.50076220295023</v>
      </c>
      <c r="T415" s="101">
        <f t="shared" si="130"/>
        <v>70.334152567132733</v>
      </c>
      <c r="U415" s="101">
        <f t="shared" si="130"/>
        <v>24.808923024409392</v>
      </c>
      <c r="V415" s="33">
        <f t="shared" si="131"/>
        <v>1000.0000000000055</v>
      </c>
      <c r="W415" s="105">
        <f t="shared" si="127"/>
        <v>110324.09857421045</v>
      </c>
      <c r="X415" s="112">
        <f t="shared" si="132"/>
        <v>904.85692440846333</v>
      </c>
      <c r="Y415" s="32">
        <f t="shared" si="128"/>
        <v>529.55036435113959</v>
      </c>
    </row>
    <row r="416" spans="1:25" x14ac:dyDescent="0.25">
      <c r="A416" s="4">
        <v>410</v>
      </c>
      <c r="C416" s="110">
        <f>IF(male=0,VLOOKUP(((A414:A1248/'Life tables'!$I$2)*2)+age,lifetable,13,1),IF(male=1,VLOOKUP(((A414:A1248/'Life tables'!$I$2)*2)+age,lifetable,10,1),"error"))</f>
        <v>3.0034427820335718E-4</v>
      </c>
      <c r="F416" s="101">
        <f t="shared" si="115"/>
        <v>155.76380167778635</v>
      </c>
      <c r="G416" s="101">
        <f t="shared" si="116"/>
        <v>15.646799874209709</v>
      </c>
      <c r="H416" s="101">
        <f t="shared" si="117"/>
        <v>0.35805779223492629</v>
      </c>
      <c r="I416" s="101">
        <f t="shared" si="118"/>
        <v>0.35805779223492629</v>
      </c>
      <c r="J416" s="101">
        <f t="shared" si="119"/>
        <v>5.1697274617865288E-2</v>
      </c>
      <c r="K416" s="101">
        <f t="shared" si="120"/>
        <v>2.8067835361135784E-2</v>
      </c>
      <c r="L416" s="101">
        <f t="shared" si="129"/>
        <v>139.32112110912777</v>
      </c>
      <c r="M416" s="101">
        <f t="shared" si="121"/>
        <v>749.09312273067701</v>
      </c>
      <c r="N416" s="101">
        <f t="shared" si="122"/>
        <v>72.139290724714911</v>
      </c>
      <c r="O416" s="101">
        <f t="shared" si="123"/>
        <v>1.7219573919886155</v>
      </c>
      <c r="P416" s="101">
        <f t="shared" si="124"/>
        <v>1.7219573919886155</v>
      </c>
      <c r="Q416" s="101">
        <f t="shared" si="125"/>
        <v>0.24768681655644822</v>
      </c>
      <c r="R416" s="101">
        <f t="shared" si="126"/>
        <v>2.0062279885666431E-2</v>
      </c>
      <c r="S416" s="101">
        <f t="shared" si="114"/>
        <v>673.24216812554278</v>
      </c>
      <c r="T416" s="101">
        <f t="shared" si="130"/>
        <v>70.633536658307051</v>
      </c>
      <c r="U416" s="101">
        <f t="shared" si="130"/>
        <v>24.857053139656195</v>
      </c>
      <c r="V416" s="33">
        <f t="shared" si="131"/>
        <v>1000.0000000000056</v>
      </c>
      <c r="W416" s="105">
        <f t="shared" si="127"/>
        <v>110154.97839285886</v>
      </c>
      <c r="X416" s="112">
        <f t="shared" si="132"/>
        <v>904.5094102020422</v>
      </c>
      <c r="Y416" s="32">
        <f t="shared" si="128"/>
        <v>529.19475429305101</v>
      </c>
    </row>
    <row r="417" spans="1:25" x14ac:dyDescent="0.25">
      <c r="A417" s="4">
        <v>411</v>
      </c>
      <c r="C417" s="110">
        <f>IF(male=0,VLOOKUP(((A415:A1249/'Life tables'!$I$2)*2)+age,lifetable,13,1),IF(male=1,VLOOKUP(((A415:A1249/'Life tables'!$I$2)*2)+age,lifetable,10,1),"error"))</f>
        <v>3.0034427820335718E-4</v>
      </c>
      <c r="F417" s="101">
        <f t="shared" si="115"/>
        <v>155.7039079119981</v>
      </c>
      <c r="G417" s="101">
        <f t="shared" si="116"/>
        <v>15.640783420085533</v>
      </c>
      <c r="H417" s="101">
        <f t="shared" si="117"/>
        <v>0.35792011307381327</v>
      </c>
      <c r="I417" s="101">
        <f t="shared" si="118"/>
        <v>0.35792011307381327</v>
      </c>
      <c r="J417" s="101">
        <f t="shared" si="119"/>
        <v>5.167739615814293E-2</v>
      </c>
      <c r="K417" s="101">
        <f t="shared" si="120"/>
        <v>2.8057042812808155E-2</v>
      </c>
      <c r="L417" s="101">
        <f t="shared" si="129"/>
        <v>139.26754982679398</v>
      </c>
      <c r="M417" s="101">
        <f t="shared" si="121"/>
        <v>748.80550229004427</v>
      </c>
      <c r="N417" s="101">
        <f t="shared" si="122"/>
        <v>72.111592253115631</v>
      </c>
      <c r="O417" s="101">
        <f t="shared" si="123"/>
        <v>1.7212962323426302</v>
      </c>
      <c r="P417" s="101">
        <f t="shared" si="124"/>
        <v>1.7212962323426302</v>
      </c>
      <c r="Q417" s="101">
        <f t="shared" si="125"/>
        <v>0.24759171517431669</v>
      </c>
      <c r="R417" s="101">
        <f t="shared" si="126"/>
        <v>2.0054576808965125E-2</v>
      </c>
      <c r="S417" s="101">
        <f t="shared" si="114"/>
        <v>672.98367128026007</v>
      </c>
      <c r="T417" s="101">
        <f t="shared" si="130"/>
        <v>70.932805769639515</v>
      </c>
      <c r="U417" s="101">
        <f t="shared" si="130"/>
        <v>24.905164759277969</v>
      </c>
      <c r="V417" s="33">
        <f t="shared" si="131"/>
        <v>1000.0000000000057</v>
      </c>
      <c r="W417" s="105">
        <f t="shared" si="127"/>
        <v>109986.11734564004</v>
      </c>
      <c r="X417" s="112">
        <f t="shared" si="132"/>
        <v>904.16202947108809</v>
      </c>
      <c r="Y417" s="32">
        <f t="shared" si="128"/>
        <v>528.83938304421315</v>
      </c>
    </row>
    <row r="418" spans="1:25" x14ac:dyDescent="0.25">
      <c r="A418" s="4">
        <v>412</v>
      </c>
      <c r="C418" s="110">
        <f>IF(male=0,VLOOKUP(((A416:A1250/'Life tables'!$I$2)*2)+age,lifetable,13,1),IF(male=1,VLOOKUP(((A416:A1250/'Life tables'!$I$2)*2)+age,lifetable,10,1),"error"))</f>
        <v>3.0034427820335718E-4</v>
      </c>
      <c r="F418" s="101">
        <f t="shared" si="115"/>
        <v>155.64403940393333</v>
      </c>
      <c r="G418" s="101">
        <f t="shared" si="116"/>
        <v>15.634769503152544</v>
      </c>
      <c r="H418" s="101">
        <f t="shared" si="117"/>
        <v>0.35778249197320344</v>
      </c>
      <c r="I418" s="101">
        <f t="shared" si="118"/>
        <v>0.35778249197320344</v>
      </c>
      <c r="J418" s="101">
        <f t="shared" si="119"/>
        <v>5.1657526081340437E-2</v>
      </c>
      <c r="K418" s="101">
        <f t="shared" si="120"/>
        <v>2.8046254815792294E-2</v>
      </c>
      <c r="L418" s="101">
        <f t="shared" si="129"/>
        <v>139.21400113593725</v>
      </c>
      <c r="M418" s="101">
        <f t="shared" si="121"/>
        <v>748.51799006715476</v>
      </c>
      <c r="N418" s="101">
        <f t="shared" si="122"/>
        <v>72.083904203119488</v>
      </c>
      <c r="O418" s="101">
        <f t="shared" si="123"/>
        <v>1.7206353214592318</v>
      </c>
      <c r="P418" s="101">
        <f t="shared" si="124"/>
        <v>1.7206353214592318</v>
      </c>
      <c r="Q418" s="101">
        <f t="shared" si="125"/>
        <v>0.24749664957426293</v>
      </c>
      <c r="R418" s="101">
        <f t="shared" si="126"/>
        <v>2.004687663056123E-2</v>
      </c>
      <c r="S418" s="101">
        <f t="shared" si="114"/>
        <v>672.72527169491195</v>
      </c>
      <c r="T418" s="101">
        <f t="shared" si="130"/>
        <v>71.231959945295117</v>
      </c>
      <c r="U418" s="101">
        <f t="shared" si="130"/>
        <v>24.953257890724323</v>
      </c>
      <c r="V418" s="33">
        <f t="shared" si="131"/>
        <v>1000.0000000000056</v>
      </c>
      <c r="W418" s="105">
        <f t="shared" si="127"/>
        <v>109817.51503928447</v>
      </c>
      <c r="X418" s="112">
        <f t="shared" si="132"/>
        <v>903.81478216398614</v>
      </c>
      <c r="Y418" s="32">
        <f t="shared" si="128"/>
        <v>528.48425044407441</v>
      </c>
    </row>
    <row r="419" spans="1:25" x14ac:dyDescent="0.25">
      <c r="A419" s="4">
        <v>413</v>
      </c>
      <c r="C419" s="110">
        <f>IF(male=0,VLOOKUP(((A417:A1251/'Life tables'!$I$2)*2)+age,lifetable,13,1),IF(male=1,VLOOKUP(((A417:A1251/'Life tables'!$I$2)*2)+age,lifetable,10,1),"error"))</f>
        <v>3.0034427820335718E-4</v>
      </c>
      <c r="F419" s="101">
        <f t="shared" si="115"/>
        <v>155.58419607331459</v>
      </c>
      <c r="G419" s="101">
        <f t="shared" si="116"/>
        <v>15.628758115346701</v>
      </c>
      <c r="H419" s="101">
        <f t="shared" si="117"/>
        <v>0.35764492874856119</v>
      </c>
      <c r="I419" s="101">
        <f t="shared" si="118"/>
        <v>0.35764492874856119</v>
      </c>
      <c r="J419" s="101">
        <f t="shared" si="119"/>
        <v>5.1637664360814087E-2</v>
      </c>
      <c r="K419" s="101">
        <f t="shared" si="120"/>
        <v>2.8035471355622624E-2</v>
      </c>
      <c r="L419" s="101">
        <f t="shared" si="129"/>
        <v>139.16047496475431</v>
      </c>
      <c r="M419" s="101">
        <f t="shared" si="121"/>
        <v>748.23058609067152</v>
      </c>
      <c r="N419" s="101">
        <f t="shared" si="122"/>
        <v>72.056226577486797</v>
      </c>
      <c r="O419" s="101">
        <f t="shared" si="123"/>
        <v>1.7199746594043084</v>
      </c>
      <c r="P419" s="101">
        <f t="shared" si="124"/>
        <v>1.7199746594043084</v>
      </c>
      <c r="Q419" s="101">
        <f t="shared" si="125"/>
        <v>0.24740161976576419</v>
      </c>
      <c r="R419" s="101">
        <f t="shared" si="126"/>
        <v>2.0039179351222392E-2</v>
      </c>
      <c r="S419" s="101">
        <f t="shared" si="114"/>
        <v>672.46696939525907</v>
      </c>
      <c r="T419" s="101">
        <f t="shared" si="130"/>
        <v>71.530999229421695</v>
      </c>
      <c r="U419" s="101">
        <f t="shared" si="130"/>
        <v>25.001332541431168</v>
      </c>
      <c r="V419" s="33">
        <f t="shared" si="131"/>
        <v>1000.0000000000055</v>
      </c>
      <c r="W419" s="105">
        <f t="shared" si="127"/>
        <v>109649.17108099649</v>
      </c>
      <c r="X419" s="112">
        <f t="shared" si="132"/>
        <v>903.46766822915265</v>
      </c>
      <c r="Y419" s="32">
        <f t="shared" si="128"/>
        <v>528.12935633219672</v>
      </c>
    </row>
    <row r="420" spans="1:25" x14ac:dyDescent="0.25">
      <c r="A420" s="4">
        <v>414</v>
      </c>
      <c r="C420" s="110">
        <f>IF(male=0,VLOOKUP(((A418:A1252/'Life tables'!$I$2)*2)+age,lifetable,13,1),IF(male=1,VLOOKUP(((A418:A1252/'Life tables'!$I$2)*2)+age,lifetable,10,1),"error"))</f>
        <v>3.0034427820335718E-4</v>
      </c>
      <c r="F420" s="101">
        <f t="shared" si="115"/>
        <v>155.52437784210386</v>
      </c>
      <c r="G420" s="101">
        <f t="shared" si="116"/>
        <v>15.622749248828923</v>
      </c>
      <c r="H420" s="101">
        <f t="shared" si="117"/>
        <v>0.35750742322049878</v>
      </c>
      <c r="I420" s="101">
        <f t="shared" si="118"/>
        <v>0.35750742322049878</v>
      </c>
      <c r="J420" s="101">
        <f t="shared" si="119"/>
        <v>5.1617810970663446E-2</v>
      </c>
      <c r="K420" s="101">
        <f t="shared" si="120"/>
        <v>2.8024692418237095E-2</v>
      </c>
      <c r="L420" s="101">
        <f t="shared" si="129"/>
        <v>139.10697124344503</v>
      </c>
      <c r="M420" s="101">
        <f t="shared" si="121"/>
        <v>747.94329038704882</v>
      </c>
      <c r="N420" s="101">
        <f t="shared" si="122"/>
        <v>72.028559378765152</v>
      </c>
      <c r="O420" s="101">
        <f t="shared" si="123"/>
        <v>1.719314246238671</v>
      </c>
      <c r="P420" s="101">
        <f t="shared" si="124"/>
        <v>1.719314246238671</v>
      </c>
      <c r="Q420" s="101">
        <f t="shared" si="125"/>
        <v>0.24730662575756762</v>
      </c>
      <c r="R420" s="101">
        <f t="shared" si="126"/>
        <v>2.0031484971657115E-2</v>
      </c>
      <c r="S420" s="101">
        <f t="shared" si="114"/>
        <v>672.20876440507709</v>
      </c>
      <c r="T420" s="101">
        <f t="shared" si="130"/>
        <v>71.829923666149924</v>
      </c>
      <c r="U420" s="101">
        <f t="shared" si="130"/>
        <v>25.049388718821064</v>
      </c>
      <c r="V420" s="33">
        <f t="shared" si="131"/>
        <v>1000.0000000000056</v>
      </c>
      <c r="W420" s="105">
        <f t="shared" si="127"/>
        <v>109481.08507845804</v>
      </c>
      <c r="X420" s="112">
        <f t="shared" si="132"/>
        <v>903.12068761503451</v>
      </c>
      <c r="Y420" s="32">
        <f t="shared" si="128"/>
        <v>527.77470054825631</v>
      </c>
    </row>
    <row r="421" spans="1:25" x14ac:dyDescent="0.25">
      <c r="A421" s="4">
        <v>415</v>
      </c>
      <c r="C421" s="110">
        <f>IF(male=0,VLOOKUP(((A419:A1253/'Life tables'!$I$2)*2)+age,lifetable,13,1),IF(male=1,VLOOKUP(((A419:A1253/'Life tables'!$I$2)*2)+age,lifetable,10,1),"error"))</f>
        <v>3.0034427820335718E-4</v>
      </c>
      <c r="F421" s="101">
        <f t="shared" si="115"/>
        <v>155.46458463443278</v>
      </c>
      <c r="G421" s="101">
        <f t="shared" si="116"/>
        <v>15.616742895978073</v>
      </c>
      <c r="H421" s="101">
        <f t="shared" si="117"/>
        <v>0.35736997521461589</v>
      </c>
      <c r="I421" s="101">
        <f t="shared" si="118"/>
        <v>0.35736997521461589</v>
      </c>
      <c r="J421" s="101">
        <f t="shared" si="119"/>
        <v>5.1597965885708155E-2</v>
      </c>
      <c r="K421" s="101">
        <f t="shared" si="120"/>
        <v>2.8013917989964613E-2</v>
      </c>
      <c r="L421" s="101">
        <f t="shared" si="129"/>
        <v>139.05348990414981</v>
      </c>
      <c r="M421" s="101">
        <f t="shared" si="121"/>
        <v>747.65610298060187</v>
      </c>
      <c r="N421" s="101">
        <f t="shared" si="122"/>
        <v>72.00090260929619</v>
      </c>
      <c r="O421" s="101">
        <f t="shared" si="123"/>
        <v>1.7186540820182139</v>
      </c>
      <c r="P421" s="101">
        <f t="shared" si="124"/>
        <v>1.7186540820182139</v>
      </c>
      <c r="Q421" s="101">
        <f t="shared" si="125"/>
        <v>0.24721166755771304</v>
      </c>
      <c r="R421" s="101">
        <f t="shared" si="126"/>
        <v>2.0023793492516612E-2</v>
      </c>
      <c r="S421" s="101">
        <f t="shared" si="114"/>
        <v>671.95065674621901</v>
      </c>
      <c r="T421" s="101">
        <f t="shared" si="130"/>
        <v>72.12873329959335</v>
      </c>
      <c r="U421" s="101">
        <f t="shared" si="130"/>
        <v>25.097426430303546</v>
      </c>
      <c r="V421" s="33">
        <f t="shared" si="131"/>
        <v>1000.0000000000057</v>
      </c>
      <c r="W421" s="105">
        <f t="shared" si="127"/>
        <v>109313.25663983171</v>
      </c>
      <c r="X421" s="112">
        <f t="shared" si="132"/>
        <v>902.77384027010874</v>
      </c>
      <c r="Y421" s="32">
        <f t="shared" si="128"/>
        <v>527.42028293204135</v>
      </c>
    </row>
    <row r="422" spans="1:25" x14ac:dyDescent="0.25">
      <c r="A422" s="4">
        <v>416</v>
      </c>
      <c r="C422" s="110">
        <f>IF(male=0,VLOOKUP(((A420:A1254/'Life tables'!$I$2)*2)+age,lifetable,13,1),IF(male=1,VLOOKUP(((A420:A1254/'Life tables'!$I$2)*2)+age,lifetable,10,1),"error"))</f>
        <v>3.0034427820335718E-4</v>
      </c>
      <c r="F422" s="101">
        <f t="shared" si="115"/>
        <v>155.40481637653457</v>
      </c>
      <c r="G422" s="101">
        <f t="shared" si="116"/>
        <v>15.610739049384126</v>
      </c>
      <c r="H422" s="101">
        <f t="shared" si="117"/>
        <v>0.3572325845613431</v>
      </c>
      <c r="I422" s="101">
        <f t="shared" si="118"/>
        <v>0.3572325845613431</v>
      </c>
      <c r="J422" s="101">
        <f t="shared" si="119"/>
        <v>5.1578129081465363E-2</v>
      </c>
      <c r="K422" s="101">
        <f t="shared" si="120"/>
        <v>2.8003148057512792E-2</v>
      </c>
      <c r="L422" s="101">
        <f t="shared" si="129"/>
        <v>139.00003088088877</v>
      </c>
      <c r="M422" s="101">
        <f t="shared" si="121"/>
        <v>747.36902389357431</v>
      </c>
      <c r="N422" s="101">
        <f t="shared" si="122"/>
        <v>71.973256271221985</v>
      </c>
      <c r="O422" s="101">
        <f t="shared" si="123"/>
        <v>1.7179941667940686</v>
      </c>
      <c r="P422" s="101">
        <f t="shared" si="124"/>
        <v>1.7179941667940686</v>
      </c>
      <c r="Q422" s="101">
        <f t="shared" si="125"/>
        <v>0.24711674517355525</v>
      </c>
      <c r="R422" s="101">
        <f t="shared" si="126"/>
        <v>2.001610491439661E-2</v>
      </c>
      <c r="S422" s="101">
        <f t="shared" si="114"/>
        <v>671.69264643867621</v>
      </c>
      <c r="T422" s="101">
        <f t="shared" si="130"/>
        <v>72.427428173848369</v>
      </c>
      <c r="U422" s="101">
        <f t="shared" si="130"/>
        <v>25.145445683275454</v>
      </c>
      <c r="V422" s="33">
        <f t="shared" si="131"/>
        <v>1000.0000000000057</v>
      </c>
      <c r="W422" s="105">
        <f t="shared" si="127"/>
        <v>109145.68537376427</v>
      </c>
      <c r="X422" s="112">
        <f t="shared" si="132"/>
        <v>902.42712614288189</v>
      </c>
      <c r="Y422" s="32">
        <f t="shared" si="128"/>
        <v>527.06610332345269</v>
      </c>
    </row>
    <row r="423" spans="1:25" x14ac:dyDescent="0.25">
      <c r="A423" s="4">
        <v>417</v>
      </c>
      <c r="C423" s="110">
        <f>IF(male=0,VLOOKUP(((A421:A1255/'Life tables'!$I$2)*2)+age,lifetable,13,1),IF(male=1,VLOOKUP(((A421:A1255/'Life tables'!$I$2)*2)+age,lifetable,10,1),"error"))</f>
        <v>3.0034427820335718E-4</v>
      </c>
      <c r="F423" s="101">
        <f t="shared" si="115"/>
        <v>155.34507299667848</v>
      </c>
      <c r="G423" s="101">
        <f t="shared" si="116"/>
        <v>15.604737701841577</v>
      </c>
      <c r="H423" s="101">
        <f t="shared" si="117"/>
        <v>0.35709525109579138</v>
      </c>
      <c r="I423" s="101">
        <f t="shared" si="118"/>
        <v>0.35709525109579138</v>
      </c>
      <c r="J423" s="101">
        <f t="shared" si="119"/>
        <v>5.1558300534127986E-2</v>
      </c>
      <c r="K423" s="101">
        <f t="shared" si="120"/>
        <v>2.7992382607956116E-2</v>
      </c>
      <c r="L423" s="101">
        <f t="shared" si="129"/>
        <v>138.94659410950322</v>
      </c>
      <c r="M423" s="101">
        <f t="shared" si="121"/>
        <v>747.08205314620341</v>
      </c>
      <c r="N423" s="101">
        <f t="shared" si="122"/>
        <v>71.945620366491468</v>
      </c>
      <c r="O423" s="101">
        <f t="shared" si="123"/>
        <v>1.7173345006127554</v>
      </c>
      <c r="P423" s="101">
        <f t="shared" si="124"/>
        <v>1.7173345006127554</v>
      </c>
      <c r="Q423" s="101">
        <f t="shared" si="125"/>
        <v>0.24702185861178572</v>
      </c>
      <c r="R423" s="101">
        <f t="shared" si="126"/>
        <v>2.0008419237839116E-2</v>
      </c>
      <c r="S423" s="101">
        <f t="shared" si="114"/>
        <v>671.43473350063687</v>
      </c>
      <c r="T423" s="101">
        <f t="shared" si="130"/>
        <v>72.726008332994283</v>
      </c>
      <c r="U423" s="101">
        <f t="shared" si="130"/>
        <v>25.19344648512125</v>
      </c>
      <c r="V423" s="33">
        <f t="shared" si="131"/>
        <v>1000.0000000000059</v>
      </c>
      <c r="W423" s="105">
        <f t="shared" si="127"/>
        <v>108978.37088938912</v>
      </c>
      <c r="X423" s="112">
        <f t="shared" si="132"/>
        <v>902.08054518189022</v>
      </c>
      <c r="Y423" s="32">
        <f t="shared" si="128"/>
        <v>526.71216156250523</v>
      </c>
    </row>
    <row r="424" spans="1:25" x14ac:dyDescent="0.25">
      <c r="A424" s="4">
        <v>418</v>
      </c>
      <c r="C424" s="110">
        <f>IF(male=0,VLOOKUP(((A422:A1256/'Life tables'!$I$2)*2)+age,lifetable,13,1),IF(male=1,VLOOKUP(((A422:A1256/'Life tables'!$I$2)*2)+age,lifetable,10,1),"error"))</f>
        <v>3.2605221431214471E-4</v>
      </c>
      <c r="F424" s="101">
        <f t="shared" si="115"/>
        <v>155.28535442510622</v>
      </c>
      <c r="G424" s="101">
        <f t="shared" si="116"/>
        <v>15.598738846343059</v>
      </c>
      <c r="H424" s="101">
        <f t="shared" si="117"/>
        <v>0.3569579746576057</v>
      </c>
      <c r="I424" s="101">
        <f t="shared" si="118"/>
        <v>0.3569579746576057</v>
      </c>
      <c r="J424" s="101">
        <f t="shared" si="119"/>
        <v>5.5949910877986085E-2</v>
      </c>
      <c r="K424" s="101">
        <f t="shared" si="120"/>
        <v>2.7981621628724498E-2</v>
      </c>
      <c r="L424" s="101">
        <f t="shared" si="129"/>
        <v>138.88876809694125</v>
      </c>
      <c r="M424" s="101">
        <f t="shared" si="121"/>
        <v>746.79519075678388</v>
      </c>
      <c r="N424" s="101">
        <f t="shared" si="122"/>
        <v>71.917994896866432</v>
      </c>
      <c r="O424" s="101">
        <f t="shared" si="123"/>
        <v>1.7166750835163282</v>
      </c>
      <c r="P424" s="101">
        <f t="shared" si="124"/>
        <v>1.7166750835163282</v>
      </c>
      <c r="Q424" s="101">
        <f t="shared" si="125"/>
        <v>0.2680626984933927</v>
      </c>
      <c r="R424" s="101">
        <f t="shared" si="126"/>
        <v>2.0000736463334088E-2</v>
      </c>
      <c r="S424" s="101">
        <f t="shared" si="114"/>
        <v>671.15578225792808</v>
      </c>
      <c r="T424" s="101">
        <f t="shared" si="130"/>
        <v>73.050020942365663</v>
      </c>
      <c r="U424" s="101">
        <f t="shared" si="130"/>
        <v>25.24142884321331</v>
      </c>
      <c r="V424" s="33">
        <f t="shared" si="131"/>
        <v>1000.0000000000056</v>
      </c>
      <c r="W424" s="105">
        <f t="shared" si="127"/>
        <v>108808.64446699851</v>
      </c>
      <c r="X424" s="112">
        <f t="shared" si="132"/>
        <v>901.70855021442662</v>
      </c>
      <c r="Y424" s="32">
        <f t="shared" si="128"/>
        <v>526.34330258439991</v>
      </c>
    </row>
    <row r="425" spans="1:25" x14ac:dyDescent="0.25">
      <c r="A425" s="4">
        <v>419</v>
      </c>
      <c r="C425" s="110">
        <f>IF(male=0,VLOOKUP(((A423:A1257/'Life tables'!$I$2)*2)+age,lifetable,13,1),IF(male=1,VLOOKUP(((A423:A1257/'Life tables'!$I$2)*2)+age,lifetable,10,1),"error"))</f>
        <v>3.2605221431214471E-4</v>
      </c>
      <c r="F425" s="101">
        <f t="shared" si="115"/>
        <v>155.22124904171866</v>
      </c>
      <c r="G425" s="101">
        <f t="shared" si="116"/>
        <v>15.592299326416603</v>
      </c>
      <c r="H425" s="101">
        <f t="shared" si="117"/>
        <v>0.35681061415536525</v>
      </c>
      <c r="I425" s="101">
        <f t="shared" si="118"/>
        <v>0.35681061415536525</v>
      </c>
      <c r="J425" s="101">
        <f t="shared" si="119"/>
        <v>5.5926813461616001E-2</v>
      </c>
      <c r="K425" s="101">
        <f t="shared" si="120"/>
        <v>2.7970070168582259E-2</v>
      </c>
      <c r="L425" s="101">
        <f t="shared" si="129"/>
        <v>138.83143160336112</v>
      </c>
      <c r="M425" s="101">
        <f t="shared" si="121"/>
        <v>746.48730117270793</v>
      </c>
      <c r="N425" s="101">
        <f t="shared" si="122"/>
        <v>71.888344462837878</v>
      </c>
      <c r="O425" s="101">
        <f t="shared" si="123"/>
        <v>1.7159673307294876</v>
      </c>
      <c r="P425" s="101">
        <f t="shared" si="124"/>
        <v>1.7159673307294876</v>
      </c>
      <c r="Q425" s="101">
        <f t="shared" si="125"/>
        <v>0.26795218129434412</v>
      </c>
      <c r="R425" s="101">
        <f t="shared" si="126"/>
        <v>1.9992490536596574E-2</v>
      </c>
      <c r="S425" s="101">
        <f t="shared" si="114"/>
        <v>670.8790773765802</v>
      </c>
      <c r="T425" s="101">
        <f t="shared" si="130"/>
        <v>73.373899937121621</v>
      </c>
      <c r="U425" s="101">
        <f t="shared" si="130"/>
        <v>25.28939140391849</v>
      </c>
      <c r="V425" s="33">
        <f t="shared" si="131"/>
        <v>1000.0000000000057</v>
      </c>
      <c r="W425" s="105">
        <f t="shared" si="127"/>
        <v>108638.7692283623</v>
      </c>
      <c r="X425" s="112">
        <f t="shared" si="132"/>
        <v>901.33670865896556</v>
      </c>
      <c r="Y425" s="32">
        <f t="shared" si="128"/>
        <v>525.97494435011652</v>
      </c>
    </row>
    <row r="426" spans="1:25" x14ac:dyDescent="0.25">
      <c r="A426" s="4">
        <v>420</v>
      </c>
      <c r="C426" s="110">
        <f>IF(male=0,VLOOKUP(((A424:A1258/'Life tables'!$I$2)*2)+age,lifetable,13,1),IF(male=1,VLOOKUP(((A424:A1258/'Life tables'!$I$2)*2)+age,lifetable,10,1),"error"))</f>
        <v>3.2605221431214471E-4</v>
      </c>
      <c r="F426" s="101">
        <f t="shared" si="115"/>
        <v>155.15717227781334</v>
      </c>
      <c r="G426" s="101">
        <f t="shared" si="116"/>
        <v>15.585862681377035</v>
      </c>
      <c r="H426" s="101">
        <f t="shared" si="117"/>
        <v>0.35666331944137925</v>
      </c>
      <c r="I426" s="101">
        <f t="shared" si="118"/>
        <v>0.35666331944137925</v>
      </c>
      <c r="J426" s="101">
        <f t="shared" si="119"/>
        <v>5.5903726356955515E-2</v>
      </c>
      <c r="K426" s="101">
        <f t="shared" si="120"/>
        <v>2.7958523865523419E-2</v>
      </c>
      <c r="L426" s="101">
        <f t="shared" si="129"/>
        <v>138.77412070733106</v>
      </c>
      <c r="M426" s="101">
        <f t="shared" si="121"/>
        <v>746.17953638115216</v>
      </c>
      <c r="N426" s="101">
        <f t="shared" si="122"/>
        <v>71.858706046599394</v>
      </c>
      <c r="O426" s="101">
        <f t="shared" si="123"/>
        <v>1.7152598648060502</v>
      </c>
      <c r="P426" s="101">
        <f t="shared" si="124"/>
        <v>1.7152598648060502</v>
      </c>
      <c r="Q426" s="101">
        <f t="shared" si="125"/>
        <v>0.26784170888966502</v>
      </c>
      <c r="R426" s="101">
        <f t="shared" si="126"/>
        <v>1.9984247952063643E-2</v>
      </c>
      <c r="S426" s="101">
        <f t="shared" si="114"/>
        <v>670.60248464809899</v>
      </c>
      <c r="T426" s="101">
        <f t="shared" si="130"/>
        <v>73.697645372368243</v>
      </c>
      <c r="U426" s="101">
        <f t="shared" si="130"/>
        <v>25.337334175736078</v>
      </c>
      <c r="V426" s="33">
        <f t="shared" si="131"/>
        <v>1000.0000000000057</v>
      </c>
      <c r="W426" s="105">
        <f t="shared" si="127"/>
        <v>108469.15909548967</v>
      </c>
      <c r="X426" s="112">
        <f t="shared" si="132"/>
        <v>900.9650204519013</v>
      </c>
      <c r="Y426" s="32">
        <f t="shared" si="128"/>
        <v>525.60684391447728</v>
      </c>
    </row>
    <row r="427" spans="1:25" x14ac:dyDescent="0.25">
      <c r="A427" s="4">
        <v>421</v>
      </c>
      <c r="C427" s="110">
        <f>IF(male=0,VLOOKUP(((A425:A1259/'Life tables'!$I$2)*2)+age,lifetable,13,1),IF(male=1,VLOOKUP(((A425:A1259/'Life tables'!$I$2)*2)+age,lifetable,10,1),"error"))</f>
        <v>3.2605221431214471E-4</v>
      </c>
      <c r="F427" s="101">
        <f t="shared" si="115"/>
        <v>155.09312405317942</v>
      </c>
      <c r="G427" s="101">
        <f t="shared" si="116"/>
        <v>15.57942890316701</v>
      </c>
      <c r="H427" s="101">
        <f t="shared" si="117"/>
        <v>0.3565160903312653</v>
      </c>
      <c r="I427" s="101">
        <f t="shared" si="118"/>
        <v>0.3565160903312653</v>
      </c>
      <c r="J427" s="101">
        <f t="shared" si="119"/>
        <v>5.5880649535104368E-2</v>
      </c>
      <c r="K427" s="101">
        <f t="shared" si="120"/>
        <v>2.7946982705094395E-2</v>
      </c>
      <c r="L427" s="101">
        <f t="shared" si="129"/>
        <v>138.71683533710967</v>
      </c>
      <c r="M427" s="101">
        <f t="shared" si="121"/>
        <v>745.87189639872201</v>
      </c>
      <c r="N427" s="101">
        <f t="shared" si="122"/>
        <v>71.829079649750128</v>
      </c>
      <c r="O427" s="101">
        <f t="shared" si="123"/>
        <v>1.7145526857841873</v>
      </c>
      <c r="P427" s="101">
        <f t="shared" si="124"/>
        <v>1.7145526857841873</v>
      </c>
      <c r="Q427" s="101">
        <f t="shared" si="125"/>
        <v>0.26773128128531593</v>
      </c>
      <c r="R427" s="101">
        <f t="shared" si="126"/>
        <v>1.9976008710180019E-2</v>
      </c>
      <c r="S427" s="101">
        <f t="shared" si="114"/>
        <v>670.32600408740802</v>
      </c>
      <c r="T427" s="101">
        <f t="shared" si="130"/>
        <v>74.021257303188662</v>
      </c>
      <c r="U427" s="101">
        <f t="shared" si="130"/>
        <v>25.385257167151352</v>
      </c>
      <c r="V427" s="33">
        <f t="shared" si="131"/>
        <v>1000.0000000000058</v>
      </c>
      <c r="W427" s="105">
        <f t="shared" si="127"/>
        <v>108299.81365817571</v>
      </c>
      <c r="X427" s="112">
        <f t="shared" si="132"/>
        <v>900.59348552966571</v>
      </c>
      <c r="Y427" s="32">
        <f t="shared" si="128"/>
        <v>525.23900109689237</v>
      </c>
    </row>
    <row r="428" spans="1:25" x14ac:dyDescent="0.25">
      <c r="A428" s="4">
        <v>422</v>
      </c>
      <c r="C428" s="110">
        <f>IF(male=0,VLOOKUP(((A426:A1260/'Life tables'!$I$2)*2)+age,lifetable,13,1),IF(male=1,VLOOKUP(((A426:A1260/'Life tables'!$I$2)*2)+age,lifetable,10,1),"error"))</f>
        <v>3.2605221431214471E-4</v>
      </c>
      <c r="F428" s="101">
        <f t="shared" si="115"/>
        <v>155.02910428978177</v>
      </c>
      <c r="G428" s="101">
        <f t="shared" si="116"/>
        <v>15.572997983947733</v>
      </c>
      <c r="H428" s="101">
        <f t="shared" si="117"/>
        <v>0.35636892664564224</v>
      </c>
      <c r="I428" s="101">
        <f t="shared" si="118"/>
        <v>0.35636892664564224</v>
      </c>
      <c r="J428" s="101">
        <f t="shared" si="119"/>
        <v>5.5857582967946184E-2</v>
      </c>
      <c r="K428" s="101">
        <f t="shared" si="120"/>
        <v>2.7935446673233659E-2</v>
      </c>
      <c r="L428" s="101">
        <f t="shared" si="129"/>
        <v>138.65957542290158</v>
      </c>
      <c r="M428" s="101">
        <f t="shared" si="121"/>
        <v>745.56438123988391</v>
      </c>
      <c r="N428" s="101">
        <f t="shared" si="122"/>
        <v>71.799465273683225</v>
      </c>
      <c r="O428" s="101">
        <f t="shared" si="123"/>
        <v>1.7138457936971534</v>
      </c>
      <c r="P428" s="101">
        <f t="shared" si="124"/>
        <v>1.7138457936971534</v>
      </c>
      <c r="Q428" s="101">
        <f t="shared" si="125"/>
        <v>0.26762089848648962</v>
      </c>
      <c r="R428" s="101">
        <f t="shared" si="126"/>
        <v>1.9967772811333152E-2</v>
      </c>
      <c r="S428" s="101">
        <f t="shared" si="114"/>
        <v>670.04963570750851</v>
      </c>
      <c r="T428" s="101">
        <f t="shared" si="130"/>
        <v>74.344735784643092</v>
      </c>
      <c r="U428" s="101">
        <f t="shared" si="130"/>
        <v>25.433160386635919</v>
      </c>
      <c r="V428" s="33">
        <f t="shared" si="131"/>
        <v>1000.0000000000056</v>
      </c>
      <c r="W428" s="105">
        <f t="shared" si="127"/>
        <v>108130.73250673637</v>
      </c>
      <c r="X428" s="112">
        <f t="shared" si="132"/>
        <v>900.22210382872663</v>
      </c>
      <c r="Y428" s="32">
        <f t="shared" si="128"/>
        <v>524.87141571690188</v>
      </c>
    </row>
    <row r="429" spans="1:25" x14ac:dyDescent="0.25">
      <c r="A429" s="4">
        <v>423</v>
      </c>
      <c r="C429" s="110">
        <f>IF(male=0,VLOOKUP(((A427:A1261/'Life tables'!$I$2)*2)+age,lifetable,13,1),IF(male=1,VLOOKUP(((A427:A1261/'Life tables'!$I$2)*2)+age,lifetable,10,1),"error"))</f>
        <v>3.2605221431214471E-4</v>
      </c>
      <c r="F429" s="101">
        <f t="shared" si="115"/>
        <v>154.96511291169298</v>
      </c>
      <c r="G429" s="101">
        <f t="shared" si="116"/>
        <v>15.566569916092138</v>
      </c>
      <c r="H429" s="101">
        <f t="shared" si="117"/>
        <v>0.35622182820997395</v>
      </c>
      <c r="I429" s="101">
        <f t="shared" si="118"/>
        <v>0.35622182820997395</v>
      </c>
      <c r="J429" s="101">
        <f t="shared" si="119"/>
        <v>5.5834526628124041E-2</v>
      </c>
      <c r="K429" s="101">
        <f t="shared" si="120"/>
        <v>2.7923915756259486E-2</v>
      </c>
      <c r="L429" s="101">
        <f t="shared" si="129"/>
        <v>138.60234089679651</v>
      </c>
      <c r="M429" s="101">
        <f t="shared" si="121"/>
        <v>745.2569909170337</v>
      </c>
      <c r="N429" s="101">
        <f t="shared" si="122"/>
        <v>71.769862919592427</v>
      </c>
      <c r="O429" s="101">
        <f t="shared" si="123"/>
        <v>1.7131391885734431</v>
      </c>
      <c r="P429" s="101">
        <f t="shared" si="124"/>
        <v>1.7131391885734431</v>
      </c>
      <c r="Q429" s="101">
        <f t="shared" si="125"/>
        <v>0.26751056049763555</v>
      </c>
      <c r="R429" s="101">
        <f t="shared" si="126"/>
        <v>1.9959540255855023E-2</v>
      </c>
      <c r="S429" s="101">
        <f t="shared" si="114"/>
        <v>669.77337951954087</v>
      </c>
      <c r="T429" s="101">
        <f t="shared" si="130"/>
        <v>74.668080871768851</v>
      </c>
      <c r="U429" s="101">
        <f t="shared" si="130"/>
        <v>25.481043842648035</v>
      </c>
      <c r="V429" s="33">
        <f t="shared" si="131"/>
        <v>1000.0000000000057</v>
      </c>
      <c r="W429" s="105">
        <f t="shared" si="127"/>
        <v>107961.91523201112</v>
      </c>
      <c r="X429" s="112">
        <f t="shared" si="132"/>
        <v>899.85087528558881</v>
      </c>
      <c r="Y429" s="32">
        <f t="shared" si="128"/>
        <v>524.50408759417917</v>
      </c>
    </row>
    <row r="430" spans="1:25" x14ac:dyDescent="0.25">
      <c r="A430" s="4">
        <v>424</v>
      </c>
      <c r="C430" s="110">
        <f>IF(male=0,VLOOKUP(((A428:A1262/'Life tables'!$I$2)*2)+age,lifetable,13,1),IF(male=1,VLOOKUP(((A428:A1262/'Life tables'!$I$2)*2)+age,lifetable,10,1),"error"))</f>
        <v>3.2605221431214471E-4</v>
      </c>
      <c r="F430" s="101">
        <f t="shared" si="115"/>
        <v>154.9011498450275</v>
      </c>
      <c r="G430" s="101">
        <f t="shared" si="116"/>
        <v>15.560144692178268</v>
      </c>
      <c r="H430" s="101">
        <f t="shared" si="117"/>
        <v>0.35607479485441812</v>
      </c>
      <c r="I430" s="101">
        <f t="shared" si="118"/>
        <v>0.35607479485441812</v>
      </c>
      <c r="J430" s="101">
        <f t="shared" si="119"/>
        <v>5.5811480489016692E-2</v>
      </c>
      <c r="K430" s="101">
        <f t="shared" si="120"/>
        <v>2.7912389940858075E-2</v>
      </c>
      <c r="L430" s="101">
        <f t="shared" si="129"/>
        <v>138.54513169271053</v>
      </c>
      <c r="M430" s="101">
        <f t="shared" si="121"/>
        <v>744.94972544056134</v>
      </c>
      <c r="N430" s="101">
        <f t="shared" si="122"/>
        <v>71.740272588478319</v>
      </c>
      <c r="O430" s="101">
        <f t="shared" si="123"/>
        <v>1.7124328704369398</v>
      </c>
      <c r="P430" s="101">
        <f t="shared" si="124"/>
        <v>1.7124328704369398</v>
      </c>
      <c r="Q430" s="101">
        <f t="shared" si="125"/>
        <v>0.26740026732248318</v>
      </c>
      <c r="R430" s="101">
        <f t="shared" si="126"/>
        <v>1.9951311044023895E-2</v>
      </c>
      <c r="S430" s="101">
        <f t="shared" si="114"/>
        <v>669.49723553284264</v>
      </c>
      <c r="T430" s="101">
        <f t="shared" si="130"/>
        <v>74.991292619580349</v>
      </c>
      <c r="U430" s="101">
        <f t="shared" si="130"/>
        <v>25.528907543632915</v>
      </c>
      <c r="V430" s="33">
        <f t="shared" si="131"/>
        <v>1000.0000000000058</v>
      </c>
      <c r="W430" s="105">
        <f t="shared" si="127"/>
        <v>107793.36142536625</v>
      </c>
      <c r="X430" s="112">
        <f t="shared" si="132"/>
        <v>899.47979983679238</v>
      </c>
      <c r="Y430" s="32">
        <f t="shared" si="128"/>
        <v>524.13701654852775</v>
      </c>
    </row>
    <row r="431" spans="1:25" x14ac:dyDescent="0.25">
      <c r="A431" s="4">
        <v>425</v>
      </c>
      <c r="C431" s="110">
        <f>IF(male=0,VLOOKUP(((A429:A1263/'Life tables'!$I$2)*2)+age,lifetable,13,1),IF(male=1,VLOOKUP(((A429:A1263/'Life tables'!$I$2)*2)+age,lifetable,10,1),"error"))</f>
        <v>3.2605221431214471E-4</v>
      </c>
      <c r="F431" s="101">
        <f t="shared" si="115"/>
        <v>154.83721501787781</v>
      </c>
      <c r="G431" s="101">
        <f t="shared" si="116"/>
        <v>15.553722304982859</v>
      </c>
      <c r="H431" s="101">
        <f t="shared" si="117"/>
        <v>0.35592782641367926</v>
      </c>
      <c r="I431" s="101">
        <f t="shared" si="118"/>
        <v>0.35592782641367926</v>
      </c>
      <c r="J431" s="101">
        <f t="shared" si="119"/>
        <v>5.5788444524715562E-2</v>
      </c>
      <c r="K431" s="101">
        <f t="shared" si="120"/>
        <v>2.7900869214072064E-2</v>
      </c>
      <c r="L431" s="101">
        <f t="shared" si="129"/>
        <v>138.48794774632881</v>
      </c>
      <c r="M431" s="101">
        <f t="shared" si="121"/>
        <v>744.64258481891466</v>
      </c>
      <c r="N431" s="101">
        <f t="shared" si="122"/>
        <v>71.710694281154417</v>
      </c>
      <c r="O431" s="101">
        <f t="shared" si="123"/>
        <v>1.711726839307063</v>
      </c>
      <c r="P431" s="101">
        <f t="shared" si="124"/>
        <v>1.711726839307063</v>
      </c>
      <c r="Q431" s="101">
        <f t="shared" si="125"/>
        <v>0.26729001896406496</v>
      </c>
      <c r="R431" s="101">
        <f t="shared" si="126"/>
        <v>1.9943085176066022E-2</v>
      </c>
      <c r="S431" s="101">
        <f t="shared" si="114"/>
        <v>669.22120375500594</v>
      </c>
      <c r="T431" s="101">
        <f t="shared" si="130"/>
        <v>75.314371083069133</v>
      </c>
      <c r="U431" s="101">
        <f t="shared" si="130"/>
        <v>25.576751498023054</v>
      </c>
      <c r="V431" s="33">
        <f t="shared" si="131"/>
        <v>1000.0000000000057</v>
      </c>
      <c r="W431" s="105">
        <f t="shared" si="127"/>
        <v>107625.07067869723</v>
      </c>
      <c r="X431" s="112">
        <f t="shared" si="132"/>
        <v>899.10887741891349</v>
      </c>
      <c r="Y431" s="32">
        <f t="shared" si="128"/>
        <v>523.77020239988281</v>
      </c>
    </row>
    <row r="432" spans="1:25" x14ac:dyDescent="0.25">
      <c r="A432" s="4">
        <v>426</v>
      </c>
      <c r="C432" s="110">
        <f>IF(male=0,VLOOKUP(((A430:A1264/'Life tables'!$I$2)*2)+age,lifetable,13,1),IF(male=1,VLOOKUP(((A430:A1264/'Life tables'!$I$2)*2)+age,lifetable,10,1),"error"))</f>
        <v>3.2605221431214471E-4</v>
      </c>
      <c r="F432" s="101">
        <f t="shared" si="115"/>
        <v>154.77330836025274</v>
      </c>
      <c r="G432" s="101">
        <f t="shared" si="116"/>
        <v>15.547302747475156</v>
      </c>
      <c r="H432" s="101">
        <f t="shared" si="117"/>
        <v>0.35578092272686712</v>
      </c>
      <c r="I432" s="101">
        <f t="shared" si="118"/>
        <v>0.35578092272686712</v>
      </c>
      <c r="J432" s="101">
        <f t="shared" si="119"/>
        <v>5.5765418710002582E-2</v>
      </c>
      <c r="K432" s="101">
        <f t="shared" si="120"/>
        <v>2.7889353563289403E-2</v>
      </c>
      <c r="L432" s="101">
        <f t="shared" si="129"/>
        <v>138.43078899505056</v>
      </c>
      <c r="M432" s="101">
        <f t="shared" si="121"/>
        <v>744.33556905866078</v>
      </c>
      <c r="N432" s="101">
        <f t="shared" si="122"/>
        <v>71.681127998253189</v>
      </c>
      <c r="O432" s="101">
        <f t="shared" si="123"/>
        <v>1.7110210951989087</v>
      </c>
      <c r="P432" s="101">
        <f t="shared" si="124"/>
        <v>1.7110210951989087</v>
      </c>
      <c r="Q432" s="101">
        <f t="shared" si="125"/>
        <v>0.26717981542473818</v>
      </c>
      <c r="R432" s="101">
        <f t="shared" si="126"/>
        <v>1.9934862652157284E-2</v>
      </c>
      <c r="S432" s="101">
        <f t="shared" si="114"/>
        <v>668.94528419193284</v>
      </c>
      <c r="T432" s="101">
        <f t="shared" si="130"/>
        <v>75.637316317203869</v>
      </c>
      <c r="U432" s="101">
        <f t="shared" si="130"/>
        <v>25.6245757142385</v>
      </c>
      <c r="V432" s="33">
        <f t="shared" si="131"/>
        <v>1000.0000000000057</v>
      </c>
      <c r="W432" s="105">
        <f t="shared" si="127"/>
        <v>107457.04258443191</v>
      </c>
      <c r="X432" s="112">
        <f t="shared" si="132"/>
        <v>898.73810796856333</v>
      </c>
      <c r="Y432" s="32">
        <f t="shared" si="128"/>
        <v>523.40364496830989</v>
      </c>
    </row>
    <row r="433" spans="1:25" x14ac:dyDescent="0.25">
      <c r="A433" s="4">
        <v>427</v>
      </c>
      <c r="C433" s="110">
        <f>IF(male=0,VLOOKUP(((A431:A1265/'Life tables'!$I$2)*2)+age,lifetable,13,1),IF(male=1,VLOOKUP(((A431:A1265/'Life tables'!$I$2)*2)+age,lifetable,10,1),"error"))</f>
        <v>3.2605221431214471E-4</v>
      </c>
      <c r="F433" s="101">
        <f t="shared" si="115"/>
        <v>154.70942980401733</v>
      </c>
      <c r="G433" s="101">
        <f t="shared" si="116"/>
        <v>15.540886012810857</v>
      </c>
      <c r="H433" s="101">
        <f t="shared" si="117"/>
        <v>0.35563408363735827</v>
      </c>
      <c r="I433" s="101">
        <f t="shared" si="118"/>
        <v>0.35563408363735827</v>
      </c>
      <c r="J433" s="101">
        <f t="shared" si="119"/>
        <v>5.5742403020328457E-2</v>
      </c>
      <c r="K433" s="101">
        <f t="shared" si="120"/>
        <v>2.7877842976232525E-2</v>
      </c>
      <c r="L433" s="101">
        <f t="shared" si="129"/>
        <v>138.37365537793519</v>
      </c>
      <c r="M433" s="101">
        <f t="shared" si="121"/>
        <v>744.02867816454602</v>
      </c>
      <c r="N433" s="101">
        <f t="shared" si="122"/>
        <v>71.651573740231697</v>
      </c>
      <c r="O433" s="101">
        <f t="shared" si="123"/>
        <v>1.710315638123387</v>
      </c>
      <c r="P433" s="101">
        <f t="shared" si="124"/>
        <v>1.710315638123387</v>
      </c>
      <c r="Q433" s="101">
        <f t="shared" si="125"/>
        <v>0.26706965670620636</v>
      </c>
      <c r="R433" s="101">
        <f t="shared" si="126"/>
        <v>1.9926643472424798E-2</v>
      </c>
      <c r="S433" s="101">
        <f t="shared" si="114"/>
        <v>668.66947684788886</v>
      </c>
      <c r="T433" s="101">
        <f t="shared" si="130"/>
        <v>75.960128376930399</v>
      </c>
      <c r="U433" s="101">
        <f t="shared" si="130"/>
        <v>25.672380200687158</v>
      </c>
      <c r="V433" s="33">
        <f t="shared" si="131"/>
        <v>1000.0000000000056</v>
      </c>
      <c r="W433" s="105">
        <f t="shared" si="127"/>
        <v>107289.27673553262</v>
      </c>
      <c r="X433" s="112">
        <f t="shared" si="132"/>
        <v>898.36749142238807</v>
      </c>
      <c r="Y433" s="32">
        <f t="shared" si="128"/>
        <v>523.0373440740052</v>
      </c>
    </row>
    <row r="434" spans="1:25" x14ac:dyDescent="0.25">
      <c r="A434" s="4">
        <v>428</v>
      </c>
      <c r="C434" s="110">
        <f>IF(male=0,VLOOKUP(((A432:A1266/'Life tables'!$I$2)*2)+age,lifetable,13,1),IF(male=1,VLOOKUP(((A432:A1266/'Life tables'!$I$2)*2)+age,lifetable,10,1),"error"))</f>
        <v>3.2605221431214471E-4</v>
      </c>
      <c r="F434" s="101">
        <f t="shared" si="115"/>
        <v>154.64557928283503</v>
      </c>
      <c r="G434" s="101">
        <f t="shared" si="116"/>
        <v>15.534472094326317</v>
      </c>
      <c r="H434" s="101">
        <f t="shared" si="117"/>
        <v>0.35548730899266334</v>
      </c>
      <c r="I434" s="101">
        <f t="shared" si="118"/>
        <v>0.35548730899266334</v>
      </c>
      <c r="J434" s="101">
        <f t="shared" si="119"/>
        <v>5.5719397431791863E-2</v>
      </c>
      <c r="K434" s="101">
        <f t="shared" si="120"/>
        <v>2.7866337440947922E-2</v>
      </c>
      <c r="L434" s="101">
        <f t="shared" si="129"/>
        <v>138.31654683565066</v>
      </c>
      <c r="M434" s="101">
        <f t="shared" si="121"/>
        <v>743.72191213955296</v>
      </c>
      <c r="N434" s="101">
        <f t="shared" si="122"/>
        <v>71.622031507377159</v>
      </c>
      <c r="O434" s="101">
        <f t="shared" si="123"/>
        <v>1.7096104680873545</v>
      </c>
      <c r="P434" s="101">
        <f t="shared" si="124"/>
        <v>1.7096104680873545</v>
      </c>
      <c r="Q434" s="101">
        <f t="shared" si="125"/>
        <v>0.26695954280954032</v>
      </c>
      <c r="R434" s="101">
        <f t="shared" si="126"/>
        <v>1.9918427636948444E-2</v>
      </c>
      <c r="S434" s="101">
        <f t="shared" si="114"/>
        <v>668.39378172555462</v>
      </c>
      <c r="T434" s="101">
        <f t="shared" si="130"/>
        <v>76.282807317171731</v>
      </c>
      <c r="U434" s="101">
        <f t="shared" si="130"/>
        <v>25.720164965765054</v>
      </c>
      <c r="V434" s="33">
        <f t="shared" si="131"/>
        <v>1000.0000000000057</v>
      </c>
      <c r="W434" s="105">
        <f t="shared" si="127"/>
        <v>107121.77272549906</v>
      </c>
      <c r="X434" s="112">
        <f t="shared" si="132"/>
        <v>897.9970277170687</v>
      </c>
      <c r="Y434" s="32">
        <f t="shared" si="128"/>
        <v>522.67129953729602</v>
      </c>
    </row>
    <row r="435" spans="1:25" x14ac:dyDescent="0.25">
      <c r="A435" s="4">
        <v>429</v>
      </c>
      <c r="C435" s="110">
        <f>IF(male=0,VLOOKUP(((A433:A1267/'Life tables'!$I$2)*2)+age,lifetable,13,1),IF(male=1,VLOOKUP(((A433:A1267/'Life tables'!$I$2)*2)+age,lifetable,10,1),"error"))</f>
        <v>3.2605221431214471E-4</v>
      </c>
      <c r="F435" s="101">
        <f t="shared" si="115"/>
        <v>154.58175673211142</v>
      </c>
      <c r="G435" s="101">
        <f t="shared" si="116"/>
        <v>15.528060985532889</v>
      </c>
      <c r="H435" s="101">
        <f t="shared" si="117"/>
        <v>0.35534059864429773</v>
      </c>
      <c r="I435" s="101">
        <f t="shared" si="118"/>
        <v>0.35534059864429773</v>
      </c>
      <c r="J435" s="101">
        <f t="shared" si="119"/>
        <v>5.5696401921119187E-2</v>
      </c>
      <c r="K435" s="101">
        <f t="shared" si="120"/>
        <v>2.7854836945796015E-2</v>
      </c>
      <c r="L435" s="101">
        <f t="shared" si="129"/>
        <v>138.25946331042303</v>
      </c>
      <c r="M435" s="101">
        <f t="shared" si="121"/>
        <v>743.41527098495737</v>
      </c>
      <c r="N435" s="101">
        <f t="shared" si="122"/>
        <v>71.592501299812454</v>
      </c>
      <c r="O435" s="101">
        <f t="shared" si="123"/>
        <v>1.7089055850937436</v>
      </c>
      <c r="P435" s="101">
        <f t="shared" si="124"/>
        <v>1.7089055850937436</v>
      </c>
      <c r="Q435" s="101">
        <f t="shared" si="125"/>
        <v>0.2668494737351978</v>
      </c>
      <c r="R435" s="101">
        <f t="shared" si="126"/>
        <v>1.9910215145762387E-2</v>
      </c>
      <c r="S435" s="101">
        <f t="shared" si="114"/>
        <v>668.11819882607642</v>
      </c>
      <c r="T435" s="101">
        <f t="shared" si="130"/>
        <v>76.605353192828048</v>
      </c>
      <c r="U435" s="101">
        <f t="shared" si="130"/>
        <v>25.767930017856614</v>
      </c>
      <c r="V435" s="33">
        <f t="shared" si="131"/>
        <v>1000.0000000000056</v>
      </c>
      <c r="W435" s="105">
        <f t="shared" si="127"/>
        <v>106954.53014837018</v>
      </c>
      <c r="X435" s="112">
        <f t="shared" si="132"/>
        <v>897.62671678932088</v>
      </c>
      <c r="Y435" s="32">
        <f t="shared" si="128"/>
        <v>522.30551117863831</v>
      </c>
    </row>
    <row r="436" spans="1:25" x14ac:dyDescent="0.25">
      <c r="A436" s="4">
        <v>430</v>
      </c>
      <c r="C436" s="110">
        <f>IF(male=0,VLOOKUP(((A434:A1268/'Life tables'!$I$2)*2)+age,lifetable,13,1),IF(male=1,VLOOKUP(((A434:A1268/'Life tables'!$I$2)*2)+age,lifetable,10,1),"error"))</f>
        <v>3.2605221431214471E-4</v>
      </c>
      <c r="F436" s="101">
        <f t="shared" si="115"/>
        <v>154.51796208893984</v>
      </c>
      <c r="G436" s="101">
        <f t="shared" si="116"/>
        <v>15.521652680111472</v>
      </c>
      <c r="H436" s="101">
        <f t="shared" si="117"/>
        <v>0.3551939524476565</v>
      </c>
      <c r="I436" s="101">
        <f t="shared" si="118"/>
        <v>0.3551939524476565</v>
      </c>
      <c r="J436" s="101">
        <f t="shared" si="119"/>
        <v>5.5673416465644929E-2</v>
      </c>
      <c r="K436" s="101">
        <f t="shared" si="120"/>
        <v>2.7843341479441345E-2</v>
      </c>
      <c r="L436" s="101">
        <f t="shared" si="129"/>
        <v>138.20240474598796</v>
      </c>
      <c r="M436" s="101">
        <f t="shared" si="121"/>
        <v>743.10875470038093</v>
      </c>
      <c r="N436" s="101">
        <f t="shared" si="122"/>
        <v>71.562983117501133</v>
      </c>
      <c r="O436" s="101">
        <f t="shared" si="123"/>
        <v>1.7082009891416845</v>
      </c>
      <c r="P436" s="101">
        <f t="shared" si="124"/>
        <v>1.7082009891416845</v>
      </c>
      <c r="Q436" s="101">
        <f t="shared" si="125"/>
        <v>0.26673944948304312</v>
      </c>
      <c r="R436" s="101">
        <f t="shared" si="126"/>
        <v>1.9902005998856498E-2</v>
      </c>
      <c r="S436" s="101">
        <f t="shared" si="114"/>
        <v>667.84272814911446</v>
      </c>
      <c r="T436" s="101">
        <f t="shared" si="130"/>
        <v>76.92776605877674</v>
      </c>
      <c r="U436" s="101">
        <f t="shared" si="130"/>
        <v>25.815675365334911</v>
      </c>
      <c r="V436" s="33">
        <f t="shared" si="131"/>
        <v>1000.0000000000053</v>
      </c>
      <c r="W436" s="105">
        <f t="shared" si="127"/>
        <v>106787.54859872702</v>
      </c>
      <c r="X436" s="112">
        <f t="shared" si="132"/>
        <v>897.25655857589368</v>
      </c>
      <c r="Y436" s="32">
        <f t="shared" si="128"/>
        <v>521.93997881861924</v>
      </c>
    </row>
    <row r="437" spans="1:25" x14ac:dyDescent="0.25">
      <c r="A437" s="4">
        <v>431</v>
      </c>
      <c r="C437" s="110">
        <f>IF(male=0,VLOOKUP(((A435:A1269/'Life tables'!$I$2)*2)+age,lifetable,13,1),IF(male=1,VLOOKUP(((A435:A1269/'Life tables'!$I$2)*2)+age,lifetable,10,1),"error"))</f>
        <v>3.2605221431214471E-4</v>
      </c>
      <c r="F437" s="101">
        <f t="shared" si="115"/>
        <v>154.45419529204861</v>
      </c>
      <c r="G437" s="101">
        <f t="shared" si="116"/>
        <v>15.515247171907196</v>
      </c>
      <c r="H437" s="101">
        <f t="shared" si="117"/>
        <v>0.35504737026189298</v>
      </c>
      <c r="I437" s="101">
        <f t="shared" si="118"/>
        <v>0.35504737026189298</v>
      </c>
      <c r="J437" s="101">
        <f t="shared" si="119"/>
        <v>5.5650441043292649E-2</v>
      </c>
      <c r="K437" s="101">
        <f t="shared" si="120"/>
        <v>2.7831851030843072E-2</v>
      </c>
      <c r="L437" s="101">
        <f t="shared" si="129"/>
        <v>138.14537108754348</v>
      </c>
      <c r="M437" s="101">
        <f t="shared" si="121"/>
        <v>742.80236328384512</v>
      </c>
      <c r="N437" s="101">
        <f t="shared" si="122"/>
        <v>71.533476960252671</v>
      </c>
      <c r="O437" s="101">
        <f t="shared" si="123"/>
        <v>1.7074966802266294</v>
      </c>
      <c r="P437" s="101">
        <f t="shared" si="124"/>
        <v>1.7074966802266294</v>
      </c>
      <c r="Q437" s="101">
        <f t="shared" si="125"/>
        <v>0.26662947005236615</v>
      </c>
      <c r="R437" s="101">
        <f t="shared" si="126"/>
        <v>1.9893800196177789E-2</v>
      </c>
      <c r="S437" s="101">
        <f t="shared" si="114"/>
        <v>667.56736969289068</v>
      </c>
      <c r="T437" s="101">
        <f t="shared" si="130"/>
        <v>77.250045969872403</v>
      </c>
      <c r="U437" s="101">
        <f t="shared" si="130"/>
        <v>25.863401016561934</v>
      </c>
      <c r="V437" s="33">
        <f t="shared" si="131"/>
        <v>1000.0000000000055</v>
      </c>
      <c r="W437" s="105">
        <f t="shared" si="127"/>
        <v>106620.82767169432</v>
      </c>
      <c r="X437" s="112">
        <f t="shared" si="132"/>
        <v>896.88655301357107</v>
      </c>
      <c r="Y437" s="32">
        <f t="shared" si="128"/>
        <v>521.57470227795477</v>
      </c>
    </row>
    <row r="438" spans="1:25" x14ac:dyDescent="0.25">
      <c r="A438" s="4">
        <v>432</v>
      </c>
      <c r="C438" s="110">
        <f>IF(male=0,VLOOKUP(((A436:A1270/'Life tables'!$I$2)*2)+age,lifetable,13,1),IF(male=1,VLOOKUP(((A436:A1270/'Life tables'!$I$2)*2)+age,lifetable,10,1),"error"))</f>
        <v>3.2605221431214471E-4</v>
      </c>
      <c r="F438" s="101">
        <f t="shared" si="115"/>
        <v>154.39045628175006</v>
      </c>
      <c r="G438" s="101">
        <f t="shared" si="116"/>
        <v>15.508844454924308</v>
      </c>
      <c r="H438" s="101">
        <f t="shared" si="117"/>
        <v>0.35490085194980175</v>
      </c>
      <c r="I438" s="101">
        <f t="shared" si="118"/>
        <v>0.35490085194980175</v>
      </c>
      <c r="J438" s="101">
        <f t="shared" si="119"/>
        <v>5.5627475632556669E-2</v>
      </c>
      <c r="K438" s="101">
        <f t="shared" si="120"/>
        <v>2.7820365589245791E-2</v>
      </c>
      <c r="L438" s="101">
        <f t="shared" si="129"/>
        <v>138.08836228170435</v>
      </c>
      <c r="M438" s="101">
        <f t="shared" si="121"/>
        <v>742.49609673182101</v>
      </c>
      <c r="N438" s="101">
        <f t="shared" si="122"/>
        <v>71.503982827727214</v>
      </c>
      <c r="O438" s="101">
        <f t="shared" si="123"/>
        <v>1.7067926583404662</v>
      </c>
      <c r="P438" s="101">
        <f t="shared" si="124"/>
        <v>1.7067926583404662</v>
      </c>
      <c r="Q438" s="101">
        <f t="shared" si="125"/>
        <v>0.26651953544189994</v>
      </c>
      <c r="R438" s="101">
        <f t="shared" si="126"/>
        <v>1.9885597737631745E-2</v>
      </c>
      <c r="S438" s="101">
        <f t="shared" si="114"/>
        <v>667.29212345423332</v>
      </c>
      <c r="T438" s="101">
        <f t="shared" si="130"/>
        <v>77.572192980946866</v>
      </c>
      <c r="U438" s="101">
        <f t="shared" si="130"/>
        <v>25.91110697988881</v>
      </c>
      <c r="V438" s="33">
        <f t="shared" si="131"/>
        <v>1000.0000000000055</v>
      </c>
      <c r="W438" s="105">
        <f t="shared" si="127"/>
        <v>106454.36696294272</v>
      </c>
      <c r="X438" s="112">
        <f t="shared" si="132"/>
        <v>896.51670003916979</v>
      </c>
      <c r="Y438" s="32">
        <f t="shared" si="128"/>
        <v>521.20968137749026</v>
      </c>
    </row>
    <row r="439" spans="1:25" x14ac:dyDescent="0.25">
      <c r="A439" s="4">
        <v>433</v>
      </c>
      <c r="C439" s="110">
        <f>IF(male=0,VLOOKUP(((A437:A1271/'Life tables'!$I$2)*2)+age,lifetable,13,1),IF(male=1,VLOOKUP(((A437:A1271/'Life tables'!$I$2)*2)+age,lifetable,10,1),"error"))</f>
        <v>3.2605221431214471E-4</v>
      </c>
      <c r="F439" s="101">
        <f t="shared" si="115"/>
        <v>154.32674499989085</v>
      </c>
      <c r="G439" s="101">
        <f t="shared" si="116"/>
        <v>15.502444523321183</v>
      </c>
      <c r="H439" s="101">
        <f t="shared" si="117"/>
        <v>0.35475439737770448</v>
      </c>
      <c r="I439" s="101">
        <f t="shared" si="118"/>
        <v>0.35475439737770448</v>
      </c>
      <c r="J439" s="101">
        <f t="shared" si="119"/>
        <v>5.5604520212484111E-2</v>
      </c>
      <c r="K439" s="101">
        <f t="shared" si="120"/>
        <v>2.7808885144170556E-2</v>
      </c>
      <c r="L439" s="101">
        <f t="shared" si="129"/>
        <v>138.03137827645759</v>
      </c>
      <c r="M439" s="101">
        <f t="shared" si="121"/>
        <v>742.18995503927874</v>
      </c>
      <c r="N439" s="101">
        <f t="shared" si="122"/>
        <v>71.474500719440385</v>
      </c>
      <c r="O439" s="101">
        <f t="shared" si="123"/>
        <v>1.7060889234716325</v>
      </c>
      <c r="P439" s="101">
        <f t="shared" si="124"/>
        <v>1.7060889234716325</v>
      </c>
      <c r="Q439" s="101">
        <f t="shared" si="125"/>
        <v>0.26640964564983921</v>
      </c>
      <c r="R439" s="101">
        <f t="shared" si="126"/>
        <v>1.9877398623083655E-2</v>
      </c>
      <c r="S439" s="101">
        <f t="shared" si="114"/>
        <v>667.0169894286222</v>
      </c>
      <c r="T439" s="101">
        <f t="shared" si="130"/>
        <v>77.894207146809194</v>
      </c>
      <c r="U439" s="101">
        <f t="shared" si="130"/>
        <v>25.958793263656066</v>
      </c>
      <c r="V439" s="33">
        <f t="shared" si="131"/>
        <v>1000.0000000000052</v>
      </c>
      <c r="W439" s="105">
        <f t="shared" si="127"/>
        <v>106288.16606869081</v>
      </c>
      <c r="X439" s="112">
        <f t="shared" si="132"/>
        <v>896.14699958954009</v>
      </c>
      <c r="Y439" s="32">
        <f t="shared" si="128"/>
        <v>520.84491593820098</v>
      </c>
    </row>
    <row r="440" spans="1:25" x14ac:dyDescent="0.25">
      <c r="A440" s="4">
        <v>434</v>
      </c>
      <c r="C440" s="110">
        <f>IF(male=0,VLOOKUP(((A438:A1272/'Life tables'!$I$2)*2)+age,lifetable,13,1),IF(male=1,VLOOKUP(((A438:A1272/'Life tables'!$I$2)*2)+age,lifetable,10,1),"error"))</f>
        <v>3.2605221431214471E-4</v>
      </c>
      <c r="F440" s="101">
        <f t="shared" si="115"/>
        <v>154.26306138980431</v>
      </c>
      <c r="G440" s="101">
        <f t="shared" si="116"/>
        <v>15.496047371405538</v>
      </c>
      <c r="H440" s="101">
        <f t="shared" si="117"/>
        <v>0.35460800641534018</v>
      </c>
      <c r="I440" s="101">
        <f t="shared" si="118"/>
        <v>0.35460800641534018</v>
      </c>
      <c r="J440" s="101">
        <f t="shared" si="119"/>
        <v>5.5581574762657744E-2</v>
      </c>
      <c r="K440" s="101">
        <f t="shared" si="120"/>
        <v>2.7797409685406331E-2</v>
      </c>
      <c r="L440" s="101">
        <f t="shared" si="129"/>
        <v>137.97441902112001</v>
      </c>
      <c r="M440" s="101">
        <f t="shared" si="121"/>
        <v>741.88393819973578</v>
      </c>
      <c r="N440" s="101">
        <f t="shared" si="122"/>
        <v>71.445030634767903</v>
      </c>
      <c r="O440" s="101">
        <f t="shared" si="123"/>
        <v>1.7053854756052269</v>
      </c>
      <c r="P440" s="101">
        <f t="shared" si="124"/>
        <v>1.7053854756052269</v>
      </c>
      <c r="Q440" s="101">
        <f t="shared" si="125"/>
        <v>0.26629980067385695</v>
      </c>
      <c r="R440" s="101">
        <f t="shared" si="126"/>
        <v>1.9869202852359904E-2</v>
      </c>
      <c r="S440" s="101">
        <f t="shared" si="114"/>
        <v>666.7419676102312</v>
      </c>
      <c r="T440" s="101">
        <f t="shared" si="130"/>
        <v>78.216088522245713</v>
      </c>
      <c r="U440" s="101">
        <f t="shared" si="130"/>
        <v>26.006459876193833</v>
      </c>
      <c r="V440" s="33">
        <f t="shared" si="131"/>
        <v>1000.0000000000053</v>
      </c>
      <c r="W440" s="105">
        <f t="shared" si="127"/>
        <v>106122.22458570699</v>
      </c>
      <c r="X440" s="112">
        <f t="shared" si="132"/>
        <v>895.77745160156576</v>
      </c>
      <c r="Y440" s="32">
        <f t="shared" si="128"/>
        <v>520.48040578119048</v>
      </c>
    </row>
    <row r="441" spans="1:25" x14ac:dyDescent="0.25">
      <c r="A441" s="4">
        <v>435</v>
      </c>
      <c r="C441" s="110">
        <f>IF(male=0,VLOOKUP(((A439:A1273/'Life tables'!$I$2)*2)+age,lifetable,13,1),IF(male=1,VLOOKUP(((A439:A1273/'Life tables'!$I$2)*2)+age,lifetable,10,1),"error"))</f>
        <v>3.2605221431214471E-4</v>
      </c>
      <c r="F441" s="101">
        <f t="shared" si="115"/>
        <v>154.19940539626373</v>
      </c>
      <c r="G441" s="101">
        <f t="shared" si="116"/>
        <v>15.489652993629733</v>
      </c>
      <c r="H441" s="101">
        <f t="shared" si="117"/>
        <v>0.35446167893575792</v>
      </c>
      <c r="I441" s="101">
        <f t="shared" si="118"/>
        <v>0.35446167893575792</v>
      </c>
      <c r="J441" s="101">
        <f t="shared" si="119"/>
        <v>5.5558639263179187E-2</v>
      </c>
      <c r="K441" s="101">
        <f t="shared" si="120"/>
        <v>2.7785939203001556E-2</v>
      </c>
      <c r="L441" s="101">
        <f t="shared" si="129"/>
        <v>137.91748446629629</v>
      </c>
      <c r="M441" s="101">
        <f t="shared" si="121"/>
        <v>741.57804620530203</v>
      </c>
      <c r="N441" s="101">
        <f t="shared" si="122"/>
        <v>71.415572572949927</v>
      </c>
      <c r="O441" s="101">
        <f t="shared" si="123"/>
        <v>1.7046823147231123</v>
      </c>
      <c r="P441" s="101">
        <f t="shared" si="124"/>
        <v>1.7046823147231123</v>
      </c>
      <c r="Q441" s="101">
        <f t="shared" si="125"/>
        <v>0.26619000051112107</v>
      </c>
      <c r="R441" s="101">
        <f t="shared" si="126"/>
        <v>1.9861010425249181E-2</v>
      </c>
      <c r="S441" s="101">
        <f t="shared" si="114"/>
        <v>666.46705799196957</v>
      </c>
      <c r="T441" s="101">
        <f t="shared" si="130"/>
        <v>78.537837162020011</v>
      </c>
      <c r="U441" s="101">
        <f t="shared" si="130"/>
        <v>26.054106825822085</v>
      </c>
      <c r="V441" s="33">
        <f t="shared" si="131"/>
        <v>1000.0000000000052</v>
      </c>
      <c r="W441" s="105">
        <f t="shared" si="127"/>
        <v>105956.54211131101</v>
      </c>
      <c r="X441" s="112">
        <f t="shared" si="132"/>
        <v>895.40805601216323</v>
      </c>
      <c r="Y441" s="32">
        <f t="shared" si="128"/>
        <v>520.11615072769166</v>
      </c>
    </row>
    <row r="442" spans="1:25" x14ac:dyDescent="0.25">
      <c r="A442" s="4">
        <v>436</v>
      </c>
      <c r="C442" s="110">
        <f>IF(male=0,VLOOKUP(((A440:A1274/'Life tables'!$I$2)*2)+age,lifetable,13,1),IF(male=1,VLOOKUP(((A440:A1274/'Life tables'!$I$2)*2)+age,lifetable,10,1),"error"))</f>
        <v>3.2605221431214471E-4</v>
      </c>
      <c r="F442" s="101">
        <f t="shared" si="115"/>
        <v>154.13577696543766</v>
      </c>
      <c r="G442" s="101">
        <f t="shared" si="116"/>
        <v>15.483261384586283</v>
      </c>
      <c r="H442" s="101">
        <f t="shared" si="117"/>
        <v>0.35431541481521411</v>
      </c>
      <c r="I442" s="101">
        <f t="shared" si="118"/>
        <v>0.35431541481521411</v>
      </c>
      <c r="J442" s="101">
        <f t="shared" si="119"/>
        <v>5.5535713694652752E-2</v>
      </c>
      <c r="K442" s="101">
        <f t="shared" si="120"/>
        <v>2.7774473687256065E-2</v>
      </c>
      <c r="L442" s="101">
        <f t="shared" si="129"/>
        <v>137.86057456383904</v>
      </c>
      <c r="M442" s="101">
        <f t="shared" si="121"/>
        <v>741.27227904672554</v>
      </c>
      <c r="N442" s="101">
        <f t="shared" si="122"/>
        <v>71.386126533095478</v>
      </c>
      <c r="O442" s="101">
        <f t="shared" si="123"/>
        <v>1.7039794408040208</v>
      </c>
      <c r="P442" s="101">
        <f t="shared" si="124"/>
        <v>1.7039794408040208</v>
      </c>
      <c r="Q442" s="101">
        <f t="shared" si="125"/>
        <v>0.26608024515831058</v>
      </c>
      <c r="R442" s="101">
        <f t="shared" si="126"/>
        <v>1.98528213415037E-2</v>
      </c>
      <c r="S442" s="101">
        <f t="shared" si="114"/>
        <v>666.19226056552225</v>
      </c>
      <c r="T442" s="101">
        <f t="shared" si="130"/>
        <v>78.859453120872971</v>
      </c>
      <c r="U442" s="101">
        <f t="shared" si="130"/>
        <v>26.101734120850846</v>
      </c>
      <c r="V442" s="33">
        <f t="shared" si="131"/>
        <v>1000.0000000000055</v>
      </c>
      <c r="W442" s="105">
        <f t="shared" si="127"/>
        <v>105791.11824337582</v>
      </c>
      <c r="X442" s="112">
        <f t="shared" si="132"/>
        <v>895.03881275828155</v>
      </c>
      <c r="Y442" s="32">
        <f t="shared" si="128"/>
        <v>519.7521505990652</v>
      </c>
    </row>
    <row r="443" spans="1:25" x14ac:dyDescent="0.25">
      <c r="A443" s="4">
        <v>437</v>
      </c>
      <c r="C443" s="110">
        <f>IF(male=0,VLOOKUP(((A441:A1275/'Life tables'!$I$2)*2)+age,lifetable,13,1),IF(male=1,VLOOKUP(((A441:A1275/'Life tables'!$I$2)*2)+age,lifetable,10,1),"error"))</f>
        <v>3.2605221431214471E-4</v>
      </c>
      <c r="F443" s="101">
        <f t="shared" si="115"/>
        <v>154.0721760448462</v>
      </c>
      <c r="G443" s="101">
        <f t="shared" si="116"/>
        <v>15.47687253900348</v>
      </c>
      <c r="H443" s="101">
        <f t="shared" si="117"/>
        <v>0.3541692139330721</v>
      </c>
      <c r="I443" s="101">
        <f t="shared" si="118"/>
        <v>0.3541692139330721</v>
      </c>
      <c r="J443" s="101">
        <f t="shared" si="119"/>
        <v>5.5512798038169726E-2</v>
      </c>
      <c r="K443" s="101">
        <f t="shared" si="120"/>
        <v>2.7763013128713265E-2</v>
      </c>
      <c r="L443" s="101">
        <f t="shared" si="129"/>
        <v>137.8036892668097</v>
      </c>
      <c r="M443" s="101">
        <f t="shared" si="121"/>
        <v>740.96663671343515</v>
      </c>
      <c r="N443" s="101">
        <f t="shared" si="122"/>
        <v>71.356692514186534</v>
      </c>
      <c r="O443" s="101">
        <f t="shared" si="123"/>
        <v>1.7032768538236525</v>
      </c>
      <c r="P443" s="101">
        <f t="shared" si="124"/>
        <v>1.7032768538236525</v>
      </c>
      <c r="Q443" s="101">
        <f t="shared" si="125"/>
        <v>0.26597053461163106</v>
      </c>
      <c r="R443" s="101">
        <f t="shared" si="126"/>
        <v>1.9844635600840339E-2</v>
      </c>
      <c r="S443" s="101">
        <f t="shared" si="114"/>
        <v>665.91757532138888</v>
      </c>
      <c r="T443" s="101">
        <f t="shared" si="130"/>
        <v>79.180936453522776</v>
      </c>
      <c r="U443" s="101">
        <f t="shared" si="130"/>
        <v>26.149341769580399</v>
      </c>
      <c r="V443" s="33">
        <f t="shared" si="131"/>
        <v>1000.0000000000051</v>
      </c>
      <c r="W443" s="105">
        <f t="shared" si="127"/>
        <v>105625.95258032915</v>
      </c>
      <c r="X443" s="112">
        <f t="shared" si="132"/>
        <v>894.66972177690195</v>
      </c>
      <c r="Y443" s="32">
        <f t="shared" si="128"/>
        <v>519.38840521680061</v>
      </c>
    </row>
    <row r="444" spans="1:25" x14ac:dyDescent="0.25">
      <c r="A444" s="4">
        <v>438</v>
      </c>
      <c r="C444" s="110">
        <f>IF(male=0,VLOOKUP(((A442:A1276/'Life tables'!$I$2)*2)+age,lifetable,13,1),IF(male=1,VLOOKUP(((A442:A1276/'Life tables'!$I$2)*2)+age,lifetable,10,1),"error"))</f>
        <v>3.2605221431214471E-4</v>
      </c>
      <c r="F444" s="101">
        <f t="shared" si="115"/>
        <v>154.00860258331886</v>
      </c>
      <c r="G444" s="101">
        <f t="shared" si="116"/>
        <v>15.470486451741134</v>
      </c>
      <c r="H444" s="101">
        <f t="shared" si="117"/>
        <v>0.35402307617170509</v>
      </c>
      <c r="I444" s="101">
        <f t="shared" si="118"/>
        <v>0.35402307617170509</v>
      </c>
      <c r="J444" s="101">
        <f t="shared" si="119"/>
        <v>5.5489892275293197E-2</v>
      </c>
      <c r="K444" s="101">
        <f t="shared" si="120"/>
        <v>2.7751557518152489E-2</v>
      </c>
      <c r="L444" s="101">
        <f t="shared" si="129"/>
        <v>137.74682852944088</v>
      </c>
      <c r="M444" s="101">
        <f t="shared" si="121"/>
        <v>740.6611191935832</v>
      </c>
      <c r="N444" s="101">
        <f t="shared" si="122"/>
        <v>71.327270515082134</v>
      </c>
      <c r="O444" s="101">
        <f t="shared" si="123"/>
        <v>1.7025745537547727</v>
      </c>
      <c r="P444" s="101">
        <f t="shared" si="124"/>
        <v>1.7025745537547727</v>
      </c>
      <c r="Q444" s="101">
        <f t="shared" si="125"/>
        <v>0.26586086886682947</v>
      </c>
      <c r="R444" s="101">
        <f t="shared" si="126"/>
        <v>1.9836453202941796E-2</v>
      </c>
      <c r="S444" s="101">
        <f t="shared" si="114"/>
        <v>665.64300224892179</v>
      </c>
      <c r="T444" s="101">
        <f t="shared" si="130"/>
        <v>79.502287214664904</v>
      </c>
      <c r="U444" s="101">
        <f t="shared" si="130"/>
        <v>26.196929780301492</v>
      </c>
      <c r="V444" s="33">
        <f t="shared" si="131"/>
        <v>1000.0000000000053</v>
      </c>
      <c r="W444" s="105">
        <f t="shared" si="127"/>
        <v>105461.04472115502</v>
      </c>
      <c r="X444" s="112">
        <f t="shared" si="132"/>
        <v>894.30078300503885</v>
      </c>
      <c r="Y444" s="32">
        <f t="shared" si="128"/>
        <v>519.02491440251629</v>
      </c>
    </row>
    <row r="445" spans="1:25" x14ac:dyDescent="0.25">
      <c r="A445" s="4">
        <v>439</v>
      </c>
      <c r="C445" s="110">
        <f>IF(male=0,VLOOKUP(((A443:A1277/'Life tables'!$I$2)*2)+age,lifetable,13,1),IF(male=1,VLOOKUP(((A443:A1277/'Life tables'!$I$2)*2)+age,lifetable,10,1),"error"))</f>
        <v>3.2605221431214471E-4</v>
      </c>
      <c r="F445" s="101">
        <f t="shared" si="115"/>
        <v>153.94505653095362</v>
      </c>
      <c r="G445" s="101">
        <f t="shared" si="116"/>
        <v>15.464103117786484</v>
      </c>
      <c r="H445" s="101">
        <f t="shared" si="117"/>
        <v>0.3538770014164021</v>
      </c>
      <c r="I445" s="101">
        <f t="shared" si="118"/>
        <v>0.3538770014164021</v>
      </c>
      <c r="J445" s="101">
        <f t="shared" si="119"/>
        <v>5.5466996388043262E-2</v>
      </c>
      <c r="K445" s="101">
        <f t="shared" si="120"/>
        <v>2.7740106846581652E-2</v>
      </c>
      <c r="L445" s="101">
        <f t="shared" si="129"/>
        <v>137.68999230709971</v>
      </c>
      <c r="M445" s="101">
        <f t="shared" si="121"/>
        <v>740.35572647408515</v>
      </c>
      <c r="N445" s="101">
        <f t="shared" si="122"/>
        <v>71.297860534522215</v>
      </c>
      <c r="O445" s="101">
        <f t="shared" si="123"/>
        <v>1.7018725405673039</v>
      </c>
      <c r="P445" s="101">
        <f t="shared" si="124"/>
        <v>1.7018725405673039</v>
      </c>
      <c r="Q445" s="101">
        <f t="shared" si="125"/>
        <v>0.2657512479192094</v>
      </c>
      <c r="R445" s="101">
        <f t="shared" si="126"/>
        <v>1.982827414745764E-2</v>
      </c>
      <c r="S445" s="101">
        <f t="shared" si="114"/>
        <v>665.36854133636166</v>
      </c>
      <c r="T445" s="101">
        <f t="shared" si="130"/>
        <v>79.82350545897215</v>
      </c>
      <c r="U445" s="101">
        <f t="shared" si="130"/>
        <v>26.244498161295532</v>
      </c>
      <c r="V445" s="33">
        <f t="shared" si="131"/>
        <v>1000.0000000000051</v>
      </c>
      <c r="W445" s="105">
        <f t="shared" si="127"/>
        <v>105296.39426539495</v>
      </c>
      <c r="X445" s="112">
        <f t="shared" si="132"/>
        <v>893.93199637973748</v>
      </c>
      <c r="Y445" s="32">
        <f t="shared" si="128"/>
        <v>518.66167797795742</v>
      </c>
    </row>
    <row r="446" spans="1:25" x14ac:dyDescent="0.25">
      <c r="A446" s="4">
        <v>440</v>
      </c>
      <c r="C446" s="110">
        <f>IF(male=0,VLOOKUP(((A444:A1278/'Life tables'!$I$2)*2)+age,lifetable,13,1),IF(male=1,VLOOKUP(((A444:A1278/'Life tables'!$I$2)*2)+age,lifetable,10,1),"error"))</f>
        <v>3.2605221431214471E-4</v>
      </c>
      <c r="F446" s="101">
        <f t="shared" si="115"/>
        <v>153.88153783907742</v>
      </c>
      <c r="G446" s="101">
        <f t="shared" si="116"/>
        <v>15.457722532250223</v>
      </c>
      <c r="H446" s="101">
        <f t="shared" si="117"/>
        <v>0.35373098955527738</v>
      </c>
      <c r="I446" s="101">
        <f t="shared" si="118"/>
        <v>0.35373098955527738</v>
      </c>
      <c r="J446" s="101">
        <f t="shared" si="119"/>
        <v>5.5444110358882838E-2</v>
      </c>
      <c r="K446" s="101">
        <f t="shared" si="120"/>
        <v>2.7728661105230111E-2</v>
      </c>
      <c r="L446" s="101">
        <f t="shared" si="129"/>
        <v>137.63318055625254</v>
      </c>
      <c r="M446" s="101">
        <f t="shared" si="121"/>
        <v>740.05045854065997</v>
      </c>
      <c r="N446" s="101">
        <f t="shared" si="122"/>
        <v>71.268462571131479</v>
      </c>
      <c r="O446" s="101">
        <f t="shared" si="123"/>
        <v>1.7011708142284176</v>
      </c>
      <c r="P446" s="101">
        <f t="shared" si="124"/>
        <v>1.7011708142284176</v>
      </c>
      <c r="Q446" s="101">
        <f t="shared" si="125"/>
        <v>0.26564167176364456</v>
      </c>
      <c r="R446" s="101">
        <f t="shared" si="126"/>
        <v>1.9820098434005392E-2</v>
      </c>
      <c r="S446" s="101">
        <f t="shared" si="114"/>
        <v>665.09419257087404</v>
      </c>
      <c r="T446" s="101">
        <f t="shared" si="130"/>
        <v>80.144591241094673</v>
      </c>
      <c r="U446" s="101">
        <f t="shared" si="130"/>
        <v>26.292046920834768</v>
      </c>
      <c r="V446" s="33">
        <f t="shared" si="131"/>
        <v>1000.0000000000051</v>
      </c>
      <c r="W446" s="105">
        <f t="shared" si="127"/>
        <v>105132.00081314979</v>
      </c>
      <c r="X446" s="112">
        <f t="shared" si="132"/>
        <v>893.56336183807571</v>
      </c>
      <c r="Y446" s="32">
        <f t="shared" si="128"/>
        <v>518.29869576499755</v>
      </c>
    </row>
    <row r="447" spans="1:25" x14ac:dyDescent="0.25">
      <c r="A447" s="4">
        <v>441</v>
      </c>
      <c r="C447" s="110">
        <f>IF(male=0,VLOOKUP(((A445:A1279/'Life tables'!$I$2)*2)+age,lifetable,13,1),IF(male=1,VLOOKUP(((A445:A1279/'Life tables'!$I$2)*2)+age,lifetable,10,1),"error"))</f>
        <v>3.2605221431214471E-4</v>
      </c>
      <c r="F447" s="101">
        <f t="shared" si="115"/>
        <v>153.81804646020777</v>
      </c>
      <c r="G447" s="101">
        <f t="shared" si="116"/>
        <v>15.451344690362632</v>
      </c>
      <c r="H447" s="101">
        <f t="shared" si="117"/>
        <v>0.35358504047918171</v>
      </c>
      <c r="I447" s="101">
        <f t="shared" si="118"/>
        <v>0.35358504047918171</v>
      </c>
      <c r="J447" s="101">
        <f t="shared" si="119"/>
        <v>5.5421234170703798E-2</v>
      </c>
      <c r="K447" s="101">
        <f t="shared" si="120"/>
        <v>2.7717220285541778E-2</v>
      </c>
      <c r="L447" s="101">
        <f t="shared" si="129"/>
        <v>137.57639323443053</v>
      </c>
      <c r="M447" s="101">
        <f t="shared" si="121"/>
        <v>739.74531537786777</v>
      </c>
      <c r="N447" s="101">
        <f t="shared" si="122"/>
        <v>71.239076623423017</v>
      </c>
      <c r="O447" s="101">
        <f t="shared" si="123"/>
        <v>1.7004693747026223</v>
      </c>
      <c r="P447" s="101">
        <f t="shared" si="124"/>
        <v>1.7004693747026223</v>
      </c>
      <c r="Q447" s="101">
        <f t="shared" si="125"/>
        <v>0.26553214039459277</v>
      </c>
      <c r="R447" s="101">
        <f t="shared" si="126"/>
        <v>1.9811926062171543E-2</v>
      </c>
      <c r="S447" s="101">
        <f t="shared" si="114"/>
        <v>664.81995593858278</v>
      </c>
      <c r="T447" s="101">
        <f t="shared" si="130"/>
        <v>80.465544615659965</v>
      </c>
      <c r="U447" s="101">
        <f t="shared" si="130"/>
        <v>26.339576067182481</v>
      </c>
      <c r="V447" s="33">
        <f t="shared" si="131"/>
        <v>1000.000000000005</v>
      </c>
      <c r="W447" s="105">
        <f t="shared" si="127"/>
        <v>104967.86396508031</v>
      </c>
      <c r="X447" s="112">
        <f t="shared" si="132"/>
        <v>893.19487931716253</v>
      </c>
      <c r="Y447" s="32">
        <f t="shared" si="128"/>
        <v>517.93596758563774</v>
      </c>
    </row>
    <row r="448" spans="1:25" x14ac:dyDescent="0.25">
      <c r="A448" s="4">
        <v>442</v>
      </c>
      <c r="C448" s="110">
        <f>IF(male=0,VLOOKUP(((A446:A1280/'Life tables'!$I$2)*2)+age,lifetable,13,1),IF(male=1,VLOOKUP(((A446:A1280/'Life tables'!$I$2)*2)+age,lifetable,10,1),"error"))</f>
        <v>3.2605221431214471E-4</v>
      </c>
      <c r="F448" s="101">
        <f t="shared" si="115"/>
        <v>153.7545823480155</v>
      </c>
      <c r="G448" s="101">
        <f t="shared" si="116"/>
        <v>15.444969587469849</v>
      </c>
      <c r="H448" s="101">
        <f t="shared" si="117"/>
        <v>0.35343915408161725</v>
      </c>
      <c r="I448" s="101">
        <f t="shared" si="118"/>
        <v>0.35343915408161725</v>
      </c>
      <c r="J448" s="101">
        <f t="shared" si="119"/>
        <v>5.5398367806813571E-2</v>
      </c>
      <c r="K448" s="101">
        <f t="shared" si="120"/>
        <v>2.7705784379168374E-2</v>
      </c>
      <c r="L448" s="101">
        <f t="shared" si="129"/>
        <v>137.51963030019644</v>
      </c>
      <c r="M448" s="101">
        <f t="shared" si="121"/>
        <v>739.44029696914697</v>
      </c>
      <c r="N448" s="101">
        <f t="shared" si="122"/>
        <v>71.209702689801944</v>
      </c>
      <c r="O448" s="101">
        <f t="shared" si="123"/>
        <v>1.6997682219518471</v>
      </c>
      <c r="P448" s="101">
        <f t="shared" si="124"/>
        <v>1.6997682219518471</v>
      </c>
      <c r="Q448" s="101">
        <f t="shared" si="125"/>
        <v>0.26542265380610924</v>
      </c>
      <c r="R448" s="101">
        <f t="shared" si="126"/>
        <v>1.9803757031512537E-2</v>
      </c>
      <c r="S448" s="101">
        <f t="shared" si="114"/>
        <v>664.54583142460376</v>
      </c>
      <c r="T448" s="101">
        <f t="shared" si="130"/>
        <v>80.786365637272894</v>
      </c>
      <c r="U448" s="101">
        <f t="shared" si="130"/>
        <v>26.387085608593161</v>
      </c>
      <c r="V448" s="33">
        <f t="shared" si="131"/>
        <v>1000.0000000000049</v>
      </c>
      <c r="W448" s="105">
        <f t="shared" si="127"/>
        <v>104803.98332240907</v>
      </c>
      <c r="X448" s="112">
        <f t="shared" si="132"/>
        <v>892.82654875413891</v>
      </c>
      <c r="Y448" s="32">
        <f t="shared" si="128"/>
        <v>517.57349326200665</v>
      </c>
    </row>
    <row r="449" spans="1:25" x14ac:dyDescent="0.25">
      <c r="A449" s="4">
        <v>443</v>
      </c>
      <c r="C449" s="110">
        <f>IF(male=0,VLOOKUP(((A447:A1281/'Life tables'!$I$2)*2)+age,lifetable,13,1),IF(male=1,VLOOKUP(((A447:A1281/'Life tables'!$I$2)*2)+age,lifetable,10,1),"error"))</f>
        <v>3.2605221431214471E-4</v>
      </c>
      <c r="F449" s="101">
        <f t="shared" si="115"/>
        <v>153.69114545728902</v>
      </c>
      <c r="G449" s="101">
        <f t="shared" si="116"/>
        <v>15.438597219030278</v>
      </c>
      <c r="H449" s="101">
        <f t="shared" si="117"/>
        <v>0.35329333025865511</v>
      </c>
      <c r="I449" s="101">
        <f t="shared" si="118"/>
        <v>0.35329333025865511</v>
      </c>
      <c r="J449" s="101">
        <f t="shared" si="119"/>
        <v>5.5375511250922244E-2</v>
      </c>
      <c r="K449" s="101">
        <f t="shared" si="120"/>
        <v>2.7694353377962992E-2</v>
      </c>
      <c r="L449" s="101">
        <f t="shared" si="129"/>
        <v>137.46289171311255</v>
      </c>
      <c r="M449" s="101">
        <f t="shared" si="121"/>
        <v>739.13540329684997</v>
      </c>
      <c r="N449" s="101">
        <f t="shared" si="122"/>
        <v>71.180340768568726</v>
      </c>
      <c r="O449" s="101">
        <f t="shared" si="123"/>
        <v>1.6990673559355252</v>
      </c>
      <c r="P449" s="101">
        <f t="shared" si="124"/>
        <v>1.6990673559355252</v>
      </c>
      <c r="Q449" s="101">
        <f t="shared" si="125"/>
        <v>0.26531321199185937</v>
      </c>
      <c r="R449" s="101">
        <f t="shared" si="126"/>
        <v>1.9795591341555733E-2</v>
      </c>
      <c r="S449" s="101">
        <f t="shared" si="114"/>
        <v>664.27181901307677</v>
      </c>
      <c r="T449" s="101">
        <f t="shared" si="130"/>
        <v>81.107054360515676</v>
      </c>
      <c r="U449" s="101">
        <f t="shared" si="130"/>
        <v>26.43457555331268</v>
      </c>
      <c r="V449" s="33">
        <f t="shared" si="131"/>
        <v>1000.0000000000051</v>
      </c>
      <c r="W449" s="105">
        <f t="shared" si="127"/>
        <v>104640.35848692108</v>
      </c>
      <c r="X449" s="112">
        <f t="shared" si="132"/>
        <v>892.45837008617661</v>
      </c>
      <c r="Y449" s="32">
        <f t="shared" si="128"/>
        <v>517.21127261636025</v>
      </c>
    </row>
    <row r="450" spans="1:25" x14ac:dyDescent="0.25">
      <c r="A450" s="4">
        <v>444</v>
      </c>
      <c r="C450" s="110">
        <f>IF(male=0,VLOOKUP(((A448:A1282/'Life tables'!$I$2)*2)+age,lifetable,13,1),IF(male=1,VLOOKUP(((A448:A1282/'Life tables'!$I$2)*2)+age,lifetable,10,1),"error"))</f>
        <v>3.518541282111487E-4</v>
      </c>
      <c r="F450" s="101">
        <f t="shared" si="115"/>
        <v>153.62773574389917</v>
      </c>
      <c r="G450" s="101">
        <f t="shared" si="116"/>
        <v>15.432227580611048</v>
      </c>
      <c r="H450" s="101">
        <f t="shared" si="117"/>
        <v>0.35314756890885457</v>
      </c>
      <c r="I450" s="101">
        <f t="shared" si="118"/>
        <v>0.35314756890885457</v>
      </c>
      <c r="J450" s="101">
        <f t="shared" si="119"/>
        <v>5.9732958870930934E-2</v>
      </c>
      <c r="K450" s="101">
        <f t="shared" si="120"/>
        <v>2.7682927273973798E-2</v>
      </c>
      <c r="L450" s="101">
        <f t="shared" si="129"/>
        <v>137.40179713932551</v>
      </c>
      <c r="M450" s="101">
        <f t="shared" si="121"/>
        <v>738.83063434227756</v>
      </c>
      <c r="N450" s="101">
        <f t="shared" si="122"/>
        <v>71.150990857922608</v>
      </c>
      <c r="O450" s="101">
        <f t="shared" si="123"/>
        <v>1.6983667766106723</v>
      </c>
      <c r="P450" s="101">
        <f t="shared" si="124"/>
        <v>1.6983667766106723</v>
      </c>
      <c r="Q450" s="101">
        <f t="shared" si="125"/>
        <v>0.28619053332500011</v>
      </c>
      <c r="R450" s="101">
        <f t="shared" si="126"/>
        <v>1.9787428991800332E-2</v>
      </c>
      <c r="S450" s="101">
        <f t="shared" si="114"/>
        <v>663.97693196881687</v>
      </c>
      <c r="T450" s="101">
        <f t="shared" si="130"/>
        <v>81.452977852711612</v>
      </c>
      <c r="U450" s="101">
        <f t="shared" si="130"/>
        <v>26.482045909578453</v>
      </c>
      <c r="V450" s="33">
        <f t="shared" si="131"/>
        <v>1000.0000000000051</v>
      </c>
      <c r="W450" s="105">
        <f t="shared" si="127"/>
        <v>104474.41759096719</v>
      </c>
      <c r="X450" s="112">
        <f t="shared" si="132"/>
        <v>892.06497623771509</v>
      </c>
      <c r="Y450" s="32">
        <f t="shared" si="128"/>
        <v>516.83436952424779</v>
      </c>
    </row>
    <row r="451" spans="1:25" x14ac:dyDescent="0.25">
      <c r="A451" s="4">
        <v>445</v>
      </c>
      <c r="C451" s="110">
        <f>IF(male=0,VLOOKUP(((A449:A1283/'Life tables'!$I$2)*2)+age,lifetable,13,1),IF(male=1,VLOOKUP(((A449:A1283/'Life tables'!$I$2)*2)+age,lifetable,10,1),"error"))</f>
        <v>3.518541282111487E-4</v>
      </c>
      <c r="F451" s="101">
        <f t="shared" si="115"/>
        <v>153.5599727485517</v>
      </c>
      <c r="G451" s="101">
        <f t="shared" si="116"/>
        <v>15.425420645908259</v>
      </c>
      <c r="H451" s="101">
        <f t="shared" si="117"/>
        <v>0.35299180057084539</v>
      </c>
      <c r="I451" s="101">
        <f t="shared" si="118"/>
        <v>0.35299180057084539</v>
      </c>
      <c r="J451" s="101">
        <f t="shared" si="119"/>
        <v>5.9706611517736791E-2</v>
      </c>
      <c r="K451" s="101">
        <f t="shared" si="120"/>
        <v>2.7670716730981756E-2</v>
      </c>
      <c r="L451" s="101">
        <f t="shared" si="129"/>
        <v>137.34119117325304</v>
      </c>
      <c r="M451" s="101">
        <f t="shared" si="121"/>
        <v>738.50500348916341</v>
      </c>
      <c r="N451" s="101">
        <f t="shared" si="122"/>
        <v>71.119631901246962</v>
      </c>
      <c r="O451" s="101">
        <f t="shared" si="123"/>
        <v>1.6976182415653425</v>
      </c>
      <c r="P451" s="101">
        <f t="shared" si="124"/>
        <v>1.6976182415653425</v>
      </c>
      <c r="Q451" s="101">
        <f t="shared" si="125"/>
        <v>0.28606439823640462</v>
      </c>
      <c r="R451" s="101">
        <f t="shared" si="126"/>
        <v>1.9778707916787965E-2</v>
      </c>
      <c r="S451" s="101">
        <f t="shared" ref="S451:S514" si="133">M451-SUM(N451:R451)</f>
        <v>663.6842919986326</v>
      </c>
      <c r="T451" s="101">
        <f t="shared" si="130"/>
        <v>81.798748862465757</v>
      </c>
      <c r="U451" s="101">
        <f t="shared" si="130"/>
        <v>26.529495334226223</v>
      </c>
      <c r="V451" s="33">
        <f t="shared" si="131"/>
        <v>1000.0000000000053</v>
      </c>
      <c r="W451" s="105">
        <f t="shared" si="127"/>
        <v>104308.3417308397</v>
      </c>
      <c r="X451" s="112">
        <f t="shared" si="132"/>
        <v>891.6717558033132</v>
      </c>
      <c r="Y451" s="32">
        <f t="shared" si="128"/>
        <v>516.457980015148</v>
      </c>
    </row>
    <row r="452" spans="1:25" x14ac:dyDescent="0.25">
      <c r="A452" s="4">
        <v>446</v>
      </c>
      <c r="C452" s="110">
        <f>IF(male=0,VLOOKUP(((A450:A1284/'Life tables'!$I$2)*2)+age,lifetable,13,1),IF(male=1,VLOOKUP(((A450:A1284/'Life tables'!$I$2)*2)+age,lifetable,10,1),"error"))</f>
        <v>3.518541282111487E-4</v>
      </c>
      <c r="F452" s="101">
        <f t="shared" si="115"/>
        <v>153.49224100979131</v>
      </c>
      <c r="G452" s="101">
        <f t="shared" si="116"/>
        <v>15.418616850995059</v>
      </c>
      <c r="H452" s="101">
        <f t="shared" si="117"/>
        <v>0.35283610408306354</v>
      </c>
      <c r="I452" s="101">
        <f t="shared" si="118"/>
        <v>0.35283610408306354</v>
      </c>
      <c r="J452" s="101">
        <f t="shared" si="119"/>
        <v>5.9680276317611372E-2</v>
      </c>
      <c r="K452" s="101">
        <f t="shared" si="120"/>
        <v>2.7658511820265835E-2</v>
      </c>
      <c r="L452" s="101">
        <f t="shared" si="129"/>
        <v>137.28061316249224</v>
      </c>
      <c r="M452" s="101">
        <f t="shared" si="121"/>
        <v>738.179514793522</v>
      </c>
      <c r="N452" s="101">
        <f t="shared" si="122"/>
        <v>71.088286634643936</v>
      </c>
      <c r="O452" s="101">
        <f t="shared" si="123"/>
        <v>1.6968700333006272</v>
      </c>
      <c r="P452" s="101">
        <f t="shared" si="124"/>
        <v>1.6968700333006272</v>
      </c>
      <c r="Q452" s="101">
        <f t="shared" si="125"/>
        <v>0.28593831821336957</v>
      </c>
      <c r="R452" s="101">
        <f t="shared" si="126"/>
        <v>1.9769990649049909E-2</v>
      </c>
      <c r="S452" s="101">
        <f t="shared" si="133"/>
        <v>663.39177978341445</v>
      </c>
      <c r="T452" s="101">
        <f t="shared" si="130"/>
        <v>82.144367456996733</v>
      </c>
      <c r="U452" s="101">
        <f t="shared" si="130"/>
        <v>26.576923836695538</v>
      </c>
      <c r="V452" s="33">
        <f t="shared" si="131"/>
        <v>1000.0000000000053</v>
      </c>
      <c r="W452" s="105">
        <f t="shared" si="127"/>
        <v>104142.52980343004</v>
      </c>
      <c r="X452" s="112">
        <f t="shared" si="132"/>
        <v>891.27870870631307</v>
      </c>
      <c r="Y452" s="32">
        <f t="shared" si="128"/>
        <v>516.08186461861555</v>
      </c>
    </row>
    <row r="453" spans="1:25" x14ac:dyDescent="0.25">
      <c r="A453" s="4">
        <v>447</v>
      </c>
      <c r="C453" s="110">
        <f>IF(male=0,VLOOKUP(((A451:A1285/'Life tables'!$I$2)*2)+age,lifetable,13,1),IF(male=1,VLOOKUP(((A451:A1285/'Life tables'!$I$2)*2)+age,lifetable,10,1),"error"))</f>
        <v>3.518541282111487E-4</v>
      </c>
      <c r="F453" s="101">
        <f t="shared" si="115"/>
        <v>153.42454047036483</v>
      </c>
      <c r="G453" s="101">
        <f t="shared" si="116"/>
        <v>15.411816190120247</v>
      </c>
      <c r="H453" s="101">
        <f t="shared" si="117"/>
        <v>0.3526804793138999</v>
      </c>
      <c r="I453" s="101">
        <f t="shared" si="118"/>
        <v>0.3526804793138999</v>
      </c>
      <c r="J453" s="101">
        <f t="shared" si="119"/>
        <v>5.9653953248293715E-2</v>
      </c>
      <c r="K453" s="101">
        <f t="shared" si="120"/>
        <v>2.7646312531509301E-2</v>
      </c>
      <c r="L453" s="101">
        <f t="shared" si="129"/>
        <v>137.22006305583699</v>
      </c>
      <c r="M453" s="101">
        <f t="shared" si="121"/>
        <v>737.85416823594846</v>
      </c>
      <c r="N453" s="101">
        <f t="shared" si="122"/>
        <v>71.056955056244817</v>
      </c>
      <c r="O453" s="101">
        <f t="shared" si="123"/>
        <v>1.6961221517719201</v>
      </c>
      <c r="P453" s="101">
        <f t="shared" si="124"/>
        <v>1.6961221517719201</v>
      </c>
      <c r="Q453" s="101">
        <f t="shared" si="125"/>
        <v>0.28581229324837826</v>
      </c>
      <c r="R453" s="101">
        <f t="shared" si="126"/>
        <v>1.9761277188066466E-2</v>
      </c>
      <c r="S453" s="101">
        <f t="shared" si="133"/>
        <v>663.09939530572342</v>
      </c>
      <c r="T453" s="101">
        <f t="shared" si="130"/>
        <v>82.489833703493403</v>
      </c>
      <c r="U453" s="101">
        <f t="shared" si="130"/>
        <v>26.624331426415115</v>
      </c>
      <c r="V453" s="33">
        <f t="shared" si="131"/>
        <v>1000.0000000000057</v>
      </c>
      <c r="W453" s="105">
        <f t="shared" si="127"/>
        <v>103976.98139145548</v>
      </c>
      <c r="X453" s="112">
        <f t="shared" si="132"/>
        <v>890.88583487009714</v>
      </c>
      <c r="Y453" s="32">
        <f t="shared" si="128"/>
        <v>515.7060231349169</v>
      </c>
    </row>
    <row r="454" spans="1:25" x14ac:dyDescent="0.25">
      <c r="A454" s="4">
        <v>448</v>
      </c>
      <c r="C454" s="110">
        <f>IF(male=0,VLOOKUP(((A452:A1286/'Life tables'!$I$2)*2)+age,lifetable,13,1),IF(male=1,VLOOKUP(((A452:A1286/'Life tables'!$I$2)*2)+age,lifetable,10,1),"error"))</f>
        <v>3.518541282111487E-4</v>
      </c>
      <c r="F454" s="101">
        <f t="shared" si="115"/>
        <v>153.35687107440717</v>
      </c>
      <c r="G454" s="101">
        <f t="shared" si="116"/>
        <v>15.405018657672056</v>
      </c>
      <c r="H454" s="101">
        <f t="shared" si="117"/>
        <v>0.35252492613493608</v>
      </c>
      <c r="I454" s="101">
        <f t="shared" si="118"/>
        <v>0.35252492613493608</v>
      </c>
      <c r="J454" s="101">
        <f t="shared" si="119"/>
        <v>5.9627642288062555E-2</v>
      </c>
      <c r="K454" s="101">
        <f t="shared" si="120"/>
        <v>2.7634118854645555E-2</v>
      </c>
      <c r="L454" s="101">
        <f t="shared" si="129"/>
        <v>137.15954080332253</v>
      </c>
      <c r="M454" s="101">
        <f t="shared" si="121"/>
        <v>737.52896379568983</v>
      </c>
      <c r="N454" s="101">
        <f t="shared" si="122"/>
        <v>71.02563716405102</v>
      </c>
      <c r="O454" s="101">
        <f t="shared" si="123"/>
        <v>1.6953745969315159</v>
      </c>
      <c r="P454" s="101">
        <f t="shared" si="124"/>
        <v>1.6953745969315159</v>
      </c>
      <c r="Q454" s="101">
        <f t="shared" si="125"/>
        <v>0.28568632333339217</v>
      </c>
      <c r="R454" s="101">
        <f t="shared" si="126"/>
        <v>1.9752567533281831E-2</v>
      </c>
      <c r="S454" s="101">
        <f t="shared" si="133"/>
        <v>662.80713854690907</v>
      </c>
      <c r="T454" s="101">
        <f t="shared" si="130"/>
        <v>82.83514766911486</v>
      </c>
      <c r="U454" s="101">
        <f t="shared" si="130"/>
        <v>26.671718112803042</v>
      </c>
      <c r="V454" s="33">
        <f t="shared" si="131"/>
        <v>1000.0000000000055</v>
      </c>
      <c r="W454" s="105">
        <f t="shared" si="127"/>
        <v>103811.69607822281</v>
      </c>
      <c r="X454" s="112">
        <f t="shared" si="132"/>
        <v>890.49313421808756</v>
      </c>
      <c r="Y454" s="32">
        <f t="shared" si="128"/>
        <v>515.33045536446673</v>
      </c>
    </row>
    <row r="455" spans="1:25" x14ac:dyDescent="0.25">
      <c r="A455" s="4">
        <v>449</v>
      </c>
      <c r="C455" s="110">
        <f>IF(male=0,VLOOKUP(((A453:A1287/'Life tables'!$I$2)*2)+age,lifetable,13,1),IF(male=1,VLOOKUP(((A453:A1287/'Life tables'!$I$2)*2)+age,lifetable,10,1),"error"))</f>
        <v>3.518541282111487E-4</v>
      </c>
      <c r="F455" s="101">
        <f t="shared" ref="F455:F518" si="134">E454*(1-pCAUC)+(L454+G454+H454+I454 )*(1-pCAUC)+(S454+N454+O454+P454)*(pUAUC)</f>
        <v>153.28923276739798</v>
      </c>
      <c r="G455" s="101">
        <f t="shared" ref="G455:G518" si="135">F455*(rrOSEX)</f>
        <v>15.398224248173806</v>
      </c>
      <c r="H455" s="101">
        <f t="shared" ref="H455:H518" si="136">F455*rrEREX</f>
        <v>0.35236944442084489</v>
      </c>
      <c r="I455" s="101">
        <f t="shared" ref="I455:I518" si="137">F455*rrHOEX</f>
        <v>0.35236944442084489</v>
      </c>
      <c r="J455" s="101">
        <f t="shared" ref="J455:J518" si="138">F455*mr + G455*mr + H455*mr+I455*mr</f>
        <v>5.9601343415719515E-2</v>
      </c>
      <c r="K455" s="101">
        <f t="shared" ref="K455:K518" si="139">F455*amr + I455*amrHOEX</f>
        <v>2.7621930779850316E-2</v>
      </c>
      <c r="L455" s="101">
        <f t="shared" si="129"/>
        <v>137.0990463561869</v>
      </c>
      <c r="M455" s="101">
        <f t="shared" ref="M455:M518" si="140">E454*pCAUC+(L454+G454+H454+I454)*pCAUC+(S454+N454+O454+P454)*(1-pUAUC)</f>
        <v>737.20390145068961</v>
      </c>
      <c r="N455" s="101">
        <f t="shared" ref="N455:N518" si="141">M455*rrOSEXc</f>
        <v>70.994332955938489</v>
      </c>
      <c r="O455" s="101">
        <f t="shared" ref="O455:O518" si="142">M455*rrEREXc</f>
        <v>1.6946273687287126</v>
      </c>
      <c r="P455" s="101">
        <f t="shared" ref="P455:P518" si="143">M455*rrHOEXc</f>
        <v>1.6946273687287126</v>
      </c>
      <c r="Q455" s="101">
        <f t="shared" ref="Q455:Q518" si="144">M455*mr + N455*mr + O455*mr+P455*mr</f>
        <v>0.2855604084598673</v>
      </c>
      <c r="R455" s="101">
        <f t="shared" ref="R455:R518" si="145">M455*amrc + P455*amrHOEX</f>
        <v>1.9743861684105277E-2</v>
      </c>
      <c r="S455" s="101">
        <f t="shared" si="133"/>
        <v>662.51500948714965</v>
      </c>
      <c r="T455" s="101">
        <f t="shared" si="130"/>
        <v>83.180309420990454</v>
      </c>
      <c r="U455" s="101">
        <f t="shared" si="130"/>
        <v>26.719083905266999</v>
      </c>
      <c r="V455" s="33">
        <f t="shared" si="131"/>
        <v>1000.0000000000053</v>
      </c>
      <c r="W455" s="105">
        <f t="shared" ref="W455:W518" si="146">(cNES*L455+(cNES+cOSEX)*G455+(cNES+cEREX)*H455+(cNES+cHOEX)*I455 +(cNES+ cNES)*S455 +(cNES+ cOSEX)*N455 + (cNES+cEREX)*O455 + (cNES+cHOEX)*P455)/(1+cDR)^A$5:A$65536</f>
        <v>103646.67344762951</v>
      </c>
      <c r="X455" s="112">
        <f t="shared" si="132"/>
        <v>890.10060667374796</v>
      </c>
      <c r="Y455" s="32">
        <f t="shared" ref="Y455:Y518" si="147">(uNES*L455+ uOCEX*G455+uEREX*H455+uHOEX*I455+uNES*S455+ uOCEX*N455+uEREX*O455+uHOEX*P455)/(1+oDR)^A$5:A$65536</f>
        <v>514.95516110782989</v>
      </c>
    </row>
    <row r="456" spans="1:25" x14ac:dyDescent="0.25">
      <c r="A456" s="4">
        <v>450</v>
      </c>
      <c r="C456" s="110">
        <f>IF(male=0,VLOOKUP(((A454:A1288/'Life tables'!$I$2)*2)+age,lifetable,13,1),IF(male=1,VLOOKUP(((A454:A1288/'Life tables'!$I$2)*2)+age,lifetable,10,1),"error"))</f>
        <v>3.518541282111487E-4</v>
      </c>
      <c r="F456" s="101">
        <f t="shared" si="134"/>
        <v>153.2216254961198</v>
      </c>
      <c r="G456" s="101">
        <f t="shared" si="135"/>
        <v>15.39143295627969</v>
      </c>
      <c r="H456" s="101">
        <f t="shared" si="136"/>
        <v>0.35221403404929419</v>
      </c>
      <c r="I456" s="101">
        <f t="shared" si="137"/>
        <v>0.35221403404929419</v>
      </c>
      <c r="J456" s="101">
        <f t="shared" si="138"/>
        <v>5.957505661057276E-2</v>
      </c>
      <c r="K456" s="101">
        <f t="shared" si="139"/>
        <v>2.7609748297534067E-2</v>
      </c>
      <c r="L456" s="101">
        <f t="shared" ref="L456:L519" si="148">F456-SUM(G456:K456)</f>
        <v>137.03857966683341</v>
      </c>
      <c r="M456" s="101">
        <f t="shared" si="140"/>
        <v>736.87898117762813</v>
      </c>
      <c r="N456" s="101">
        <f t="shared" si="141"/>
        <v>70.963042429661471</v>
      </c>
      <c r="O456" s="101">
        <f t="shared" si="142"/>
        <v>1.693880467109905</v>
      </c>
      <c r="P456" s="101">
        <f t="shared" si="143"/>
        <v>1.693880467109905</v>
      </c>
      <c r="Q456" s="101">
        <f t="shared" si="144"/>
        <v>0.28543454861877077</v>
      </c>
      <c r="R456" s="101">
        <f t="shared" si="145"/>
        <v>1.9735159639912264E-2</v>
      </c>
      <c r="S456" s="101">
        <f t="shared" si="133"/>
        <v>662.22300810548813</v>
      </c>
      <c r="T456" s="101">
        <f t="shared" ref="T456:U519" si="149">J456+Q456+T455</f>
        <v>83.525319026219805</v>
      </c>
      <c r="U456" s="101">
        <f t="shared" si="149"/>
        <v>26.766428813204445</v>
      </c>
      <c r="V456" s="33">
        <f t="shared" ref="V456:V519" si="150">SUM(G456:I456,L456,N456,O456,P456,S456,T456,U456)</f>
        <v>1000.0000000000053</v>
      </c>
      <c r="W456" s="105">
        <f t="shared" si="146"/>
        <v>103481.9130841654</v>
      </c>
      <c r="X456" s="112">
        <f t="shared" ref="X456:X519" si="151">(L456+G456+H456+I456+N456+O456+P456+S456)</f>
        <v>889.70825216058108</v>
      </c>
      <c r="Y456" s="32">
        <f t="shared" si="147"/>
        <v>514.58014016571849</v>
      </c>
    </row>
    <row r="457" spans="1:25" x14ac:dyDescent="0.25">
      <c r="A457" s="4">
        <v>451</v>
      </c>
      <c r="C457" s="110">
        <f>IF(male=0,VLOOKUP(((A455:A1289/'Life tables'!$I$2)*2)+age,lifetable,13,1),IF(male=1,VLOOKUP(((A455:A1289/'Life tables'!$I$2)*2)+age,lifetable,10,1),"error"))</f>
        <v>3.518541282111487E-4</v>
      </c>
      <c r="F457" s="101">
        <f t="shared" si="134"/>
        <v>153.15404920861732</v>
      </c>
      <c r="G457" s="101">
        <f t="shared" si="135"/>
        <v>15.384644776770688</v>
      </c>
      <c r="H457" s="101">
        <f t="shared" si="136"/>
        <v>0.35205869490085318</v>
      </c>
      <c r="I457" s="101">
        <f t="shared" si="137"/>
        <v>0.35205869490085318</v>
      </c>
      <c r="J457" s="101">
        <f t="shared" si="138"/>
        <v>5.9548781852421254E-2</v>
      </c>
      <c r="K457" s="101">
        <f t="shared" si="139"/>
        <v>2.7597571398334728E-2</v>
      </c>
      <c r="L457" s="101">
        <f t="shared" si="148"/>
        <v>136.97814068879418</v>
      </c>
      <c r="M457" s="101">
        <f t="shared" si="140"/>
        <v>736.55420295196382</v>
      </c>
      <c r="N457" s="101">
        <f t="shared" si="141"/>
        <v>70.931765582856571</v>
      </c>
      <c r="O457" s="101">
        <f t="shared" si="142"/>
        <v>1.6931338920186787</v>
      </c>
      <c r="P457" s="101">
        <f t="shared" si="143"/>
        <v>1.6931338920186787</v>
      </c>
      <c r="Q457" s="101">
        <f t="shared" si="144"/>
        <v>0.28530874380059623</v>
      </c>
      <c r="R457" s="101">
        <f t="shared" si="145"/>
        <v>1.9726461400045508E-2</v>
      </c>
      <c r="S457" s="101">
        <f t="shared" si="133"/>
        <v>661.93113437986926</v>
      </c>
      <c r="T457" s="101">
        <f t="shared" si="149"/>
        <v>83.870176551872817</v>
      </c>
      <c r="U457" s="101">
        <f t="shared" si="149"/>
        <v>26.813752846002824</v>
      </c>
      <c r="V457" s="33">
        <f t="shared" si="150"/>
        <v>1000.0000000000053</v>
      </c>
      <c r="W457" s="105">
        <f t="shared" si="146"/>
        <v>103317.41457291369</v>
      </c>
      <c r="X457" s="112">
        <f t="shared" si="151"/>
        <v>889.31607060212968</v>
      </c>
      <c r="Y457" s="32">
        <f t="shared" si="147"/>
        <v>514.20539233899297</v>
      </c>
    </row>
    <row r="458" spans="1:25" x14ac:dyDescent="0.25">
      <c r="A458" s="4">
        <v>452</v>
      </c>
      <c r="C458" s="110">
        <f>IF(male=0,VLOOKUP(((A456:A1290/'Life tables'!$I$2)*2)+age,lifetable,13,1),IF(male=1,VLOOKUP(((A456:A1290/'Life tables'!$I$2)*2)+age,lifetable,10,1),"error"))</f>
        <v>3.518541282111487E-4</v>
      </c>
      <c r="F458" s="101">
        <f t="shared" si="134"/>
        <v>153.08650385415814</v>
      </c>
      <c r="G458" s="101">
        <f t="shared" si="135"/>
        <v>15.377859704550625</v>
      </c>
      <c r="H458" s="101">
        <f t="shared" si="136"/>
        <v>0.35190342685890197</v>
      </c>
      <c r="I458" s="101">
        <f t="shared" si="137"/>
        <v>0.35190342685890197</v>
      </c>
      <c r="J458" s="101">
        <f t="shared" si="138"/>
        <v>5.9522519121539393E-2</v>
      </c>
      <c r="K458" s="101">
        <f t="shared" si="139"/>
        <v>2.7585400073110576E-2</v>
      </c>
      <c r="L458" s="101">
        <f t="shared" si="148"/>
        <v>136.91772937669506</v>
      </c>
      <c r="M458" s="101">
        <f t="shared" si="140"/>
        <v>736.2295667479716</v>
      </c>
      <c r="N458" s="101">
        <f t="shared" si="141"/>
        <v>70.900502413046397</v>
      </c>
      <c r="O458" s="101">
        <f t="shared" si="142"/>
        <v>1.6923876433958991</v>
      </c>
      <c r="P458" s="101">
        <f t="shared" si="143"/>
        <v>1.6923876433958991</v>
      </c>
      <c r="Q458" s="101">
        <f t="shared" si="144"/>
        <v>0.28518299399537883</v>
      </c>
      <c r="R458" s="101">
        <f t="shared" si="145"/>
        <v>1.9717766963816045E-2</v>
      </c>
      <c r="S458" s="101">
        <f t="shared" si="133"/>
        <v>661.63938828717414</v>
      </c>
      <c r="T458" s="101">
        <f t="shared" si="149"/>
        <v>84.214882064989737</v>
      </c>
      <c r="U458" s="101">
        <f t="shared" si="149"/>
        <v>26.86105601303975</v>
      </c>
      <c r="V458" s="33">
        <f t="shared" si="150"/>
        <v>1000.0000000000053</v>
      </c>
      <c r="W458" s="105">
        <f t="shared" si="146"/>
        <v>103153.17749955245</v>
      </c>
      <c r="X458" s="112">
        <f t="shared" si="151"/>
        <v>888.92406192197586</v>
      </c>
      <c r="Y458" s="32">
        <f t="shared" si="147"/>
        <v>513.83091742866236</v>
      </c>
    </row>
    <row r="459" spans="1:25" x14ac:dyDescent="0.25">
      <c r="A459" s="4">
        <v>453</v>
      </c>
      <c r="C459" s="110">
        <f>IF(male=0,VLOOKUP(((A457:A1291/'Life tables'!$I$2)*2)+age,lifetable,13,1),IF(male=1,VLOOKUP(((A457:A1291/'Life tables'!$I$2)*2)+age,lifetable,10,1),"error"))</f>
        <v>3.518541282111487E-4</v>
      </c>
      <c r="F459" s="101">
        <f t="shared" si="134"/>
        <v>153.01898938319434</v>
      </c>
      <c r="G459" s="101">
        <f t="shared" si="135"/>
        <v>15.371077734642308</v>
      </c>
      <c r="H459" s="101">
        <f t="shared" si="136"/>
        <v>0.35174822980954379</v>
      </c>
      <c r="I459" s="101">
        <f t="shared" si="137"/>
        <v>0.35174822980954379</v>
      </c>
      <c r="J459" s="101">
        <f t="shared" si="138"/>
        <v>5.9496268398662129E-2</v>
      </c>
      <c r="K459" s="101">
        <f t="shared" si="139"/>
        <v>2.7573234312933348E-2</v>
      </c>
      <c r="L459" s="101">
        <f t="shared" si="148"/>
        <v>136.85734568622135</v>
      </c>
      <c r="M459" s="101">
        <f t="shared" si="140"/>
        <v>735.90507253878161</v>
      </c>
      <c r="N459" s="101">
        <f t="shared" si="141"/>
        <v>70.869252917643323</v>
      </c>
      <c r="O459" s="101">
        <f t="shared" si="142"/>
        <v>1.6916417211797996</v>
      </c>
      <c r="P459" s="101">
        <f t="shared" si="143"/>
        <v>1.6916417211797996</v>
      </c>
      <c r="Q459" s="101">
        <f t="shared" si="144"/>
        <v>0.28505729919271061</v>
      </c>
      <c r="R459" s="101">
        <f t="shared" si="145"/>
        <v>1.9709076330504241E-2</v>
      </c>
      <c r="S459" s="101">
        <f t="shared" si="133"/>
        <v>661.34776980325546</v>
      </c>
      <c r="T459" s="101">
        <f t="shared" si="149"/>
        <v>84.559435632581113</v>
      </c>
      <c r="U459" s="101">
        <f t="shared" si="149"/>
        <v>26.908338323683189</v>
      </c>
      <c r="V459" s="33">
        <f t="shared" si="150"/>
        <v>1000.0000000000053</v>
      </c>
      <c r="W459" s="105">
        <f t="shared" si="146"/>
        <v>102989.20145035564</v>
      </c>
      <c r="X459" s="112">
        <f t="shared" si="151"/>
        <v>888.53222604374105</v>
      </c>
      <c r="Y459" s="32">
        <f t="shared" si="147"/>
        <v>513.45671523588317</v>
      </c>
    </row>
    <row r="460" spans="1:25" x14ac:dyDescent="0.25">
      <c r="A460" s="4">
        <v>454</v>
      </c>
      <c r="C460" s="110">
        <f>IF(male=0,VLOOKUP(((A458:A1292/'Life tables'!$I$2)*2)+age,lifetable,13,1),IF(male=1,VLOOKUP(((A458:A1292/'Life tables'!$I$2)*2)+age,lifetable,10,1),"error"))</f>
        <v>3.518541282111487E-4</v>
      </c>
      <c r="F460" s="101">
        <f t="shared" si="134"/>
        <v>152.95150574732571</v>
      </c>
      <c r="G460" s="101">
        <f t="shared" si="135"/>
        <v>15.364298862183835</v>
      </c>
      <c r="H460" s="101">
        <f t="shared" si="136"/>
        <v>0.35159310364151991</v>
      </c>
      <c r="I460" s="101">
        <f t="shared" si="137"/>
        <v>0.35159310364151991</v>
      </c>
      <c r="J460" s="101">
        <f t="shared" si="138"/>
        <v>5.9470029664970697E-2</v>
      </c>
      <c r="K460" s="101">
        <f t="shared" si="139"/>
        <v>2.7561074109081558E-2</v>
      </c>
      <c r="L460" s="101">
        <f t="shared" si="148"/>
        <v>136.79698957408479</v>
      </c>
      <c r="M460" s="101">
        <f t="shared" si="140"/>
        <v>735.58072029641539</v>
      </c>
      <c r="N460" s="101">
        <f t="shared" si="141"/>
        <v>70.838017093952985</v>
      </c>
      <c r="O460" s="101">
        <f t="shared" si="142"/>
        <v>1.6908961253060655</v>
      </c>
      <c r="P460" s="101">
        <f t="shared" si="143"/>
        <v>1.6908961253060655</v>
      </c>
      <c r="Q460" s="101">
        <f t="shared" si="144"/>
        <v>0.28493165938175369</v>
      </c>
      <c r="R460" s="101">
        <f t="shared" si="145"/>
        <v>1.970038949936077E-2</v>
      </c>
      <c r="S460" s="101">
        <f t="shared" si="133"/>
        <v>661.0562789029691</v>
      </c>
      <c r="T460" s="101">
        <f t="shared" si="149"/>
        <v>84.903837321627833</v>
      </c>
      <c r="U460" s="101">
        <f t="shared" si="149"/>
        <v>26.955599787291632</v>
      </c>
      <c r="V460" s="33">
        <f t="shared" si="150"/>
        <v>1000.0000000000053</v>
      </c>
      <c r="W460" s="105">
        <f t="shared" si="146"/>
        <v>102825.48601219406</v>
      </c>
      <c r="X460" s="112">
        <f t="shared" si="151"/>
        <v>888.14056289108589</v>
      </c>
      <c r="Y460" s="32">
        <f t="shared" si="147"/>
        <v>513.08278556195978</v>
      </c>
    </row>
    <row r="461" spans="1:25" x14ac:dyDescent="0.25">
      <c r="A461" s="4">
        <v>455</v>
      </c>
      <c r="C461" s="110">
        <f>IF(male=0,VLOOKUP(((A459:A1293/'Life tables'!$I$2)*2)+age,lifetable,13,1),IF(male=1,VLOOKUP(((A459:A1293/'Life tables'!$I$2)*2)+age,lifetable,10,1),"error"))</f>
        <v>3.518541282111487E-4</v>
      </c>
      <c r="F461" s="101">
        <f t="shared" si="134"/>
        <v>152.88405289926396</v>
      </c>
      <c r="G461" s="101">
        <f t="shared" si="135"/>
        <v>15.357523082425001</v>
      </c>
      <c r="H461" s="101">
        <f t="shared" si="136"/>
        <v>0.35143804824612768</v>
      </c>
      <c r="I461" s="101">
        <f t="shared" si="137"/>
        <v>0.35143804824612768</v>
      </c>
      <c r="J461" s="101">
        <f t="shared" si="138"/>
        <v>5.9443802902078631E-2</v>
      </c>
      <c r="K461" s="101">
        <f t="shared" si="139"/>
        <v>2.7548919453034105E-2</v>
      </c>
      <c r="L461" s="101">
        <f t="shared" si="148"/>
        <v>136.73666099799161</v>
      </c>
      <c r="M461" s="101">
        <f t="shared" si="140"/>
        <v>735.25650999182187</v>
      </c>
      <c r="N461" s="101">
        <f t="shared" si="141"/>
        <v>70.806794939177664</v>
      </c>
      <c r="O461" s="101">
        <f t="shared" si="142"/>
        <v>1.6901508557079163</v>
      </c>
      <c r="P461" s="101">
        <f t="shared" si="143"/>
        <v>1.6901508557079163</v>
      </c>
      <c r="Q461" s="101">
        <f t="shared" si="144"/>
        <v>0.28480607455125495</v>
      </c>
      <c r="R461" s="101">
        <f t="shared" si="145"/>
        <v>1.9691706469607592E-2</v>
      </c>
      <c r="S461" s="101">
        <f t="shared" si="133"/>
        <v>660.76491556020756</v>
      </c>
      <c r="T461" s="101">
        <f t="shared" si="149"/>
        <v>85.248087199081169</v>
      </c>
      <c r="U461" s="101">
        <f t="shared" si="149"/>
        <v>27.002840413214273</v>
      </c>
      <c r="V461" s="33">
        <f t="shared" si="150"/>
        <v>1000.0000000000053</v>
      </c>
      <c r="W461" s="105">
        <f t="shared" si="146"/>
        <v>102662.03077253676</v>
      </c>
      <c r="X461" s="112">
        <f t="shared" si="151"/>
        <v>887.74907238770993</v>
      </c>
      <c r="Y461" s="32">
        <f t="shared" si="147"/>
        <v>512.70912820834383</v>
      </c>
    </row>
    <row r="462" spans="1:25" x14ac:dyDescent="0.25">
      <c r="A462" s="4">
        <v>456</v>
      </c>
      <c r="C462" s="110">
        <f>IF(male=0,VLOOKUP(((A460:A1294/'Life tables'!$I$2)*2)+age,lifetable,13,1),IF(male=1,VLOOKUP(((A460:A1294/'Life tables'!$I$2)*2)+age,lifetable,10,1),"error"))</f>
        <v>3.518541282111487E-4</v>
      </c>
      <c r="F462" s="101">
        <f t="shared" si="134"/>
        <v>152.81663079279798</v>
      </c>
      <c r="G462" s="101">
        <f t="shared" si="135"/>
        <v>15.350750390723798</v>
      </c>
      <c r="H462" s="101">
        <f t="shared" si="136"/>
        <v>0.3512830635171405</v>
      </c>
      <c r="I462" s="101">
        <f t="shared" si="137"/>
        <v>0.3512830635171405</v>
      </c>
      <c r="J462" s="101">
        <f t="shared" si="138"/>
        <v>5.9417588092018317E-2</v>
      </c>
      <c r="K462" s="101">
        <f t="shared" si="139"/>
        <v>2.7536770336463987E-2</v>
      </c>
      <c r="L462" s="101">
        <f t="shared" si="148"/>
        <v>136.67635991661143</v>
      </c>
      <c r="M462" s="101">
        <f t="shared" si="140"/>
        <v>734.93244159491189</v>
      </c>
      <c r="N462" s="101">
        <f t="shared" si="141"/>
        <v>70.775586450419738</v>
      </c>
      <c r="O462" s="101">
        <f t="shared" si="142"/>
        <v>1.6894059123161858</v>
      </c>
      <c r="P462" s="101">
        <f t="shared" si="143"/>
        <v>1.6894059123161858</v>
      </c>
      <c r="Q462" s="101">
        <f t="shared" si="144"/>
        <v>0.28468054468955944</v>
      </c>
      <c r="R462" s="101">
        <f t="shared" si="145"/>
        <v>1.9683027240438852E-2</v>
      </c>
      <c r="S462" s="101">
        <f t="shared" si="133"/>
        <v>660.47367974792974</v>
      </c>
      <c r="T462" s="101">
        <f t="shared" si="149"/>
        <v>85.592185331862751</v>
      </c>
      <c r="U462" s="101">
        <f t="shared" si="149"/>
        <v>27.050060210791177</v>
      </c>
      <c r="V462" s="33">
        <f t="shared" si="150"/>
        <v>1000.0000000000053</v>
      </c>
      <c r="W462" s="105">
        <f t="shared" si="146"/>
        <v>102498.83531945167</v>
      </c>
      <c r="X462" s="112">
        <f t="shared" si="151"/>
        <v>887.35775445735135</v>
      </c>
      <c r="Y462" s="32">
        <f t="shared" si="147"/>
        <v>512.33574297663404</v>
      </c>
    </row>
    <row r="463" spans="1:25" x14ac:dyDescent="0.25">
      <c r="A463" s="4">
        <v>457</v>
      </c>
      <c r="C463" s="110">
        <f>IF(male=0,VLOOKUP(((A461:A1295/'Life tables'!$I$2)*2)+age,lifetable,13,1),IF(male=1,VLOOKUP(((A461:A1295/'Life tables'!$I$2)*2)+age,lifetable,10,1),"error"))</f>
        <v>3.518541282111487E-4</v>
      </c>
      <c r="F463" s="101">
        <f t="shared" si="134"/>
        <v>152.74923938276024</v>
      </c>
      <c r="G463" s="101">
        <f t="shared" si="135"/>
        <v>15.343980782543056</v>
      </c>
      <c r="H463" s="101">
        <f t="shared" si="136"/>
        <v>0.35112814935073089</v>
      </c>
      <c r="I463" s="101">
        <f t="shared" si="137"/>
        <v>0.35112814935073089</v>
      </c>
      <c r="J463" s="101">
        <f t="shared" si="138"/>
        <v>5.9391385217227866E-2</v>
      </c>
      <c r="K463" s="101">
        <f t="shared" si="139"/>
        <v>2.7524626751232247E-2</v>
      </c>
      <c r="L463" s="101">
        <f t="shared" si="148"/>
        <v>136.61608628954727</v>
      </c>
      <c r="M463" s="101">
        <f t="shared" si="140"/>
        <v>734.60851507459097</v>
      </c>
      <c r="N463" s="101">
        <f t="shared" si="141"/>
        <v>70.744391624684724</v>
      </c>
      <c r="O463" s="101">
        <f t="shared" si="142"/>
        <v>1.688661295059396</v>
      </c>
      <c r="P463" s="101">
        <f t="shared" si="143"/>
        <v>1.688661295059396</v>
      </c>
      <c r="Q463" s="101">
        <f t="shared" si="144"/>
        <v>0.28455506978462225</v>
      </c>
      <c r="R463" s="101">
        <f t="shared" si="145"/>
        <v>1.967435181102177E-2</v>
      </c>
      <c r="S463" s="101">
        <f t="shared" si="133"/>
        <v>660.18257143819187</v>
      </c>
      <c r="T463" s="101">
        <f t="shared" si="149"/>
        <v>85.936131786864607</v>
      </c>
      <c r="U463" s="101">
        <f t="shared" si="149"/>
        <v>27.09725918935343</v>
      </c>
      <c r="V463" s="33">
        <f t="shared" si="150"/>
        <v>1000.0000000000052</v>
      </c>
      <c r="W463" s="105">
        <f t="shared" si="146"/>
        <v>102335.89924160649</v>
      </c>
      <c r="X463" s="112">
        <f t="shared" si="151"/>
        <v>886.96660902378721</v>
      </c>
      <c r="Y463" s="32">
        <f t="shared" si="147"/>
        <v>511.96262966857643</v>
      </c>
    </row>
    <row r="464" spans="1:25" x14ac:dyDescent="0.25">
      <c r="A464" s="4">
        <v>458</v>
      </c>
      <c r="C464" s="110">
        <f>IF(male=0,VLOOKUP(((A462:A1296/'Life tables'!$I$2)*2)+age,lifetable,13,1),IF(male=1,VLOOKUP(((A462:A1296/'Life tables'!$I$2)*2)+age,lifetable,10,1),"error"))</f>
        <v>3.518541282111487E-4</v>
      </c>
      <c r="F464" s="101">
        <f t="shared" si="134"/>
        <v>152.68187862499428</v>
      </c>
      <c r="G464" s="101">
        <f t="shared" si="135"/>
        <v>15.337214253447167</v>
      </c>
      <c r="H464" s="101">
        <f t="shared" si="136"/>
        <v>0.35097330564539525</v>
      </c>
      <c r="I464" s="101">
        <f t="shared" si="137"/>
        <v>0.35097330564539525</v>
      </c>
      <c r="J464" s="101">
        <f t="shared" si="138"/>
        <v>5.9365194260538531E-2</v>
      </c>
      <c r="K464" s="101">
        <f t="shared" si="139"/>
        <v>2.7512488689382119E-2</v>
      </c>
      <c r="L464" s="101">
        <f t="shared" si="148"/>
        <v>136.55584007730641</v>
      </c>
      <c r="M464" s="101">
        <f t="shared" si="140"/>
        <v>734.28473039879293</v>
      </c>
      <c r="N464" s="101">
        <f t="shared" si="141"/>
        <v>70.713210458884603</v>
      </c>
      <c r="O464" s="101">
        <f t="shared" si="142"/>
        <v>1.687917003863836</v>
      </c>
      <c r="P464" s="101">
        <f t="shared" si="143"/>
        <v>1.687917003863836</v>
      </c>
      <c r="Q464" s="101">
        <f t="shared" si="144"/>
        <v>0.28442964982402247</v>
      </c>
      <c r="R464" s="101">
        <f t="shared" si="145"/>
        <v>1.9665680180497559E-2</v>
      </c>
      <c r="S464" s="101">
        <f t="shared" si="133"/>
        <v>659.89159060217617</v>
      </c>
      <c r="T464" s="101">
        <f t="shared" si="149"/>
        <v>86.279926630949163</v>
      </c>
      <c r="U464" s="101">
        <f t="shared" si="149"/>
        <v>27.14443735822331</v>
      </c>
      <c r="V464" s="33">
        <f t="shared" si="150"/>
        <v>1000.0000000000052</v>
      </c>
      <c r="W464" s="105">
        <f t="shared" si="146"/>
        <v>102173.22212826983</v>
      </c>
      <c r="X464" s="112">
        <f t="shared" si="151"/>
        <v>886.5756360108328</v>
      </c>
      <c r="Y464" s="32">
        <f t="shared" si="147"/>
        <v>511.58978808606395</v>
      </c>
    </row>
    <row r="465" spans="1:25" x14ac:dyDescent="0.25">
      <c r="A465" s="4">
        <v>459</v>
      </c>
      <c r="C465" s="110">
        <f>IF(male=0,VLOOKUP(((A463:A1297/'Life tables'!$I$2)*2)+age,lifetable,13,1),IF(male=1,VLOOKUP(((A463:A1297/'Life tables'!$I$2)*2)+age,lifetable,10,1),"error"))</f>
        <v>3.518541282111487E-4</v>
      </c>
      <c r="F465" s="101">
        <f t="shared" si="134"/>
        <v>152.61454847632319</v>
      </c>
      <c r="G465" s="101">
        <f t="shared" si="135"/>
        <v>15.330450799098919</v>
      </c>
      <c r="H465" s="101">
        <f t="shared" si="136"/>
        <v>0.35081853230188192</v>
      </c>
      <c r="I465" s="101">
        <f t="shared" si="137"/>
        <v>0.35081853230188192</v>
      </c>
      <c r="J465" s="101">
        <f t="shared" si="138"/>
        <v>5.9339015205162431E-2</v>
      </c>
      <c r="K465" s="101">
        <f t="shared" si="139"/>
        <v>2.7500356143133342E-2</v>
      </c>
      <c r="L465" s="101">
        <f t="shared" si="148"/>
        <v>136.4956212412722</v>
      </c>
      <c r="M465" s="101">
        <f t="shared" si="140"/>
        <v>733.96108753450972</v>
      </c>
      <c r="N465" s="101">
        <f t="shared" si="141"/>
        <v>70.682042949840593</v>
      </c>
      <c r="O465" s="101">
        <f t="shared" si="142"/>
        <v>1.687173038653629</v>
      </c>
      <c r="P465" s="101">
        <f t="shared" si="143"/>
        <v>1.687173038653629</v>
      </c>
      <c r="Q465" s="101">
        <f t="shared" si="144"/>
        <v>0.28430428479497427</v>
      </c>
      <c r="R465" s="101">
        <f t="shared" si="145"/>
        <v>1.9657012347982183E-2</v>
      </c>
      <c r="S465" s="101">
        <f t="shared" si="133"/>
        <v>659.60073721021888</v>
      </c>
      <c r="T465" s="101">
        <f t="shared" si="149"/>
        <v>86.623569930949301</v>
      </c>
      <c r="U465" s="101">
        <f t="shared" si="149"/>
        <v>27.191594726714428</v>
      </c>
      <c r="V465" s="33">
        <f t="shared" si="150"/>
        <v>1000.0000000000055</v>
      </c>
      <c r="W465" s="105">
        <f t="shared" si="146"/>
        <v>102010.80356931151</v>
      </c>
      <c r="X465" s="112">
        <f t="shared" si="151"/>
        <v>886.18483534234156</v>
      </c>
      <c r="Y465" s="32">
        <f t="shared" si="147"/>
        <v>511.21721803113633</v>
      </c>
    </row>
    <row r="466" spans="1:25" x14ac:dyDescent="0.25">
      <c r="A466" s="4">
        <v>460</v>
      </c>
      <c r="C466" s="110">
        <f>IF(male=0,VLOOKUP(((A464:A1298/'Life tables'!$I$2)*2)+age,lifetable,13,1),IF(male=1,VLOOKUP(((A464:A1298/'Life tables'!$I$2)*2)+age,lifetable,10,1),"error"))</f>
        <v>3.518541282111487E-4</v>
      </c>
      <c r="F466" s="101">
        <f t="shared" si="134"/>
        <v>152.54724889451907</v>
      </c>
      <c r="G466" s="101">
        <f t="shared" si="135"/>
        <v>15.323690415256431</v>
      </c>
      <c r="H466" s="101">
        <f t="shared" si="136"/>
        <v>0.35066382922312062</v>
      </c>
      <c r="I466" s="101">
        <f t="shared" si="137"/>
        <v>0.35066382922312062</v>
      </c>
      <c r="J466" s="101">
        <f t="shared" si="138"/>
        <v>5.931284803468069E-2</v>
      </c>
      <c r="K466" s="101">
        <f t="shared" si="139"/>
        <v>2.7488229104876669E-2</v>
      </c>
      <c r="L466" s="101">
        <f t="shared" si="148"/>
        <v>136.43542974367685</v>
      </c>
      <c r="M466" s="101">
        <f t="shared" si="140"/>
        <v>733.63758644782263</v>
      </c>
      <c r="N466" s="101">
        <f t="shared" si="141"/>
        <v>70.650889094286285</v>
      </c>
      <c r="O466" s="101">
        <f t="shared" si="142"/>
        <v>1.6864293993508057</v>
      </c>
      <c r="P466" s="101">
        <f t="shared" si="143"/>
        <v>1.6864293993508057</v>
      </c>
      <c r="Q466" s="101">
        <f t="shared" si="144"/>
        <v>0.28417897468433906</v>
      </c>
      <c r="R466" s="101">
        <f t="shared" si="145"/>
        <v>1.9648348312567235E-2</v>
      </c>
      <c r="S466" s="101">
        <f t="shared" si="133"/>
        <v>659.31001123183785</v>
      </c>
      <c r="T466" s="101">
        <f t="shared" si="149"/>
        <v>86.967061753668318</v>
      </c>
      <c r="U466" s="101">
        <f t="shared" si="149"/>
        <v>27.238731304131871</v>
      </c>
      <c r="V466" s="33">
        <f t="shared" si="150"/>
        <v>1000.0000000000055</v>
      </c>
      <c r="W466" s="105">
        <f t="shared" si="146"/>
        <v>101848.64315520377</v>
      </c>
      <c r="X466" s="112">
        <f t="shared" si="151"/>
        <v>885.79420694220528</v>
      </c>
      <c r="Y466" s="32">
        <f t="shared" si="147"/>
        <v>510.84491930597932</v>
      </c>
    </row>
    <row r="467" spans="1:25" x14ac:dyDescent="0.25">
      <c r="A467" s="4">
        <v>461</v>
      </c>
      <c r="C467" s="110">
        <f>IF(male=0,VLOOKUP(((A465:A1299/'Life tables'!$I$2)*2)+age,lifetable,13,1),IF(male=1,VLOOKUP(((A465:A1299/'Life tables'!$I$2)*2)+age,lifetable,10,1),"error"))</f>
        <v>3.518541282111487E-4</v>
      </c>
      <c r="F467" s="101">
        <f t="shared" si="134"/>
        <v>152.47997983827355</v>
      </c>
      <c r="G467" s="101">
        <f t="shared" si="135"/>
        <v>15.316933097770189</v>
      </c>
      <c r="H467" s="101">
        <f t="shared" si="136"/>
        <v>0.35050919631415489</v>
      </c>
      <c r="I467" s="101">
        <f t="shared" si="137"/>
        <v>0.35050919631415489</v>
      </c>
      <c r="J467" s="101">
        <f t="shared" si="138"/>
        <v>5.9286692733031901E-2</v>
      </c>
      <c r="K467" s="101">
        <f t="shared" si="139"/>
        <v>2.7476107567168541E-2</v>
      </c>
      <c r="L467" s="101">
        <f t="shared" si="148"/>
        <v>136.37526554757486</v>
      </c>
      <c r="M467" s="101">
        <f t="shared" si="140"/>
        <v>733.31422710393178</v>
      </c>
      <c r="N467" s="101">
        <f t="shared" si="141"/>
        <v>70.619748888870362</v>
      </c>
      <c r="O467" s="101">
        <f t="shared" si="142"/>
        <v>1.6856860858753708</v>
      </c>
      <c r="P467" s="101">
        <f t="shared" si="143"/>
        <v>1.6856860858753708</v>
      </c>
      <c r="Q467" s="101">
        <f t="shared" si="144"/>
        <v>0.28405371947863656</v>
      </c>
      <c r="R467" s="101">
        <f t="shared" si="145"/>
        <v>1.9639688073320699E-2</v>
      </c>
      <c r="S467" s="101">
        <f t="shared" si="133"/>
        <v>659.01941263575873</v>
      </c>
      <c r="T467" s="101">
        <f t="shared" si="149"/>
        <v>87.310402165879992</v>
      </c>
      <c r="U467" s="101">
        <f t="shared" si="149"/>
        <v>27.285847099772361</v>
      </c>
      <c r="V467" s="33">
        <f t="shared" si="150"/>
        <v>1000.0000000000056</v>
      </c>
      <c r="W467" s="105">
        <f t="shared" si="146"/>
        <v>101686.74047702146</v>
      </c>
      <c r="X467" s="112">
        <f t="shared" si="151"/>
        <v>885.40375073435325</v>
      </c>
      <c r="Y467" s="32">
        <f t="shared" si="147"/>
        <v>510.47289171292505</v>
      </c>
    </row>
    <row r="468" spans="1:25" x14ac:dyDescent="0.25">
      <c r="A468" s="4">
        <v>462</v>
      </c>
      <c r="C468" s="110">
        <f>IF(male=0,VLOOKUP(((A466:A1300/'Life tables'!$I$2)*2)+age,lifetable,13,1),IF(male=1,VLOOKUP(((A466:A1300/'Life tables'!$I$2)*2)+age,lifetable,10,1),"error"))</f>
        <v>3.518541282111487E-4</v>
      </c>
      <c r="F468" s="101">
        <f t="shared" si="134"/>
        <v>152.412741267169</v>
      </c>
      <c r="G468" s="101">
        <f t="shared" si="135"/>
        <v>15.310178842580161</v>
      </c>
      <c r="H468" s="101">
        <f t="shared" si="136"/>
        <v>0.35035463348207579</v>
      </c>
      <c r="I468" s="101">
        <f t="shared" si="137"/>
        <v>0.35035463348207579</v>
      </c>
      <c r="J468" s="101">
        <f t="shared" si="138"/>
        <v>5.9260549284501071E-2</v>
      </c>
      <c r="K468" s="101">
        <f t="shared" si="139"/>
        <v>2.7463991522725918E-2</v>
      </c>
      <c r="L468" s="101">
        <f t="shared" si="148"/>
        <v>136.31512861681745</v>
      </c>
      <c r="M468" s="101">
        <f t="shared" si="140"/>
        <v>732.9910094671842</v>
      </c>
      <c r="N468" s="101">
        <f t="shared" si="141"/>
        <v>70.588622330159353</v>
      </c>
      <c r="O468" s="101">
        <f t="shared" si="142"/>
        <v>1.6849430981453677</v>
      </c>
      <c r="P468" s="101">
        <f t="shared" si="143"/>
        <v>1.6849430981453677</v>
      </c>
      <c r="Q468" s="101">
        <f t="shared" si="144"/>
        <v>0.28392851916405676</v>
      </c>
      <c r="R468" s="101">
        <f t="shared" si="145"/>
        <v>1.9631031629287709E-2</v>
      </c>
      <c r="S468" s="101">
        <f t="shared" si="133"/>
        <v>658.72894138994081</v>
      </c>
      <c r="T468" s="101">
        <f t="shared" si="149"/>
        <v>87.653591234328545</v>
      </c>
      <c r="U468" s="101">
        <f t="shared" si="149"/>
        <v>27.332942122924376</v>
      </c>
      <c r="V468" s="33">
        <f t="shared" si="150"/>
        <v>1000.0000000000056</v>
      </c>
      <c r="W468" s="105">
        <f t="shared" si="146"/>
        <v>101525.09512644316</v>
      </c>
      <c r="X468" s="112">
        <f t="shared" si="151"/>
        <v>885.01346664275275</v>
      </c>
      <c r="Y468" s="32">
        <f t="shared" si="147"/>
        <v>510.1011350544527</v>
      </c>
    </row>
    <row r="469" spans="1:25" x14ac:dyDescent="0.25">
      <c r="A469" s="4">
        <v>463</v>
      </c>
      <c r="C469" s="110">
        <f>IF(male=0,VLOOKUP(((A467:A1301/'Life tables'!$I$2)*2)+age,lifetable,13,1),IF(male=1,VLOOKUP(((A467:A1301/'Life tables'!$I$2)*2)+age,lifetable,10,1),"error"))</f>
        <v>3.518541282111487E-4</v>
      </c>
      <c r="F469" s="101">
        <f t="shared" si="134"/>
        <v>152.34553314165078</v>
      </c>
      <c r="G469" s="101">
        <f t="shared" si="135"/>
        <v>15.303427645712999</v>
      </c>
      <c r="H469" s="101">
        <f t="shared" si="136"/>
        <v>0.35020014063595817</v>
      </c>
      <c r="I469" s="101">
        <f t="shared" si="137"/>
        <v>0.35020014063595817</v>
      </c>
      <c r="J469" s="101">
        <f t="shared" si="138"/>
        <v>5.9234417673708704E-2</v>
      </c>
      <c r="K469" s="101">
        <f t="shared" si="139"/>
        <v>2.7451880964421246E-2</v>
      </c>
      <c r="L469" s="101">
        <f t="shared" si="148"/>
        <v>136.25501891602772</v>
      </c>
      <c r="M469" s="101">
        <f t="shared" si="140"/>
        <v>732.66793350110197</v>
      </c>
      <c r="N469" s="101">
        <f t="shared" si="141"/>
        <v>70.557509414640364</v>
      </c>
      <c r="O469" s="101">
        <f t="shared" si="142"/>
        <v>1.684200436076944</v>
      </c>
      <c r="P469" s="101">
        <f t="shared" si="143"/>
        <v>1.684200436076944</v>
      </c>
      <c r="Q469" s="101">
        <f t="shared" si="144"/>
        <v>0.28380337372646969</v>
      </c>
      <c r="R469" s="101">
        <f t="shared" si="145"/>
        <v>1.9622378979491321E-2</v>
      </c>
      <c r="S469" s="101">
        <f t="shared" si="133"/>
        <v>658.43859746160172</v>
      </c>
      <c r="T469" s="101">
        <f t="shared" si="149"/>
        <v>87.996629025728723</v>
      </c>
      <c r="U469" s="101">
        <f t="shared" si="149"/>
        <v>27.380016382868288</v>
      </c>
      <c r="V469" s="33">
        <f t="shared" si="150"/>
        <v>1000.0000000000055</v>
      </c>
      <c r="W469" s="105">
        <f t="shared" si="146"/>
        <v>101363.70669575113</v>
      </c>
      <c r="X469" s="112">
        <f t="shared" si="151"/>
        <v>884.62335459140854</v>
      </c>
      <c r="Y469" s="32">
        <f t="shared" si="147"/>
        <v>509.72964913318611</v>
      </c>
    </row>
    <row r="470" spans="1:25" x14ac:dyDescent="0.25">
      <c r="A470" s="4">
        <v>464</v>
      </c>
      <c r="C470" s="110">
        <f>IF(male=0,VLOOKUP(((A468:A1302/'Life tables'!$I$2)*2)+age,lifetable,13,1),IF(male=1,VLOOKUP(((A468:A1302/'Life tables'!$I$2)*2)+age,lifetable,10,1),"error"))</f>
        <v>3.518541282111487E-4</v>
      </c>
      <c r="F470" s="101">
        <f t="shared" si="134"/>
        <v>152.27835542300051</v>
      </c>
      <c r="G470" s="101">
        <f t="shared" si="135"/>
        <v>15.296679503279361</v>
      </c>
      <c r="H470" s="101">
        <f t="shared" si="136"/>
        <v>0.35004571768679921</v>
      </c>
      <c r="I470" s="101">
        <f t="shared" si="137"/>
        <v>0.35004571768679921</v>
      </c>
      <c r="J470" s="101">
        <f t="shared" si="138"/>
        <v>5.9208297885600468E-2</v>
      </c>
      <c r="K470" s="101">
        <f t="shared" si="139"/>
        <v>2.7439775885277681E-2</v>
      </c>
      <c r="L470" s="101">
        <f t="shared" si="148"/>
        <v>136.19493641057667</v>
      </c>
      <c r="M470" s="101">
        <f t="shared" si="140"/>
        <v>732.34499916840809</v>
      </c>
      <c r="N470" s="101">
        <f t="shared" si="141"/>
        <v>70.526410138723534</v>
      </c>
      <c r="O470" s="101">
        <f t="shared" si="142"/>
        <v>1.68345809958441</v>
      </c>
      <c r="P470" s="101">
        <f t="shared" si="143"/>
        <v>1.68345809958441</v>
      </c>
      <c r="Q470" s="101">
        <f t="shared" si="144"/>
        <v>0.28367828315143573</v>
      </c>
      <c r="R470" s="101">
        <f t="shared" si="145"/>
        <v>1.9613730122933166E-2</v>
      </c>
      <c r="S470" s="101">
        <f t="shared" si="133"/>
        <v>658.14838081724133</v>
      </c>
      <c r="T470" s="101">
        <f t="shared" si="149"/>
        <v>88.339515606765758</v>
      </c>
      <c r="U470" s="101">
        <f t="shared" si="149"/>
        <v>27.427069888876499</v>
      </c>
      <c r="V470" s="33">
        <f t="shared" si="150"/>
        <v>1000.0000000000056</v>
      </c>
      <c r="W470" s="105">
        <f t="shared" si="146"/>
        <v>101202.57477783239</v>
      </c>
      <c r="X470" s="112">
        <f t="shared" si="151"/>
        <v>884.23341450436328</v>
      </c>
      <c r="Y470" s="32">
        <f t="shared" si="147"/>
        <v>509.35843375189575</v>
      </c>
    </row>
    <row r="471" spans="1:25" x14ac:dyDescent="0.25">
      <c r="A471" s="4">
        <v>465</v>
      </c>
      <c r="C471" s="110">
        <f>IF(male=0,VLOOKUP(((A469:A1303/'Life tables'!$I$2)*2)+age,lifetable,13,1),IF(male=1,VLOOKUP(((A469:A1303/'Life tables'!$I$2)*2)+age,lifetable,10,1),"error"))</f>
        <v>3.518541282111487E-4</v>
      </c>
      <c r="F471" s="101">
        <f t="shared" si="134"/>
        <v>152.21120807330999</v>
      </c>
      <c r="G471" s="101">
        <f t="shared" si="135"/>
        <v>15.289934411471288</v>
      </c>
      <c r="H471" s="101">
        <f t="shared" si="136"/>
        <v>0.34989136454745845</v>
      </c>
      <c r="I471" s="101">
        <f t="shared" si="137"/>
        <v>0.34989136454745845</v>
      </c>
      <c r="J471" s="101">
        <f t="shared" si="138"/>
        <v>5.9182189905437034E-2</v>
      </c>
      <c r="K471" s="101">
        <f t="shared" si="139"/>
        <v>2.7427676278464354E-2</v>
      </c>
      <c r="L471" s="101">
        <f t="shared" si="148"/>
        <v>136.1348810665599</v>
      </c>
      <c r="M471" s="101">
        <f t="shared" si="140"/>
        <v>732.02220643105341</v>
      </c>
      <c r="N471" s="101">
        <f t="shared" si="141"/>
        <v>70.495324498744665</v>
      </c>
      <c r="O471" s="101">
        <f t="shared" si="142"/>
        <v>1.6827160885803016</v>
      </c>
      <c r="P471" s="101">
        <f t="shared" si="143"/>
        <v>1.6827160885803016</v>
      </c>
      <c r="Q471" s="101">
        <f t="shared" si="144"/>
        <v>0.28355324742421628</v>
      </c>
      <c r="R471" s="101">
        <f t="shared" si="145"/>
        <v>1.9605085058594221E-2</v>
      </c>
      <c r="S471" s="101">
        <f t="shared" si="133"/>
        <v>657.85829142266527</v>
      </c>
      <c r="T471" s="101">
        <f t="shared" si="149"/>
        <v>88.682251044095409</v>
      </c>
      <c r="U471" s="101">
        <f t="shared" si="149"/>
        <v>27.474102650213556</v>
      </c>
      <c r="V471" s="33">
        <f t="shared" si="150"/>
        <v>1000.0000000000057</v>
      </c>
      <c r="W471" s="105">
        <f t="shared" si="146"/>
        <v>101041.69896617874</v>
      </c>
      <c r="X471" s="112">
        <f t="shared" si="151"/>
        <v>883.84364630569667</v>
      </c>
      <c r="Y471" s="32">
        <f t="shared" si="147"/>
        <v>508.98748871349761</v>
      </c>
    </row>
    <row r="472" spans="1:25" x14ac:dyDescent="0.25">
      <c r="A472" s="4">
        <v>466</v>
      </c>
      <c r="C472" s="110">
        <f>IF(male=0,VLOOKUP(((A470:A1304/'Life tables'!$I$2)*2)+age,lifetable,13,1),IF(male=1,VLOOKUP(((A470:A1304/'Life tables'!$I$2)*2)+age,lifetable,10,1),"error"))</f>
        <v>3.518541282111487E-4</v>
      </c>
      <c r="F472" s="101">
        <f t="shared" si="134"/>
        <v>152.14409105545576</v>
      </c>
      <c r="G472" s="101">
        <f t="shared" si="135"/>
        <v>15.283192366559652</v>
      </c>
      <c r="H472" s="101">
        <f t="shared" si="136"/>
        <v>0.34973708113259944</v>
      </c>
      <c r="I472" s="101">
        <f t="shared" si="137"/>
        <v>0.34973708113259944</v>
      </c>
      <c r="J472" s="101">
        <f t="shared" si="138"/>
        <v>5.9156093718784192E-2</v>
      </c>
      <c r="K472" s="101">
        <f t="shared" si="139"/>
        <v>2.7415582137291811E-2</v>
      </c>
      <c r="L472" s="101">
        <f t="shared" si="148"/>
        <v>136.07485285077485</v>
      </c>
      <c r="M472" s="101">
        <f t="shared" si="140"/>
        <v>731.69955525024079</v>
      </c>
      <c r="N472" s="101">
        <f t="shared" si="141"/>
        <v>70.464252490967496</v>
      </c>
      <c r="O472" s="101">
        <f t="shared" si="142"/>
        <v>1.6819744029754347</v>
      </c>
      <c r="P472" s="101">
        <f t="shared" si="143"/>
        <v>1.6819744029754347</v>
      </c>
      <c r="Q472" s="101">
        <f t="shared" si="144"/>
        <v>0.28342826652978309</v>
      </c>
      <c r="R472" s="101">
        <f t="shared" si="145"/>
        <v>1.9596443785435406E-2</v>
      </c>
      <c r="S472" s="101">
        <f t="shared" si="133"/>
        <v>657.56832924300716</v>
      </c>
      <c r="T472" s="101">
        <f t="shared" si="149"/>
        <v>89.024835404343975</v>
      </c>
      <c r="U472" s="101">
        <f t="shared" si="149"/>
        <v>27.521114676136282</v>
      </c>
      <c r="V472" s="33">
        <f t="shared" si="150"/>
        <v>1000.0000000000056</v>
      </c>
      <c r="W472" s="105">
        <f t="shared" si="146"/>
        <v>100881.07885488751</v>
      </c>
      <c r="X472" s="112">
        <f t="shared" si="151"/>
        <v>883.45404991952523</v>
      </c>
      <c r="Y472" s="32">
        <f t="shared" si="147"/>
        <v>508.6168138210532</v>
      </c>
    </row>
    <row r="473" spans="1:25" x14ac:dyDescent="0.25">
      <c r="A473" s="4">
        <v>467</v>
      </c>
      <c r="C473" s="110">
        <f>IF(male=0,VLOOKUP(((A471:A1305/'Life tables'!$I$2)*2)+age,lifetable,13,1),IF(male=1,VLOOKUP(((A471:A1305/'Life tables'!$I$2)*2)+age,lifetable,10,1),"error"))</f>
        <v>3.518541282111487E-4</v>
      </c>
      <c r="F473" s="101">
        <f t="shared" si="134"/>
        <v>152.07700433307505</v>
      </c>
      <c r="G473" s="101">
        <f t="shared" si="135"/>
        <v>15.276453364891735</v>
      </c>
      <c r="H473" s="101">
        <f t="shared" si="136"/>
        <v>0.34958286735863414</v>
      </c>
      <c r="I473" s="101">
        <f t="shared" si="137"/>
        <v>0.34958286735863414</v>
      </c>
      <c r="J473" s="101">
        <f t="shared" si="138"/>
        <v>5.9130009311503515E-2</v>
      </c>
      <c r="K473" s="101">
        <f t="shared" si="139"/>
        <v>2.7403493455207671E-2</v>
      </c>
      <c r="L473" s="101">
        <f t="shared" si="148"/>
        <v>136.01485173069935</v>
      </c>
      <c r="M473" s="101">
        <f t="shared" si="140"/>
        <v>731.37704558645021</v>
      </c>
      <c r="N473" s="101">
        <f t="shared" si="141"/>
        <v>70.433194111586161</v>
      </c>
      <c r="O473" s="101">
        <f t="shared" si="142"/>
        <v>1.6812330426789637</v>
      </c>
      <c r="P473" s="101">
        <f t="shared" si="143"/>
        <v>1.6812330426789637</v>
      </c>
      <c r="Q473" s="101">
        <f t="shared" si="144"/>
        <v>0.28330334045282796</v>
      </c>
      <c r="R473" s="101">
        <f t="shared" si="145"/>
        <v>1.95878063023983E-2</v>
      </c>
      <c r="S473" s="101">
        <f t="shared" si="133"/>
        <v>657.27849424275087</v>
      </c>
      <c r="T473" s="101">
        <f t="shared" si="149"/>
        <v>89.367268754108309</v>
      </c>
      <c r="U473" s="101">
        <f t="shared" si="149"/>
        <v>27.568105975893889</v>
      </c>
      <c r="V473" s="33">
        <f t="shared" si="150"/>
        <v>1000.0000000000055</v>
      </c>
      <c r="W473" s="105">
        <f t="shared" si="146"/>
        <v>100720.71403866158</v>
      </c>
      <c r="X473" s="112">
        <f t="shared" si="151"/>
        <v>883.06462527000326</v>
      </c>
      <c r="Y473" s="32">
        <f t="shared" si="147"/>
        <v>508.24640887776889</v>
      </c>
    </row>
    <row r="474" spans="1:25" x14ac:dyDescent="0.25">
      <c r="A474" s="4">
        <v>468</v>
      </c>
      <c r="C474" s="110">
        <f>IF(male=0,VLOOKUP(((A472:A1306/'Life tables'!$I$2)*2)+age,lifetable,13,1),IF(male=1,VLOOKUP(((A472:A1306/'Life tables'!$I$2)*2)+age,lifetable,10,1),"error"))</f>
        <v>3.518541282111487E-4</v>
      </c>
      <c r="F474" s="101">
        <f t="shared" si="134"/>
        <v>152.00994787054182</v>
      </c>
      <c r="G474" s="101">
        <f t="shared" si="135"/>
        <v>15.269717402888828</v>
      </c>
      <c r="H474" s="101">
        <f t="shared" si="136"/>
        <v>0.34942872314366819</v>
      </c>
      <c r="I474" s="101">
        <f t="shared" si="137"/>
        <v>0.34942872314366819</v>
      </c>
      <c r="J474" s="101">
        <f t="shared" si="138"/>
        <v>5.9103936669743007E-2</v>
      </c>
      <c r="K474" s="101">
        <f t="shared" si="139"/>
        <v>2.73914102257923E-2</v>
      </c>
      <c r="L474" s="101">
        <f t="shared" si="148"/>
        <v>135.95487767447011</v>
      </c>
      <c r="M474" s="101">
        <f t="shared" si="140"/>
        <v>731.05467739946153</v>
      </c>
      <c r="N474" s="101">
        <f t="shared" si="141"/>
        <v>70.402149356727364</v>
      </c>
      <c r="O474" s="101">
        <f t="shared" si="142"/>
        <v>1.6804920075984338</v>
      </c>
      <c r="P474" s="101">
        <f t="shared" si="143"/>
        <v>1.6804920075984338</v>
      </c>
      <c r="Q474" s="101">
        <f t="shared" si="144"/>
        <v>0.28317846917777112</v>
      </c>
      <c r="R474" s="101">
        <f t="shared" si="145"/>
        <v>1.957917260840572E-2</v>
      </c>
      <c r="S474" s="101">
        <f t="shared" si="133"/>
        <v>656.98878638575115</v>
      </c>
      <c r="T474" s="101">
        <f t="shared" si="149"/>
        <v>89.709551159955822</v>
      </c>
      <c r="U474" s="101">
        <f t="shared" si="149"/>
        <v>27.615076558728088</v>
      </c>
      <c r="V474" s="33">
        <f t="shared" si="150"/>
        <v>1000.0000000000056</v>
      </c>
      <c r="W474" s="105">
        <f t="shared" si="146"/>
        <v>100560.60411281009</v>
      </c>
      <c r="X474" s="112">
        <f t="shared" si="151"/>
        <v>882.67537228132164</v>
      </c>
      <c r="Y474" s="32">
        <f t="shared" si="147"/>
        <v>507.87627368699611</v>
      </c>
    </row>
    <row r="475" spans="1:25" x14ac:dyDescent="0.25">
      <c r="A475" s="4">
        <v>469</v>
      </c>
      <c r="C475" s="110">
        <f>IF(male=0,VLOOKUP(((A473:A1307/'Life tables'!$I$2)*2)+age,lifetable,13,1),IF(male=1,VLOOKUP(((A473:A1307/'Life tables'!$I$2)*2)+age,lifetable,10,1),"error"))</f>
        <v>3.518541282111487E-4</v>
      </c>
      <c r="F475" s="101">
        <f t="shared" si="134"/>
        <v>151.94292163294395</v>
      </c>
      <c r="G475" s="101">
        <f t="shared" si="135"/>
        <v>15.262984477043934</v>
      </c>
      <c r="H475" s="101">
        <f t="shared" si="136"/>
        <v>0.34927464840744832</v>
      </c>
      <c r="I475" s="101">
        <f t="shared" si="137"/>
        <v>0.34927464840744832</v>
      </c>
      <c r="J475" s="101">
        <f t="shared" si="138"/>
        <v>5.9077875779928291E-2</v>
      </c>
      <c r="K475" s="101">
        <f t="shared" si="139"/>
        <v>2.7379332442754721E-2</v>
      </c>
      <c r="L475" s="101">
        <f t="shared" si="148"/>
        <v>135.89493065086242</v>
      </c>
      <c r="M475" s="101">
        <f t="shared" si="140"/>
        <v>730.73245064837772</v>
      </c>
      <c r="N475" s="101">
        <f t="shared" si="141"/>
        <v>70.371118222452665</v>
      </c>
      <c r="O475" s="101">
        <f t="shared" si="142"/>
        <v>1.6797512976398341</v>
      </c>
      <c r="P475" s="101">
        <f t="shared" si="143"/>
        <v>1.6797512976398341</v>
      </c>
      <c r="Q475" s="101">
        <f t="shared" si="144"/>
        <v>0.28305365268877125</v>
      </c>
      <c r="R475" s="101">
        <f t="shared" si="145"/>
        <v>1.9570542702362366E-2</v>
      </c>
      <c r="S475" s="101">
        <f t="shared" si="133"/>
        <v>656.6992056352542</v>
      </c>
      <c r="T475" s="101">
        <f t="shared" si="149"/>
        <v>90.051682688424521</v>
      </c>
      <c r="U475" s="101">
        <f t="shared" si="149"/>
        <v>27.662026433873205</v>
      </c>
      <c r="V475" s="33">
        <f t="shared" si="150"/>
        <v>1000.0000000000055</v>
      </c>
      <c r="W475" s="105">
        <f t="shared" si="146"/>
        <v>100400.74867324832</v>
      </c>
      <c r="X475" s="112">
        <f t="shared" si="151"/>
        <v>882.28629087770787</v>
      </c>
      <c r="Y475" s="32">
        <f t="shared" si="147"/>
        <v>507.50640805223185</v>
      </c>
    </row>
    <row r="476" spans="1:25" x14ac:dyDescent="0.25">
      <c r="A476" s="4">
        <v>470</v>
      </c>
      <c r="C476" s="110">
        <f>IF(male=0,VLOOKUP(((A474:A1308/'Life tables'!$I$2)*2)+age,lifetable,13,1),IF(male=1,VLOOKUP(((A474:A1308/'Life tables'!$I$2)*2)+age,lifetable,10,1),"error"))</f>
        <v>3.7736298212742714E-4</v>
      </c>
      <c r="F476" s="101">
        <f t="shared" si="134"/>
        <v>151.8759255860611</v>
      </c>
      <c r="G476" s="101">
        <f t="shared" si="135"/>
        <v>15.256254583919551</v>
      </c>
      <c r="H476" s="101">
        <f t="shared" si="136"/>
        <v>0.34912064307131147</v>
      </c>
      <c r="I476" s="101">
        <f t="shared" si="137"/>
        <v>0.34912064307131147</v>
      </c>
      <c r="J476" s="101">
        <f t="shared" si="138"/>
        <v>6.3332988332385612E-2</v>
      </c>
      <c r="K476" s="101">
        <f t="shared" si="139"/>
        <v>2.7367260099928594E-2</v>
      </c>
      <c r="L476" s="101">
        <f t="shared" si="148"/>
        <v>135.83072946756661</v>
      </c>
      <c r="M476" s="101">
        <f t="shared" si="140"/>
        <v>730.41036529164683</v>
      </c>
      <c r="N476" s="101">
        <f t="shared" si="141"/>
        <v>70.340100704760488</v>
      </c>
      <c r="O476" s="101">
        <f t="shared" si="142"/>
        <v>1.6790109127076478</v>
      </c>
      <c r="P476" s="101">
        <f t="shared" si="143"/>
        <v>1.6790109127076478</v>
      </c>
      <c r="Q476" s="101">
        <f t="shared" si="144"/>
        <v>0.30344077691841892</v>
      </c>
      <c r="R476" s="101">
        <f t="shared" si="145"/>
        <v>1.9561916583155373E-2</v>
      </c>
      <c r="S476" s="101">
        <f t="shared" si="133"/>
        <v>656.38924006796947</v>
      </c>
      <c r="T476" s="101">
        <f t="shared" si="149"/>
        <v>90.418456453675319</v>
      </c>
      <c r="U476" s="101">
        <f t="shared" si="149"/>
        <v>27.708955610556288</v>
      </c>
      <c r="V476" s="33">
        <f t="shared" si="150"/>
        <v>1000.0000000000056</v>
      </c>
      <c r="W476" s="105">
        <f t="shared" si="146"/>
        <v>100238.70806486829</v>
      </c>
      <c r="X476" s="112">
        <f t="shared" si="151"/>
        <v>881.87258793577394</v>
      </c>
      <c r="Y476" s="32">
        <f t="shared" si="147"/>
        <v>507.12232253960013</v>
      </c>
    </row>
    <row r="477" spans="1:25" x14ac:dyDescent="0.25">
      <c r="A477" s="4">
        <v>471</v>
      </c>
      <c r="C477" s="110">
        <f>IF(male=0,VLOOKUP(((A475:A1309/'Life tables'!$I$2)*2)+age,lifetable,13,1),IF(male=1,VLOOKUP(((A475:A1309/'Life tables'!$I$2)*2)+age,lifetable,10,1),"error"))</f>
        <v>3.7736298212742714E-4</v>
      </c>
      <c r="F477" s="101">
        <f t="shared" si="134"/>
        <v>151.80467841488067</v>
      </c>
      <c r="G477" s="101">
        <f t="shared" si="135"/>
        <v>15.249097656462363</v>
      </c>
      <c r="H477" s="101">
        <f t="shared" si="136"/>
        <v>0.34895686557910172</v>
      </c>
      <c r="I477" s="101">
        <f t="shared" si="137"/>
        <v>0.34895686557910172</v>
      </c>
      <c r="J477" s="101">
        <f t="shared" si="138"/>
        <v>6.3303277920786979E-2</v>
      </c>
      <c r="K477" s="101">
        <f t="shared" si="139"/>
        <v>2.7354421726384168E-2</v>
      </c>
      <c r="L477" s="101">
        <f t="shared" si="148"/>
        <v>135.76700932761293</v>
      </c>
      <c r="M477" s="101">
        <f t="shared" si="140"/>
        <v>730.06790952089341</v>
      </c>
      <c r="N477" s="101">
        <f t="shared" si="141"/>
        <v>70.307121472062846</v>
      </c>
      <c r="O477" s="101">
        <f t="shared" si="142"/>
        <v>1.6782237018416231</v>
      </c>
      <c r="P477" s="101">
        <f t="shared" si="143"/>
        <v>1.6782237018416231</v>
      </c>
      <c r="Q477" s="101">
        <f t="shared" si="144"/>
        <v>0.30329850751744164</v>
      </c>
      <c r="R477" s="101">
        <f t="shared" si="145"/>
        <v>1.9552744901674343E-2</v>
      </c>
      <c r="S477" s="101">
        <f t="shared" si="133"/>
        <v>656.08148939272826</v>
      </c>
      <c r="T477" s="101">
        <f t="shared" si="149"/>
        <v>90.785058239113553</v>
      </c>
      <c r="U477" s="101">
        <f t="shared" si="149"/>
        <v>27.755862777184348</v>
      </c>
      <c r="V477" s="33">
        <f t="shared" si="150"/>
        <v>1000.0000000000058</v>
      </c>
      <c r="W477" s="105">
        <f t="shared" si="146"/>
        <v>100076.55134946348</v>
      </c>
      <c r="X477" s="112">
        <f t="shared" si="151"/>
        <v>881.45907898370785</v>
      </c>
      <c r="Y477" s="32">
        <f t="shared" si="147"/>
        <v>506.73875948534476</v>
      </c>
    </row>
    <row r="478" spans="1:25" x14ac:dyDescent="0.25">
      <c r="A478" s="4">
        <v>472</v>
      </c>
      <c r="C478" s="110">
        <f>IF(male=0,VLOOKUP(((A476:A1310/'Life tables'!$I$2)*2)+age,lifetable,13,1),IF(male=1,VLOOKUP(((A476:A1310/'Life tables'!$I$2)*2)+age,lifetable,10,1),"error"))</f>
        <v>3.7736298212742714E-4</v>
      </c>
      <c r="F478" s="101">
        <f t="shared" si="134"/>
        <v>151.73346567951825</v>
      </c>
      <c r="G478" s="101">
        <f t="shared" si="135"/>
        <v>15.241944188155164</v>
      </c>
      <c r="H478" s="101">
        <f t="shared" si="136"/>
        <v>0.34879316724528969</v>
      </c>
      <c r="I478" s="101">
        <f t="shared" si="137"/>
        <v>0.34879316724528969</v>
      </c>
      <c r="J478" s="101">
        <f t="shared" si="138"/>
        <v>6.3273581869089379E-2</v>
      </c>
      <c r="K478" s="101">
        <f t="shared" si="139"/>
        <v>2.7341589557996912E-2</v>
      </c>
      <c r="L478" s="101">
        <f t="shared" si="148"/>
        <v>135.70331998544543</v>
      </c>
      <c r="M478" s="101">
        <f t="shared" si="140"/>
        <v>729.72561330418966</v>
      </c>
      <c r="N478" s="101">
        <f t="shared" si="141"/>
        <v>70.27415760476589</v>
      </c>
      <c r="O478" s="101">
        <f t="shared" si="142"/>
        <v>1.6774368577461198</v>
      </c>
      <c r="P478" s="101">
        <f t="shared" si="143"/>
        <v>1.6774368577461198</v>
      </c>
      <c r="Q478" s="101">
        <f t="shared" si="144"/>
        <v>0.30315630440140101</v>
      </c>
      <c r="R478" s="101">
        <f t="shared" si="145"/>
        <v>1.9543577493384329E-2</v>
      </c>
      <c r="S478" s="101">
        <f t="shared" si="133"/>
        <v>655.77388210203674</v>
      </c>
      <c r="T478" s="101">
        <f t="shared" si="149"/>
        <v>91.151488125384049</v>
      </c>
      <c r="U478" s="101">
        <f t="shared" si="149"/>
        <v>27.80274794423573</v>
      </c>
      <c r="V478" s="33">
        <f t="shared" si="150"/>
        <v>1000.0000000000059</v>
      </c>
      <c r="W478" s="105">
        <f t="shared" si="146"/>
        <v>99914.656907891462</v>
      </c>
      <c r="X478" s="112">
        <f t="shared" si="151"/>
        <v>881.0457639303861</v>
      </c>
      <c r="Y478" s="32">
        <f t="shared" si="147"/>
        <v>506.35548654229393</v>
      </c>
    </row>
    <row r="479" spans="1:25" x14ac:dyDescent="0.25">
      <c r="A479" s="4">
        <v>473</v>
      </c>
      <c r="C479" s="110">
        <f>IF(male=0,VLOOKUP(((A477:A1311/'Life tables'!$I$2)*2)+age,lifetable,13,1),IF(male=1,VLOOKUP(((A477:A1311/'Life tables'!$I$2)*2)+age,lifetable,10,1),"error"))</f>
        <v>3.7736298212742714E-4</v>
      </c>
      <c r="F479" s="101">
        <f t="shared" si="134"/>
        <v>151.662287331568</v>
      </c>
      <c r="G479" s="101">
        <f t="shared" si="135"/>
        <v>15.234794174135487</v>
      </c>
      <c r="H479" s="101">
        <f t="shared" si="136"/>
        <v>0.34862954795860385</v>
      </c>
      <c r="I479" s="101">
        <f t="shared" si="137"/>
        <v>0.34862954795860385</v>
      </c>
      <c r="J479" s="101">
        <f t="shared" si="138"/>
        <v>6.3243900157107305E-2</v>
      </c>
      <c r="K479" s="101">
        <f t="shared" si="139"/>
        <v>2.7328763586044341E-2</v>
      </c>
      <c r="L479" s="101">
        <f t="shared" si="148"/>
        <v>135.63966139777216</v>
      </c>
      <c r="M479" s="101">
        <f t="shared" si="140"/>
        <v>729.38347659881811</v>
      </c>
      <c r="N479" s="101">
        <f t="shared" si="141"/>
        <v>70.241209098755817</v>
      </c>
      <c r="O479" s="101">
        <f t="shared" si="142"/>
        <v>1.6766503803229424</v>
      </c>
      <c r="P479" s="101">
        <f t="shared" si="143"/>
        <v>1.6766503803229424</v>
      </c>
      <c r="Q479" s="101">
        <f t="shared" si="144"/>
        <v>0.30301416755255062</v>
      </c>
      <c r="R479" s="101">
        <f t="shared" si="145"/>
        <v>1.9534414357141264E-2</v>
      </c>
      <c r="S479" s="101">
        <f t="shared" si="133"/>
        <v>655.46641815750672</v>
      </c>
      <c r="T479" s="101">
        <f t="shared" si="149"/>
        <v>91.5177461930937</v>
      </c>
      <c r="U479" s="101">
        <f t="shared" si="149"/>
        <v>27.849611122178914</v>
      </c>
      <c r="V479" s="33">
        <f t="shared" si="150"/>
        <v>1000.0000000000059</v>
      </c>
      <c r="W479" s="105">
        <f t="shared" si="146"/>
        <v>99753.024317507079</v>
      </c>
      <c r="X479" s="112">
        <f t="shared" si="151"/>
        <v>880.63264268473336</v>
      </c>
      <c r="Y479" s="32">
        <f t="shared" si="147"/>
        <v>505.97250349094151</v>
      </c>
    </row>
    <row r="480" spans="1:25" x14ac:dyDescent="0.25">
      <c r="A480" s="4">
        <v>474</v>
      </c>
      <c r="C480" s="110">
        <f>IF(male=0,VLOOKUP(((A478:A1312/'Life tables'!$I$2)*2)+age,lifetable,13,1),IF(male=1,VLOOKUP(((A478:A1312/'Life tables'!$I$2)*2)+age,lifetable,10,1),"error"))</f>
        <v>3.7736298212742714E-4</v>
      </c>
      <c r="F480" s="101">
        <f t="shared" si="134"/>
        <v>151.59114332365911</v>
      </c>
      <c r="G480" s="101">
        <f t="shared" si="135"/>
        <v>15.227647609644833</v>
      </c>
      <c r="H480" s="101">
        <f t="shared" si="136"/>
        <v>0.34846600761015178</v>
      </c>
      <c r="I480" s="101">
        <f t="shared" si="137"/>
        <v>0.34846600761015178</v>
      </c>
      <c r="J480" s="101">
        <f t="shared" si="138"/>
        <v>6.3214232765086989E-2</v>
      </c>
      <c r="K480" s="101">
        <f t="shared" si="139"/>
        <v>2.7315943801990476E-2</v>
      </c>
      <c r="L480" s="101">
        <f t="shared" si="148"/>
        <v>135.57603352222691</v>
      </c>
      <c r="M480" s="101">
        <f t="shared" si="140"/>
        <v>729.04149936107422</v>
      </c>
      <c r="N480" s="101">
        <f t="shared" si="141"/>
        <v>70.2082759498238</v>
      </c>
      <c r="O480" s="101">
        <f t="shared" si="142"/>
        <v>1.6758642694716261</v>
      </c>
      <c r="P480" s="101">
        <f t="shared" si="143"/>
        <v>1.6758642694716261</v>
      </c>
      <c r="Q480" s="101">
        <f t="shared" si="144"/>
        <v>0.3028720969527337</v>
      </c>
      <c r="R480" s="101">
        <f t="shared" si="145"/>
        <v>1.9525255491774651E-2</v>
      </c>
      <c r="S480" s="101">
        <f t="shared" si="133"/>
        <v>655.1590975198626</v>
      </c>
      <c r="T480" s="101">
        <f t="shared" si="149"/>
        <v>91.883832522811517</v>
      </c>
      <c r="U480" s="101">
        <f t="shared" si="149"/>
        <v>27.89645232147268</v>
      </c>
      <c r="V480" s="33">
        <f t="shared" si="150"/>
        <v>1000.0000000000059</v>
      </c>
      <c r="W480" s="105">
        <f t="shared" si="146"/>
        <v>99591.653156295637</v>
      </c>
      <c r="X480" s="112">
        <f t="shared" si="151"/>
        <v>880.21971515572159</v>
      </c>
      <c r="Y480" s="32">
        <f t="shared" si="147"/>
        <v>505.58981011194993</v>
      </c>
    </row>
    <row r="481" spans="1:25" x14ac:dyDescent="0.25">
      <c r="A481" s="4">
        <v>475</v>
      </c>
      <c r="C481" s="110">
        <f>IF(male=0,VLOOKUP(((A479:A1313/'Life tables'!$I$2)*2)+age,lifetable,13,1),IF(male=1,VLOOKUP(((A479:A1313/'Life tables'!$I$2)*2)+age,lifetable,10,1),"error"))</f>
        <v>3.7736298212742714E-4</v>
      </c>
      <c r="F481" s="101">
        <f t="shared" si="134"/>
        <v>151.52003360942325</v>
      </c>
      <c r="G481" s="101">
        <f t="shared" si="135"/>
        <v>15.220504490025411</v>
      </c>
      <c r="H481" s="101">
        <f t="shared" si="136"/>
        <v>0.3483025460933456</v>
      </c>
      <c r="I481" s="101">
        <f t="shared" si="137"/>
        <v>0.3483025460933456</v>
      </c>
      <c r="J481" s="101">
        <f t="shared" si="138"/>
        <v>6.3184579673692565E-2</v>
      </c>
      <c r="K481" s="101">
        <f t="shared" si="139"/>
        <v>2.7303130197479989E-2</v>
      </c>
      <c r="L481" s="101">
        <f t="shared" si="148"/>
        <v>135.51243631733999</v>
      </c>
      <c r="M481" s="101">
        <f t="shared" si="140"/>
        <v>728.69968154629839</v>
      </c>
      <c r="N481" s="101">
        <f t="shared" si="141"/>
        <v>70.175358153669009</v>
      </c>
      <c r="O481" s="101">
        <f t="shared" si="142"/>
        <v>1.6750785250895111</v>
      </c>
      <c r="P481" s="101">
        <f t="shared" si="143"/>
        <v>1.6750785250895111</v>
      </c>
      <c r="Q481" s="101">
        <f t="shared" si="144"/>
        <v>0.30273009258339723</v>
      </c>
      <c r="R481" s="101">
        <f t="shared" si="145"/>
        <v>1.9516100896088413E-2</v>
      </c>
      <c r="S481" s="101">
        <f t="shared" si="133"/>
        <v>654.85192014897086</v>
      </c>
      <c r="T481" s="101">
        <f t="shared" si="149"/>
        <v>92.249747195068608</v>
      </c>
      <c r="U481" s="101">
        <f t="shared" si="149"/>
        <v>27.943271552566248</v>
      </c>
      <c r="V481" s="33">
        <f t="shared" si="150"/>
        <v>1000.0000000000058</v>
      </c>
      <c r="W481" s="105">
        <f t="shared" si="146"/>
        <v>99430.543002873514</v>
      </c>
      <c r="X481" s="112">
        <f t="shared" si="151"/>
        <v>879.80698125237097</v>
      </c>
      <c r="Y481" s="32">
        <f t="shared" si="147"/>
        <v>505.2074061861498</v>
      </c>
    </row>
    <row r="482" spans="1:25" x14ac:dyDescent="0.25">
      <c r="A482" s="4">
        <v>476</v>
      </c>
      <c r="C482" s="110">
        <f>IF(male=0,VLOOKUP(((A480:A1314/'Life tables'!$I$2)*2)+age,lifetable,13,1),IF(male=1,VLOOKUP(((A480:A1314/'Life tables'!$I$2)*2)+age,lifetable,10,1),"error"))</f>
        <v>3.7736298212742714E-4</v>
      </c>
      <c r="F482" s="101">
        <f t="shared" si="134"/>
        <v>151.44895814346364</v>
      </c>
      <c r="G482" s="101">
        <f t="shared" si="135"/>
        <v>15.213364810717012</v>
      </c>
      <c r="H482" s="101">
        <f t="shared" si="136"/>
        <v>0.34813916330383066</v>
      </c>
      <c r="I482" s="101">
        <f t="shared" si="137"/>
        <v>0.34813916330383066</v>
      </c>
      <c r="J482" s="101">
        <f t="shared" si="138"/>
        <v>6.3154940863993342E-2</v>
      </c>
      <c r="K482" s="101">
        <f t="shared" si="139"/>
        <v>2.7290322764332606E-2</v>
      </c>
      <c r="L482" s="101">
        <f t="shared" si="148"/>
        <v>135.44886974251065</v>
      </c>
      <c r="M482" s="101">
        <f t="shared" si="140"/>
        <v>728.35802310890722</v>
      </c>
      <c r="N482" s="101">
        <f t="shared" si="141"/>
        <v>70.142455705901682</v>
      </c>
      <c r="O482" s="101">
        <f t="shared" si="142"/>
        <v>1.6742931470718136</v>
      </c>
      <c r="P482" s="101">
        <f t="shared" si="143"/>
        <v>1.6742931470718136</v>
      </c>
      <c r="Q482" s="101">
        <f t="shared" si="144"/>
        <v>0.30258815442560383</v>
      </c>
      <c r="R482" s="101">
        <f t="shared" si="145"/>
        <v>1.9506950568861734E-2</v>
      </c>
      <c r="S482" s="101">
        <f t="shared" si="133"/>
        <v>654.54488600386742</v>
      </c>
      <c r="T482" s="101">
        <f t="shared" si="149"/>
        <v>92.61549029035821</v>
      </c>
      <c r="U482" s="101">
        <f t="shared" si="149"/>
        <v>27.990068825899442</v>
      </c>
      <c r="V482" s="33">
        <f t="shared" si="150"/>
        <v>1000.0000000000058</v>
      </c>
      <c r="W482" s="105">
        <f t="shared" si="146"/>
        <v>99269.693436489048</v>
      </c>
      <c r="X482" s="112">
        <f t="shared" si="151"/>
        <v>879.39444088374808</v>
      </c>
      <c r="Y482" s="32">
        <f t="shared" si="147"/>
        <v>504.82529149453995</v>
      </c>
    </row>
    <row r="483" spans="1:25" x14ac:dyDescent="0.25">
      <c r="A483" s="4">
        <v>477</v>
      </c>
      <c r="C483" s="110">
        <f>IF(male=0,VLOOKUP(((A481:A1315/'Life tables'!$I$2)*2)+age,lifetable,13,1),IF(male=1,VLOOKUP(((A481:A1315/'Life tables'!$I$2)*2)+age,lifetable,10,1),"error"))</f>
        <v>3.7736298212742714E-4</v>
      </c>
      <c r="F483" s="101">
        <f t="shared" si="134"/>
        <v>151.37791688132455</v>
      </c>
      <c r="G483" s="101">
        <f t="shared" si="135"/>
        <v>15.206228567253971</v>
      </c>
      <c r="H483" s="101">
        <f t="shared" si="136"/>
        <v>0.34797585913941559</v>
      </c>
      <c r="I483" s="101">
        <f t="shared" si="137"/>
        <v>0.34797585913941559</v>
      </c>
      <c r="J483" s="101">
        <f t="shared" si="138"/>
        <v>6.312531631745108E-2</v>
      </c>
      <c r="K483" s="101">
        <f t="shared" si="139"/>
        <v>2.7277521494537639E-2</v>
      </c>
      <c r="L483" s="101">
        <f t="shared" si="148"/>
        <v>135.38533375797977</v>
      </c>
      <c r="M483" s="101">
        <f t="shared" si="140"/>
        <v>728.01652400242347</v>
      </c>
      <c r="N483" s="101">
        <f t="shared" si="141"/>
        <v>70.10956860204594</v>
      </c>
      <c r="O483" s="101">
        <f t="shared" si="142"/>
        <v>1.6735081353116956</v>
      </c>
      <c r="P483" s="101">
        <f t="shared" si="143"/>
        <v>1.6735081353116956</v>
      </c>
      <c r="Q483" s="101">
        <f t="shared" si="144"/>
        <v>0.30244628246004512</v>
      </c>
      <c r="R483" s="101">
        <f t="shared" si="145"/>
        <v>1.9497804508849855E-2</v>
      </c>
      <c r="S483" s="101">
        <f t="shared" si="133"/>
        <v>654.23799504278531</v>
      </c>
      <c r="T483" s="101">
        <f t="shared" si="149"/>
        <v>92.981061889135702</v>
      </c>
      <c r="U483" s="101">
        <f t="shared" si="149"/>
        <v>28.03684415190283</v>
      </c>
      <c r="V483" s="33">
        <f t="shared" si="150"/>
        <v>1000.0000000000058</v>
      </c>
      <c r="W483" s="105">
        <f t="shared" si="146"/>
        <v>99109.104037022713</v>
      </c>
      <c r="X483" s="112">
        <f t="shared" si="151"/>
        <v>878.9820939589672</v>
      </c>
      <c r="Y483" s="32">
        <f t="shared" si="147"/>
        <v>504.44346581828739</v>
      </c>
    </row>
    <row r="484" spans="1:25" x14ac:dyDescent="0.25">
      <c r="A484" s="4">
        <v>478</v>
      </c>
      <c r="C484" s="110">
        <f>IF(male=0,VLOOKUP(((A482:A1316/'Life tables'!$I$2)*2)+age,lifetable,13,1),IF(male=1,VLOOKUP(((A482:A1316/'Life tables'!$I$2)*2)+age,lifetable,10,1),"error"))</f>
        <v>3.7736298212742714E-4</v>
      </c>
      <c r="F484" s="101">
        <f t="shared" si="134"/>
        <v>151.30690977946199</v>
      </c>
      <c r="G484" s="101">
        <f t="shared" si="135"/>
        <v>15.199095755262199</v>
      </c>
      <c r="H484" s="101">
        <f t="shared" si="136"/>
        <v>0.34781263350000485</v>
      </c>
      <c r="I484" s="101">
        <f t="shared" si="137"/>
        <v>0.34781263350000485</v>
      </c>
      <c r="J484" s="101">
        <f t="shared" si="138"/>
        <v>6.3095706015907707E-2</v>
      </c>
      <c r="K484" s="101">
        <f t="shared" si="139"/>
        <v>2.7264726380248683E-2</v>
      </c>
      <c r="L484" s="101">
        <f t="shared" si="148"/>
        <v>135.32182832480362</v>
      </c>
      <c r="M484" s="101">
        <f t="shared" si="140"/>
        <v>727.67518417950532</v>
      </c>
      <c r="N484" s="101">
        <f t="shared" si="141"/>
        <v>70.076696837542684</v>
      </c>
      <c r="O484" s="101">
        <f t="shared" si="142"/>
        <v>1.6727234897003309</v>
      </c>
      <c r="P484" s="101">
        <f t="shared" si="143"/>
        <v>1.6727234897003309</v>
      </c>
      <c r="Q484" s="101">
        <f t="shared" si="144"/>
        <v>0.30230447666705346</v>
      </c>
      <c r="R484" s="101">
        <f t="shared" si="145"/>
        <v>1.948866271478486E-2</v>
      </c>
      <c r="S484" s="101">
        <f t="shared" si="133"/>
        <v>653.93124722318021</v>
      </c>
      <c r="T484" s="101">
        <f t="shared" si="149"/>
        <v>93.346462071818664</v>
      </c>
      <c r="U484" s="101">
        <f t="shared" si="149"/>
        <v>28.083597540997864</v>
      </c>
      <c r="V484" s="33">
        <f t="shared" si="150"/>
        <v>1000.0000000000059</v>
      </c>
      <c r="W484" s="105">
        <f t="shared" si="146"/>
        <v>98948.774384988137</v>
      </c>
      <c r="X484" s="112">
        <f t="shared" si="151"/>
        <v>878.56994038718938</v>
      </c>
      <c r="Y484" s="32">
        <f t="shared" si="147"/>
        <v>504.06192893872679</v>
      </c>
    </row>
    <row r="485" spans="1:25" x14ac:dyDescent="0.25">
      <c r="A485" s="4">
        <v>479</v>
      </c>
      <c r="C485" s="110">
        <f>IF(male=0,VLOOKUP(((A483:A1317/'Life tables'!$I$2)*2)+age,lifetable,13,1),IF(male=1,VLOOKUP(((A483:A1317/'Life tables'!$I$2)*2)+age,lifetable,10,1),"error"))</f>
        <v>3.7736298212742714E-4</v>
      </c>
      <c r="F485" s="101">
        <f t="shared" si="134"/>
        <v>151.23593679521559</v>
      </c>
      <c r="G485" s="101">
        <f t="shared" si="135"/>
        <v>15.191966370456377</v>
      </c>
      <c r="H485" s="101">
        <f t="shared" si="136"/>
        <v>0.347649486287534</v>
      </c>
      <c r="I485" s="101">
        <f t="shared" si="137"/>
        <v>0.347649486287534</v>
      </c>
      <c r="J485" s="101">
        <f t="shared" si="138"/>
        <v>6.3066109941573703E-2</v>
      </c>
      <c r="K485" s="101">
        <f t="shared" si="139"/>
        <v>2.7251937413778553E-2</v>
      </c>
      <c r="L485" s="101">
        <f t="shared" si="148"/>
        <v>135.2583534048288</v>
      </c>
      <c r="M485" s="101">
        <f t="shared" si="140"/>
        <v>727.33400359197378</v>
      </c>
      <c r="N485" s="101">
        <f t="shared" si="141"/>
        <v>70.043840407752157</v>
      </c>
      <c r="O485" s="101">
        <f t="shared" si="142"/>
        <v>1.6719392101269699</v>
      </c>
      <c r="P485" s="101">
        <f t="shared" si="143"/>
        <v>1.6719392101269699</v>
      </c>
      <c r="Q485" s="101">
        <f t="shared" si="144"/>
        <v>0.30216273702661356</v>
      </c>
      <c r="R485" s="101">
        <f t="shared" si="145"/>
        <v>1.9479525185376417E-2</v>
      </c>
      <c r="S485" s="101">
        <f t="shared" si="133"/>
        <v>653.62464250175572</v>
      </c>
      <c r="T485" s="101">
        <f t="shared" si="149"/>
        <v>93.711690918786857</v>
      </c>
      <c r="U485" s="101">
        <f t="shared" si="149"/>
        <v>28.130329003597019</v>
      </c>
      <c r="V485" s="33">
        <f t="shared" si="150"/>
        <v>1000.0000000000059</v>
      </c>
      <c r="W485" s="105">
        <f t="shared" si="146"/>
        <v>98788.704061532088</v>
      </c>
      <c r="X485" s="112">
        <f t="shared" si="151"/>
        <v>878.15798007762203</v>
      </c>
      <c r="Y485" s="32">
        <f t="shared" si="147"/>
        <v>503.6806806373595</v>
      </c>
    </row>
    <row r="486" spans="1:25" x14ac:dyDescent="0.25">
      <c r="A486" s="4">
        <v>480</v>
      </c>
      <c r="C486" s="110">
        <f>IF(male=0,VLOOKUP(((A484:A1318/'Life tables'!$I$2)*2)+age,lifetable,13,1),IF(male=1,VLOOKUP(((A484:A1318/'Life tables'!$I$2)*2)+age,lifetable,10,1),"error"))</f>
        <v>3.7736298212742714E-4</v>
      </c>
      <c r="F486" s="101">
        <f t="shared" si="134"/>
        <v>151.16499788678092</v>
      </c>
      <c r="G486" s="101">
        <f t="shared" si="135"/>
        <v>15.184840408637159</v>
      </c>
      <c r="H486" s="101">
        <f t="shared" si="136"/>
        <v>0.3474864174059063</v>
      </c>
      <c r="I486" s="101">
        <f t="shared" si="137"/>
        <v>0.3474864174059063</v>
      </c>
      <c r="J486" s="101">
        <f t="shared" si="138"/>
        <v>6.3036528077016388E-2</v>
      </c>
      <c r="K486" s="101">
        <f t="shared" si="139"/>
        <v>2.7239154587594322E-2</v>
      </c>
      <c r="L486" s="101">
        <f t="shared" si="148"/>
        <v>135.19490896066733</v>
      </c>
      <c r="M486" s="101">
        <f t="shared" si="140"/>
        <v>726.9929821908413</v>
      </c>
      <c r="N486" s="101">
        <f t="shared" si="141"/>
        <v>70.010999307956752</v>
      </c>
      <c r="O486" s="101">
        <f t="shared" si="142"/>
        <v>1.6711552964790035</v>
      </c>
      <c r="P486" s="101">
        <f t="shared" si="143"/>
        <v>1.6711552964790035</v>
      </c>
      <c r="Q486" s="101">
        <f t="shared" si="144"/>
        <v>0.30202106351837388</v>
      </c>
      <c r="R486" s="101">
        <f t="shared" si="145"/>
        <v>1.9470391919312539E-2</v>
      </c>
      <c r="S486" s="101">
        <f t="shared" si="133"/>
        <v>653.31818083448889</v>
      </c>
      <c r="T486" s="101">
        <f t="shared" si="149"/>
        <v>94.076748510382245</v>
      </c>
      <c r="U486" s="101">
        <f t="shared" si="149"/>
        <v>28.177038550103926</v>
      </c>
      <c r="V486" s="33">
        <f t="shared" si="150"/>
        <v>1000.0000000000061</v>
      </c>
      <c r="W486" s="105">
        <f t="shared" si="146"/>
        <v>98628.892648435605</v>
      </c>
      <c r="X486" s="112">
        <f t="shared" si="151"/>
        <v>877.74621293951998</v>
      </c>
      <c r="Y486" s="32">
        <f t="shared" si="147"/>
        <v>503.2997206958554</v>
      </c>
    </row>
    <row r="487" spans="1:25" x14ac:dyDescent="0.25">
      <c r="A487" s="4">
        <v>481</v>
      </c>
      <c r="C487" s="110">
        <f>IF(male=0,VLOOKUP(((A485:A1319/'Life tables'!$I$2)*2)+age,lifetable,13,1),IF(male=1,VLOOKUP(((A485:A1319/'Life tables'!$I$2)*2)+age,lifetable,10,1),"error"))</f>
        <v>3.7736298212742714E-4</v>
      </c>
      <c r="F487" s="101">
        <f t="shared" si="134"/>
        <v>151.09409301318277</v>
      </c>
      <c r="G487" s="101">
        <f t="shared" si="135"/>
        <v>15.1777178656885</v>
      </c>
      <c r="H487" s="101">
        <f t="shared" si="136"/>
        <v>0.34732342676093114</v>
      </c>
      <c r="I487" s="101">
        <f t="shared" si="137"/>
        <v>0.34732342676093114</v>
      </c>
      <c r="J487" s="101">
        <f t="shared" si="138"/>
        <v>6.3006960405148887E-2</v>
      </c>
      <c r="K487" s="101">
        <f t="shared" si="139"/>
        <v>2.722637789431245E-2</v>
      </c>
      <c r="L487" s="101">
        <f t="shared" si="148"/>
        <v>135.13149495567293</v>
      </c>
      <c r="M487" s="101">
        <f t="shared" si="140"/>
        <v>726.65211992633726</v>
      </c>
      <c r="N487" s="101">
        <f t="shared" si="141"/>
        <v>69.97817353336346</v>
      </c>
      <c r="O487" s="101">
        <f t="shared" si="142"/>
        <v>1.6703717486420229</v>
      </c>
      <c r="P487" s="101">
        <f t="shared" si="143"/>
        <v>1.6703717486420229</v>
      </c>
      <c r="Q487" s="101">
        <f t="shared" si="144"/>
        <v>0.30187945612165801</v>
      </c>
      <c r="R487" s="101">
        <f t="shared" si="145"/>
        <v>1.946126291526026E-2</v>
      </c>
      <c r="S487" s="101">
        <f t="shared" si="133"/>
        <v>653.01186217665281</v>
      </c>
      <c r="T487" s="101">
        <f t="shared" si="149"/>
        <v>94.441634926909046</v>
      </c>
      <c r="U487" s="101">
        <f t="shared" si="149"/>
        <v>28.223726190913499</v>
      </c>
      <c r="V487" s="33">
        <f t="shared" si="150"/>
        <v>1000.0000000000061</v>
      </c>
      <c r="W487" s="105">
        <f t="shared" si="146"/>
        <v>98469.339728113482</v>
      </c>
      <c r="X487" s="112">
        <f t="shared" si="151"/>
        <v>877.33463888218364</v>
      </c>
      <c r="Y487" s="32">
        <f t="shared" si="147"/>
        <v>502.91904889605132</v>
      </c>
    </row>
    <row r="488" spans="1:25" x14ac:dyDescent="0.25">
      <c r="A488" s="4">
        <v>482</v>
      </c>
      <c r="C488" s="110">
        <f>IF(male=0,VLOOKUP(((A486:A1320/'Life tables'!$I$2)*2)+age,lifetable,13,1),IF(male=1,VLOOKUP(((A486:A1320/'Life tables'!$I$2)*2)+age,lifetable,10,1),"error"))</f>
        <v>3.7736298212742714E-4</v>
      </c>
      <c r="F488" s="101">
        <f t="shared" si="134"/>
        <v>151.02322213424952</v>
      </c>
      <c r="G488" s="101">
        <f t="shared" si="135"/>
        <v>15.170598737575078</v>
      </c>
      <c r="H488" s="101">
        <f t="shared" si="136"/>
        <v>0.34716051426026501</v>
      </c>
      <c r="I488" s="101">
        <f t="shared" si="137"/>
        <v>0.34716051426026501</v>
      </c>
      <c r="J488" s="101">
        <f t="shared" si="138"/>
        <v>6.2977406909219477E-2</v>
      </c>
      <c r="K488" s="101">
        <f t="shared" si="139"/>
        <v>2.7213607326694228E-2</v>
      </c>
      <c r="L488" s="101">
        <f t="shared" si="148"/>
        <v>135.068111353918</v>
      </c>
      <c r="M488" s="101">
        <f t="shared" si="140"/>
        <v>726.311416747934</v>
      </c>
      <c r="N488" s="101">
        <f t="shared" si="141"/>
        <v>69.945363079106357</v>
      </c>
      <c r="O488" s="101">
        <f t="shared" si="142"/>
        <v>1.6695885664998789</v>
      </c>
      <c r="P488" s="101">
        <f t="shared" si="143"/>
        <v>1.6695885664998789</v>
      </c>
      <c r="Q488" s="101">
        <f t="shared" si="144"/>
        <v>0.30173791481547468</v>
      </c>
      <c r="R488" s="101">
        <f t="shared" si="145"/>
        <v>1.9452138171866345E-2</v>
      </c>
      <c r="S488" s="101">
        <f t="shared" si="133"/>
        <v>652.70568648284052</v>
      </c>
      <c r="T488" s="101">
        <f t="shared" si="149"/>
        <v>94.806350248633734</v>
      </c>
      <c r="U488" s="101">
        <f t="shared" si="149"/>
        <v>28.270391936412061</v>
      </c>
      <c r="V488" s="33">
        <f t="shared" si="150"/>
        <v>1000.0000000000059</v>
      </c>
      <c r="W488" s="105">
        <f t="shared" si="146"/>
        <v>98310.044883615512</v>
      </c>
      <c r="X488" s="112">
        <f t="shared" si="151"/>
        <v>876.92325781496015</v>
      </c>
      <c r="Y488" s="32">
        <f t="shared" si="147"/>
        <v>502.53866501995037</v>
      </c>
    </row>
    <row r="489" spans="1:25" x14ac:dyDescent="0.25">
      <c r="A489" s="4">
        <v>483</v>
      </c>
      <c r="C489" s="110">
        <f>IF(male=0,VLOOKUP(((A487:A1321/'Life tables'!$I$2)*2)+age,lifetable,13,1),IF(male=1,VLOOKUP(((A487:A1321/'Life tables'!$I$2)*2)+age,lifetable,10,1),"error"))</f>
        <v>3.7736298212742714E-4</v>
      </c>
      <c r="F489" s="101">
        <f t="shared" si="134"/>
        <v>150.95238521058812</v>
      </c>
      <c r="G489" s="101">
        <f t="shared" si="135"/>
        <v>15.163483020339777</v>
      </c>
      <c r="H489" s="101">
        <f t="shared" si="136"/>
        <v>0.34699767981335428</v>
      </c>
      <c r="I489" s="101">
        <f t="shared" si="137"/>
        <v>0.34699767981335428</v>
      </c>
      <c r="J489" s="101">
        <f t="shared" si="138"/>
        <v>6.2947867572801006E-2</v>
      </c>
      <c r="K489" s="101">
        <f t="shared" si="139"/>
        <v>2.7200842877641226E-2</v>
      </c>
      <c r="L489" s="101">
        <f t="shared" si="148"/>
        <v>135.0047581201712</v>
      </c>
      <c r="M489" s="101">
        <f t="shared" si="140"/>
        <v>725.97087260437206</v>
      </c>
      <c r="N489" s="101">
        <f t="shared" si="141"/>
        <v>69.912567940249048</v>
      </c>
      <c r="O489" s="101">
        <f t="shared" si="142"/>
        <v>1.6688057499347404</v>
      </c>
      <c r="P489" s="101">
        <f t="shared" si="143"/>
        <v>1.6688057499347404</v>
      </c>
      <c r="Q489" s="101">
        <f t="shared" si="144"/>
        <v>0.30159643957852861</v>
      </c>
      <c r="R489" s="101">
        <f t="shared" si="145"/>
        <v>1.9443017687757965E-2</v>
      </c>
      <c r="S489" s="101">
        <f t="shared" si="133"/>
        <v>652.39965370698724</v>
      </c>
      <c r="T489" s="101">
        <f t="shared" si="149"/>
        <v>95.170894555785068</v>
      </c>
      <c r="U489" s="101">
        <f t="shared" si="149"/>
        <v>28.317035796977461</v>
      </c>
      <c r="V489" s="33">
        <f t="shared" si="150"/>
        <v>1000.0000000000059</v>
      </c>
      <c r="W489" s="105">
        <f t="shared" si="146"/>
        <v>98151.007698626185</v>
      </c>
      <c r="X489" s="112">
        <f t="shared" si="151"/>
        <v>876.51206964724338</v>
      </c>
      <c r="Y489" s="32">
        <f t="shared" si="147"/>
        <v>502.15856884972283</v>
      </c>
    </row>
    <row r="490" spans="1:25" x14ac:dyDescent="0.25">
      <c r="A490" s="4">
        <v>484</v>
      </c>
      <c r="C490" s="110">
        <f>IF(male=0,VLOOKUP(((A488:A1322/'Life tables'!$I$2)*2)+age,lifetable,13,1),IF(male=1,VLOOKUP(((A488:A1322/'Life tables'!$I$2)*2)+age,lifetable,10,1),"error"))</f>
        <v>3.7736298212742714E-4</v>
      </c>
      <c r="F490" s="101">
        <f t="shared" si="134"/>
        <v>150.88158220355982</v>
      </c>
      <c r="G490" s="101">
        <f t="shared" si="135"/>
        <v>15.156370710101253</v>
      </c>
      <c r="H490" s="101">
        <f t="shared" si="136"/>
        <v>0.34683492333137916</v>
      </c>
      <c r="I490" s="101">
        <f t="shared" si="137"/>
        <v>0.34683492333137916</v>
      </c>
      <c r="J490" s="101">
        <f t="shared" si="138"/>
        <v>6.2918342379780987E-2</v>
      </c>
      <c r="K490" s="101">
        <f t="shared" si="139"/>
        <v>2.7188084540190949E-2</v>
      </c>
      <c r="L490" s="101">
        <f t="shared" si="148"/>
        <v>134.94143521987584</v>
      </c>
      <c r="M490" s="101">
        <f t="shared" si="140"/>
        <v>725.63048744368371</v>
      </c>
      <c r="N490" s="101">
        <f t="shared" si="141"/>
        <v>69.879788111786908</v>
      </c>
      <c r="O490" s="101">
        <f t="shared" si="142"/>
        <v>1.6680232988271477</v>
      </c>
      <c r="P490" s="101">
        <f t="shared" si="143"/>
        <v>1.6680232988271477</v>
      </c>
      <c r="Q490" s="101">
        <f t="shared" si="144"/>
        <v>0.3014550303892306</v>
      </c>
      <c r="R490" s="101">
        <f t="shared" si="145"/>
        <v>1.9433901461543304E-2</v>
      </c>
      <c r="S490" s="101">
        <f t="shared" si="133"/>
        <v>652.09376380239178</v>
      </c>
      <c r="T490" s="101">
        <f t="shared" si="149"/>
        <v>95.535267928554077</v>
      </c>
      <c r="U490" s="101">
        <f t="shared" si="149"/>
        <v>28.363657782979196</v>
      </c>
      <c r="V490" s="33">
        <f t="shared" si="150"/>
        <v>1000.000000000006</v>
      </c>
      <c r="W490" s="105">
        <f t="shared" si="146"/>
        <v>97992.227757465385</v>
      </c>
      <c r="X490" s="112">
        <f t="shared" si="151"/>
        <v>876.10107428847277</v>
      </c>
      <c r="Y490" s="32">
        <f t="shared" si="147"/>
        <v>501.77876016770614</v>
      </c>
    </row>
    <row r="491" spans="1:25" x14ac:dyDescent="0.25">
      <c r="A491" s="4">
        <v>485</v>
      </c>
      <c r="C491" s="110">
        <f>IF(male=0,VLOOKUP(((A489:A1323/'Life tables'!$I$2)*2)+age,lifetable,13,1),IF(male=1,VLOOKUP(((A489:A1323/'Life tables'!$I$2)*2)+age,lifetable,10,1),"error"))</f>
        <v>3.7736298212742714E-4</v>
      </c>
      <c r="F491" s="101">
        <f t="shared" si="134"/>
        <v>150.81081307525685</v>
      </c>
      <c r="G491" s="101">
        <f t="shared" si="135"/>
        <v>15.149261803051596</v>
      </c>
      <c r="H491" s="101">
        <f t="shared" si="136"/>
        <v>0.34667224472720021</v>
      </c>
      <c r="I491" s="101">
        <f t="shared" si="137"/>
        <v>0.34667224472720021</v>
      </c>
      <c r="J491" s="101">
        <f t="shared" si="138"/>
        <v>6.2888831314351704E-2</v>
      </c>
      <c r="K491" s="101">
        <f t="shared" si="139"/>
        <v>2.7175332307512602E-2</v>
      </c>
      <c r="L491" s="101">
        <f t="shared" si="148"/>
        <v>134.87814261912899</v>
      </c>
      <c r="M491" s="101">
        <f t="shared" si="140"/>
        <v>725.29026121321601</v>
      </c>
      <c r="N491" s="101">
        <f t="shared" si="141"/>
        <v>69.847023588649364</v>
      </c>
      <c r="O491" s="101">
        <f t="shared" si="142"/>
        <v>1.6672412130560668</v>
      </c>
      <c r="P491" s="101">
        <f t="shared" si="143"/>
        <v>1.6672412130560668</v>
      </c>
      <c r="Q491" s="101">
        <f t="shared" si="144"/>
        <v>0.30131368722570639</v>
      </c>
      <c r="R491" s="101">
        <f t="shared" si="145"/>
        <v>1.9424789491812217E-2</v>
      </c>
      <c r="S491" s="101">
        <f t="shared" si="133"/>
        <v>651.78801672173699</v>
      </c>
      <c r="T491" s="101">
        <f t="shared" si="149"/>
        <v>95.899470447094131</v>
      </c>
      <c r="U491" s="101">
        <f t="shared" si="149"/>
        <v>28.410257904778522</v>
      </c>
      <c r="V491" s="33">
        <f t="shared" si="150"/>
        <v>1000.0000000000061</v>
      </c>
      <c r="W491" s="105">
        <f t="shared" si="146"/>
        <v>97833.704645088044</v>
      </c>
      <c r="X491" s="112">
        <f t="shared" si="151"/>
        <v>875.69027164813338</v>
      </c>
      <c r="Y491" s="32">
        <f t="shared" si="147"/>
        <v>501.39923875640324</v>
      </c>
    </row>
    <row r="492" spans="1:25" x14ac:dyDescent="0.25">
      <c r="A492" s="4">
        <v>486</v>
      </c>
      <c r="C492" s="110">
        <f>IF(male=0,VLOOKUP(((A490:A1324/'Life tables'!$I$2)*2)+age,lifetable,13,1),IF(male=1,VLOOKUP(((A490:A1324/'Life tables'!$I$2)*2)+age,lifetable,10,1),"error"))</f>
        <v>3.7736298212742714E-4</v>
      </c>
      <c r="F492" s="101">
        <f t="shared" si="134"/>
        <v>150.74007778847951</v>
      </c>
      <c r="G492" s="101">
        <f t="shared" si="135"/>
        <v>15.142156295454013</v>
      </c>
      <c r="H492" s="101">
        <f t="shared" si="136"/>
        <v>0.34650964391530559</v>
      </c>
      <c r="I492" s="101">
        <f t="shared" si="137"/>
        <v>0.34650964391530559</v>
      </c>
      <c r="J492" s="101">
        <f t="shared" si="138"/>
        <v>6.285933436100069E-2</v>
      </c>
      <c r="K492" s="101">
        <f t="shared" si="139"/>
        <v>2.7162586172902996E-2</v>
      </c>
      <c r="L492" s="101">
        <f t="shared" si="148"/>
        <v>134.81488028466097</v>
      </c>
      <c r="M492" s="101">
        <f t="shared" si="140"/>
        <v>724.95019385965384</v>
      </c>
      <c r="N492" s="101">
        <f t="shared" si="141"/>
        <v>69.814274365702047</v>
      </c>
      <c r="O492" s="101">
        <f t="shared" si="142"/>
        <v>1.6664594924989407</v>
      </c>
      <c r="P492" s="101">
        <f t="shared" si="143"/>
        <v>1.6664594924989407</v>
      </c>
      <c r="Q492" s="101">
        <f t="shared" si="144"/>
        <v>0.30117241006580703</v>
      </c>
      <c r="R492" s="101">
        <f t="shared" si="145"/>
        <v>1.9415681777136807E-2</v>
      </c>
      <c r="S492" s="101">
        <f t="shared" si="133"/>
        <v>651.48241241711094</v>
      </c>
      <c r="T492" s="101">
        <f t="shared" si="149"/>
        <v>96.263502191520942</v>
      </c>
      <c r="U492" s="101">
        <f t="shared" si="149"/>
        <v>28.456836172728561</v>
      </c>
      <c r="V492" s="33">
        <f t="shared" si="150"/>
        <v>1000.000000000006</v>
      </c>
      <c r="W492" s="105">
        <f t="shared" si="146"/>
        <v>97675.437947084967</v>
      </c>
      <c r="X492" s="112">
        <f t="shared" si="151"/>
        <v>875.2796616357565</v>
      </c>
      <c r="Y492" s="32">
        <f t="shared" si="147"/>
        <v>501.02000439848342</v>
      </c>
    </row>
    <row r="493" spans="1:25" x14ac:dyDescent="0.25">
      <c r="A493" s="4">
        <v>487</v>
      </c>
      <c r="C493" s="110">
        <f>IF(male=0,VLOOKUP(((A491:A1325/'Life tables'!$I$2)*2)+age,lifetable,13,1),IF(male=1,VLOOKUP(((A491:A1325/'Life tables'!$I$2)*2)+age,lifetable,10,1),"error"))</f>
        <v>3.7736298212742714E-4</v>
      </c>
      <c r="F493" s="101">
        <f t="shared" si="134"/>
        <v>150.66937630671444</v>
      </c>
      <c r="G493" s="101">
        <f t="shared" si="135"/>
        <v>15.135054183640662</v>
      </c>
      <c r="H493" s="101">
        <f t="shared" si="136"/>
        <v>0.34634712081176128</v>
      </c>
      <c r="I493" s="101">
        <f t="shared" si="137"/>
        <v>0.34634712081176128</v>
      </c>
      <c r="J493" s="101">
        <f t="shared" si="138"/>
        <v>6.2829851504501641E-2</v>
      </c>
      <c r="K493" s="101">
        <f t="shared" si="139"/>
        <v>2.714984612978261E-2</v>
      </c>
      <c r="L493" s="101">
        <f t="shared" si="148"/>
        <v>134.75164818381597</v>
      </c>
      <c r="M493" s="101">
        <f t="shared" si="140"/>
        <v>724.61028532904197</v>
      </c>
      <c r="N493" s="101">
        <f t="shared" si="141"/>
        <v>69.781540437748959</v>
      </c>
      <c r="O493" s="101">
        <f t="shared" si="142"/>
        <v>1.6656781370317413</v>
      </c>
      <c r="P493" s="101">
        <f t="shared" si="143"/>
        <v>1.6656781370317413</v>
      </c>
      <c r="Q493" s="101">
        <f t="shared" si="144"/>
        <v>0.30103119888711727</v>
      </c>
      <c r="R493" s="101">
        <f t="shared" si="145"/>
        <v>1.9406578316072044E-2</v>
      </c>
      <c r="S493" s="101">
        <f t="shared" si="133"/>
        <v>651.17695084002639</v>
      </c>
      <c r="T493" s="101">
        <f t="shared" si="149"/>
        <v>96.627363241912562</v>
      </c>
      <c r="U493" s="101">
        <f t="shared" si="149"/>
        <v>28.503392597174415</v>
      </c>
      <c r="V493" s="33">
        <f t="shared" si="150"/>
        <v>1000.0000000000059</v>
      </c>
      <c r="W493" s="105">
        <f t="shared" si="146"/>
        <v>97517.427249682456</v>
      </c>
      <c r="X493" s="112">
        <f t="shared" si="151"/>
        <v>874.86924416091892</v>
      </c>
      <c r="Y493" s="32">
        <f t="shared" si="147"/>
        <v>500.6410568767833</v>
      </c>
    </row>
    <row r="494" spans="1:25" x14ac:dyDescent="0.25">
      <c r="A494" s="4">
        <v>488</v>
      </c>
      <c r="C494" s="110">
        <f>IF(male=0,VLOOKUP(((A492:A1326/'Life tables'!$I$2)*2)+age,lifetable,13,1),IF(male=1,VLOOKUP(((A492:A1326/'Life tables'!$I$2)*2)+age,lifetable,10,1),"error"))</f>
        <v>3.7736298212742714E-4</v>
      </c>
      <c r="F494" s="101">
        <f t="shared" si="134"/>
        <v>150.59870859411305</v>
      </c>
      <c r="G494" s="101">
        <f t="shared" si="135"/>
        <v>15.12795546401048</v>
      </c>
      <c r="H494" s="101">
        <f t="shared" si="136"/>
        <v>0.3461846753341612</v>
      </c>
      <c r="I494" s="101">
        <f t="shared" si="137"/>
        <v>0.3461846753341612</v>
      </c>
      <c r="J494" s="101">
        <f t="shared" si="138"/>
        <v>6.2800382729905624E-2</v>
      </c>
      <c r="K494" s="101">
        <f t="shared" si="139"/>
        <v>2.7137112171691714E-2</v>
      </c>
      <c r="L494" s="101">
        <f t="shared" si="148"/>
        <v>134.68844628453266</v>
      </c>
      <c r="M494" s="101">
        <f t="shared" si="140"/>
        <v>724.27053556680585</v>
      </c>
      <c r="N494" s="101">
        <f t="shared" si="141"/>
        <v>69.748821799534454</v>
      </c>
      <c r="O494" s="101">
        <f t="shared" si="142"/>
        <v>1.6648971465290168</v>
      </c>
      <c r="P494" s="101">
        <f t="shared" si="143"/>
        <v>1.6648971465290168</v>
      </c>
      <c r="Q494" s="101">
        <f t="shared" si="144"/>
        <v>0.30089005366696475</v>
      </c>
      <c r="R494" s="101">
        <f t="shared" si="145"/>
        <v>1.9397479107156303E-2</v>
      </c>
      <c r="S494" s="101">
        <f t="shared" si="133"/>
        <v>650.8716319414392</v>
      </c>
      <c r="T494" s="101">
        <f t="shared" si="149"/>
        <v>96.991053678309427</v>
      </c>
      <c r="U494" s="101">
        <f t="shared" si="149"/>
        <v>28.549927188453264</v>
      </c>
      <c r="V494" s="33">
        <f t="shared" si="150"/>
        <v>1000.0000000000058</v>
      </c>
      <c r="W494" s="105">
        <f t="shared" si="146"/>
        <v>97359.672139742805</v>
      </c>
      <c r="X494" s="112">
        <f t="shared" si="151"/>
        <v>874.45901913324315</v>
      </c>
      <c r="Y494" s="32">
        <f t="shared" si="147"/>
        <v>500.26239597430305</v>
      </c>
    </row>
    <row r="495" spans="1:25" x14ac:dyDescent="0.25">
      <c r="A495" s="4">
        <v>489</v>
      </c>
      <c r="C495" s="110">
        <f>IF(male=0,VLOOKUP(((A493:A1327/'Life tables'!$I$2)*2)+age,lifetable,13,1),IF(male=1,VLOOKUP(((A493:A1327/'Life tables'!$I$2)*2)+age,lifetable,10,1),"error"))</f>
        <v>3.7736298212742714E-4</v>
      </c>
      <c r="F495" s="101">
        <f t="shared" si="134"/>
        <v>150.5280746154711</v>
      </c>
      <c r="G495" s="101">
        <f t="shared" si="135"/>
        <v>15.120860133027122</v>
      </c>
      <c r="H495" s="101">
        <f t="shared" si="136"/>
        <v>0.34602230740158069</v>
      </c>
      <c r="I495" s="101">
        <f t="shared" si="137"/>
        <v>0.34602230740158069</v>
      </c>
      <c r="J495" s="101">
        <f t="shared" si="138"/>
        <v>6.277092802253223E-2</v>
      </c>
      <c r="K495" s="101">
        <f t="shared" si="139"/>
        <v>2.7124384292286679E-2</v>
      </c>
      <c r="L495" s="101">
        <f t="shared" si="148"/>
        <v>134.625274555326</v>
      </c>
      <c r="M495" s="101">
        <f t="shared" si="140"/>
        <v>723.9309445177721</v>
      </c>
      <c r="N495" s="101">
        <f t="shared" si="141"/>
        <v>69.716118445745195</v>
      </c>
      <c r="O495" s="101">
        <f t="shared" si="142"/>
        <v>1.664116520863939</v>
      </c>
      <c r="P495" s="101">
        <f t="shared" si="143"/>
        <v>1.664116520863939</v>
      </c>
      <c r="Q495" s="101">
        <f t="shared" si="144"/>
        <v>0.30074897438242831</v>
      </c>
      <c r="R495" s="101">
        <f t="shared" si="145"/>
        <v>1.9388384148911933E-2</v>
      </c>
      <c r="S495" s="101">
        <f t="shared" si="133"/>
        <v>650.5664556717677</v>
      </c>
      <c r="T495" s="101">
        <f t="shared" si="149"/>
        <v>97.354573580714387</v>
      </c>
      <c r="U495" s="101">
        <f t="shared" si="149"/>
        <v>28.596439956894464</v>
      </c>
      <c r="V495" s="33">
        <f t="shared" si="150"/>
        <v>1000.0000000000058</v>
      </c>
      <c r="W495" s="105">
        <f t="shared" si="146"/>
        <v>97202.172204763978</v>
      </c>
      <c r="X495" s="112">
        <f t="shared" si="151"/>
        <v>874.04898646239701</v>
      </c>
      <c r="Y495" s="32">
        <f t="shared" si="147"/>
        <v>499.88402147421067</v>
      </c>
    </row>
    <row r="496" spans="1:25" x14ac:dyDescent="0.25">
      <c r="A496" s="4">
        <v>490</v>
      </c>
      <c r="C496" s="110">
        <f>IF(male=0,VLOOKUP(((A494:A1328/'Life tables'!$I$2)*2)+age,lifetable,13,1),IF(male=1,VLOOKUP(((A494:A1328/'Life tables'!$I$2)*2)+age,lifetable,10,1),"error"))</f>
        <v>3.7736298212742714E-4</v>
      </c>
      <c r="F496" s="101">
        <f t="shared" si="134"/>
        <v>150.45747433620852</v>
      </c>
      <c r="G496" s="101">
        <f t="shared" si="135"/>
        <v>15.113768187216953</v>
      </c>
      <c r="H496" s="101">
        <f t="shared" si="136"/>
        <v>0.34586001693452967</v>
      </c>
      <c r="I496" s="101">
        <f t="shared" si="137"/>
        <v>0.34586001693452967</v>
      </c>
      <c r="J496" s="101">
        <f t="shared" si="138"/>
        <v>6.2741487367961424E-2</v>
      </c>
      <c r="K496" s="101">
        <f t="shared" si="139"/>
        <v>2.7111662485336363E-2</v>
      </c>
      <c r="L496" s="101">
        <f t="shared" si="148"/>
        <v>134.5621329652692</v>
      </c>
      <c r="M496" s="101">
        <f t="shared" si="140"/>
        <v>723.59151212618849</v>
      </c>
      <c r="N496" s="101">
        <f t="shared" si="141"/>
        <v>69.68343037101215</v>
      </c>
      <c r="O496" s="101">
        <f t="shared" si="142"/>
        <v>1.663336259908349</v>
      </c>
      <c r="P496" s="101">
        <f t="shared" si="143"/>
        <v>1.663336259908349</v>
      </c>
      <c r="Q496" s="101">
        <f t="shared" si="144"/>
        <v>0.30060796101034631</v>
      </c>
      <c r="R496" s="101">
        <f t="shared" si="145"/>
        <v>1.9379293439845766E-2</v>
      </c>
      <c r="S496" s="101">
        <f t="shared" si="133"/>
        <v>650.26142198090952</v>
      </c>
      <c r="T496" s="101">
        <f t="shared" si="149"/>
        <v>97.717923029092688</v>
      </c>
      <c r="U496" s="101">
        <f t="shared" si="149"/>
        <v>28.642930912819647</v>
      </c>
      <c r="V496" s="33">
        <f t="shared" si="150"/>
        <v>1000.000000000006</v>
      </c>
      <c r="W496" s="105">
        <f t="shared" si="146"/>
        <v>97044.927032879859</v>
      </c>
      <c r="X496" s="112">
        <f t="shared" si="151"/>
        <v>873.63914605809362</v>
      </c>
      <c r="Y496" s="32">
        <f t="shared" si="147"/>
        <v>499.50593315983866</v>
      </c>
    </row>
    <row r="497" spans="1:25" x14ac:dyDescent="0.25">
      <c r="A497" s="4">
        <v>491</v>
      </c>
      <c r="C497" s="110">
        <f>IF(male=0,VLOOKUP(((A495:A1329/'Life tables'!$I$2)*2)+age,lifetable,13,1),IF(male=1,VLOOKUP(((A495:A1329/'Life tables'!$I$2)*2)+age,lifetable,10,1),"error"))</f>
        <v>3.7736298212742714E-4</v>
      </c>
      <c r="F497" s="101">
        <f t="shared" si="134"/>
        <v>150.38690772235023</v>
      </c>
      <c r="G497" s="101">
        <f t="shared" si="135"/>
        <v>15.106679623167102</v>
      </c>
      <c r="H497" s="101">
        <f t="shared" si="136"/>
        <v>0.34569780385490889</v>
      </c>
      <c r="I497" s="101">
        <f t="shared" si="137"/>
        <v>0.34569780385490889</v>
      </c>
      <c r="J497" s="101">
        <f t="shared" si="138"/>
        <v>6.2712060752025442E-2</v>
      </c>
      <c r="K497" s="101">
        <f t="shared" si="139"/>
        <v>2.7098946744718626E-2</v>
      </c>
      <c r="L497" s="101">
        <f t="shared" si="148"/>
        <v>134.49902148397658</v>
      </c>
      <c r="M497" s="101">
        <f t="shared" si="140"/>
        <v>723.2522383357433</v>
      </c>
      <c r="N497" s="101">
        <f t="shared" si="141"/>
        <v>69.650757569912358</v>
      </c>
      <c r="O497" s="101">
        <f t="shared" si="142"/>
        <v>1.6625563635328016</v>
      </c>
      <c r="P497" s="101">
        <f t="shared" si="143"/>
        <v>1.6625563635328016</v>
      </c>
      <c r="Q497" s="101">
        <f t="shared" si="144"/>
        <v>0.30046701352732469</v>
      </c>
      <c r="R497" s="101">
        <f t="shared" si="145"/>
        <v>1.9370206978449656E-2</v>
      </c>
      <c r="S497" s="101">
        <f t="shared" si="133"/>
        <v>649.95653081825958</v>
      </c>
      <c r="T497" s="101">
        <f t="shared" si="149"/>
        <v>98.081102103372032</v>
      </c>
      <c r="U497" s="101">
        <f t="shared" si="149"/>
        <v>28.689400066542817</v>
      </c>
      <c r="V497" s="33">
        <f t="shared" si="150"/>
        <v>1000.0000000000059</v>
      </c>
      <c r="W497" s="105">
        <f t="shared" si="146"/>
        <v>96887.936212860295</v>
      </c>
      <c r="X497" s="112">
        <f t="shared" si="151"/>
        <v>873.22949783009108</v>
      </c>
      <c r="Y497" s="32">
        <f t="shared" si="147"/>
        <v>499.12813081468477</v>
      </c>
    </row>
    <row r="498" spans="1:25" x14ac:dyDescent="0.25">
      <c r="A498" s="4">
        <v>492</v>
      </c>
      <c r="C498" s="110">
        <f>IF(male=0,VLOOKUP(((A496:A1330/'Life tables'!$I$2)*2)+age,lifetable,13,1),IF(male=1,VLOOKUP(((A496:A1330/'Life tables'!$I$2)*2)+age,lifetable,10,1),"error"))</f>
        <v>3.7736298212742714E-4</v>
      </c>
      <c r="F498" s="101">
        <f t="shared" si="134"/>
        <v>150.31637474050734</v>
      </c>
      <c r="G498" s="101">
        <f t="shared" si="135"/>
        <v>15.099594437523585</v>
      </c>
      <c r="H498" s="101">
        <f t="shared" si="136"/>
        <v>0.34553566808596653</v>
      </c>
      <c r="I498" s="101">
        <f t="shared" si="137"/>
        <v>0.34553566808596653</v>
      </c>
      <c r="J498" s="101">
        <f t="shared" si="138"/>
        <v>6.2682648160800949E-2</v>
      </c>
      <c r="K498" s="101">
        <f t="shared" si="139"/>
        <v>2.708623706441696E-2</v>
      </c>
      <c r="L498" s="101">
        <f t="shared" si="148"/>
        <v>134.43594008158661</v>
      </c>
      <c r="M498" s="101">
        <f t="shared" si="140"/>
        <v>722.91312308958368</v>
      </c>
      <c r="N498" s="101">
        <f t="shared" si="141"/>
        <v>69.618100036970773</v>
      </c>
      <c r="O498" s="101">
        <f t="shared" si="142"/>
        <v>1.6617768316066082</v>
      </c>
      <c r="P498" s="101">
        <f t="shared" si="143"/>
        <v>1.6617768316066082</v>
      </c>
      <c r="Q498" s="101">
        <f t="shared" si="144"/>
        <v>0.30032613190974455</v>
      </c>
      <c r="R498" s="101">
        <f t="shared" si="145"/>
        <v>1.9361124763200972E-2</v>
      </c>
      <c r="S498" s="101">
        <f t="shared" si="133"/>
        <v>649.65178213272679</v>
      </c>
      <c r="T498" s="101">
        <f t="shared" si="149"/>
        <v>98.444110883442576</v>
      </c>
      <c r="U498" s="101">
        <f t="shared" si="149"/>
        <v>28.735847428370434</v>
      </c>
      <c r="V498" s="33">
        <f t="shared" si="150"/>
        <v>1000.0000000000059</v>
      </c>
      <c r="W498" s="105">
        <f t="shared" si="146"/>
        <v>96731.199334110992</v>
      </c>
      <c r="X498" s="112">
        <f t="shared" si="151"/>
        <v>872.82004168819299</v>
      </c>
      <c r="Y498" s="32">
        <f t="shared" si="147"/>
        <v>498.75061422241276</v>
      </c>
    </row>
    <row r="499" spans="1:25" x14ac:dyDescent="0.25">
      <c r="A499" s="4">
        <v>493</v>
      </c>
      <c r="C499" s="110">
        <f>IF(male=0,VLOOKUP(((A497:A1331/'Life tables'!$I$2)*2)+age,lifetable,13,1),IF(male=1,VLOOKUP(((A497:A1331/'Life tables'!$I$2)*2)+age,lifetable,10,1),"error"))</f>
        <v>3.7736298212742714E-4</v>
      </c>
      <c r="F499" s="101">
        <f t="shared" si="134"/>
        <v>150.24587535785886</v>
      </c>
      <c r="G499" s="101">
        <f t="shared" si="135"/>
        <v>15.092512626989468</v>
      </c>
      <c r="H499" s="101">
        <f t="shared" si="136"/>
        <v>0.34537360955225627</v>
      </c>
      <c r="I499" s="101">
        <f t="shared" si="137"/>
        <v>0.34537360955225627</v>
      </c>
      <c r="J499" s="101">
        <f t="shared" si="138"/>
        <v>6.2653249580601436E-2</v>
      </c>
      <c r="K499" s="101">
        <f t="shared" si="139"/>
        <v>2.7073533438517202E-2</v>
      </c>
      <c r="L499" s="101">
        <f t="shared" si="148"/>
        <v>134.37288872874578</v>
      </c>
      <c r="M499" s="101">
        <f t="shared" si="140"/>
        <v>722.57416633033415</v>
      </c>
      <c r="N499" s="101">
        <f t="shared" si="141"/>
        <v>69.585457766662003</v>
      </c>
      <c r="O499" s="101">
        <f t="shared" si="142"/>
        <v>1.6609976639978781</v>
      </c>
      <c r="P499" s="101">
        <f t="shared" si="143"/>
        <v>1.6609976639978781</v>
      </c>
      <c r="Q499" s="101">
        <f t="shared" si="144"/>
        <v>0.30018531613376997</v>
      </c>
      <c r="R499" s="101">
        <f t="shared" si="145"/>
        <v>1.9352046792563072E-2</v>
      </c>
      <c r="S499" s="101">
        <f t="shared" si="133"/>
        <v>649.34717587275009</v>
      </c>
      <c r="T499" s="101">
        <f t="shared" si="149"/>
        <v>98.806949449156946</v>
      </c>
      <c r="U499" s="101">
        <f t="shared" si="149"/>
        <v>28.782273008601514</v>
      </c>
      <c r="V499" s="33">
        <f t="shared" si="150"/>
        <v>1000.000000000006</v>
      </c>
      <c r="W499" s="105">
        <f t="shared" si="146"/>
        <v>96574.71598667324</v>
      </c>
      <c r="X499" s="112">
        <f t="shared" si="151"/>
        <v>872.41077754224762</v>
      </c>
      <c r="Y499" s="32">
        <f t="shared" si="147"/>
        <v>498.37338316685009</v>
      </c>
    </row>
    <row r="500" spans="1:25" x14ac:dyDescent="0.25">
      <c r="A500" s="4">
        <v>494</v>
      </c>
      <c r="C500" s="110">
        <f>IF(male=0,VLOOKUP(((A498:A1332/'Life tables'!$I$2)*2)+age,lifetable,13,1),IF(male=1,VLOOKUP(((A498:A1332/'Life tables'!$I$2)*2)+age,lifetable,10,1),"error"))</f>
        <v>3.7736298212742714E-4</v>
      </c>
      <c r="F500" s="101">
        <f t="shared" si="134"/>
        <v>150.17540954213422</v>
      </c>
      <c r="G500" s="101">
        <f t="shared" si="135"/>
        <v>15.0854341883231</v>
      </c>
      <c r="H500" s="101">
        <f t="shared" si="136"/>
        <v>0.345211628179597</v>
      </c>
      <c r="I500" s="101">
        <f t="shared" si="137"/>
        <v>0.345211628179597</v>
      </c>
      <c r="J500" s="101">
        <f t="shared" si="138"/>
        <v>6.262386499796993E-2</v>
      </c>
      <c r="K500" s="101">
        <f t="shared" si="139"/>
        <v>2.7060835861204353E-2</v>
      </c>
      <c r="L500" s="101">
        <f t="shared" si="148"/>
        <v>134.30986739659275</v>
      </c>
      <c r="M500" s="101">
        <f t="shared" si="140"/>
        <v>722.23536800011345</v>
      </c>
      <c r="N500" s="101">
        <f t="shared" si="141"/>
        <v>69.552830753411982</v>
      </c>
      <c r="O500" s="101">
        <f t="shared" si="142"/>
        <v>1.6602188605735584</v>
      </c>
      <c r="P500" s="101">
        <f t="shared" si="143"/>
        <v>1.6602188605735584</v>
      </c>
      <c r="Q500" s="101">
        <f t="shared" si="144"/>
        <v>0.3000445661753548</v>
      </c>
      <c r="R500" s="101">
        <f t="shared" si="145"/>
        <v>1.9342973064985773E-2</v>
      </c>
      <c r="S500" s="101">
        <f t="shared" si="133"/>
        <v>649.04271198631398</v>
      </c>
      <c r="T500" s="101">
        <f t="shared" si="149"/>
        <v>99.169617880330264</v>
      </c>
      <c r="U500" s="101">
        <f t="shared" si="149"/>
        <v>28.828676817527704</v>
      </c>
      <c r="V500" s="33">
        <f t="shared" si="150"/>
        <v>1000.0000000000061</v>
      </c>
      <c r="W500" s="105">
        <f t="shared" si="146"/>
        <v>96418.485761224205</v>
      </c>
      <c r="X500" s="112">
        <f t="shared" si="151"/>
        <v>872.00170530214814</v>
      </c>
      <c r="Y500" s="32">
        <f t="shared" si="147"/>
        <v>497.99643743199027</v>
      </c>
    </row>
    <row r="501" spans="1:25" x14ac:dyDescent="0.25">
      <c r="A501" s="4">
        <v>495</v>
      </c>
      <c r="C501" s="110">
        <f>IF(male=0,VLOOKUP(((A499:A1333/'Life tables'!$I$2)*2)+age,lifetable,13,1),IF(male=1,VLOOKUP(((A499:A1333/'Life tables'!$I$2)*2)+age,lifetable,10,1),"error"))</f>
        <v>3.7736298212742714E-4</v>
      </c>
      <c r="F501" s="101">
        <f t="shared" si="134"/>
        <v>150.10497726159608</v>
      </c>
      <c r="G501" s="101">
        <f t="shared" si="135"/>
        <v>15.078359118336401</v>
      </c>
      <c r="H501" s="101">
        <f t="shared" si="136"/>
        <v>0.3450497238950333</v>
      </c>
      <c r="I501" s="101">
        <f t="shared" si="137"/>
        <v>0.3450497238950333</v>
      </c>
      <c r="J501" s="101">
        <f t="shared" si="138"/>
        <v>6.2594494399671796E-2</v>
      </c>
      <c r="K501" s="101">
        <f t="shared" si="139"/>
        <v>2.7048144326759501E-2</v>
      </c>
      <c r="L501" s="101">
        <f t="shared" si="148"/>
        <v>134.24687605674319</v>
      </c>
      <c r="M501" s="101">
        <f t="shared" si="140"/>
        <v>721.89672804055192</v>
      </c>
      <c r="N501" s="101">
        <f t="shared" si="141"/>
        <v>69.520218991599563</v>
      </c>
      <c r="O501" s="101">
        <f t="shared" si="142"/>
        <v>1.6594404211994735</v>
      </c>
      <c r="P501" s="101">
        <f t="shared" si="143"/>
        <v>1.6594404211994735</v>
      </c>
      <c r="Q501" s="101">
        <f t="shared" si="144"/>
        <v>0.29990388201024992</v>
      </c>
      <c r="R501" s="101">
        <f t="shared" si="145"/>
        <v>1.9333903578905822E-2</v>
      </c>
      <c r="S501" s="101">
        <f t="shared" si="133"/>
        <v>648.73839042096427</v>
      </c>
      <c r="T501" s="101">
        <f t="shared" si="149"/>
        <v>99.532116256740181</v>
      </c>
      <c r="U501" s="101">
        <f t="shared" si="149"/>
        <v>28.87505886543337</v>
      </c>
      <c r="V501" s="33">
        <f t="shared" si="150"/>
        <v>1000.000000000006</v>
      </c>
      <c r="W501" s="105">
        <f t="shared" si="146"/>
        <v>96262.508249076418</v>
      </c>
      <c r="X501" s="112">
        <f t="shared" si="151"/>
        <v>871.59282487783241</v>
      </c>
      <c r="Y501" s="32">
        <f t="shared" si="147"/>
        <v>497.61977680199101</v>
      </c>
    </row>
    <row r="502" spans="1:25" x14ac:dyDescent="0.25">
      <c r="A502" s="4">
        <v>496</v>
      </c>
      <c r="C502" s="110">
        <f>IF(male=0,VLOOKUP(((A500:A1334/'Life tables'!$I$2)*2)+age,lifetable,13,1),IF(male=1,VLOOKUP(((A500:A1334/'Life tables'!$I$2)*2)+age,lifetable,10,1),"error"))</f>
        <v>4.0331437067231413E-4</v>
      </c>
      <c r="F502" s="101">
        <f t="shared" si="134"/>
        <v>150.03457848502421</v>
      </c>
      <c r="G502" s="101">
        <f t="shared" si="135"/>
        <v>15.071287413893236</v>
      </c>
      <c r="H502" s="101">
        <f t="shared" si="136"/>
        <v>0.34488789662679864</v>
      </c>
      <c r="I502" s="101">
        <f t="shared" si="137"/>
        <v>0.34488789662679864</v>
      </c>
      <c r="J502" s="101">
        <f t="shared" si="138"/>
        <v>6.6867764889290457E-2</v>
      </c>
      <c r="K502" s="101">
        <f t="shared" si="139"/>
        <v>2.7035458829556939E-2</v>
      </c>
      <c r="L502" s="101">
        <f t="shared" si="148"/>
        <v>134.17961205415853</v>
      </c>
      <c r="M502" s="101">
        <f t="shared" si="140"/>
        <v>721.55824639280831</v>
      </c>
      <c r="N502" s="101">
        <f t="shared" si="141"/>
        <v>69.487622475558211</v>
      </c>
      <c r="O502" s="101">
        <f t="shared" si="142"/>
        <v>1.6586623457403638</v>
      </c>
      <c r="P502" s="101">
        <f t="shared" si="143"/>
        <v>1.6586623457403638</v>
      </c>
      <c r="Q502" s="101">
        <f t="shared" si="144"/>
        <v>0.32037809149583946</v>
      </c>
      <c r="R502" s="101">
        <f t="shared" si="145"/>
        <v>1.932483833274732E-2</v>
      </c>
      <c r="S502" s="101">
        <f t="shared" si="133"/>
        <v>648.41359629594081</v>
      </c>
      <c r="T502" s="101">
        <f t="shared" si="149"/>
        <v>99.919362113125317</v>
      </c>
      <c r="U502" s="101">
        <f t="shared" si="149"/>
        <v>28.921419162595676</v>
      </c>
      <c r="V502" s="33">
        <f t="shared" si="150"/>
        <v>1000.0000000000061</v>
      </c>
      <c r="W502" s="105">
        <f t="shared" si="146"/>
        <v>96104.403765912022</v>
      </c>
      <c r="X502" s="112">
        <f t="shared" si="151"/>
        <v>871.1592187242851</v>
      </c>
      <c r="Y502" s="32">
        <f t="shared" si="147"/>
        <v>497.22894761251001</v>
      </c>
    </row>
    <row r="503" spans="1:25" x14ac:dyDescent="0.25">
      <c r="A503" s="4">
        <v>497</v>
      </c>
      <c r="C503" s="110">
        <f>IF(male=0,VLOOKUP(((A501:A1335/'Life tables'!$I$2)*2)+age,lifetable,13,1),IF(male=1,VLOOKUP(((A501:A1335/'Life tables'!$I$2)*2)+age,lifetable,10,1),"error"))</f>
        <v>4.0331437067231413E-4</v>
      </c>
      <c r="F503" s="101">
        <f t="shared" si="134"/>
        <v>149.95991043370685</v>
      </c>
      <c r="G503" s="101">
        <f t="shared" si="135"/>
        <v>15.063786851866785</v>
      </c>
      <c r="H503" s="101">
        <f t="shared" si="136"/>
        <v>0.3447162554796438</v>
      </c>
      <c r="I503" s="101">
        <f t="shared" si="137"/>
        <v>0.3447162554796438</v>
      </c>
      <c r="J503" s="101">
        <f t="shared" si="138"/>
        <v>6.6834486656028189E-2</v>
      </c>
      <c r="K503" s="101">
        <f t="shared" si="139"/>
        <v>2.702200403101878E-2</v>
      </c>
      <c r="L503" s="101">
        <f t="shared" si="148"/>
        <v>134.11283458019372</v>
      </c>
      <c r="M503" s="101">
        <f t="shared" si="140"/>
        <v>721.1993082905783</v>
      </c>
      <c r="N503" s="101">
        <f t="shared" si="141"/>
        <v>69.453055958628298</v>
      </c>
      <c r="O503" s="101">
        <f t="shared" si="142"/>
        <v>1.657837246564245</v>
      </c>
      <c r="P503" s="101">
        <f t="shared" si="143"/>
        <v>1.657837246564245</v>
      </c>
      <c r="Q503" s="101">
        <f t="shared" si="144"/>
        <v>0.3202187198792964</v>
      </c>
      <c r="R503" s="101">
        <f t="shared" si="145"/>
        <v>1.9315225219971276E-2</v>
      </c>
      <c r="S503" s="101">
        <f t="shared" si="133"/>
        <v>648.09104389372226</v>
      </c>
      <c r="T503" s="101">
        <f t="shared" si="149"/>
        <v>100.30641531966064</v>
      </c>
      <c r="U503" s="101">
        <f t="shared" si="149"/>
        <v>28.967756391846667</v>
      </c>
      <c r="V503" s="33">
        <f t="shared" si="150"/>
        <v>1000.0000000000063</v>
      </c>
      <c r="W503" s="105">
        <f t="shared" si="146"/>
        <v>95946.190620755428</v>
      </c>
      <c r="X503" s="112">
        <f t="shared" si="151"/>
        <v>870.72582828849886</v>
      </c>
      <c r="Y503" s="32">
        <f t="shared" si="147"/>
        <v>496.83865658510496</v>
      </c>
    </row>
    <row r="504" spans="1:25" x14ac:dyDescent="0.25">
      <c r="A504" s="4">
        <v>498</v>
      </c>
      <c r="C504" s="110">
        <f>IF(male=0,VLOOKUP(((A502:A1336/'Life tables'!$I$2)*2)+age,lifetable,13,1),IF(male=1,VLOOKUP(((A502:A1336/'Life tables'!$I$2)*2)+age,lifetable,10,1),"error"))</f>
        <v>4.0331437067231413E-4</v>
      </c>
      <c r="F504" s="101">
        <f t="shared" si="134"/>
        <v>149.88528040223574</v>
      </c>
      <c r="G504" s="101">
        <f t="shared" si="135"/>
        <v>15.056290109013462</v>
      </c>
      <c r="H504" s="101">
        <f t="shared" si="136"/>
        <v>0.34454470172957385</v>
      </c>
      <c r="I504" s="101">
        <f t="shared" si="137"/>
        <v>0.34454470172957385</v>
      </c>
      <c r="J504" s="101">
        <f t="shared" si="138"/>
        <v>6.680122536754067E-2</v>
      </c>
      <c r="K504" s="101">
        <f t="shared" si="139"/>
        <v>2.7008556083461227E-2</v>
      </c>
      <c r="L504" s="101">
        <f t="shared" si="148"/>
        <v>134.04609110831211</v>
      </c>
      <c r="M504" s="101">
        <f t="shared" si="140"/>
        <v>720.84054788626315</v>
      </c>
      <c r="N504" s="101">
        <f t="shared" si="141"/>
        <v>69.418506554392593</v>
      </c>
      <c r="O504" s="101">
        <f t="shared" si="142"/>
        <v>1.6570125558663631</v>
      </c>
      <c r="P504" s="101">
        <f t="shared" si="143"/>
        <v>1.6570125558663631</v>
      </c>
      <c r="Q504" s="101">
        <f t="shared" si="144"/>
        <v>0.32005942716216185</v>
      </c>
      <c r="R504" s="101">
        <f t="shared" si="145"/>
        <v>1.9305616866316887E-2</v>
      </c>
      <c r="S504" s="101">
        <f t="shared" si="133"/>
        <v>647.76865117610942</v>
      </c>
      <c r="T504" s="101">
        <f t="shared" si="149"/>
        <v>100.69327597219035</v>
      </c>
      <c r="U504" s="101">
        <f t="shared" si="149"/>
        <v>29.014070564796445</v>
      </c>
      <c r="V504" s="33">
        <f t="shared" si="150"/>
        <v>1000.0000000000063</v>
      </c>
      <c r="W504" s="105">
        <f t="shared" si="146"/>
        <v>95788.23789655017</v>
      </c>
      <c r="X504" s="112">
        <f t="shared" si="151"/>
        <v>870.29265346301952</v>
      </c>
      <c r="Y504" s="32">
        <f t="shared" si="147"/>
        <v>496.44867191178753</v>
      </c>
    </row>
    <row r="505" spans="1:25" x14ac:dyDescent="0.25">
      <c r="A505" s="4">
        <v>499</v>
      </c>
      <c r="C505" s="110">
        <f>IF(male=0,VLOOKUP(((A503:A1337/'Life tables'!$I$2)*2)+age,lifetable,13,1),IF(male=1,VLOOKUP(((A503:A1337/'Life tables'!$I$2)*2)+age,lifetable,10,1),"error"))</f>
        <v>4.0331437067231413E-4</v>
      </c>
      <c r="F505" s="101">
        <f t="shared" si="134"/>
        <v>149.8106883442658</v>
      </c>
      <c r="G505" s="101">
        <f t="shared" si="135"/>
        <v>15.048797180677806</v>
      </c>
      <c r="H505" s="101">
        <f t="shared" si="136"/>
        <v>0.34437323527005448</v>
      </c>
      <c r="I505" s="101">
        <f t="shared" si="137"/>
        <v>0.34437323527005448</v>
      </c>
      <c r="J505" s="101">
        <f t="shared" si="138"/>
        <v>6.6767981003172772E-2</v>
      </c>
      <c r="K505" s="101">
        <f t="shared" si="139"/>
        <v>2.6995114978533144E-2</v>
      </c>
      <c r="L505" s="101">
        <f t="shared" si="148"/>
        <v>133.97938159706618</v>
      </c>
      <c r="M505" s="101">
        <f t="shared" si="140"/>
        <v>720.48196511875369</v>
      </c>
      <c r="N505" s="101">
        <f t="shared" si="141"/>
        <v>69.383974256966155</v>
      </c>
      <c r="O505" s="101">
        <f t="shared" si="142"/>
        <v>1.6561882735062452</v>
      </c>
      <c r="P505" s="101">
        <f t="shared" si="143"/>
        <v>1.6561882735062452</v>
      </c>
      <c r="Q505" s="101">
        <f t="shared" si="144"/>
        <v>0.31990021331730273</v>
      </c>
      <c r="R505" s="101">
        <f t="shared" si="145"/>
        <v>1.929601327014753E-2</v>
      </c>
      <c r="S505" s="101">
        <f t="shared" si="133"/>
        <v>647.44641808818756</v>
      </c>
      <c r="T505" s="101">
        <f t="shared" si="149"/>
        <v>101.07994416651083</v>
      </c>
      <c r="U505" s="101">
        <f t="shared" si="149"/>
        <v>29.060361693045124</v>
      </c>
      <c r="V505" s="33">
        <f t="shared" si="150"/>
        <v>1000.0000000000063</v>
      </c>
      <c r="W505" s="105">
        <f t="shared" si="146"/>
        <v>95630.54516592533</v>
      </c>
      <c r="X505" s="112">
        <f t="shared" si="151"/>
        <v>869.8596941404503</v>
      </c>
      <c r="Y505" s="32">
        <f t="shared" si="147"/>
        <v>496.05899335202275</v>
      </c>
    </row>
    <row r="506" spans="1:25" x14ac:dyDescent="0.25">
      <c r="A506" s="4">
        <v>500</v>
      </c>
      <c r="C506" s="110">
        <f>IF(male=0,VLOOKUP(((A504:A1338/'Life tables'!$I$2)*2)+age,lifetable,13,1),IF(male=1,VLOOKUP(((A504:A1338/'Life tables'!$I$2)*2)+age,lifetable,10,1),"error"))</f>
        <v>4.0331437067231413E-4</v>
      </c>
      <c r="F506" s="101">
        <f t="shared" si="134"/>
        <v>149.73613421433652</v>
      </c>
      <c r="G506" s="101">
        <f t="shared" si="135"/>
        <v>15.041308062293211</v>
      </c>
      <c r="H506" s="101">
        <f t="shared" si="136"/>
        <v>0.34420185599658437</v>
      </c>
      <c r="I506" s="101">
        <f t="shared" si="137"/>
        <v>0.34420185599658437</v>
      </c>
      <c r="J506" s="101">
        <f t="shared" si="138"/>
        <v>6.6734753542663505E-2</v>
      </c>
      <c r="K506" s="101">
        <f t="shared" si="139"/>
        <v>2.6981680708042771E-2</v>
      </c>
      <c r="L506" s="101">
        <f t="shared" si="148"/>
        <v>133.91270600579944</v>
      </c>
      <c r="M506" s="101">
        <f t="shared" si="140"/>
        <v>720.12355992611378</v>
      </c>
      <c r="N506" s="101">
        <f t="shared" si="141"/>
        <v>69.34945906038439</v>
      </c>
      <c r="O506" s="101">
        <f t="shared" si="142"/>
        <v>1.6553643993415168</v>
      </c>
      <c r="P506" s="101">
        <f t="shared" si="143"/>
        <v>1.6553643993415168</v>
      </c>
      <c r="Q506" s="101">
        <f t="shared" si="144"/>
        <v>0.31974107831721899</v>
      </c>
      <c r="R506" s="101">
        <f t="shared" si="145"/>
        <v>1.9286414429804409E-2</v>
      </c>
      <c r="S506" s="101">
        <f t="shared" si="133"/>
        <v>647.12434457429936</v>
      </c>
      <c r="T506" s="101">
        <f t="shared" si="149"/>
        <v>101.46641999837071</v>
      </c>
      <c r="U506" s="101">
        <f t="shared" si="149"/>
        <v>29.106629788182971</v>
      </c>
      <c r="V506" s="33">
        <f t="shared" si="150"/>
        <v>1000.0000000000064</v>
      </c>
      <c r="W506" s="105">
        <f t="shared" si="146"/>
        <v>95473.112002169539</v>
      </c>
      <c r="X506" s="112">
        <f t="shared" si="151"/>
        <v>869.42695021345253</v>
      </c>
      <c r="Y506" s="32">
        <f t="shared" si="147"/>
        <v>495.66962066546682</v>
      </c>
    </row>
    <row r="507" spans="1:25" x14ac:dyDescent="0.25">
      <c r="A507" s="4">
        <v>501</v>
      </c>
      <c r="C507" s="110">
        <f>IF(male=0,VLOOKUP(((A505:A1339/'Life tables'!$I$2)*2)+age,lifetable,13,1),IF(male=1,VLOOKUP(((A505:A1339/'Life tables'!$I$2)*2)+age,lifetable,10,1),"error"))</f>
        <v>4.0331437067231413E-4</v>
      </c>
      <c r="F507" s="101">
        <f t="shared" si="134"/>
        <v>149.66161796784436</v>
      </c>
      <c r="G507" s="101">
        <f t="shared" si="135"/>
        <v>15.033822749379164</v>
      </c>
      <c r="H507" s="101">
        <f t="shared" si="136"/>
        <v>0.34403056380663255</v>
      </c>
      <c r="I507" s="101">
        <f t="shared" si="137"/>
        <v>0.34403056380663255</v>
      </c>
      <c r="J507" s="101">
        <f t="shared" si="138"/>
        <v>6.6701542966133842E-2</v>
      </c>
      <c r="K507" s="101">
        <f t="shared" si="139"/>
        <v>2.6968253263952788E-2</v>
      </c>
      <c r="L507" s="101">
        <f t="shared" si="148"/>
        <v>133.84606429462184</v>
      </c>
      <c r="M507" s="101">
        <f t="shared" si="140"/>
        <v>719.76533224560796</v>
      </c>
      <c r="N507" s="101">
        <f t="shared" si="141"/>
        <v>69.314960958605738</v>
      </c>
      <c r="O507" s="101">
        <f t="shared" si="142"/>
        <v>1.654540933227967</v>
      </c>
      <c r="P507" s="101">
        <f t="shared" si="143"/>
        <v>1.654540933227967</v>
      </c>
      <c r="Q507" s="101">
        <f t="shared" si="144"/>
        <v>0.3195820221340554</v>
      </c>
      <c r="R507" s="101">
        <f t="shared" si="145"/>
        <v>1.9276820343607354E-2</v>
      </c>
      <c r="S507" s="101">
        <f t="shared" si="133"/>
        <v>646.80243057806865</v>
      </c>
      <c r="T507" s="101">
        <f t="shared" si="149"/>
        <v>101.8527035634709</v>
      </c>
      <c r="U507" s="101">
        <f t="shared" si="149"/>
        <v>29.152874861790533</v>
      </c>
      <c r="V507" s="33">
        <f t="shared" si="150"/>
        <v>1000.000000000006</v>
      </c>
      <c r="W507" s="105">
        <f t="shared" si="146"/>
        <v>95315.937979231225</v>
      </c>
      <c r="X507" s="112">
        <f t="shared" si="151"/>
        <v>868.99442157474459</v>
      </c>
      <c r="Y507" s="32">
        <f t="shared" si="147"/>
        <v>495.28055361196652</v>
      </c>
    </row>
    <row r="508" spans="1:25" x14ac:dyDescent="0.25">
      <c r="A508" s="4">
        <v>502</v>
      </c>
      <c r="C508" s="110">
        <f>IF(male=0,VLOOKUP(((A506:A1340/'Life tables'!$I$2)*2)+age,lifetable,13,1),IF(male=1,VLOOKUP(((A506:A1340/'Life tables'!$I$2)*2)+age,lifetable,10,1),"error"))</f>
        <v>4.0331437067231413E-4</v>
      </c>
      <c r="F508" s="101">
        <f t="shared" si="134"/>
        <v>149.58713956101624</v>
      </c>
      <c r="G508" s="101">
        <f t="shared" si="135"/>
        <v>15.026341237538562</v>
      </c>
      <c r="H508" s="101">
        <f t="shared" si="136"/>
        <v>0.34385935859957667</v>
      </c>
      <c r="I508" s="101">
        <f t="shared" si="137"/>
        <v>0.34385935859957667</v>
      </c>
      <c r="J508" s="101">
        <f t="shared" si="138"/>
        <v>6.6668349254074943E-2</v>
      </c>
      <c r="K508" s="101">
        <f t="shared" si="139"/>
        <v>2.695483263837551E-2</v>
      </c>
      <c r="L508" s="101">
        <f t="shared" si="148"/>
        <v>133.77945642438607</v>
      </c>
      <c r="M508" s="101">
        <f t="shared" si="140"/>
        <v>719.40728201372838</v>
      </c>
      <c r="N508" s="101">
        <f t="shared" si="141"/>
        <v>69.280479945514259</v>
      </c>
      <c r="O508" s="101">
        <f t="shared" si="142"/>
        <v>1.6537178750196087</v>
      </c>
      <c r="P508" s="101">
        <f t="shared" si="143"/>
        <v>1.6537178750196087</v>
      </c>
      <c r="Q508" s="101">
        <f t="shared" si="144"/>
        <v>0.31942304473961403</v>
      </c>
      <c r="R508" s="101">
        <f t="shared" si="145"/>
        <v>1.9267231009855484E-2</v>
      </c>
      <c r="S508" s="101">
        <f t="shared" si="133"/>
        <v>646.48067604242544</v>
      </c>
      <c r="T508" s="101">
        <f t="shared" si="149"/>
        <v>102.23879495746459</v>
      </c>
      <c r="U508" s="101">
        <f t="shared" si="149"/>
        <v>29.199096925438763</v>
      </c>
      <c r="V508" s="33">
        <f t="shared" si="150"/>
        <v>1000.000000000006</v>
      </c>
      <c r="W508" s="105">
        <f t="shared" si="146"/>
        <v>95159.022671719198</v>
      </c>
      <c r="X508" s="112">
        <f t="shared" si="151"/>
        <v>868.56210811710275</v>
      </c>
      <c r="Y508" s="32">
        <f t="shared" si="147"/>
        <v>494.89179195156009</v>
      </c>
    </row>
    <row r="509" spans="1:25" x14ac:dyDescent="0.25">
      <c r="A509" s="4">
        <v>503</v>
      </c>
      <c r="C509" s="110">
        <f>IF(male=0,VLOOKUP(((A507:A1341/'Life tables'!$I$2)*2)+age,lifetable,13,1),IF(male=1,VLOOKUP(((A507:A1341/'Life tables'!$I$2)*2)+age,lifetable,10,1),"error"))</f>
        <v>4.0331437067231413E-4</v>
      </c>
      <c r="F509" s="101">
        <f t="shared" si="134"/>
        <v>149.51269895088359</v>
      </c>
      <c r="G509" s="101">
        <f t="shared" si="135"/>
        <v>15.018863522455122</v>
      </c>
      <c r="H509" s="101">
        <f t="shared" si="136"/>
        <v>0.34368824027664402</v>
      </c>
      <c r="I509" s="101">
        <f t="shared" si="137"/>
        <v>0.34368824027664402</v>
      </c>
      <c r="J509" s="101">
        <f t="shared" si="138"/>
        <v>6.6635172387336447E-2</v>
      </c>
      <c r="K509" s="101">
        <f t="shared" si="139"/>
        <v>2.6941418823568215E-2</v>
      </c>
      <c r="L509" s="101">
        <f t="shared" si="148"/>
        <v>133.71288235666427</v>
      </c>
      <c r="M509" s="101">
        <f t="shared" si="140"/>
        <v>719.04940916621922</v>
      </c>
      <c r="N509" s="101">
        <f t="shared" si="141"/>
        <v>69.246016014921977</v>
      </c>
      <c r="O509" s="101">
        <f t="shared" si="142"/>
        <v>1.6528952245687354</v>
      </c>
      <c r="P509" s="101">
        <f t="shared" si="143"/>
        <v>1.6528952245687354</v>
      </c>
      <c r="Q509" s="101">
        <f t="shared" si="144"/>
        <v>0.31926414610536463</v>
      </c>
      <c r="R509" s="101">
        <f t="shared" si="145"/>
        <v>1.9257646426827892E-2</v>
      </c>
      <c r="S509" s="101">
        <f t="shared" si="133"/>
        <v>646.15908090962762</v>
      </c>
      <c r="T509" s="101">
        <f t="shared" si="149"/>
        <v>102.6246942759573</v>
      </c>
      <c r="U509" s="101">
        <f t="shared" si="149"/>
        <v>29.245295990689158</v>
      </c>
      <c r="V509" s="33">
        <f t="shared" si="150"/>
        <v>1000.0000000000061</v>
      </c>
      <c r="W509" s="105">
        <f t="shared" si="146"/>
        <v>95002.365654902504</v>
      </c>
      <c r="X509" s="112">
        <f t="shared" si="151"/>
        <v>868.13000973335966</v>
      </c>
      <c r="Y509" s="32">
        <f t="shared" si="147"/>
        <v>494.50333544447477</v>
      </c>
    </row>
    <row r="510" spans="1:25" x14ac:dyDescent="0.25">
      <c r="A510" s="4">
        <v>504</v>
      </c>
      <c r="C510" s="110">
        <f>IF(male=0,VLOOKUP(((A508:A1342/'Life tables'!$I$2)*2)+age,lifetable,13,1),IF(male=1,VLOOKUP(((A508:A1342/'Life tables'!$I$2)*2)+age,lifetable,10,1),"error"))</f>
        <v>4.0331437067231413E-4</v>
      </c>
      <c r="F510" s="101">
        <f t="shared" si="134"/>
        <v>149.43829609525739</v>
      </c>
      <c r="G510" s="101">
        <f t="shared" si="135"/>
        <v>15.011389599890872</v>
      </c>
      <c r="H510" s="101">
        <f t="shared" si="136"/>
        <v>0.34351720874085367</v>
      </c>
      <c r="I510" s="101">
        <f t="shared" si="137"/>
        <v>0.34351720874085367</v>
      </c>
      <c r="J510" s="101">
        <f t="shared" si="138"/>
        <v>6.6602012347115436E-2</v>
      </c>
      <c r="K510" s="101">
        <f t="shared" si="139"/>
        <v>2.6928011811928665E-2</v>
      </c>
      <c r="L510" s="101">
        <f t="shared" si="148"/>
        <v>133.64634205372576</v>
      </c>
      <c r="M510" s="101">
        <f t="shared" si="140"/>
        <v>718.69171363810244</v>
      </c>
      <c r="N510" s="101">
        <f t="shared" si="141"/>
        <v>69.211569160571372</v>
      </c>
      <c r="O510" s="101">
        <f t="shared" si="142"/>
        <v>1.6520729817259809</v>
      </c>
      <c r="P510" s="101">
        <f t="shared" si="143"/>
        <v>1.6520729817259809</v>
      </c>
      <c r="Q510" s="101">
        <f t="shared" si="144"/>
        <v>0.31910532620245663</v>
      </c>
      <c r="R510" s="101">
        <f t="shared" si="145"/>
        <v>1.9248066592784337E-2</v>
      </c>
      <c r="S510" s="101">
        <f t="shared" si="133"/>
        <v>645.83764512128391</v>
      </c>
      <c r="T510" s="101">
        <f t="shared" si="149"/>
        <v>103.01040161450686</v>
      </c>
      <c r="U510" s="101">
        <f t="shared" si="149"/>
        <v>29.291472069093871</v>
      </c>
      <c r="V510" s="33">
        <f t="shared" si="150"/>
        <v>1000.0000000000063</v>
      </c>
      <c r="W510" s="105">
        <f t="shared" si="146"/>
        <v>94845.966504711003</v>
      </c>
      <c r="X510" s="112">
        <f t="shared" si="151"/>
        <v>867.69812631640559</v>
      </c>
      <c r="Y510" s="32">
        <f t="shared" si="147"/>
        <v>494.11518385112771</v>
      </c>
    </row>
    <row r="511" spans="1:25" x14ac:dyDescent="0.25">
      <c r="A511" s="4">
        <v>505</v>
      </c>
      <c r="C511" s="110">
        <f>IF(male=0,VLOOKUP(((A509:A1343/'Life tables'!$I$2)*2)+age,lifetable,13,1),IF(male=1,VLOOKUP(((A509:A1343/'Life tables'!$I$2)*2)+age,lifetable,10,1),"error"))</f>
        <v>4.0331437067231413E-4</v>
      </c>
      <c r="F511" s="101">
        <f t="shared" si="134"/>
        <v>149.36393095270407</v>
      </c>
      <c r="G511" s="101">
        <f t="shared" si="135"/>
        <v>15.003919465683722</v>
      </c>
      <c r="H511" s="101">
        <f t="shared" si="136"/>
        <v>0.34334626389696143</v>
      </c>
      <c r="I511" s="101">
        <f t="shared" si="137"/>
        <v>0.34334626389696143</v>
      </c>
      <c r="J511" s="101">
        <f t="shared" si="138"/>
        <v>6.6568869114945708E-2</v>
      </c>
      <c r="K511" s="101">
        <f t="shared" si="139"/>
        <v>2.6914611595990744E-2</v>
      </c>
      <c r="L511" s="101">
        <f t="shared" si="148"/>
        <v>133.57983547851549</v>
      </c>
      <c r="M511" s="101">
        <f t="shared" si="140"/>
        <v>718.33419536370138</v>
      </c>
      <c r="N511" s="101">
        <f t="shared" si="141"/>
        <v>69.177139376137632</v>
      </c>
      <c r="O511" s="101">
        <f t="shared" si="142"/>
        <v>1.6512511463403725</v>
      </c>
      <c r="P511" s="101">
        <f t="shared" si="143"/>
        <v>1.6512511463403725</v>
      </c>
      <c r="Q511" s="101">
        <f t="shared" si="144"/>
        <v>0.31894658500172868</v>
      </c>
      <c r="R511" s="101">
        <f t="shared" si="145"/>
        <v>1.9238491505965852E-2</v>
      </c>
      <c r="S511" s="101">
        <f t="shared" si="133"/>
        <v>645.51636861837528</v>
      </c>
      <c r="T511" s="101">
        <f t="shared" si="149"/>
        <v>103.39591706862353</v>
      </c>
      <c r="U511" s="101">
        <f t="shared" si="149"/>
        <v>29.337625172195828</v>
      </c>
      <c r="V511" s="33">
        <f t="shared" si="150"/>
        <v>1000.0000000000061</v>
      </c>
      <c r="W511" s="105">
        <f t="shared" si="146"/>
        <v>94689.8247977352</v>
      </c>
      <c r="X511" s="112">
        <f t="shared" si="151"/>
        <v>867.26645775918678</v>
      </c>
      <c r="Y511" s="32">
        <f t="shared" si="147"/>
        <v>493.72733693212774</v>
      </c>
    </row>
    <row r="512" spans="1:25" x14ac:dyDescent="0.25">
      <c r="A512" s="4">
        <v>506</v>
      </c>
      <c r="C512" s="110">
        <f>IF(male=0,VLOOKUP(((A510:A1344/'Life tables'!$I$2)*2)+age,lifetable,13,1),IF(male=1,VLOOKUP(((A510:A1344/'Life tables'!$I$2)*2)+age,lifetable,10,1),"error"))</f>
        <v>4.0331437067231413E-4</v>
      </c>
      <c r="F512" s="101">
        <f t="shared" si="134"/>
        <v>149.28960348252207</v>
      </c>
      <c r="G512" s="101">
        <f t="shared" si="135"/>
        <v>14.996453115745117</v>
      </c>
      <c r="H512" s="101">
        <f t="shared" si="136"/>
        <v>0.34317540565140559</v>
      </c>
      <c r="I512" s="101">
        <f t="shared" si="137"/>
        <v>0.34317540565140559</v>
      </c>
      <c r="J512" s="101">
        <f t="shared" si="138"/>
        <v>6.6535742672687331E-2</v>
      </c>
      <c r="K512" s="101">
        <f t="shared" si="139"/>
        <v>2.6901218168420237E-2</v>
      </c>
      <c r="L512" s="101">
        <f t="shared" si="148"/>
        <v>133.51336259463304</v>
      </c>
      <c r="M512" s="101">
        <f t="shared" si="140"/>
        <v>717.97685427666477</v>
      </c>
      <c r="N512" s="101">
        <f t="shared" si="141"/>
        <v>69.142726655230987</v>
      </c>
      <c r="O512" s="101">
        <f t="shared" si="142"/>
        <v>1.6504297182593872</v>
      </c>
      <c r="P512" s="101">
        <f t="shared" si="143"/>
        <v>1.6504297182593872</v>
      </c>
      <c r="Q512" s="101">
        <f t="shared" si="144"/>
        <v>0.31878792247372045</v>
      </c>
      <c r="R512" s="101">
        <f t="shared" si="145"/>
        <v>1.9228921164595417E-2</v>
      </c>
      <c r="S512" s="101">
        <f t="shared" si="133"/>
        <v>645.19525134127673</v>
      </c>
      <c r="T512" s="101">
        <f t="shared" si="149"/>
        <v>103.78124073376993</v>
      </c>
      <c r="U512" s="101">
        <f t="shared" si="149"/>
        <v>29.383755311528844</v>
      </c>
      <c r="V512" s="33">
        <f t="shared" si="150"/>
        <v>1000.0000000000061</v>
      </c>
      <c r="W512" s="105">
        <f t="shared" si="146"/>
        <v>94533.940111226679</v>
      </c>
      <c r="X512" s="112">
        <f t="shared" si="151"/>
        <v>866.83500395470742</v>
      </c>
      <c r="Y512" s="32">
        <f t="shared" si="147"/>
        <v>493.33979444827156</v>
      </c>
    </row>
    <row r="513" spans="1:25" x14ac:dyDescent="0.25">
      <c r="A513" s="4">
        <v>507</v>
      </c>
      <c r="C513" s="110">
        <f>IF(male=0,VLOOKUP(((A511:A1345/'Life tables'!$I$2)*2)+age,lifetable,13,1),IF(male=1,VLOOKUP(((A511:A1345/'Life tables'!$I$2)*2)+age,lifetable,10,1),"error"))</f>
        <v>4.0331437067231413E-4</v>
      </c>
      <c r="F513" s="101">
        <f t="shared" si="134"/>
        <v>149.215313644719</v>
      </c>
      <c r="G513" s="101">
        <f t="shared" si="135"/>
        <v>14.988990546057735</v>
      </c>
      <c r="H513" s="101">
        <f t="shared" si="136"/>
        <v>0.34300463391225477</v>
      </c>
      <c r="I513" s="101">
        <f t="shared" si="137"/>
        <v>0.34300463391225477</v>
      </c>
      <c r="J513" s="101">
        <f t="shared" si="138"/>
        <v>6.6502633002516381E-2</v>
      </c>
      <c r="K513" s="101">
        <f t="shared" si="139"/>
        <v>2.6887831522010727E-2</v>
      </c>
      <c r="L513" s="101">
        <f t="shared" si="148"/>
        <v>133.44692336631223</v>
      </c>
      <c r="M513" s="101">
        <f t="shared" si="140"/>
        <v>717.61969030998841</v>
      </c>
      <c r="N513" s="101">
        <f t="shared" si="141"/>
        <v>69.108330991398788</v>
      </c>
      <c r="O513" s="101">
        <f t="shared" si="142"/>
        <v>1.649608697329001</v>
      </c>
      <c r="P513" s="101">
        <f t="shared" si="143"/>
        <v>1.649608697329001</v>
      </c>
      <c r="Q513" s="101">
        <f t="shared" si="144"/>
        <v>0.31862933858868159</v>
      </c>
      <c r="R513" s="101">
        <f t="shared" si="145"/>
        <v>1.921935556687852E-2</v>
      </c>
      <c r="S513" s="101">
        <f t="shared" si="133"/>
        <v>644.87429322977607</v>
      </c>
      <c r="T513" s="101">
        <f t="shared" si="149"/>
        <v>104.16637270536113</v>
      </c>
      <c r="U513" s="101">
        <f t="shared" si="149"/>
        <v>29.429862498617734</v>
      </c>
      <c r="V513" s="33">
        <f t="shared" si="150"/>
        <v>1000.0000000000061</v>
      </c>
      <c r="W513" s="105">
        <f t="shared" si="146"/>
        <v>94378.312023097998</v>
      </c>
      <c r="X513" s="112">
        <f t="shared" si="151"/>
        <v>866.4037647960273</v>
      </c>
      <c r="Y513" s="32">
        <f t="shared" si="147"/>
        <v>492.95255616054635</v>
      </c>
    </row>
    <row r="514" spans="1:25" x14ac:dyDescent="0.25">
      <c r="A514" s="4">
        <v>508</v>
      </c>
      <c r="C514" s="110">
        <f>IF(male=0,VLOOKUP(((A512:A1346/'Life tables'!$I$2)*2)+age,lifetable,13,1),IF(male=1,VLOOKUP(((A512:A1346/'Life tables'!$I$2)*2)+age,lifetable,10,1),"error"))</f>
        <v>4.0331437067231413E-4</v>
      </c>
      <c r="F514" s="101">
        <f t="shared" si="134"/>
        <v>149.14106139998975</v>
      </c>
      <c r="G514" s="101">
        <f t="shared" si="135"/>
        <v>14.981531752673295</v>
      </c>
      <c r="H514" s="101">
        <f t="shared" si="136"/>
        <v>0.34283394858915744</v>
      </c>
      <c r="I514" s="101">
        <f t="shared" si="137"/>
        <v>0.34283394858915744</v>
      </c>
      <c r="J514" s="101">
        <f t="shared" si="138"/>
        <v>6.6469540086915219E-2</v>
      </c>
      <c r="K514" s="101">
        <f t="shared" si="139"/>
        <v>2.6874451649679627E-2</v>
      </c>
      <c r="L514" s="101">
        <f t="shared" si="148"/>
        <v>133.38051775840154</v>
      </c>
      <c r="M514" s="101">
        <f t="shared" si="140"/>
        <v>717.26270339603752</v>
      </c>
      <c r="N514" s="101">
        <f t="shared" si="141"/>
        <v>69.073952378127643</v>
      </c>
      <c r="O514" s="101">
        <f t="shared" si="142"/>
        <v>1.6487880833937401</v>
      </c>
      <c r="P514" s="101">
        <f t="shared" si="143"/>
        <v>1.6487880833937401</v>
      </c>
      <c r="Q514" s="101">
        <f t="shared" si="144"/>
        <v>0.31847083331658144</v>
      </c>
      <c r="R514" s="101">
        <f t="shared" si="145"/>
        <v>1.9209794711003762E-2</v>
      </c>
      <c r="S514" s="101">
        <f t="shared" si="133"/>
        <v>644.55349422309484</v>
      </c>
      <c r="T514" s="101">
        <f t="shared" si="149"/>
        <v>104.55131307876462</v>
      </c>
      <c r="U514" s="101">
        <f t="shared" si="149"/>
        <v>29.475946744978415</v>
      </c>
      <c r="V514" s="33">
        <f t="shared" si="150"/>
        <v>1000.0000000000063</v>
      </c>
      <c r="W514" s="105">
        <f t="shared" si="146"/>
        <v>94222.940111922871</v>
      </c>
      <c r="X514" s="112">
        <f t="shared" si="151"/>
        <v>865.97274017626319</v>
      </c>
      <c r="Y514" s="32">
        <f t="shared" si="147"/>
        <v>492.56562183012778</v>
      </c>
    </row>
    <row r="515" spans="1:25" x14ac:dyDescent="0.25">
      <c r="A515" s="4">
        <v>509</v>
      </c>
      <c r="C515" s="110">
        <f>IF(male=0,VLOOKUP(((A513:A1347/'Life tables'!$I$2)*2)+age,lifetable,13,1),IF(male=1,VLOOKUP(((A513:A1347/'Life tables'!$I$2)*2)+age,lifetable,10,1),"error"))</f>
        <v>4.0331437067231413E-4</v>
      </c>
      <c r="F515" s="101">
        <f t="shared" si="134"/>
        <v>149.06684670969517</v>
      </c>
      <c r="G515" s="101">
        <f t="shared" si="135"/>
        <v>14.974076731710415</v>
      </c>
      <c r="H515" s="101">
        <f t="shared" si="136"/>
        <v>0.34266334959329287</v>
      </c>
      <c r="I515" s="101">
        <f t="shared" si="137"/>
        <v>0.34266334959329287</v>
      </c>
      <c r="J515" s="101">
        <f t="shared" si="138"/>
        <v>6.6436463908663132E-2</v>
      </c>
      <c r="K515" s="101">
        <f t="shared" si="139"/>
        <v>2.6861078544464366E-2</v>
      </c>
      <c r="L515" s="101">
        <f t="shared" si="148"/>
        <v>133.31414573634504</v>
      </c>
      <c r="M515" s="101">
        <f t="shared" si="140"/>
        <v>716.90589346656782</v>
      </c>
      <c r="N515" s="101">
        <f t="shared" si="141"/>
        <v>69.039590808845517</v>
      </c>
      <c r="O515" s="101">
        <f t="shared" si="142"/>
        <v>1.6479678762967298</v>
      </c>
      <c r="P515" s="101">
        <f t="shared" si="143"/>
        <v>1.6479678762967298</v>
      </c>
      <c r="Q515" s="101">
        <f t="shared" si="144"/>
        <v>0.31831240662711913</v>
      </c>
      <c r="R515" s="101">
        <f t="shared" si="145"/>
        <v>1.9200238595143412E-2</v>
      </c>
      <c r="S515" s="101">
        <f t="shared" ref="S515:S578" si="152">M515-SUM(N515:R515)</f>
        <v>644.23285425990662</v>
      </c>
      <c r="T515" s="101">
        <f t="shared" si="149"/>
        <v>104.93606194930041</v>
      </c>
      <c r="U515" s="101">
        <f t="shared" si="149"/>
        <v>29.522008062118022</v>
      </c>
      <c r="V515" s="33">
        <f t="shared" si="150"/>
        <v>1000.000000000006</v>
      </c>
      <c r="W515" s="105">
        <f t="shared" si="146"/>
        <v>94067.823956935958</v>
      </c>
      <c r="X515" s="112">
        <f t="shared" si="151"/>
        <v>865.54192998858764</v>
      </c>
      <c r="Y515" s="32">
        <f t="shared" si="147"/>
        <v>492.17899121838133</v>
      </c>
    </row>
    <row r="516" spans="1:25" x14ac:dyDescent="0.25">
      <c r="A516" s="4">
        <v>510</v>
      </c>
      <c r="C516" s="110">
        <f>IF(male=0,VLOOKUP(((A514:A1348/'Life tables'!$I$2)*2)+age,lifetable,13,1),IF(male=1,VLOOKUP(((A514:A1348/'Life tables'!$I$2)*2)+age,lifetable,10,1),"error"))</f>
        <v>4.0331437067231413E-4</v>
      </c>
      <c r="F516" s="101">
        <f t="shared" si="134"/>
        <v>148.99266953584151</v>
      </c>
      <c r="G516" s="101">
        <f t="shared" si="135"/>
        <v>14.966625479352544</v>
      </c>
      <c r="H516" s="101">
        <f t="shared" si="136"/>
        <v>0.34249283683732401</v>
      </c>
      <c r="I516" s="101">
        <f t="shared" si="137"/>
        <v>0.34249283683732401</v>
      </c>
      <c r="J516" s="101">
        <f t="shared" si="138"/>
        <v>6.6403404450826917E-2</v>
      </c>
      <c r="K516" s="101">
        <f t="shared" si="139"/>
        <v>2.6847712199518665E-2</v>
      </c>
      <c r="L516" s="101">
        <f t="shared" si="148"/>
        <v>133.24780726616399</v>
      </c>
      <c r="M516" s="101">
        <f t="shared" si="140"/>
        <v>716.54926045274635</v>
      </c>
      <c r="N516" s="101">
        <f t="shared" si="141"/>
        <v>69.005246276923614</v>
      </c>
      <c r="O516" s="101">
        <f t="shared" si="142"/>
        <v>1.6471480758797423</v>
      </c>
      <c r="P516" s="101">
        <f t="shared" si="143"/>
        <v>1.6471480758797423</v>
      </c>
      <c r="Q516" s="101">
        <f t="shared" si="144"/>
        <v>0.31815405848973211</v>
      </c>
      <c r="R516" s="101">
        <f t="shared" si="145"/>
        <v>1.919068721745398E-2</v>
      </c>
      <c r="S516" s="101">
        <f t="shared" si="152"/>
        <v>643.91237327835609</v>
      </c>
      <c r="T516" s="101">
        <f t="shared" si="149"/>
        <v>105.32061941224097</v>
      </c>
      <c r="U516" s="101">
        <f t="shared" si="149"/>
        <v>29.568046461534994</v>
      </c>
      <c r="V516" s="33">
        <f t="shared" si="150"/>
        <v>1000.0000000000064</v>
      </c>
      <c r="W516" s="105">
        <f t="shared" si="146"/>
        <v>93912.963138033127</v>
      </c>
      <c r="X516" s="112">
        <f t="shared" si="151"/>
        <v>865.11133412623042</v>
      </c>
      <c r="Y516" s="32">
        <f t="shared" si="147"/>
        <v>491.79266408686129</v>
      </c>
    </row>
    <row r="517" spans="1:25" x14ac:dyDescent="0.25">
      <c r="A517" s="4">
        <v>511</v>
      </c>
      <c r="C517" s="110">
        <f>IF(male=0,VLOOKUP(((A515:A1349/'Life tables'!$I$2)*2)+age,lifetable,13,1),IF(male=1,VLOOKUP(((A515:A1349/'Life tables'!$I$2)*2)+age,lifetable,10,1),"error"))</f>
        <v>4.0331437067231413E-4</v>
      </c>
      <c r="F517" s="101">
        <f t="shared" si="134"/>
        <v>148.91852984106026</v>
      </c>
      <c r="G517" s="101">
        <f t="shared" si="135"/>
        <v>14.959177991845936</v>
      </c>
      <c r="H517" s="101">
        <f t="shared" si="136"/>
        <v>0.34232241023535098</v>
      </c>
      <c r="I517" s="101">
        <f t="shared" si="137"/>
        <v>0.34232241023535098</v>
      </c>
      <c r="J517" s="101">
        <f t="shared" si="138"/>
        <v>6.6370361696752145E-2</v>
      </c>
      <c r="K517" s="101">
        <f t="shared" si="139"/>
        <v>2.6834352608108916E-2</v>
      </c>
      <c r="L517" s="101">
        <f t="shared" si="148"/>
        <v>133.18150231443877</v>
      </c>
      <c r="M517" s="101">
        <f t="shared" si="140"/>
        <v>716.19280428517004</v>
      </c>
      <c r="N517" s="101">
        <f t="shared" si="141"/>
        <v>68.970918775678285</v>
      </c>
      <c r="O517" s="101">
        <f t="shared" si="142"/>
        <v>1.6463286819832392</v>
      </c>
      <c r="P517" s="101">
        <f t="shared" si="143"/>
        <v>1.6463286819832392</v>
      </c>
      <c r="Q517" s="101">
        <f t="shared" si="144"/>
        <v>0.31799578887360491</v>
      </c>
      <c r="R517" s="101">
        <f t="shared" si="145"/>
        <v>1.9181140576076713E-2</v>
      </c>
      <c r="S517" s="101">
        <f t="shared" si="152"/>
        <v>643.59205121607556</v>
      </c>
      <c r="T517" s="101">
        <f t="shared" si="149"/>
        <v>105.70498556281133</v>
      </c>
      <c r="U517" s="101">
        <f t="shared" si="149"/>
        <v>29.61406195471918</v>
      </c>
      <c r="V517" s="33">
        <f t="shared" si="150"/>
        <v>1000.0000000000063</v>
      </c>
      <c r="W517" s="105">
        <f t="shared" si="146"/>
        <v>93758.357235771007</v>
      </c>
      <c r="X517" s="112">
        <f t="shared" si="151"/>
        <v>864.68095248247573</v>
      </c>
      <c r="Y517" s="32">
        <f t="shared" si="147"/>
        <v>491.40664019731003</v>
      </c>
    </row>
    <row r="518" spans="1:25" x14ac:dyDescent="0.25">
      <c r="A518" s="4">
        <v>512</v>
      </c>
      <c r="C518" s="110">
        <f>IF(male=0,VLOOKUP(((A516:A1350/'Life tables'!$I$2)*2)+age,lifetable,13,1),IF(male=1,VLOOKUP(((A516:A1350/'Life tables'!$I$2)*2)+age,lifetable,10,1),"error"))</f>
        <v>4.0331437067231413E-4</v>
      </c>
      <c r="F518" s="101">
        <f t="shared" si="134"/>
        <v>148.84442758858893</v>
      </c>
      <c r="G518" s="101">
        <f t="shared" si="135"/>
        <v>14.95173426549772</v>
      </c>
      <c r="H518" s="101">
        <f t="shared" si="136"/>
        <v>0.34215206970286699</v>
      </c>
      <c r="I518" s="101">
        <f t="shared" si="137"/>
        <v>0.34215206970286699</v>
      </c>
      <c r="J518" s="101">
        <f t="shared" si="138"/>
        <v>6.6337335630054353E-2</v>
      </c>
      <c r="K518" s="101">
        <f t="shared" si="139"/>
        <v>2.6820999763610697E-2</v>
      </c>
      <c r="L518" s="101">
        <f t="shared" si="148"/>
        <v>133.11523084829182</v>
      </c>
      <c r="M518" s="101">
        <f t="shared" si="140"/>
        <v>715.8365248938868</v>
      </c>
      <c r="N518" s="101">
        <f t="shared" si="141"/>
        <v>68.936608298372988</v>
      </c>
      <c r="O518" s="101">
        <f t="shared" si="142"/>
        <v>1.64550969444642</v>
      </c>
      <c r="P518" s="101">
        <f t="shared" si="143"/>
        <v>1.64550969444642</v>
      </c>
      <c r="Q518" s="101">
        <f t="shared" si="144"/>
        <v>0.31783759774767811</v>
      </c>
      <c r="R518" s="101">
        <f t="shared" si="145"/>
        <v>1.9171598669138142E-2</v>
      </c>
      <c r="S518" s="101">
        <f t="shared" si="152"/>
        <v>643.27188801020418</v>
      </c>
      <c r="T518" s="101">
        <f t="shared" si="149"/>
        <v>106.08916049618907</v>
      </c>
      <c r="U518" s="101">
        <f t="shared" si="149"/>
        <v>29.66005455315193</v>
      </c>
      <c r="V518" s="33">
        <f t="shared" si="150"/>
        <v>1000.0000000000063</v>
      </c>
      <c r="W518" s="105">
        <f t="shared" si="146"/>
        <v>93604.005831367554</v>
      </c>
      <c r="X518" s="112">
        <f t="shared" si="151"/>
        <v>864.25078495066532</v>
      </c>
      <c r="Y518" s="32">
        <f t="shared" si="147"/>
        <v>491.02091931165853</v>
      </c>
    </row>
    <row r="519" spans="1:25" x14ac:dyDescent="0.25">
      <c r="A519" s="4">
        <v>513</v>
      </c>
      <c r="C519" s="110">
        <f>IF(male=0,VLOOKUP(((A517:A1351/'Life tables'!$I$2)*2)+age,lifetable,13,1),IF(male=1,VLOOKUP(((A517:A1351/'Life tables'!$I$2)*2)+age,lifetable,10,1),"error"))</f>
        <v>4.0331437067231413E-4</v>
      </c>
      <c r="F519" s="101">
        <f t="shared" ref="F519:F582" si="153">E518*(1-pCAUC)+(L518+G518+H518+I518 )*(1-pCAUC)+(S518+N518+O518+P518)*(pUAUC)</f>
        <v>148.77036274225236</v>
      </c>
      <c r="G519" s="101">
        <f t="shared" ref="G519:G582" si="154">F519*(rrOSEX)</f>
        <v>14.944294296674029</v>
      </c>
      <c r="H519" s="101">
        <f t="shared" ref="H519:H582" si="155">F519*rrEREX</f>
        <v>0.3419818151567155</v>
      </c>
      <c r="I519" s="101">
        <f t="shared" ref="I519:I582" si="156">F519*rrHOEX</f>
        <v>0.3419818151567155</v>
      </c>
      <c r="J519" s="101">
        <f t="shared" ref="J519:J582" si="157">F519*mr + G519*mr + H519*mr+I519*mr</f>
        <v>6.6304326234610966E-2</v>
      </c>
      <c r="K519" s="101">
        <f t="shared" ref="K519:K582" si="158">F519*amr + I519*amrHOEX</f>
        <v>2.6807653659505437E-2</v>
      </c>
      <c r="L519" s="101">
        <f t="shared" si="148"/>
        <v>133.04899283537077</v>
      </c>
      <c r="M519" s="101">
        <f t="shared" ref="M519:M582" si="159">E518*pCAUC+(L518+G518+H518+I518)*pCAUC+(S518+N518+O518+P518)*(1-pUAUC)</f>
        <v>715.48042220841296</v>
      </c>
      <c r="N519" s="101">
        <f t="shared" ref="N519:N582" si="160">M519*rrOSEXc</f>
        <v>68.902314838219993</v>
      </c>
      <c r="O519" s="101">
        <f t="shared" ref="O519:O582" si="161">M519*rrEREXc</f>
        <v>1.6446911131072623</v>
      </c>
      <c r="P519" s="101">
        <f t="shared" ref="P519:P582" si="162">M519*rrHOEXc</f>
        <v>1.6446911131072623</v>
      </c>
      <c r="Q519" s="101">
        <f t="shared" ref="Q519:Q582" si="163">M519*mr + N519*mr + O519*mr+P519*mr</f>
        <v>0.31767948508065647</v>
      </c>
      <c r="R519" s="101">
        <f t="shared" ref="R519:R582" si="164">M519*amrc + P519*amrHOEX</f>
        <v>1.9162061494750568E-2</v>
      </c>
      <c r="S519" s="101">
        <f t="shared" si="152"/>
        <v>642.95188359740303</v>
      </c>
      <c r="T519" s="101">
        <f t="shared" si="149"/>
        <v>106.47314430750433</v>
      </c>
      <c r="U519" s="101">
        <f t="shared" si="149"/>
        <v>29.706024268306187</v>
      </c>
      <c r="V519" s="33">
        <f t="shared" si="150"/>
        <v>1000.0000000000064</v>
      </c>
      <c r="W519" s="105">
        <f t="shared" ref="W519:W582" si="165">(cNES*L519+(cNES+cOSEX)*G519+(cNES+cEREX)*H519+(cNES+cHOEX)*I519 +(cNES+ cNES)*S519 +(cNES+ cOSEX)*N519 + (cNES+cEREX)*O519 + (cNES+cHOEX)*P519)/(1+cDR)^A$5:A$65536</f>
        <v>93449.908506701075</v>
      </c>
      <c r="X519" s="112">
        <f t="shared" si="151"/>
        <v>863.82083142419583</v>
      </c>
      <c r="Y519" s="32">
        <f t="shared" ref="Y519:Y582" si="166">(uNES*L519+ uOCEX*G519+uEREX*H519+uHOEX*I519+uNES*S519+ uOCEX*N519+uEREX*O519+uHOEX*P519)/(1+oDR)^A$5:A$65536</f>
        <v>490.63550119202665</v>
      </c>
    </row>
    <row r="520" spans="1:25" x14ac:dyDescent="0.25">
      <c r="A520" s="4">
        <v>514</v>
      </c>
      <c r="C520" s="110">
        <f>IF(male=0,VLOOKUP(((A518:A1352/'Life tables'!$I$2)*2)+age,lifetable,13,1),IF(male=1,VLOOKUP(((A518:A1352/'Life tables'!$I$2)*2)+age,lifetable,10,1),"error"))</f>
        <v>4.0331437067231413E-4</v>
      </c>
      <c r="F520" s="101">
        <f t="shared" si="153"/>
        <v>148.69633526644435</v>
      </c>
      <c r="G520" s="101">
        <f t="shared" si="154"/>
        <v>14.936858081798142</v>
      </c>
      <c r="H520" s="101">
        <f t="shared" si="155"/>
        <v>0.34181164651504753</v>
      </c>
      <c r="I520" s="101">
        <f t="shared" si="156"/>
        <v>0.34181164651504753</v>
      </c>
      <c r="J520" s="101">
        <f t="shared" si="157"/>
        <v>6.6271333494552886E-2</v>
      </c>
      <c r="K520" s="101">
        <f t="shared" si="158"/>
        <v>2.6794314289377084E-2</v>
      </c>
      <c r="L520" s="101">
        <f t="shared" ref="L520:L583" si="167">F520-SUM(G520:K520)</f>
        <v>132.98278824383218</v>
      </c>
      <c r="M520" s="101">
        <f t="shared" si="159"/>
        <v>715.12449615775142</v>
      </c>
      <c r="N520" s="101">
        <f t="shared" si="160"/>
        <v>68.868038388382118</v>
      </c>
      <c r="O520" s="101">
        <f t="shared" si="161"/>
        <v>1.6438729378025636</v>
      </c>
      <c r="P520" s="101">
        <f t="shared" si="162"/>
        <v>1.6438729378025636</v>
      </c>
      <c r="Q520" s="101">
        <f t="shared" si="163"/>
        <v>0.31752145084101657</v>
      </c>
      <c r="R520" s="101">
        <f t="shared" si="164"/>
        <v>1.9152529051012543E-2</v>
      </c>
      <c r="S520" s="101">
        <f t="shared" si="152"/>
        <v>642.63203791387218</v>
      </c>
      <c r="T520" s="101">
        <f t="shared" ref="T520:U583" si="168">J520+Q520+T519</f>
        <v>106.8569370918399</v>
      </c>
      <c r="U520" s="101">
        <f t="shared" si="168"/>
        <v>29.751971111646576</v>
      </c>
      <c r="V520" s="33">
        <f t="shared" ref="V520:V583" si="169">SUM(G520:I520,L520,N520,O520,P520,S520,T520,U520)</f>
        <v>1000.0000000000063</v>
      </c>
      <c r="W520" s="105">
        <f t="shared" si="165"/>
        <v>93296.064844310735</v>
      </c>
      <c r="X520" s="112">
        <f t="shared" ref="X520:X583" si="170">(L520+G520+H520+I520+N520+O520+P520+S520)</f>
        <v>863.39109179651985</v>
      </c>
      <c r="Y520" s="32">
        <f t="shared" si="166"/>
        <v>490.25038560072176</v>
      </c>
    </row>
    <row r="521" spans="1:25" x14ac:dyDescent="0.25">
      <c r="A521" s="4">
        <v>515</v>
      </c>
      <c r="C521" s="110">
        <f>IF(male=0,VLOOKUP(((A519:A1353/'Life tables'!$I$2)*2)+age,lifetable,13,1),IF(male=1,VLOOKUP(((A519:A1353/'Life tables'!$I$2)*2)+age,lifetable,10,1),"error"))</f>
        <v>4.0331437067231413E-4</v>
      </c>
      <c r="F521" s="101">
        <f t="shared" si="153"/>
        <v>148.6223451261103</v>
      </c>
      <c r="G521" s="101">
        <f t="shared" si="154"/>
        <v>14.929425617348755</v>
      </c>
      <c r="H521" s="101">
        <f t="shared" si="155"/>
        <v>0.34164156369728244</v>
      </c>
      <c r="I521" s="101">
        <f t="shared" si="156"/>
        <v>0.34164156369728244</v>
      </c>
      <c r="J521" s="101">
        <f t="shared" si="157"/>
        <v>6.6238357394256944E-2</v>
      </c>
      <c r="K521" s="101">
        <f t="shared" si="158"/>
        <v>2.6780981646908973E-2</v>
      </c>
      <c r="L521" s="101">
        <f t="shared" si="167"/>
        <v>132.91661704232581</v>
      </c>
      <c r="M521" s="101">
        <f t="shared" si="159"/>
        <v>714.76874667040966</v>
      </c>
      <c r="N521" s="101">
        <f t="shared" si="160"/>
        <v>68.833778941974487</v>
      </c>
      <c r="O521" s="101">
        <f t="shared" si="161"/>
        <v>1.6430551683679822</v>
      </c>
      <c r="P521" s="101">
        <f t="shared" si="162"/>
        <v>1.6430551683679822</v>
      </c>
      <c r="Q521" s="101">
        <f t="shared" si="163"/>
        <v>0.31736349499701505</v>
      </c>
      <c r="R521" s="101">
        <f t="shared" si="164"/>
        <v>1.9143001336009349E-2</v>
      </c>
      <c r="S521" s="101">
        <f t="shared" si="152"/>
        <v>642.31235089536619</v>
      </c>
      <c r="T521" s="101">
        <f t="shared" si="168"/>
        <v>107.24053894423116</v>
      </c>
      <c r="U521" s="101">
        <f t="shared" si="168"/>
        <v>29.797895094629492</v>
      </c>
      <c r="V521" s="33">
        <f t="shared" si="169"/>
        <v>1000.0000000000064</v>
      </c>
      <c r="W521" s="105">
        <f t="shared" si="165"/>
        <v>93142.474427396097</v>
      </c>
      <c r="X521" s="112">
        <f t="shared" si="170"/>
        <v>862.96156596114588</v>
      </c>
      <c r="Y521" s="32">
        <f t="shared" si="166"/>
        <v>489.86557230023942</v>
      </c>
    </row>
    <row r="522" spans="1:25" x14ac:dyDescent="0.25">
      <c r="A522" s="4">
        <v>516</v>
      </c>
      <c r="C522" s="110">
        <f>IF(male=0,VLOOKUP(((A520:A1354/'Life tables'!$I$2)*2)+age,lifetable,13,1),IF(male=1,VLOOKUP(((A520:A1354/'Life tables'!$I$2)*2)+age,lifetable,10,1),"error"))</f>
        <v>4.0331437067231413E-4</v>
      </c>
      <c r="F522" s="101">
        <f t="shared" si="153"/>
        <v>148.54839228673004</v>
      </c>
      <c r="G522" s="101">
        <f t="shared" si="154"/>
        <v>14.921996899858243</v>
      </c>
      <c r="H522" s="101">
        <f t="shared" si="155"/>
        <v>0.34147156662406786</v>
      </c>
      <c r="I522" s="101">
        <f t="shared" si="156"/>
        <v>0.34147156662406786</v>
      </c>
      <c r="J522" s="101">
        <f t="shared" si="157"/>
        <v>6.6205397918338071E-2</v>
      </c>
      <c r="K522" s="101">
        <f t="shared" si="158"/>
        <v>2.6767655725880749E-2</v>
      </c>
      <c r="L522" s="101">
        <f t="shared" si="167"/>
        <v>132.85047919997945</v>
      </c>
      <c r="M522" s="101">
        <f t="shared" si="159"/>
        <v>714.4131736744157</v>
      </c>
      <c r="N522" s="101">
        <f t="shared" si="160"/>
        <v>68.799536492066039</v>
      </c>
      <c r="O522" s="101">
        <f t="shared" si="161"/>
        <v>1.6422378046380743</v>
      </c>
      <c r="P522" s="101">
        <f t="shared" si="162"/>
        <v>1.6422378046380743</v>
      </c>
      <c r="Q522" s="101">
        <f t="shared" si="163"/>
        <v>0.3172056175166959</v>
      </c>
      <c r="R522" s="101">
        <f t="shared" si="164"/>
        <v>1.9133478347813416E-2</v>
      </c>
      <c r="S522" s="101">
        <f t="shared" si="152"/>
        <v>641.99282247720907</v>
      </c>
      <c r="T522" s="101">
        <f t="shared" si="168"/>
        <v>107.62394995966619</v>
      </c>
      <c r="U522" s="101">
        <f t="shared" si="168"/>
        <v>29.843796228703187</v>
      </c>
      <c r="V522" s="33">
        <f t="shared" si="169"/>
        <v>1000.0000000000066</v>
      </c>
      <c r="W522" s="105">
        <f t="shared" si="165"/>
        <v>92989.136839816958</v>
      </c>
      <c r="X522" s="112">
        <f t="shared" si="170"/>
        <v>862.53225381163713</v>
      </c>
      <c r="Y522" s="32">
        <f t="shared" si="166"/>
        <v>489.48106105326224</v>
      </c>
    </row>
    <row r="523" spans="1:25" x14ac:dyDescent="0.25">
      <c r="A523" s="4">
        <v>517</v>
      </c>
      <c r="C523" s="110">
        <f>IF(male=0,VLOOKUP(((A521:A1355/'Life tables'!$I$2)*2)+age,lifetable,13,1),IF(male=1,VLOOKUP(((A521:A1355/'Life tables'!$I$2)*2)+age,lifetable,10,1),"error"))</f>
        <v>4.0331437067231413E-4</v>
      </c>
      <c r="F523" s="101">
        <f t="shared" si="153"/>
        <v>148.47447671430132</v>
      </c>
      <c r="G523" s="101">
        <f t="shared" si="154"/>
        <v>14.914571925911007</v>
      </c>
      <c r="H523" s="101">
        <f t="shared" si="155"/>
        <v>0.34130165521724204</v>
      </c>
      <c r="I523" s="101">
        <f t="shared" si="156"/>
        <v>0.34130165521724204</v>
      </c>
      <c r="J523" s="101">
        <f t="shared" si="157"/>
        <v>6.6172455051642071E-2</v>
      </c>
      <c r="K523" s="101">
        <f t="shared" si="158"/>
        <v>2.6754336520165387E-2</v>
      </c>
      <c r="L523" s="101">
        <f t="shared" si="167"/>
        <v>132.78437468638401</v>
      </c>
      <c r="M523" s="101">
        <f t="shared" si="159"/>
        <v>714.05777709733582</v>
      </c>
      <c r="N523" s="101">
        <f t="shared" si="160"/>
        <v>68.765311031681264</v>
      </c>
      <c r="O523" s="101">
        <f t="shared" si="161"/>
        <v>1.6414208464463353</v>
      </c>
      <c r="P523" s="101">
        <f t="shared" si="162"/>
        <v>1.6414208464463353</v>
      </c>
      <c r="Q523" s="101">
        <f t="shared" si="163"/>
        <v>0.31704781836789792</v>
      </c>
      <c r="R523" s="101">
        <f t="shared" si="164"/>
        <v>1.9123960084484828E-2</v>
      </c>
      <c r="S523" s="101">
        <f t="shared" si="152"/>
        <v>641.67345259430954</v>
      </c>
      <c r="T523" s="101">
        <f t="shared" si="168"/>
        <v>108.00717023308573</v>
      </c>
      <c r="U523" s="101">
        <f t="shared" si="168"/>
        <v>29.889674525307836</v>
      </c>
      <c r="V523" s="33">
        <f t="shared" si="169"/>
        <v>1000.0000000000065</v>
      </c>
      <c r="W523" s="105">
        <f t="shared" si="165"/>
        <v>92836.051666093059</v>
      </c>
      <c r="X523" s="112">
        <f t="shared" si="170"/>
        <v>862.10315524161297</v>
      </c>
      <c r="Y523" s="32">
        <f t="shared" si="166"/>
        <v>489.09685162266135</v>
      </c>
    </row>
    <row r="524" spans="1:25" x14ac:dyDescent="0.25">
      <c r="A524" s="4">
        <v>518</v>
      </c>
      <c r="C524" s="110">
        <f>IF(male=0,VLOOKUP(((A522:A1356/'Life tables'!$I$2)*2)+age,lifetable,13,1),IF(male=1,VLOOKUP(((A522:A1356/'Life tables'!$I$2)*2)+age,lifetable,10,1),"error"))</f>
        <v>4.0331437067231413E-4</v>
      </c>
      <c r="F524" s="101">
        <f t="shared" si="153"/>
        <v>148.40059837532385</v>
      </c>
      <c r="G524" s="101">
        <f t="shared" si="154"/>
        <v>14.907150692141876</v>
      </c>
      <c r="H524" s="101">
        <f t="shared" si="155"/>
        <v>0.34113182939979714</v>
      </c>
      <c r="I524" s="101">
        <f t="shared" si="156"/>
        <v>0.34113182939979714</v>
      </c>
      <c r="J524" s="101">
        <f t="shared" si="157"/>
        <v>6.6139528779238468E-2</v>
      </c>
      <c r="K524" s="101">
        <f t="shared" si="158"/>
        <v>2.6741024023726304E-2</v>
      </c>
      <c r="L524" s="101">
        <f t="shared" si="167"/>
        <v>132.71830347157942</v>
      </c>
      <c r="M524" s="101">
        <f t="shared" si="159"/>
        <v>713.70255686628911</v>
      </c>
      <c r="N524" s="101">
        <f t="shared" si="160"/>
        <v>68.731102553801549</v>
      </c>
      <c r="O524" s="101">
        <f t="shared" si="161"/>
        <v>1.6406042936252323</v>
      </c>
      <c r="P524" s="101">
        <f t="shared" si="162"/>
        <v>1.6406042936252323</v>
      </c>
      <c r="Q524" s="101">
        <f t="shared" si="163"/>
        <v>0.31689009751826119</v>
      </c>
      <c r="R524" s="101">
        <f t="shared" si="164"/>
        <v>1.9114446544071684E-2</v>
      </c>
      <c r="S524" s="101">
        <f t="shared" si="152"/>
        <v>641.35424118117476</v>
      </c>
      <c r="T524" s="101">
        <f t="shared" si="168"/>
        <v>108.39019985938323</v>
      </c>
      <c r="U524" s="101">
        <f t="shared" si="168"/>
        <v>29.935529995875633</v>
      </c>
      <c r="V524" s="33">
        <f t="shared" si="169"/>
        <v>1000.0000000000065</v>
      </c>
      <c r="W524" s="105">
        <f t="shared" si="165"/>
        <v>92683.218491403866</v>
      </c>
      <c r="X524" s="112">
        <f t="shared" si="170"/>
        <v>861.67427014474765</v>
      </c>
      <c r="Y524" s="32">
        <f t="shared" si="166"/>
        <v>488.71294377149468</v>
      </c>
    </row>
    <row r="525" spans="1:25" x14ac:dyDescent="0.25">
      <c r="A525" s="4">
        <v>519</v>
      </c>
      <c r="C525" s="110">
        <f>IF(male=0,VLOOKUP(((A523:A1357/'Life tables'!$I$2)*2)+age,lifetable,13,1),IF(male=1,VLOOKUP(((A523:A1357/'Life tables'!$I$2)*2)+age,lifetable,10,1),"error"))</f>
        <v>4.0331437067231413E-4</v>
      </c>
      <c r="F525" s="101">
        <f t="shared" si="153"/>
        <v>148.32675723678381</v>
      </c>
      <c r="G525" s="101">
        <f t="shared" si="154"/>
        <v>14.899733195234541</v>
      </c>
      <c r="H525" s="101">
        <f t="shared" si="155"/>
        <v>0.34096208909584352</v>
      </c>
      <c r="I525" s="101">
        <f t="shared" si="156"/>
        <v>0.34096208909584352</v>
      </c>
      <c r="J525" s="101">
        <f t="shared" si="157"/>
        <v>6.6106619086413618E-2</v>
      </c>
      <c r="K525" s="101">
        <f t="shared" si="158"/>
        <v>2.6727718230614574E-2</v>
      </c>
      <c r="L525" s="101">
        <f t="shared" si="167"/>
        <v>132.65226552604054</v>
      </c>
      <c r="M525" s="101">
        <f t="shared" si="159"/>
        <v>713.34751290796362</v>
      </c>
      <c r="N525" s="101">
        <f t="shared" si="160"/>
        <v>68.696911051366797</v>
      </c>
      <c r="O525" s="101">
        <f t="shared" si="161"/>
        <v>1.6397881460062407</v>
      </c>
      <c r="P525" s="101">
        <f t="shared" si="162"/>
        <v>1.6397881460062407</v>
      </c>
      <c r="Q525" s="101">
        <f t="shared" si="163"/>
        <v>0.31673245493523461</v>
      </c>
      <c r="R525" s="101">
        <f t="shared" si="164"/>
        <v>1.9104937724610523E-2</v>
      </c>
      <c r="S525" s="101">
        <f t="shared" si="152"/>
        <v>641.03518817192446</v>
      </c>
      <c r="T525" s="101">
        <f t="shared" si="168"/>
        <v>108.77303893340488</v>
      </c>
      <c r="U525" s="101">
        <f t="shared" si="168"/>
        <v>29.981362651830857</v>
      </c>
      <c r="V525" s="33">
        <f t="shared" si="169"/>
        <v>1000.0000000000063</v>
      </c>
      <c r="W525" s="105">
        <f t="shared" si="165"/>
        <v>92530.636901588281</v>
      </c>
      <c r="X525" s="112">
        <f t="shared" si="170"/>
        <v>861.24559841477048</v>
      </c>
      <c r="Y525" s="32">
        <f t="shared" si="166"/>
        <v>488.32933726300729</v>
      </c>
    </row>
    <row r="526" spans="1:25" x14ac:dyDescent="0.25">
      <c r="A526" s="4">
        <v>520</v>
      </c>
      <c r="C526" s="110">
        <f>IF(male=0,VLOOKUP(((A524:A1358/'Life tables'!$I$2)*2)+age,lifetable,13,1),IF(male=1,VLOOKUP(((A524:A1358/'Life tables'!$I$2)*2)+age,lifetable,10,1),"error"))</f>
        <v>4.0331437067231413E-4</v>
      </c>
      <c r="F526" s="101">
        <f t="shared" si="153"/>
        <v>148.252953266139</v>
      </c>
      <c r="G526" s="101">
        <f t="shared" si="154"/>
        <v>14.89231943192007</v>
      </c>
      <c r="H526" s="101">
        <f t="shared" si="155"/>
        <v>0.3407924342305757</v>
      </c>
      <c r="I526" s="101">
        <f t="shared" si="156"/>
        <v>0.3407924342305757</v>
      </c>
      <c r="J526" s="101">
        <f t="shared" si="157"/>
        <v>6.607372595866394E-2</v>
      </c>
      <c r="K526" s="101">
        <f t="shared" si="158"/>
        <v>2.671441913496627E-2</v>
      </c>
      <c r="L526" s="101">
        <f t="shared" si="167"/>
        <v>132.58626082066417</v>
      </c>
      <c r="M526" s="101">
        <f t="shared" si="159"/>
        <v>712.99264514863148</v>
      </c>
      <c r="N526" s="101">
        <f t="shared" si="160"/>
        <v>68.662736517276869</v>
      </c>
      <c r="O526" s="101">
        <f t="shared" si="161"/>
        <v>1.6389724034198814</v>
      </c>
      <c r="P526" s="101">
        <f t="shared" si="162"/>
        <v>1.6389724034198814</v>
      </c>
      <c r="Q526" s="101">
        <f t="shared" si="163"/>
        <v>0.31657489058608246</v>
      </c>
      <c r="R526" s="101">
        <f t="shared" si="164"/>
        <v>1.9095433624126773E-2</v>
      </c>
      <c r="S526" s="101">
        <f t="shared" si="152"/>
        <v>640.71629350030457</v>
      </c>
      <c r="T526" s="101">
        <f t="shared" si="168"/>
        <v>109.15568754994962</v>
      </c>
      <c r="U526" s="101">
        <f t="shared" si="168"/>
        <v>30.027172504589949</v>
      </c>
      <c r="V526" s="33">
        <f t="shared" si="169"/>
        <v>1000.0000000000061</v>
      </c>
      <c r="W526" s="105">
        <f t="shared" si="165"/>
        <v>92378.306483144348</v>
      </c>
      <c r="X526" s="112">
        <f t="shared" si="170"/>
        <v>860.81713994546658</v>
      </c>
      <c r="Y526" s="32">
        <f t="shared" si="166"/>
        <v>487.94603186063125</v>
      </c>
    </row>
    <row r="527" spans="1:25" x14ac:dyDescent="0.25">
      <c r="A527" s="4">
        <v>521</v>
      </c>
      <c r="C527" s="110">
        <f>IF(male=0,VLOOKUP(((A525:A1359/'Life tables'!$I$2)*2)+age,lifetable,13,1),IF(male=1,VLOOKUP(((A525:A1359/'Life tables'!$I$2)*2)+age,lifetable,10,1),"error"))</f>
        <v>4.0331437067231413E-4</v>
      </c>
      <c r="F527" s="101">
        <f t="shared" si="153"/>
        <v>148.17918643130409</v>
      </c>
      <c r="G527" s="101">
        <f t="shared" si="154"/>
        <v>14.884909398975424</v>
      </c>
      <c r="H527" s="101">
        <f t="shared" si="155"/>
        <v>0.34062286473023834</v>
      </c>
      <c r="I527" s="101">
        <f t="shared" si="156"/>
        <v>0.34062286473023834</v>
      </c>
      <c r="J527" s="101">
        <f t="shared" si="157"/>
        <v>6.6040849381689651E-2</v>
      </c>
      <c r="K527" s="101">
        <f t="shared" si="158"/>
        <v>2.6701126730999777E-2</v>
      </c>
      <c r="L527" s="101">
        <f t="shared" si="167"/>
        <v>132.52028932675549</v>
      </c>
      <c r="M527" s="101">
        <f t="shared" si="159"/>
        <v>712.63795351416252</v>
      </c>
      <c r="N527" s="101">
        <f t="shared" si="160"/>
        <v>68.628578944392871</v>
      </c>
      <c r="O527" s="101">
        <f t="shared" si="161"/>
        <v>1.6381570656957491</v>
      </c>
      <c r="P527" s="101">
        <f t="shared" si="162"/>
        <v>1.6381570656957491</v>
      </c>
      <c r="Q527" s="101">
        <f t="shared" si="163"/>
        <v>0.31641740443789035</v>
      </c>
      <c r="R527" s="101">
        <f t="shared" si="164"/>
        <v>1.9085934240635063E-2</v>
      </c>
      <c r="S527" s="101">
        <f t="shared" si="152"/>
        <v>640.39755709969961</v>
      </c>
      <c r="T527" s="101">
        <f t="shared" si="168"/>
        <v>109.5381458037692</v>
      </c>
      <c r="U527" s="101">
        <f t="shared" si="168"/>
        <v>30.072959565561582</v>
      </c>
      <c r="V527" s="33">
        <f t="shared" si="169"/>
        <v>1000.0000000000063</v>
      </c>
      <c r="W527" s="105">
        <f t="shared" si="165"/>
        <v>92226.226823228732</v>
      </c>
      <c r="X527" s="112">
        <f t="shared" si="170"/>
        <v>860.3888946306754</v>
      </c>
      <c r="Y527" s="32">
        <f t="shared" si="166"/>
        <v>487.56302732798537</v>
      </c>
    </row>
    <row r="528" spans="1:25" x14ac:dyDescent="0.25">
      <c r="A528" s="4">
        <v>522</v>
      </c>
      <c r="C528" s="110">
        <f>IF(male=0,VLOOKUP(((A526:A1360/'Life tables'!$I$2)*2)+age,lifetable,13,1),IF(male=1,VLOOKUP(((A526:A1360/'Life tables'!$I$2)*2)+age,lifetable,10,1),"error"))</f>
        <v>4.3180287415445218E-4</v>
      </c>
      <c r="F528" s="101">
        <f t="shared" si="153"/>
        <v>148.10545670063664</v>
      </c>
      <c r="G528" s="101">
        <f t="shared" si="154"/>
        <v>14.877503093222053</v>
      </c>
      <c r="H528" s="101">
        <f t="shared" si="155"/>
        <v>0.34045338052209434</v>
      </c>
      <c r="I528" s="101">
        <f t="shared" si="156"/>
        <v>0.34045338052209434</v>
      </c>
      <c r="J528" s="101">
        <f t="shared" si="157"/>
        <v>7.0670527973637778E-2</v>
      </c>
      <c r="K528" s="101">
        <f t="shared" si="158"/>
        <v>2.6687841013013282E-2</v>
      </c>
      <c r="L528" s="101">
        <f t="shared" si="167"/>
        <v>132.44968847738375</v>
      </c>
      <c r="M528" s="101">
        <f t="shared" si="159"/>
        <v>712.28343793003864</v>
      </c>
      <c r="N528" s="101">
        <f t="shared" si="160"/>
        <v>68.594438325538533</v>
      </c>
      <c r="O528" s="101">
        <f t="shared" si="161"/>
        <v>1.6373421326625477</v>
      </c>
      <c r="P528" s="101">
        <f t="shared" si="162"/>
        <v>1.6373421326625477</v>
      </c>
      <c r="Q528" s="101">
        <f t="shared" si="163"/>
        <v>0.33859932940849857</v>
      </c>
      <c r="R528" s="101">
        <f t="shared" si="164"/>
        <v>1.9076439572139645E-2</v>
      </c>
      <c r="S528" s="101">
        <f t="shared" si="152"/>
        <v>640.05663957019442</v>
      </c>
      <c r="T528" s="101">
        <f t="shared" si="168"/>
        <v>109.94741566115134</v>
      </c>
      <c r="U528" s="101">
        <f t="shared" si="168"/>
        <v>30.118723846146736</v>
      </c>
      <c r="V528" s="33">
        <f t="shared" si="169"/>
        <v>1000.0000000000061</v>
      </c>
      <c r="W528" s="105">
        <f t="shared" si="165"/>
        <v>92071.895151116609</v>
      </c>
      <c r="X528" s="112">
        <f t="shared" si="170"/>
        <v>859.93386049270805</v>
      </c>
      <c r="Y528" s="32">
        <f t="shared" si="166"/>
        <v>487.16477760102293</v>
      </c>
    </row>
    <row r="529" spans="1:25" x14ac:dyDescent="0.25">
      <c r="A529" s="4">
        <v>523</v>
      </c>
      <c r="C529" s="110">
        <f>IF(male=0,VLOOKUP(((A527:A1361/'Life tables'!$I$2)*2)+age,lifetable,13,1),IF(male=1,VLOOKUP(((A527:A1361/'Life tables'!$I$2)*2)+age,lifetable,10,1),"error"))</f>
        <v>4.3180287415445218E-4</v>
      </c>
      <c r="F529" s="101">
        <f t="shared" si="153"/>
        <v>148.02710137282381</v>
      </c>
      <c r="G529" s="101">
        <f t="shared" si="154"/>
        <v>14.869632136554587</v>
      </c>
      <c r="H529" s="101">
        <f t="shared" si="155"/>
        <v>0.3402732633486284</v>
      </c>
      <c r="I529" s="101">
        <f t="shared" si="156"/>
        <v>0.3402732633486284</v>
      </c>
      <c r="J529" s="101">
        <f t="shared" si="157"/>
        <v>7.0633139665945172E-2</v>
      </c>
      <c r="K529" s="101">
        <f t="shared" si="158"/>
        <v>2.6673721786228698E-2</v>
      </c>
      <c r="L529" s="101">
        <f t="shared" si="167"/>
        <v>132.37961584811978</v>
      </c>
      <c r="M529" s="101">
        <f t="shared" si="159"/>
        <v>711.9067591198841</v>
      </c>
      <c r="N529" s="101">
        <f t="shared" si="160"/>
        <v>68.558163339997975</v>
      </c>
      <c r="O529" s="101">
        <f t="shared" si="161"/>
        <v>1.6364762525177845</v>
      </c>
      <c r="P529" s="101">
        <f t="shared" si="162"/>
        <v>1.6364762525177845</v>
      </c>
      <c r="Q529" s="101">
        <f t="shared" si="163"/>
        <v>0.3384202669935541</v>
      </c>
      <c r="R529" s="101">
        <f t="shared" si="164"/>
        <v>1.9066351326116546E-2</v>
      </c>
      <c r="S529" s="101">
        <f t="shared" si="152"/>
        <v>639.71815665653094</v>
      </c>
      <c r="T529" s="101">
        <f t="shared" si="168"/>
        <v>110.35646906781083</v>
      </c>
      <c r="U529" s="101">
        <f t="shared" si="168"/>
        <v>30.164463919259081</v>
      </c>
      <c r="V529" s="33">
        <f t="shared" si="169"/>
        <v>1000.000000000006</v>
      </c>
      <c r="W529" s="105">
        <f t="shared" si="165"/>
        <v>91917.43435199224</v>
      </c>
      <c r="X529" s="112">
        <f t="shared" si="170"/>
        <v>859.47906701293607</v>
      </c>
      <c r="Y529" s="32">
        <f t="shared" si="166"/>
        <v>486.76710185046511</v>
      </c>
    </row>
    <row r="530" spans="1:25" x14ac:dyDescent="0.25">
      <c r="A530" s="4">
        <v>524</v>
      </c>
      <c r="C530" s="110">
        <f>IF(male=0,VLOOKUP(((A528:A1362/'Life tables'!$I$2)*2)+age,lifetable,13,1),IF(male=1,VLOOKUP(((A528:A1362/'Life tables'!$I$2)*2)+age,lifetable,10,1),"error"))</f>
        <v>4.3180287415445218E-4</v>
      </c>
      <c r="F530" s="101">
        <f t="shared" si="153"/>
        <v>147.94878832639918</v>
      </c>
      <c r="G530" s="101">
        <f t="shared" si="154"/>
        <v>14.861765427141059</v>
      </c>
      <c r="H530" s="101">
        <f t="shared" si="155"/>
        <v>0.34009324336835084</v>
      </c>
      <c r="I530" s="101">
        <f t="shared" si="156"/>
        <v>0.34009324336835084</v>
      </c>
      <c r="J530" s="101">
        <f t="shared" si="157"/>
        <v>7.0595771533390528E-2</v>
      </c>
      <c r="K530" s="101">
        <f t="shared" si="158"/>
        <v>2.6659610178332644E-2</v>
      </c>
      <c r="L530" s="101">
        <f t="shared" si="167"/>
        <v>132.30958103080971</v>
      </c>
      <c r="M530" s="101">
        <f t="shared" si="159"/>
        <v>711.53027868653692</v>
      </c>
      <c r="N530" s="101">
        <f t="shared" si="160"/>
        <v>68.521907458573793</v>
      </c>
      <c r="O530" s="101">
        <f t="shared" si="161"/>
        <v>1.6356108283862987</v>
      </c>
      <c r="P530" s="101">
        <f t="shared" si="162"/>
        <v>1.6356108283862987</v>
      </c>
      <c r="Q530" s="101">
        <f t="shared" si="163"/>
        <v>0.33824129888131321</v>
      </c>
      <c r="R530" s="101">
        <f t="shared" si="164"/>
        <v>1.9056268393039071E-2</v>
      </c>
      <c r="S530" s="101">
        <f t="shared" si="152"/>
        <v>639.3798520039162</v>
      </c>
      <c r="T530" s="101">
        <f t="shared" si="168"/>
        <v>110.76530613822554</v>
      </c>
      <c r="U530" s="101">
        <f t="shared" si="168"/>
        <v>30.210179797830452</v>
      </c>
      <c r="V530" s="33">
        <f t="shared" si="169"/>
        <v>1000.0000000000061</v>
      </c>
      <c r="W530" s="105">
        <f t="shared" si="165"/>
        <v>91763.232641034454</v>
      </c>
      <c r="X530" s="112">
        <f t="shared" si="170"/>
        <v>859.02451406395005</v>
      </c>
      <c r="Y530" s="32">
        <f t="shared" si="166"/>
        <v>486.36975072717706</v>
      </c>
    </row>
    <row r="531" spans="1:25" x14ac:dyDescent="0.25">
      <c r="A531" s="4">
        <v>525</v>
      </c>
      <c r="C531" s="110">
        <f>IF(male=0,VLOOKUP(((A529:A1363/'Life tables'!$I$2)*2)+age,lifetable,13,1),IF(male=1,VLOOKUP(((A529:A1363/'Life tables'!$I$2)*2)+age,lifetable,10,1),"error"))</f>
        <v>4.3180287415445218E-4</v>
      </c>
      <c r="F531" s="101">
        <f t="shared" si="153"/>
        <v>147.87051751254612</v>
      </c>
      <c r="G531" s="101">
        <f t="shared" si="154"/>
        <v>14.853902960077729</v>
      </c>
      <c r="H531" s="101">
        <f t="shared" si="155"/>
        <v>0.33991332046904571</v>
      </c>
      <c r="I531" s="101">
        <f t="shared" si="156"/>
        <v>0.33991332046904571</v>
      </c>
      <c r="J531" s="101">
        <f t="shared" si="157"/>
        <v>7.0558423552680383E-2</v>
      </c>
      <c r="K531" s="101">
        <f t="shared" si="158"/>
        <v>2.6645506180528619E-2</v>
      </c>
      <c r="L531" s="101">
        <f t="shared" si="167"/>
        <v>132.2395839817971</v>
      </c>
      <c r="M531" s="101">
        <f t="shared" si="159"/>
        <v>711.15399655140413</v>
      </c>
      <c r="N531" s="101">
        <f t="shared" si="160"/>
        <v>68.485670673697285</v>
      </c>
      <c r="O531" s="101">
        <f t="shared" si="161"/>
        <v>1.6347458600874265</v>
      </c>
      <c r="P531" s="101">
        <f t="shared" si="162"/>
        <v>1.6347458600874265</v>
      </c>
      <c r="Q531" s="101">
        <f t="shared" si="163"/>
        <v>0.33806242503441508</v>
      </c>
      <c r="R531" s="101">
        <f t="shared" si="164"/>
        <v>1.9046190770802347E-2</v>
      </c>
      <c r="S531" s="101">
        <f t="shared" si="152"/>
        <v>639.04172554172681</v>
      </c>
      <c r="T531" s="101">
        <f t="shared" si="168"/>
        <v>111.17392698681263</v>
      </c>
      <c r="U531" s="101">
        <f t="shared" si="168"/>
        <v>30.255871494781783</v>
      </c>
      <c r="V531" s="33">
        <f t="shared" si="169"/>
        <v>1000.0000000000063</v>
      </c>
      <c r="W531" s="105">
        <f t="shared" si="165"/>
        <v>91609.289584857906</v>
      </c>
      <c r="X531" s="112">
        <f t="shared" si="170"/>
        <v>858.57020151841186</v>
      </c>
      <c r="Y531" s="32">
        <f t="shared" si="166"/>
        <v>485.97272396609861</v>
      </c>
    </row>
    <row r="532" spans="1:25" x14ac:dyDescent="0.25">
      <c r="A532" s="4">
        <v>526</v>
      </c>
      <c r="C532" s="110">
        <f>IF(male=0,VLOOKUP(((A530:A1364/'Life tables'!$I$2)*2)+age,lifetable,13,1),IF(male=1,VLOOKUP(((A530:A1364/'Life tables'!$I$2)*2)+age,lifetable,10,1),"error"))</f>
        <v>4.3180287415445218E-4</v>
      </c>
      <c r="F532" s="101">
        <f t="shared" si="153"/>
        <v>147.7922888833053</v>
      </c>
      <c r="G532" s="101">
        <f t="shared" si="154"/>
        <v>14.846044730546989</v>
      </c>
      <c r="H532" s="101">
        <f t="shared" si="155"/>
        <v>0.33973349454046781</v>
      </c>
      <c r="I532" s="101">
        <f t="shared" si="156"/>
        <v>0.33973349454046781</v>
      </c>
      <c r="J532" s="101">
        <f t="shared" si="157"/>
        <v>7.0521095700930292E-2</v>
      </c>
      <c r="K532" s="101">
        <f t="shared" si="158"/>
        <v>2.6631409784174602E-2</v>
      </c>
      <c r="L532" s="101">
        <f t="shared" si="167"/>
        <v>132.16962465819228</v>
      </c>
      <c r="M532" s="101">
        <f t="shared" si="159"/>
        <v>710.77791263510653</v>
      </c>
      <c r="N532" s="101">
        <f t="shared" si="160"/>
        <v>68.449452977724079</v>
      </c>
      <c r="O532" s="101">
        <f t="shared" si="161"/>
        <v>1.6338813474386973</v>
      </c>
      <c r="P532" s="101">
        <f t="shared" si="162"/>
        <v>1.6338813474386973</v>
      </c>
      <c r="Q532" s="101">
        <f t="shared" si="163"/>
        <v>0.33788364541512511</v>
      </c>
      <c r="R532" s="101">
        <f t="shared" si="164"/>
        <v>1.903611845728042E-2</v>
      </c>
      <c r="S532" s="101">
        <f t="shared" si="152"/>
        <v>638.70377719863268</v>
      </c>
      <c r="T532" s="101">
        <f t="shared" si="168"/>
        <v>111.58233172792869</v>
      </c>
      <c r="U532" s="101">
        <f t="shared" si="168"/>
        <v>30.301539023023238</v>
      </c>
      <c r="V532" s="33">
        <f t="shared" si="169"/>
        <v>1000.0000000000063</v>
      </c>
      <c r="W532" s="105">
        <f t="shared" si="165"/>
        <v>91455.604750763261</v>
      </c>
      <c r="X532" s="112">
        <f t="shared" si="170"/>
        <v>858.11612924905432</v>
      </c>
      <c r="Y532" s="32">
        <f t="shared" si="166"/>
        <v>485.57602130238877</v>
      </c>
    </row>
    <row r="533" spans="1:25" x14ac:dyDescent="0.25">
      <c r="A533" s="4">
        <v>527</v>
      </c>
      <c r="C533" s="110">
        <f>IF(male=0,VLOOKUP(((A531:A1365/'Life tables'!$I$2)*2)+age,lifetable,13,1),IF(male=1,VLOOKUP(((A531:A1365/'Life tables'!$I$2)*2)+age,lifetable,10,1),"error"))</f>
        <v>4.3180287415445218E-4</v>
      </c>
      <c r="F533" s="101">
        <f t="shared" si="153"/>
        <v>147.71410239154841</v>
      </c>
      <c r="G533" s="101">
        <f t="shared" si="154"/>
        <v>14.838190733814697</v>
      </c>
      <c r="H533" s="101">
        <f t="shared" si="155"/>
        <v>0.33955376547428223</v>
      </c>
      <c r="I533" s="101">
        <f t="shared" si="156"/>
        <v>0.33955376547428223</v>
      </c>
      <c r="J533" s="101">
        <f t="shared" si="157"/>
        <v>7.0483787955652299E-2</v>
      </c>
      <c r="K533" s="101">
        <f t="shared" si="158"/>
        <v>2.6617320980778313E-2</v>
      </c>
      <c r="L533" s="101">
        <f t="shared" si="167"/>
        <v>132.09970301784873</v>
      </c>
      <c r="M533" s="101">
        <f t="shared" si="159"/>
        <v>710.4020268575058</v>
      </c>
      <c r="N533" s="101">
        <f t="shared" si="160"/>
        <v>68.413254362936669</v>
      </c>
      <c r="O533" s="101">
        <f t="shared" si="161"/>
        <v>1.6330172902558955</v>
      </c>
      <c r="P533" s="101">
        <f t="shared" si="162"/>
        <v>1.6330172902558955</v>
      </c>
      <c r="Q533" s="101">
        <f t="shared" si="163"/>
        <v>0.33770495998534789</v>
      </c>
      <c r="R533" s="101">
        <f t="shared" si="164"/>
        <v>1.9026051450327031E-2</v>
      </c>
      <c r="S533" s="101">
        <f t="shared" si="152"/>
        <v>638.36600690262162</v>
      </c>
      <c r="T533" s="101">
        <f t="shared" si="168"/>
        <v>111.99052047586969</v>
      </c>
      <c r="U533" s="101">
        <f t="shared" si="168"/>
        <v>30.347182395454343</v>
      </c>
      <c r="V533" s="33">
        <f t="shared" si="169"/>
        <v>1000.000000000006</v>
      </c>
      <c r="W533" s="105">
        <f t="shared" si="165"/>
        <v>91302.177706737071</v>
      </c>
      <c r="X533" s="112">
        <f t="shared" si="170"/>
        <v>857.6622971286821</v>
      </c>
      <c r="Y533" s="32">
        <f t="shared" si="166"/>
        <v>485.17964247142339</v>
      </c>
    </row>
    <row r="534" spans="1:25" x14ac:dyDescent="0.25">
      <c r="A534" s="4">
        <v>528</v>
      </c>
      <c r="C534" s="110">
        <f>IF(male=0,VLOOKUP(((A532:A1366/'Life tables'!$I$2)*2)+age,lifetable,13,1),IF(male=1,VLOOKUP(((A532:A1366/'Life tables'!$I$2)*2)+age,lifetable,10,1),"error"))</f>
        <v>4.3180287415445218E-4</v>
      </c>
      <c r="F534" s="101">
        <f t="shared" si="153"/>
        <v>147.63595799095205</v>
      </c>
      <c r="G534" s="101">
        <f t="shared" si="154"/>
        <v>14.830340965227574</v>
      </c>
      <c r="H534" s="101">
        <f t="shared" si="155"/>
        <v>0.33937413316400428</v>
      </c>
      <c r="I534" s="101">
        <f t="shared" si="156"/>
        <v>0.33937413316400428</v>
      </c>
      <c r="J534" s="101">
        <f t="shared" si="157"/>
        <v>7.0446500294742614E-2</v>
      </c>
      <c r="K534" s="101">
        <f t="shared" si="158"/>
        <v>2.6603239761992512E-2</v>
      </c>
      <c r="L534" s="101">
        <f t="shared" si="167"/>
        <v>132.02981901933973</v>
      </c>
      <c r="M534" s="101">
        <f t="shared" si="159"/>
        <v>710.02633913773002</v>
      </c>
      <c r="N534" s="101">
        <f t="shared" si="160"/>
        <v>68.377074821546927</v>
      </c>
      <c r="O534" s="101">
        <f t="shared" si="161"/>
        <v>1.6321536883531185</v>
      </c>
      <c r="P534" s="101">
        <f t="shared" si="162"/>
        <v>1.6321536883531185</v>
      </c>
      <c r="Q534" s="101">
        <f t="shared" si="163"/>
        <v>0.33752636870663899</v>
      </c>
      <c r="R534" s="101">
        <f t="shared" si="164"/>
        <v>1.9015989747776251E-2</v>
      </c>
      <c r="S534" s="101">
        <f t="shared" si="152"/>
        <v>638.0284145810225</v>
      </c>
      <c r="T534" s="101">
        <f t="shared" si="168"/>
        <v>112.39849334487107</v>
      </c>
      <c r="U534" s="101">
        <f t="shared" si="168"/>
        <v>30.392801624964111</v>
      </c>
      <c r="V534" s="33">
        <f t="shared" si="169"/>
        <v>1000.0000000000063</v>
      </c>
      <c r="W534" s="105">
        <f t="shared" si="165"/>
        <v>91149.008021452057</v>
      </c>
      <c r="X534" s="112">
        <f t="shared" si="170"/>
        <v>857.20870503017102</v>
      </c>
      <c r="Y534" s="32">
        <f t="shared" si="166"/>
        <v>484.78358720879703</v>
      </c>
    </row>
    <row r="535" spans="1:25" x14ac:dyDescent="0.25">
      <c r="A535" s="4">
        <v>529</v>
      </c>
      <c r="C535" s="110">
        <f>IF(male=0,VLOOKUP(((A533:A1367/'Life tables'!$I$2)*2)+age,lifetable,13,1),IF(male=1,VLOOKUP(((A533:A1367/'Life tables'!$I$2)*2)+age,lifetable,10,1),"error"))</f>
        <v>4.3180287415445218E-4</v>
      </c>
      <c r="F535" s="101">
        <f t="shared" si="153"/>
        <v>147.55785563597308</v>
      </c>
      <c r="G535" s="101">
        <f t="shared" si="154"/>
        <v>14.822495420210714</v>
      </c>
      <c r="H535" s="101">
        <f t="shared" si="155"/>
        <v>0.33919459750494296</v>
      </c>
      <c r="I535" s="101">
        <f t="shared" si="156"/>
        <v>0.33919459750494296</v>
      </c>
      <c r="J535" s="101">
        <f t="shared" si="157"/>
        <v>7.040923269646969E-2</v>
      </c>
      <c r="K535" s="101">
        <f t="shared" si="158"/>
        <v>2.6589166119610555E-2</v>
      </c>
      <c r="L535" s="101">
        <f t="shared" si="167"/>
        <v>131.9599726219364</v>
      </c>
      <c r="M535" s="101">
        <f t="shared" si="159"/>
        <v>709.65084939419785</v>
      </c>
      <c r="N535" s="101">
        <f t="shared" si="160"/>
        <v>68.34091434569838</v>
      </c>
      <c r="O535" s="101">
        <f t="shared" si="161"/>
        <v>1.631290541542834</v>
      </c>
      <c r="P535" s="101">
        <f t="shared" si="162"/>
        <v>1.631290541542834</v>
      </c>
      <c r="Q535" s="101">
        <f t="shared" si="163"/>
        <v>0.33734787154021706</v>
      </c>
      <c r="R535" s="101">
        <f t="shared" si="164"/>
        <v>1.9005933347443171E-2</v>
      </c>
      <c r="S535" s="101">
        <f t="shared" si="152"/>
        <v>637.69100016052607</v>
      </c>
      <c r="T535" s="101">
        <f t="shared" si="168"/>
        <v>112.80625044910775</v>
      </c>
      <c r="U535" s="101">
        <f t="shared" si="168"/>
        <v>30.438396724431165</v>
      </c>
      <c r="V535" s="33">
        <f t="shared" si="169"/>
        <v>1000.000000000006</v>
      </c>
      <c r="W535" s="105">
        <f t="shared" si="165"/>
        <v>90996.095264267249</v>
      </c>
      <c r="X535" s="112">
        <f t="shared" si="170"/>
        <v>856.75535282646706</v>
      </c>
      <c r="Y535" s="32">
        <f t="shared" si="166"/>
        <v>484.38785525032227</v>
      </c>
    </row>
    <row r="536" spans="1:25" x14ac:dyDescent="0.25">
      <c r="A536" s="4">
        <v>530</v>
      </c>
      <c r="C536" s="110">
        <f>IF(male=0,VLOOKUP(((A534:A1368/'Life tables'!$I$2)*2)+age,lifetable,13,1),IF(male=1,VLOOKUP(((A534:A1368/'Life tables'!$I$2)*2)+age,lifetable,10,1),"error"))</f>
        <v>4.3180287415445218E-4</v>
      </c>
      <c r="F536" s="101">
        <f t="shared" si="153"/>
        <v>147.47979528182432</v>
      </c>
      <c r="G536" s="101">
        <f t="shared" si="154"/>
        <v>14.814654094265149</v>
      </c>
      <c r="H536" s="101">
        <f t="shared" si="155"/>
        <v>0.33901515839414492</v>
      </c>
      <c r="I536" s="101">
        <f t="shared" si="156"/>
        <v>0.33901515839414492</v>
      </c>
      <c r="J536" s="101">
        <f t="shared" si="157"/>
        <v>7.0371985139462703E-2</v>
      </c>
      <c r="K536" s="101">
        <f t="shared" si="158"/>
        <v>2.6575100045562031E-2</v>
      </c>
      <c r="L536" s="101">
        <f t="shared" si="167"/>
        <v>131.89016378558586</v>
      </c>
      <c r="M536" s="101">
        <f t="shared" si="159"/>
        <v>709.27555754464277</v>
      </c>
      <c r="N536" s="101">
        <f t="shared" si="160"/>
        <v>68.304772927468576</v>
      </c>
      <c r="O536" s="101">
        <f t="shared" si="161"/>
        <v>1.6304278496359337</v>
      </c>
      <c r="P536" s="101">
        <f t="shared" si="162"/>
        <v>1.6304278496359337</v>
      </c>
      <c r="Q536" s="101">
        <f t="shared" si="163"/>
        <v>0.33716946844697498</v>
      </c>
      <c r="R536" s="101">
        <f t="shared" si="164"/>
        <v>1.899588224712451E-2</v>
      </c>
      <c r="S536" s="101">
        <f t="shared" si="152"/>
        <v>637.35376356720826</v>
      </c>
      <c r="T536" s="101">
        <f t="shared" si="168"/>
        <v>113.21379190269418</v>
      </c>
      <c r="U536" s="101">
        <f t="shared" si="168"/>
        <v>30.483967706723853</v>
      </c>
      <c r="V536" s="33">
        <f t="shared" si="169"/>
        <v>1000.000000000006</v>
      </c>
      <c r="W536" s="105">
        <f t="shared" si="165"/>
        <v>90843.439005227949</v>
      </c>
      <c r="X536" s="112">
        <f t="shared" si="170"/>
        <v>856.30224039058794</v>
      </c>
      <c r="Y536" s="32">
        <f t="shared" si="166"/>
        <v>483.99244633202846</v>
      </c>
    </row>
    <row r="537" spans="1:25" x14ac:dyDescent="0.25">
      <c r="A537" s="4">
        <v>531</v>
      </c>
      <c r="C537" s="110">
        <f>IF(male=0,VLOOKUP(((A535:A1369/'Life tables'!$I$2)*2)+age,lifetable,13,1),IF(male=1,VLOOKUP(((A535:A1369/'Life tables'!$I$2)*2)+age,lifetable,10,1),"error"))</f>
        <v>4.3180287415445218E-4</v>
      </c>
      <c r="F537" s="101">
        <f t="shared" si="153"/>
        <v>147.40177688445104</v>
      </c>
      <c r="G537" s="101">
        <f t="shared" si="154"/>
        <v>14.806816982965493</v>
      </c>
      <c r="H537" s="101">
        <f t="shared" si="155"/>
        <v>0.33883581573034061</v>
      </c>
      <c r="I537" s="101">
        <f t="shared" si="156"/>
        <v>0.33883581573034061</v>
      </c>
      <c r="J537" s="101">
        <f t="shared" si="157"/>
        <v>7.033475760270036E-2</v>
      </c>
      <c r="K537" s="101">
        <f t="shared" si="158"/>
        <v>2.6561041531908497E-2</v>
      </c>
      <c r="L537" s="101">
        <f t="shared" si="167"/>
        <v>131.82039247089025</v>
      </c>
      <c r="M537" s="101">
        <f t="shared" si="159"/>
        <v>708.90046350613693</v>
      </c>
      <c r="N537" s="101">
        <f t="shared" si="160"/>
        <v>68.268650558871414</v>
      </c>
      <c r="O537" s="101">
        <f t="shared" si="161"/>
        <v>1.6295656124417894</v>
      </c>
      <c r="P537" s="101">
        <f t="shared" si="162"/>
        <v>1.6295656124417894</v>
      </c>
      <c r="Q537" s="101">
        <f t="shared" si="163"/>
        <v>0.33699115938749113</v>
      </c>
      <c r="R537" s="101">
        <f t="shared" si="164"/>
        <v>1.8985836444599294E-2</v>
      </c>
      <c r="S537" s="101">
        <f t="shared" si="152"/>
        <v>637.01670472654985</v>
      </c>
      <c r="T537" s="101">
        <f t="shared" si="168"/>
        <v>113.62111781968437</v>
      </c>
      <c r="U537" s="101">
        <f t="shared" si="168"/>
        <v>30.529514584700362</v>
      </c>
      <c r="V537" s="33">
        <f t="shared" si="169"/>
        <v>1000.000000000006</v>
      </c>
      <c r="W537" s="105">
        <f t="shared" si="165"/>
        <v>90691.038815065782</v>
      </c>
      <c r="X537" s="112">
        <f t="shared" si="170"/>
        <v>855.84936759562129</v>
      </c>
      <c r="Y537" s="32">
        <f t="shared" si="166"/>
        <v>483.59736019016282</v>
      </c>
    </row>
    <row r="538" spans="1:25" x14ac:dyDescent="0.25">
      <c r="A538" s="4">
        <v>532</v>
      </c>
      <c r="C538" s="110">
        <f>IF(male=0,VLOOKUP(((A536:A1370/'Life tables'!$I$2)*2)+age,lifetable,13,1),IF(male=1,VLOOKUP(((A536:A1370/'Life tables'!$I$2)*2)+age,lifetable,10,1),"error"))</f>
        <v>4.3180287415445218E-4</v>
      </c>
      <c r="F538" s="101">
        <f t="shared" si="153"/>
        <v>147.32380040050847</v>
      </c>
      <c r="G538" s="101">
        <f t="shared" si="154"/>
        <v>14.798984081957673</v>
      </c>
      <c r="H538" s="101">
        <f t="shared" si="155"/>
        <v>0.33865656941389238</v>
      </c>
      <c r="I538" s="101">
        <f t="shared" si="156"/>
        <v>0.33865656941389238</v>
      </c>
      <c r="J538" s="101">
        <f t="shared" si="157"/>
        <v>7.029755006550012E-2</v>
      </c>
      <c r="K538" s="101">
        <f t="shared" si="158"/>
        <v>2.6546990570839462E-2</v>
      </c>
      <c r="L538" s="101">
        <f t="shared" si="167"/>
        <v>131.75065863908668</v>
      </c>
      <c r="M538" s="101">
        <f t="shared" si="159"/>
        <v>708.52556719511267</v>
      </c>
      <c r="N538" s="101">
        <f t="shared" si="160"/>
        <v>68.23254723185913</v>
      </c>
      <c r="O538" s="101">
        <f t="shared" si="161"/>
        <v>1.6287038297683025</v>
      </c>
      <c r="P538" s="101">
        <f t="shared" si="162"/>
        <v>1.6287038297683025</v>
      </c>
      <c r="Q538" s="101">
        <f t="shared" si="163"/>
        <v>0.3368129443220399</v>
      </c>
      <c r="R538" s="101">
        <f t="shared" si="164"/>
        <v>1.8975795937629405E-2</v>
      </c>
      <c r="S538" s="101">
        <f t="shared" si="152"/>
        <v>636.67982356345726</v>
      </c>
      <c r="T538" s="101">
        <f t="shared" si="168"/>
        <v>114.02822831407191</v>
      </c>
      <c r="U538" s="101">
        <f t="shared" si="168"/>
        <v>30.575037371208829</v>
      </c>
      <c r="V538" s="33">
        <f t="shared" si="169"/>
        <v>1000.0000000000059</v>
      </c>
      <c r="W538" s="105">
        <f t="shared" si="165"/>
        <v>90538.894265198804</v>
      </c>
      <c r="X538" s="112">
        <f t="shared" si="170"/>
        <v>855.39673431472511</v>
      </c>
      <c r="Y538" s="32">
        <f t="shared" si="166"/>
        <v>483.20259656118895</v>
      </c>
    </row>
    <row r="539" spans="1:25" x14ac:dyDescent="0.25">
      <c r="A539" s="4">
        <v>533</v>
      </c>
      <c r="C539" s="110">
        <f>IF(male=0,VLOOKUP(((A537:A1371/'Life tables'!$I$2)*2)+age,lifetable,13,1),IF(male=1,VLOOKUP(((A537:A1371/'Life tables'!$I$2)*2)+age,lifetable,10,1),"error"))</f>
        <v>4.3180287415445218E-4</v>
      </c>
      <c r="F539" s="101">
        <f t="shared" si="153"/>
        <v>147.2458657873398</v>
      </c>
      <c r="G539" s="101">
        <f t="shared" si="154"/>
        <v>14.791155386956721</v>
      </c>
      <c r="H539" s="101">
        <f t="shared" si="155"/>
        <v>0.33847741934674402</v>
      </c>
      <c r="I539" s="101">
        <f t="shared" si="156"/>
        <v>0.33847741934674402</v>
      </c>
      <c r="J539" s="101">
        <f t="shared" si="157"/>
        <v>7.0260362507507668E-2</v>
      </c>
      <c r="K539" s="101">
        <f t="shared" si="158"/>
        <v>2.653294715466837E-2</v>
      </c>
      <c r="L539" s="101">
        <f t="shared" si="167"/>
        <v>131.6809622520274</v>
      </c>
      <c r="M539" s="101">
        <f t="shared" si="159"/>
        <v>708.15086852738523</v>
      </c>
      <c r="N539" s="101">
        <f t="shared" si="160"/>
        <v>68.196462938324544</v>
      </c>
      <c r="O539" s="101">
        <f t="shared" si="161"/>
        <v>1.6278425014219555</v>
      </c>
      <c r="P539" s="101">
        <f t="shared" si="162"/>
        <v>1.6278425014219555</v>
      </c>
      <c r="Q539" s="101">
        <f t="shared" si="163"/>
        <v>0.33663482321060223</v>
      </c>
      <c r="R539" s="101">
        <f t="shared" si="164"/>
        <v>1.8965760723960202E-2</v>
      </c>
      <c r="S539" s="101">
        <f t="shared" si="152"/>
        <v>636.34312000228226</v>
      </c>
      <c r="T539" s="101">
        <f t="shared" si="168"/>
        <v>114.43512349979002</v>
      </c>
      <c r="U539" s="101">
        <f t="shared" si="168"/>
        <v>30.620536079087458</v>
      </c>
      <c r="V539" s="33">
        <f t="shared" si="169"/>
        <v>1000.0000000000059</v>
      </c>
      <c r="W539" s="105">
        <f t="shared" si="165"/>
        <v>90387.004927731265</v>
      </c>
      <c r="X539" s="112">
        <f t="shared" si="170"/>
        <v>854.94434042112835</v>
      </c>
      <c r="Y539" s="32">
        <f t="shared" si="166"/>
        <v>482.80815518178747</v>
      </c>
    </row>
    <row r="540" spans="1:25" x14ac:dyDescent="0.25">
      <c r="A540" s="4">
        <v>534</v>
      </c>
      <c r="C540" s="110">
        <f>IF(male=0,VLOOKUP(((A538:A1372/'Life tables'!$I$2)*2)+age,lifetable,13,1),IF(male=1,VLOOKUP(((A538:A1372/'Life tables'!$I$2)*2)+age,lifetable,10,1),"error"))</f>
        <v>4.3180287415445218E-4</v>
      </c>
      <c r="F540" s="101">
        <f t="shared" si="153"/>
        <v>147.16797300295474</v>
      </c>
      <c r="G540" s="101">
        <f t="shared" si="154"/>
        <v>14.783330893744626</v>
      </c>
      <c r="H540" s="101">
        <f t="shared" si="155"/>
        <v>0.33829836543237152</v>
      </c>
      <c r="I540" s="101">
        <f t="shared" si="156"/>
        <v>0.33829836543237152</v>
      </c>
      <c r="J540" s="101">
        <f t="shared" si="157"/>
        <v>7.0223194908686823E-2</v>
      </c>
      <c r="K540" s="101">
        <f t="shared" si="158"/>
        <v>2.65189112758288E-2</v>
      </c>
      <c r="L540" s="101">
        <f t="shared" si="167"/>
        <v>131.61130327216085</v>
      </c>
      <c r="M540" s="101">
        <f t="shared" si="159"/>
        <v>707.77636741817355</v>
      </c>
      <c r="N540" s="101">
        <f t="shared" si="160"/>
        <v>68.160397670103066</v>
      </c>
      <c r="O540" s="101">
        <f t="shared" si="161"/>
        <v>1.6269816272078601</v>
      </c>
      <c r="P540" s="101">
        <f t="shared" si="162"/>
        <v>1.6269816272078601</v>
      </c>
      <c r="Q540" s="101">
        <f t="shared" si="163"/>
        <v>0.33645679601287548</v>
      </c>
      <c r="R540" s="101">
        <f t="shared" si="164"/>
        <v>1.8955730801321066E-2</v>
      </c>
      <c r="S540" s="101">
        <f t="shared" si="152"/>
        <v>636.00659396684057</v>
      </c>
      <c r="T540" s="101">
        <f t="shared" si="168"/>
        <v>114.84180349071158</v>
      </c>
      <c r="U540" s="101">
        <f t="shared" si="168"/>
        <v>30.666010721164607</v>
      </c>
      <c r="V540" s="33">
        <f t="shared" si="169"/>
        <v>1000.0000000000059</v>
      </c>
      <c r="W540" s="105">
        <f t="shared" si="165"/>
        <v>90235.370375453625</v>
      </c>
      <c r="X540" s="112">
        <f t="shared" si="170"/>
        <v>854.49218578812952</v>
      </c>
      <c r="Y540" s="32">
        <f t="shared" si="166"/>
        <v>482.41403578885576</v>
      </c>
    </row>
    <row r="541" spans="1:25" x14ac:dyDescent="0.25">
      <c r="A541" s="4">
        <v>535</v>
      </c>
      <c r="C541" s="110">
        <f>IF(male=0,VLOOKUP(((A539:A1373/'Life tables'!$I$2)*2)+age,lifetable,13,1),IF(male=1,VLOOKUP(((A539:A1373/'Life tables'!$I$2)*2)+age,lifetable,10,1),"error"))</f>
        <v>4.3180287415445218E-4</v>
      </c>
      <c r="F541" s="101">
        <f t="shared" si="153"/>
        <v>147.09012200600924</v>
      </c>
      <c r="G541" s="101">
        <f t="shared" si="154"/>
        <v>14.775510598168291</v>
      </c>
      <c r="H541" s="101">
        <f t="shared" si="155"/>
        <v>0.33811940757573644</v>
      </c>
      <c r="I541" s="101">
        <f t="shared" si="156"/>
        <v>0.33811940757573644</v>
      </c>
      <c r="J541" s="101">
        <f t="shared" si="157"/>
        <v>7.0186047249309685E-2</v>
      </c>
      <c r="K541" s="101">
        <f t="shared" si="158"/>
        <v>2.6504882926870761E-2</v>
      </c>
      <c r="L541" s="101">
        <f t="shared" si="167"/>
        <v>131.5416816625133</v>
      </c>
      <c r="M541" s="101">
        <f t="shared" si="159"/>
        <v>707.40206378212031</v>
      </c>
      <c r="N541" s="101">
        <f t="shared" si="160"/>
        <v>68.124351418974584</v>
      </c>
      <c r="O541" s="101">
        <f t="shared" si="161"/>
        <v>1.6261212069298037</v>
      </c>
      <c r="P541" s="101">
        <f t="shared" si="162"/>
        <v>1.6261212069298037</v>
      </c>
      <c r="Q541" s="101">
        <f t="shared" si="163"/>
        <v>0.33627886268828339</v>
      </c>
      <c r="R541" s="101">
        <f t="shared" si="164"/>
        <v>1.8945706167425951E-2</v>
      </c>
      <c r="S541" s="101">
        <f t="shared" si="152"/>
        <v>635.6702453804304</v>
      </c>
      <c r="T541" s="101">
        <f t="shared" si="168"/>
        <v>115.24826840064918</v>
      </c>
      <c r="U541" s="101">
        <f t="shared" si="168"/>
        <v>30.711461310258905</v>
      </c>
      <c r="V541" s="33">
        <f t="shared" si="169"/>
        <v>1000.0000000000057</v>
      </c>
      <c r="W541" s="105">
        <f t="shared" si="165"/>
        <v>90083.990181842426</v>
      </c>
      <c r="X541" s="112">
        <f t="shared" si="170"/>
        <v>854.04027028909763</v>
      </c>
      <c r="Y541" s="32">
        <f t="shared" si="166"/>
        <v>482.02023811950733</v>
      </c>
    </row>
    <row r="542" spans="1:25" x14ac:dyDescent="0.25">
      <c r="A542" s="4">
        <v>536</v>
      </c>
      <c r="C542" s="110">
        <f>IF(male=0,VLOOKUP(((A540:A1374/'Life tables'!$I$2)*2)+age,lifetable,13,1),IF(male=1,VLOOKUP(((A540:A1374/'Life tables'!$I$2)*2)+age,lifetable,10,1),"error"))</f>
        <v>4.3180287415445218E-4</v>
      </c>
      <c r="F542" s="101">
        <f t="shared" si="153"/>
        <v>147.0123127557853</v>
      </c>
      <c r="G542" s="101">
        <f t="shared" si="154"/>
        <v>14.767694496137509</v>
      </c>
      <c r="H542" s="101">
        <f t="shared" si="155"/>
        <v>0.33794054568323928</v>
      </c>
      <c r="I542" s="101">
        <f t="shared" si="156"/>
        <v>0.33794054568323928</v>
      </c>
      <c r="J542" s="101">
        <f t="shared" si="157"/>
        <v>7.0148919509947075E-2</v>
      </c>
      <c r="K542" s="101">
        <f t="shared" si="158"/>
        <v>2.6490862100457084E-2</v>
      </c>
      <c r="L542" s="101">
        <f t="shared" si="167"/>
        <v>131.47209738667092</v>
      </c>
      <c r="M542" s="101">
        <f t="shared" si="159"/>
        <v>707.02795753331247</v>
      </c>
      <c r="N542" s="101">
        <f t="shared" si="160"/>
        <v>68.088324176665509</v>
      </c>
      <c r="O542" s="101">
        <f t="shared" si="161"/>
        <v>1.625261240390296</v>
      </c>
      <c r="P542" s="101">
        <f t="shared" si="162"/>
        <v>1.625261240390296</v>
      </c>
      <c r="Q542" s="101">
        <f t="shared" si="163"/>
        <v>0.33610102319598528</v>
      </c>
      <c r="R542" s="101">
        <f t="shared" si="164"/>
        <v>1.8935686819973929E-2</v>
      </c>
      <c r="S542" s="101">
        <f t="shared" si="152"/>
        <v>635.33407416585044</v>
      </c>
      <c r="T542" s="101">
        <f t="shared" si="168"/>
        <v>115.65451834335511</v>
      </c>
      <c r="U542" s="101">
        <f t="shared" si="168"/>
        <v>30.756887859179336</v>
      </c>
      <c r="V542" s="33">
        <f t="shared" si="169"/>
        <v>1000.0000000000059</v>
      </c>
      <c r="W542" s="105">
        <f t="shared" si="165"/>
        <v>89932.863921060227</v>
      </c>
      <c r="X542" s="112">
        <f t="shared" si="170"/>
        <v>853.5885937974715</v>
      </c>
      <c r="Y542" s="32">
        <f t="shared" si="166"/>
        <v>481.62676191107153</v>
      </c>
    </row>
    <row r="543" spans="1:25" x14ac:dyDescent="0.25">
      <c r="A543" s="4">
        <v>537</v>
      </c>
      <c r="C543" s="110">
        <f>IF(male=0,VLOOKUP(((A541:A1375/'Life tables'!$I$2)*2)+age,lifetable,13,1),IF(male=1,VLOOKUP(((A541:A1375/'Life tables'!$I$2)*2)+age,lifetable,10,1),"error"))</f>
        <v>4.3180287415445218E-4</v>
      </c>
      <c r="F543" s="101">
        <f t="shared" si="153"/>
        <v>146.93454521217166</v>
      </c>
      <c r="G543" s="101">
        <f t="shared" si="154"/>
        <v>14.759882583623016</v>
      </c>
      <c r="H543" s="101">
        <f t="shared" si="155"/>
        <v>0.33776177966267545</v>
      </c>
      <c r="I543" s="101">
        <f t="shared" si="156"/>
        <v>0.33776177966267545</v>
      </c>
      <c r="J543" s="101">
        <f t="shared" si="157"/>
        <v>7.0111811671459426E-2</v>
      </c>
      <c r="K543" s="101">
        <f t="shared" si="158"/>
        <v>2.6476848789359922E-2</v>
      </c>
      <c r="L543" s="101">
        <f t="shared" si="167"/>
        <v>131.40255040876247</v>
      </c>
      <c r="M543" s="101">
        <f t="shared" si="159"/>
        <v>706.65404858529985</v>
      </c>
      <c r="N543" s="101">
        <f t="shared" si="160"/>
        <v>68.052315934850483</v>
      </c>
      <c r="O543" s="101">
        <f t="shared" si="161"/>
        <v>1.6244017273906117</v>
      </c>
      <c r="P543" s="101">
        <f t="shared" si="162"/>
        <v>1.6244017273906117</v>
      </c>
      <c r="Q543" s="101">
        <f t="shared" si="163"/>
        <v>0.33592327749488504</v>
      </c>
      <c r="R543" s="101">
        <f t="shared" si="164"/>
        <v>1.8925672756649678E-2</v>
      </c>
      <c r="S543" s="101">
        <f t="shared" si="152"/>
        <v>634.99808024541665</v>
      </c>
      <c r="T543" s="101">
        <f t="shared" si="168"/>
        <v>116.06055343252144</v>
      </c>
      <c r="U543" s="101">
        <f t="shared" si="168"/>
        <v>30.802290380725346</v>
      </c>
      <c r="V543" s="33">
        <f t="shared" si="169"/>
        <v>1000.0000000000061</v>
      </c>
      <c r="W543" s="105">
        <f t="shared" si="165"/>
        <v>89781.991167955086</v>
      </c>
      <c r="X543" s="112">
        <f t="shared" si="170"/>
        <v>853.13715618675928</v>
      </c>
      <c r="Y543" s="32">
        <f t="shared" si="166"/>
        <v>481.23360690109399</v>
      </c>
    </row>
    <row r="544" spans="1:25" x14ac:dyDescent="0.25">
      <c r="A544" s="4">
        <v>538</v>
      </c>
      <c r="C544" s="110">
        <f>IF(male=0,VLOOKUP(((A542:A1376/'Life tables'!$I$2)*2)+age,lifetable,13,1),IF(male=1,VLOOKUP(((A542:A1376/'Life tables'!$I$2)*2)+age,lifetable,10,1),"error"))</f>
        <v>4.3180287415445218E-4</v>
      </c>
      <c r="F544" s="101">
        <f t="shared" si="153"/>
        <v>146.8568193356451</v>
      </c>
      <c r="G544" s="101">
        <f t="shared" si="154"/>
        <v>14.752074856654627</v>
      </c>
      <c r="H544" s="101">
        <f t="shared" si="155"/>
        <v>0.33758310942319197</v>
      </c>
      <c r="I544" s="101">
        <f t="shared" si="156"/>
        <v>0.33758310942319197</v>
      </c>
      <c r="J544" s="101">
        <f t="shared" si="157"/>
        <v>7.007472371498763E-2</v>
      </c>
      <c r="K544" s="101">
        <f t="shared" si="158"/>
        <v>2.6462842986457395E-2</v>
      </c>
      <c r="L544" s="101">
        <f t="shared" si="167"/>
        <v>131.33304069344263</v>
      </c>
      <c r="M544" s="101">
        <f t="shared" si="159"/>
        <v>706.28033685111404</v>
      </c>
      <c r="N544" s="101">
        <f t="shared" si="160"/>
        <v>68.016326685154283</v>
      </c>
      <c r="O544" s="101">
        <f t="shared" si="161"/>
        <v>1.6235426677308351</v>
      </c>
      <c r="P544" s="101">
        <f t="shared" si="162"/>
        <v>1.6235426677308351</v>
      </c>
      <c r="Q544" s="101">
        <f t="shared" si="163"/>
        <v>0.33574562554364051</v>
      </c>
      <c r="R544" s="101">
        <f t="shared" si="164"/>
        <v>1.8915663975124012E-2</v>
      </c>
      <c r="S544" s="101">
        <f t="shared" si="152"/>
        <v>634.66226354097932</v>
      </c>
      <c r="T544" s="101">
        <f t="shared" si="168"/>
        <v>116.46637378178008</v>
      </c>
      <c r="U544" s="101">
        <f t="shared" si="168"/>
        <v>30.847668887686925</v>
      </c>
      <c r="V544" s="33">
        <f t="shared" si="169"/>
        <v>1000.0000000000059</v>
      </c>
      <c r="W544" s="105">
        <f t="shared" si="165"/>
        <v>89631.371498060747</v>
      </c>
      <c r="X544" s="112">
        <f t="shared" si="170"/>
        <v>852.68595733053894</v>
      </c>
      <c r="Y544" s="32">
        <f t="shared" si="166"/>
        <v>480.84077282733557</v>
      </c>
    </row>
    <row r="545" spans="1:25" x14ac:dyDescent="0.25">
      <c r="A545" s="4">
        <v>539</v>
      </c>
      <c r="C545" s="110">
        <f>IF(male=0,VLOOKUP(((A543:A1377/'Life tables'!$I$2)*2)+age,lifetable,13,1),IF(male=1,VLOOKUP(((A543:A1377/'Life tables'!$I$2)*2)+age,lifetable,10,1),"error"))</f>
        <v>4.3180287415445218E-4</v>
      </c>
      <c r="F545" s="101">
        <f t="shared" si="153"/>
        <v>146.77913508725234</v>
      </c>
      <c r="G545" s="101">
        <f t="shared" si="154"/>
        <v>14.7442713113194</v>
      </c>
      <c r="H545" s="101">
        <f t="shared" si="155"/>
        <v>0.33740453487524613</v>
      </c>
      <c r="I545" s="101">
        <f t="shared" si="156"/>
        <v>0.33740453487524613</v>
      </c>
      <c r="J545" s="101">
        <f t="shared" si="157"/>
        <v>7.0037655621944653E-2</v>
      </c>
      <c r="K545" s="101">
        <f t="shared" si="158"/>
        <v>2.644884468473032E-2</v>
      </c>
      <c r="L545" s="101">
        <f t="shared" si="167"/>
        <v>131.26356820587577</v>
      </c>
      <c r="M545" s="101">
        <f t="shared" si="159"/>
        <v>705.90682224328646</v>
      </c>
      <c r="N545" s="101">
        <f t="shared" si="160"/>
        <v>67.980356419153466</v>
      </c>
      <c r="O545" s="101">
        <f t="shared" si="161"/>
        <v>1.6226840612098996</v>
      </c>
      <c r="P545" s="101">
        <f t="shared" si="162"/>
        <v>1.6226840612098996</v>
      </c>
      <c r="Q545" s="101">
        <f t="shared" si="163"/>
        <v>0.33556806730067179</v>
      </c>
      <c r="R545" s="101">
        <f t="shared" si="164"/>
        <v>1.8905660473054326E-2</v>
      </c>
      <c r="S545" s="101">
        <f t="shared" si="152"/>
        <v>634.32662397393949</v>
      </c>
      <c r="T545" s="101">
        <f t="shared" si="168"/>
        <v>116.87197950470269</v>
      </c>
      <c r="U545" s="101">
        <f t="shared" si="168"/>
        <v>30.893023392844711</v>
      </c>
      <c r="V545" s="33">
        <f t="shared" si="169"/>
        <v>1000.0000000000059</v>
      </c>
      <c r="W545" s="105">
        <f t="shared" si="165"/>
        <v>89481.00448759619</v>
      </c>
      <c r="X545" s="112">
        <f t="shared" si="170"/>
        <v>852.23499710245846</v>
      </c>
      <c r="Y545" s="32">
        <f t="shared" si="166"/>
        <v>480.44825942777305</v>
      </c>
    </row>
    <row r="546" spans="1:25" x14ac:dyDescent="0.25">
      <c r="A546" s="4">
        <v>540</v>
      </c>
      <c r="C546" s="110">
        <f>IF(male=0,VLOOKUP(((A544:A1378/'Life tables'!$I$2)*2)+age,lifetable,13,1),IF(male=1,VLOOKUP(((A544:A1378/'Life tables'!$I$2)*2)+age,lifetable,10,1),"error"))</f>
        <v>4.3180287415445218E-4</v>
      </c>
      <c r="F546" s="101">
        <f t="shared" si="153"/>
        <v>146.70149242859267</v>
      </c>
      <c r="G546" s="101">
        <f t="shared" si="154"/>
        <v>14.736471943759904</v>
      </c>
      <c r="H546" s="101">
        <f t="shared" si="155"/>
        <v>0.33722605593056526</v>
      </c>
      <c r="I546" s="101">
        <f t="shared" si="156"/>
        <v>0.33722605593056526</v>
      </c>
      <c r="J546" s="101">
        <f t="shared" si="157"/>
        <v>7.0000607374007068E-2</v>
      </c>
      <c r="K546" s="101">
        <f t="shared" si="158"/>
        <v>2.6434853877259093E-2</v>
      </c>
      <c r="L546" s="101">
        <f t="shared" si="167"/>
        <v>131.19413291172037</v>
      </c>
      <c r="M546" s="101">
        <f t="shared" si="159"/>
        <v>705.53350467386588</v>
      </c>
      <c r="N546" s="101">
        <f t="shared" si="160"/>
        <v>67.94440512837815</v>
      </c>
      <c r="O546" s="101">
        <f t="shared" si="161"/>
        <v>1.6218259076256301</v>
      </c>
      <c r="P546" s="101">
        <f t="shared" si="162"/>
        <v>1.6218259076256301</v>
      </c>
      <c r="Q546" s="101">
        <f t="shared" si="163"/>
        <v>0.33539060272416887</v>
      </c>
      <c r="R546" s="101">
        <f t="shared" si="164"/>
        <v>1.8895662248085112E-2</v>
      </c>
      <c r="S546" s="101">
        <f t="shared" si="152"/>
        <v>633.99116146526421</v>
      </c>
      <c r="T546" s="101">
        <f t="shared" si="168"/>
        <v>117.27737071480087</v>
      </c>
      <c r="U546" s="101">
        <f t="shared" si="168"/>
        <v>30.938353908970054</v>
      </c>
      <c r="V546" s="33">
        <f t="shared" si="169"/>
        <v>1000.0000000000059</v>
      </c>
      <c r="W546" s="105">
        <f t="shared" si="165"/>
        <v>89330.889713465527</v>
      </c>
      <c r="X546" s="112">
        <f t="shared" si="170"/>
        <v>851.78427537623497</v>
      </c>
      <c r="Y546" s="32">
        <f t="shared" si="166"/>
        <v>480.0560664405981</v>
      </c>
    </row>
    <row r="547" spans="1:25" x14ac:dyDescent="0.25">
      <c r="A547" s="4">
        <v>541</v>
      </c>
      <c r="C547" s="110">
        <f>IF(male=0,VLOOKUP(((A545:A1379/'Life tables'!$I$2)*2)+age,lifetable,13,1),IF(male=1,VLOOKUP(((A545:A1379/'Life tables'!$I$2)*2)+age,lifetable,10,1),"error"))</f>
        <v>4.3180287415445218E-4</v>
      </c>
      <c r="F547" s="101">
        <f t="shared" si="153"/>
        <v>146.62389132180053</v>
      </c>
      <c r="G547" s="101">
        <f t="shared" si="154"/>
        <v>14.728676750172465</v>
      </c>
      <c r="H547" s="101">
        <f t="shared" si="155"/>
        <v>0.33704767250210693</v>
      </c>
      <c r="I547" s="101">
        <f t="shared" si="156"/>
        <v>0.33704767250210693</v>
      </c>
      <c r="J547" s="101">
        <f t="shared" si="157"/>
        <v>6.9963578953106773E-2</v>
      </c>
      <c r="K547" s="101">
        <f t="shared" si="158"/>
        <v>2.6420870557220529E-2</v>
      </c>
      <c r="L547" s="101">
        <f t="shared" si="167"/>
        <v>131.12473477711353</v>
      </c>
      <c r="M547" s="101">
        <f t="shared" si="159"/>
        <v>705.16038405443453</v>
      </c>
      <c r="N547" s="101">
        <f t="shared" si="160"/>
        <v>67.908472804313533</v>
      </c>
      <c r="O547" s="101">
        <f t="shared" si="161"/>
        <v>1.6209682067747784</v>
      </c>
      <c r="P547" s="101">
        <f t="shared" si="162"/>
        <v>1.6209682067747784</v>
      </c>
      <c r="Q547" s="101">
        <f t="shared" si="163"/>
        <v>0.33521323177210083</v>
      </c>
      <c r="R547" s="101">
        <f t="shared" si="164"/>
        <v>1.8885669297848354E-2</v>
      </c>
      <c r="S547" s="101">
        <f t="shared" si="152"/>
        <v>633.65587593550151</v>
      </c>
      <c r="T547" s="101">
        <f t="shared" si="168"/>
        <v>117.68254752552608</v>
      </c>
      <c r="U547" s="101">
        <f t="shared" si="168"/>
        <v>30.983660448825123</v>
      </c>
      <c r="V547" s="33">
        <f t="shared" si="169"/>
        <v>1000.000000000006</v>
      </c>
      <c r="W547" s="105">
        <f t="shared" si="165"/>
        <v>89181.026753257247</v>
      </c>
      <c r="X547" s="112">
        <f t="shared" si="170"/>
        <v>851.33379202565482</v>
      </c>
      <c r="Y547" s="32">
        <f t="shared" si="166"/>
        <v>479.66419360421708</v>
      </c>
    </row>
    <row r="548" spans="1:25" x14ac:dyDescent="0.25">
      <c r="A548" s="4">
        <v>542</v>
      </c>
      <c r="C548" s="110">
        <f>IF(male=0,VLOOKUP(((A546:A1380/'Life tables'!$I$2)*2)+age,lifetable,13,1),IF(male=1,VLOOKUP(((A546:A1380/'Life tables'!$I$2)*2)+age,lifetable,10,1),"error"))</f>
        <v>4.3180287415445218E-4</v>
      </c>
      <c r="F548" s="101">
        <f t="shared" si="153"/>
        <v>146.5463317295293</v>
      </c>
      <c r="G548" s="101">
        <f t="shared" si="154"/>
        <v>14.720885726805536</v>
      </c>
      <c r="H548" s="101">
        <f t="shared" si="155"/>
        <v>0.33686938450402171</v>
      </c>
      <c r="I548" s="101">
        <f t="shared" si="156"/>
        <v>0.33686938450402171</v>
      </c>
      <c r="J548" s="101">
        <f t="shared" si="157"/>
        <v>6.9926570341423383E-2</v>
      </c>
      <c r="K548" s="101">
        <f t="shared" si="158"/>
        <v>2.6406894717884963E-2</v>
      </c>
      <c r="L548" s="101">
        <f t="shared" si="167"/>
        <v>131.05537376865641</v>
      </c>
      <c r="M548" s="101">
        <f t="shared" si="159"/>
        <v>704.78746029612569</v>
      </c>
      <c r="N548" s="101">
        <f t="shared" si="160"/>
        <v>67.872559438401524</v>
      </c>
      <c r="O548" s="101">
        <f t="shared" si="161"/>
        <v>1.6201109584530649</v>
      </c>
      <c r="P548" s="101">
        <f t="shared" si="162"/>
        <v>1.6201109584530649</v>
      </c>
      <c r="Q548" s="101">
        <f t="shared" si="163"/>
        <v>0.33503595440222289</v>
      </c>
      <c r="R548" s="101">
        <f t="shared" si="164"/>
        <v>1.8875681619964016E-2</v>
      </c>
      <c r="S548" s="101">
        <f t="shared" si="152"/>
        <v>633.32076730479582</v>
      </c>
      <c r="T548" s="101">
        <f t="shared" si="168"/>
        <v>118.08751005026973</v>
      </c>
      <c r="U548" s="101">
        <f t="shared" si="168"/>
        <v>31.028943025162974</v>
      </c>
      <c r="V548" s="33">
        <f t="shared" si="169"/>
        <v>1000.0000000000063</v>
      </c>
      <c r="W548" s="105">
        <f t="shared" si="165"/>
        <v>89031.415185244463</v>
      </c>
      <c r="X548" s="112">
        <f t="shared" si="170"/>
        <v>850.88354692457347</v>
      </c>
      <c r="Y548" s="32">
        <f t="shared" si="166"/>
        <v>479.27264065725183</v>
      </c>
    </row>
    <row r="549" spans="1:25" x14ac:dyDescent="0.25">
      <c r="A549" s="4">
        <v>543</v>
      </c>
      <c r="C549" s="110">
        <f>IF(male=0,VLOOKUP(((A547:A1381/'Life tables'!$I$2)*2)+age,lifetable,13,1),IF(male=1,VLOOKUP(((A547:A1381/'Life tables'!$I$2)*2)+age,lifetable,10,1),"error"))</f>
        <v>4.3180287415445218E-4</v>
      </c>
      <c r="F549" s="101">
        <f t="shared" si="153"/>
        <v>146.46881361493527</v>
      </c>
      <c r="G549" s="101">
        <f t="shared" si="154"/>
        <v>14.71309886995809</v>
      </c>
      <c r="H549" s="101">
        <f t="shared" si="155"/>
        <v>0.33669119185161606</v>
      </c>
      <c r="I549" s="101">
        <f t="shared" si="156"/>
        <v>0.33669119185161606</v>
      </c>
      <c r="J549" s="101">
        <f t="shared" si="157"/>
        <v>6.9889581521376351E-2</v>
      </c>
      <c r="K549" s="101">
        <f t="shared" si="158"/>
        <v>2.6392926352613349E-2</v>
      </c>
      <c r="L549" s="101">
        <f t="shared" si="167"/>
        <v>130.98604985339995</v>
      </c>
      <c r="M549" s="101">
        <f t="shared" si="159"/>
        <v>704.41473330963822</v>
      </c>
      <c r="N549" s="101">
        <f t="shared" si="160"/>
        <v>67.83666502204224</v>
      </c>
      <c r="O549" s="101">
        <f t="shared" si="161"/>
        <v>1.6192541624552106</v>
      </c>
      <c r="P549" s="101">
        <f t="shared" si="162"/>
        <v>1.6192541624552106</v>
      </c>
      <c r="Q549" s="101">
        <f t="shared" si="163"/>
        <v>0.3348587705720838</v>
      </c>
      <c r="R549" s="101">
        <f t="shared" si="164"/>
        <v>1.8865699212040427E-2</v>
      </c>
      <c r="S549" s="101">
        <f t="shared" si="152"/>
        <v>632.9858354929014</v>
      </c>
      <c r="T549" s="101">
        <f t="shared" si="168"/>
        <v>118.49225840236319</v>
      </c>
      <c r="U549" s="101">
        <f t="shared" si="168"/>
        <v>31.074201650727627</v>
      </c>
      <c r="V549" s="33">
        <f t="shared" si="169"/>
        <v>1000.0000000000061</v>
      </c>
      <c r="W549" s="105">
        <f t="shared" si="165"/>
        <v>88882.054588384111</v>
      </c>
      <c r="X549" s="112">
        <f t="shared" si="170"/>
        <v>850.43353994691529</v>
      </c>
      <c r="Y549" s="32">
        <f t="shared" si="166"/>
        <v>478.88140733853817</v>
      </c>
    </row>
    <row r="550" spans="1:25" x14ac:dyDescent="0.25">
      <c r="A550" s="4">
        <v>544</v>
      </c>
      <c r="C550" s="110">
        <f>IF(male=0,VLOOKUP(((A548:A1382/'Life tables'!$I$2)*2)+age,lifetable,13,1),IF(male=1,VLOOKUP(((A548:A1382/'Life tables'!$I$2)*2)+age,lifetable,10,1),"error"))</f>
        <v>4.3180287415445218E-4</v>
      </c>
      <c r="F550" s="101">
        <f t="shared" si="153"/>
        <v>146.39133694166236</v>
      </c>
      <c r="G550" s="101">
        <f t="shared" si="154"/>
        <v>14.705316175978083</v>
      </c>
      <c r="H550" s="101">
        <f t="shared" si="155"/>
        <v>0.33651309446131744</v>
      </c>
      <c r="I550" s="101">
        <f t="shared" si="156"/>
        <v>0.33651309446131744</v>
      </c>
      <c r="J550" s="101">
        <f t="shared" si="157"/>
        <v>6.9852612475617942E-2</v>
      </c>
      <c r="K550" s="101">
        <f t="shared" si="158"/>
        <v>2.6378965454854502E-2</v>
      </c>
      <c r="L550" s="101">
        <f t="shared" si="167"/>
        <v>130.91676299883116</v>
      </c>
      <c r="M550" s="101">
        <f t="shared" si="159"/>
        <v>704.04220300525299</v>
      </c>
      <c r="N550" s="101">
        <f t="shared" si="160"/>
        <v>67.800789546595553</v>
      </c>
      <c r="O550" s="101">
        <f t="shared" si="161"/>
        <v>1.6183978185749766</v>
      </c>
      <c r="P550" s="101">
        <f t="shared" si="162"/>
        <v>1.6183978185749766</v>
      </c>
      <c r="Q550" s="101">
        <f t="shared" si="163"/>
        <v>0.33468168023903361</v>
      </c>
      <c r="R550" s="101">
        <f t="shared" si="164"/>
        <v>1.8855722071674724E-2</v>
      </c>
      <c r="S550" s="101">
        <f t="shared" si="152"/>
        <v>632.65108041919677</v>
      </c>
      <c r="T550" s="101">
        <f t="shared" si="168"/>
        <v>118.89679269507785</v>
      </c>
      <c r="U550" s="101">
        <f t="shared" si="168"/>
        <v>31.119436338254157</v>
      </c>
      <c r="V550" s="33">
        <f t="shared" si="169"/>
        <v>1000.000000000006</v>
      </c>
      <c r="W550" s="105">
        <f t="shared" si="165"/>
        <v>88732.944542316938</v>
      </c>
      <c r="X550" s="112">
        <f t="shared" si="170"/>
        <v>849.98377096667411</v>
      </c>
      <c r="Y550" s="32">
        <f t="shared" si="166"/>
        <v>478.49049338712632</v>
      </c>
    </row>
    <row r="551" spans="1:25" x14ac:dyDescent="0.25">
      <c r="A551" s="4">
        <v>545</v>
      </c>
      <c r="C551" s="110">
        <f>IF(male=0,VLOOKUP(((A549:A1383/'Life tables'!$I$2)*2)+age,lifetable,13,1),IF(male=1,VLOOKUP(((A549:A1383/'Life tables'!$I$2)*2)+age,lifetable,10,1),"error"))</f>
        <v>4.3180287415445218E-4</v>
      </c>
      <c r="F551" s="101">
        <f t="shared" si="153"/>
        <v>146.31390167382682</v>
      </c>
      <c r="G551" s="101">
        <f t="shared" si="154"/>
        <v>14.697537641260917</v>
      </c>
      <c r="H551" s="101">
        <f t="shared" si="155"/>
        <v>0.33633509225063907</v>
      </c>
      <c r="I551" s="101">
        <f t="shared" si="156"/>
        <v>0.33633509225063907</v>
      </c>
      <c r="J551" s="101">
        <f t="shared" si="157"/>
        <v>6.9815663187025687E-2</v>
      </c>
      <c r="K551" s="101">
        <f t="shared" si="158"/>
        <v>2.6365012018142363E-2</v>
      </c>
      <c r="L551" s="101">
        <f t="shared" si="167"/>
        <v>130.84751317285946</v>
      </c>
      <c r="M551" s="101">
        <f t="shared" si="159"/>
        <v>703.66986929284735</v>
      </c>
      <c r="N551" s="101">
        <f t="shared" si="160"/>
        <v>67.764933003382424</v>
      </c>
      <c r="O551" s="101">
        <f t="shared" si="161"/>
        <v>1.6175419266051954</v>
      </c>
      <c r="P551" s="101">
        <f t="shared" si="162"/>
        <v>1.6175419266051954</v>
      </c>
      <c r="Q551" s="101">
        <f t="shared" si="163"/>
        <v>0.33450468336023054</v>
      </c>
      <c r="R551" s="101">
        <f t="shared" si="164"/>
        <v>1.8845750196453227E-2</v>
      </c>
      <c r="S551" s="101">
        <f t="shared" si="152"/>
        <v>632.3165020026978</v>
      </c>
      <c r="T551" s="101">
        <f t="shared" si="168"/>
        <v>119.3011130416251</v>
      </c>
      <c r="U551" s="101">
        <f t="shared" si="168"/>
        <v>31.164647100468752</v>
      </c>
      <c r="V551" s="33">
        <f t="shared" si="169"/>
        <v>1000.0000000000061</v>
      </c>
      <c r="W551" s="105">
        <f t="shared" si="165"/>
        <v>88584.084627366698</v>
      </c>
      <c r="X551" s="112">
        <f t="shared" si="170"/>
        <v>849.53423985791221</v>
      </c>
      <c r="Y551" s="32">
        <f t="shared" si="166"/>
        <v>478.09989854228093</v>
      </c>
    </row>
    <row r="552" spans="1:25" x14ac:dyDescent="0.25">
      <c r="A552" s="4">
        <v>546</v>
      </c>
      <c r="C552" s="110">
        <f>IF(male=0,VLOOKUP(((A550:A1384/'Life tables'!$I$2)*2)+age,lifetable,13,1),IF(male=1,VLOOKUP(((A550:A1384/'Life tables'!$I$2)*2)+age,lifetable,10,1),"error"))</f>
        <v>4.3180287415445218E-4</v>
      </c>
      <c r="F552" s="101">
        <f t="shared" si="153"/>
        <v>146.23650777600304</v>
      </c>
      <c r="G552" s="101">
        <f t="shared" si="154"/>
        <v>14.689763262248013</v>
      </c>
      <c r="H552" s="101">
        <f t="shared" si="155"/>
        <v>0.3361571851381473</v>
      </c>
      <c r="I552" s="101">
        <f t="shared" si="156"/>
        <v>0.3361571851381473</v>
      </c>
      <c r="J552" s="101">
        <f t="shared" si="157"/>
        <v>6.9778733638695814E-2</v>
      </c>
      <c r="K552" s="101">
        <f t="shared" si="158"/>
        <v>2.6351066036093412E-2</v>
      </c>
      <c r="L552" s="101">
        <f t="shared" si="167"/>
        <v>130.77830034380395</v>
      </c>
      <c r="M552" s="101">
        <f t="shared" si="159"/>
        <v>703.29773208190932</v>
      </c>
      <c r="N552" s="101">
        <f t="shared" si="160"/>
        <v>67.729095383686385</v>
      </c>
      <c r="O552" s="101">
        <f t="shared" si="161"/>
        <v>1.6166864863378054</v>
      </c>
      <c r="P552" s="101">
        <f t="shared" si="162"/>
        <v>1.6166864863378054</v>
      </c>
      <c r="Q552" s="101">
        <f t="shared" si="163"/>
        <v>0.33432777989264784</v>
      </c>
      <c r="R552" s="101">
        <f t="shared" si="164"/>
        <v>1.883578358395184E-2</v>
      </c>
      <c r="S552" s="101">
        <f t="shared" si="152"/>
        <v>631.98210016207076</v>
      </c>
      <c r="T552" s="101">
        <f t="shared" si="168"/>
        <v>119.70521955515645</v>
      </c>
      <c r="U552" s="101">
        <f t="shared" si="168"/>
        <v>31.209833950088797</v>
      </c>
      <c r="V552" s="33">
        <f t="shared" si="169"/>
        <v>1000.0000000000061</v>
      </c>
      <c r="W552" s="105">
        <f t="shared" si="165"/>
        <v>88435.474424540036</v>
      </c>
      <c r="X552" s="112">
        <f t="shared" si="170"/>
        <v>849.08494649476097</v>
      </c>
      <c r="Y552" s="32">
        <f t="shared" si="166"/>
        <v>477.70962254348024</v>
      </c>
    </row>
    <row r="553" spans="1:25" x14ac:dyDescent="0.25">
      <c r="A553" s="4">
        <v>547</v>
      </c>
      <c r="C553" s="110">
        <f>IF(male=0,VLOOKUP(((A551:A1385/'Life tables'!$I$2)*2)+age,lifetable,13,1),IF(male=1,VLOOKUP(((A551:A1385/'Life tables'!$I$2)*2)+age,lifetable,10,1),"error"))</f>
        <v>4.3180287415445218E-4</v>
      </c>
      <c r="F553" s="101">
        <f t="shared" si="153"/>
        <v>146.15915521320935</v>
      </c>
      <c r="G553" s="101">
        <f t="shared" si="154"/>
        <v>14.681993035425393</v>
      </c>
      <c r="H553" s="101">
        <f t="shared" si="155"/>
        <v>0.3359793730434289</v>
      </c>
      <c r="I553" s="101">
        <f t="shared" si="156"/>
        <v>0.3359793730434289</v>
      </c>
      <c r="J553" s="101">
        <f t="shared" si="157"/>
        <v>6.9741823813936329E-2</v>
      </c>
      <c r="K553" s="101">
        <f t="shared" si="158"/>
        <v>2.6337127502404141E-2</v>
      </c>
      <c r="L553" s="101">
        <f t="shared" si="167"/>
        <v>130.70912448038075</v>
      </c>
      <c r="M553" s="101">
        <f t="shared" si="159"/>
        <v>702.92579128155182</v>
      </c>
      <c r="N553" s="101">
        <f t="shared" si="160"/>
        <v>67.693276678754799</v>
      </c>
      <c r="O553" s="101">
        <f t="shared" si="161"/>
        <v>1.6158314975638821</v>
      </c>
      <c r="P553" s="101">
        <f t="shared" si="162"/>
        <v>1.6158314975638821</v>
      </c>
      <c r="Q553" s="101">
        <f t="shared" si="163"/>
        <v>0.33415096979308029</v>
      </c>
      <c r="R553" s="101">
        <f t="shared" si="164"/>
        <v>1.8825822231736417E-2</v>
      </c>
      <c r="S553" s="101">
        <f t="shared" si="152"/>
        <v>631.6478748156444</v>
      </c>
      <c r="T553" s="101">
        <f t="shared" si="168"/>
        <v>120.10911234876346</v>
      </c>
      <c r="U553" s="101">
        <f t="shared" si="168"/>
        <v>31.254996899822938</v>
      </c>
      <c r="V553" s="33">
        <f t="shared" si="169"/>
        <v>1000.0000000000064</v>
      </c>
      <c r="W553" s="105">
        <f t="shared" si="165"/>
        <v>88287.113515525867</v>
      </c>
      <c r="X553" s="112">
        <f t="shared" si="170"/>
        <v>848.63589075141999</v>
      </c>
      <c r="Y553" s="32">
        <f t="shared" si="166"/>
        <v>477.31966513041647</v>
      </c>
    </row>
    <row r="554" spans="1:25" x14ac:dyDescent="0.25">
      <c r="A554" s="4">
        <v>548</v>
      </c>
      <c r="C554" s="110">
        <f>IF(male=0,VLOOKUP(((A552:A1386/'Life tables'!$I$2)*2)+age,lifetable,13,1),IF(male=1,VLOOKUP(((A552:A1386/'Life tables'!$I$2)*2)+age,lifetable,10,1),"error"))</f>
        <v>4.6329957291590951E-4</v>
      </c>
      <c r="F554" s="101">
        <f t="shared" si="153"/>
        <v>146.08184395089435</v>
      </c>
      <c r="G554" s="101">
        <f t="shared" si="154"/>
        <v>14.674226957322293</v>
      </c>
      <c r="H554" s="101">
        <f t="shared" si="155"/>
        <v>0.3358016558870599</v>
      </c>
      <c r="I554" s="101">
        <f t="shared" si="156"/>
        <v>0.3358016558870599</v>
      </c>
      <c r="J554" s="101">
        <f t="shared" si="157"/>
        <v>7.4789372522930289E-2</v>
      </c>
      <c r="K554" s="101">
        <f t="shared" si="158"/>
        <v>2.6323196410848557E-2</v>
      </c>
      <c r="L554" s="101">
        <f t="shared" si="167"/>
        <v>130.63490111286416</v>
      </c>
      <c r="M554" s="101">
        <f t="shared" si="159"/>
        <v>702.55404680052573</v>
      </c>
      <c r="N554" s="101">
        <f t="shared" si="160"/>
        <v>67.657476879800171</v>
      </c>
      <c r="O554" s="101">
        <f t="shared" si="161"/>
        <v>1.6149769600736694</v>
      </c>
      <c r="P554" s="101">
        <f t="shared" si="162"/>
        <v>1.6149769600736694</v>
      </c>
      <c r="Q554" s="101">
        <f t="shared" si="163"/>
        <v>0.35833510624774928</v>
      </c>
      <c r="R554" s="101">
        <f t="shared" si="164"/>
        <v>1.8815866137363114E-2</v>
      </c>
      <c r="S554" s="101">
        <f t="shared" si="152"/>
        <v>631.28946502819304</v>
      </c>
      <c r="T554" s="101">
        <f t="shared" si="168"/>
        <v>120.54223682753414</v>
      </c>
      <c r="U554" s="101">
        <f t="shared" si="168"/>
        <v>31.300135962371151</v>
      </c>
      <c r="V554" s="33">
        <f t="shared" si="169"/>
        <v>1000.0000000000064</v>
      </c>
      <c r="W554" s="105">
        <f t="shared" si="165"/>
        <v>88136.353067872595</v>
      </c>
      <c r="X554" s="112">
        <f t="shared" si="170"/>
        <v>848.15762721010105</v>
      </c>
      <c r="Y554" s="32">
        <f t="shared" si="166"/>
        <v>476.91319976584447</v>
      </c>
    </row>
    <row r="555" spans="1:25" x14ac:dyDescent="0.25">
      <c r="A555" s="4">
        <v>549</v>
      </c>
      <c r="C555" s="110">
        <f>IF(male=0,VLOOKUP(((A553:A1387/'Life tables'!$I$2)*2)+age,lifetable,13,1),IF(male=1,VLOOKUP(((A553:A1387/'Life tables'!$I$2)*2)+age,lifetable,10,1),"error"))</f>
        <v>4.6329957291590951E-4</v>
      </c>
      <c r="F555" s="101">
        <f t="shared" si="153"/>
        <v>145.99948937222251</v>
      </c>
      <c r="G555" s="101">
        <f t="shared" si="154"/>
        <v>14.665954267536071</v>
      </c>
      <c r="H555" s="101">
        <f t="shared" si="155"/>
        <v>0.33561234554472075</v>
      </c>
      <c r="I555" s="101">
        <f t="shared" si="156"/>
        <v>0.33561234554472075</v>
      </c>
      <c r="J555" s="101">
        <f t="shared" si="157"/>
        <v>7.4747209533357645E-2</v>
      </c>
      <c r="K555" s="101">
        <f t="shared" si="158"/>
        <v>2.6308356539642933E-2</v>
      </c>
      <c r="L555" s="101">
        <f t="shared" si="167"/>
        <v>130.561254847524</v>
      </c>
      <c r="M555" s="101">
        <f t="shared" si="159"/>
        <v>702.1581378378786</v>
      </c>
      <c r="N555" s="101">
        <f t="shared" si="160"/>
        <v>67.619349988910017</v>
      </c>
      <c r="O555" s="101">
        <f t="shared" si="161"/>
        <v>1.6140668751401708</v>
      </c>
      <c r="P555" s="101">
        <f t="shared" si="162"/>
        <v>1.6140668751401708</v>
      </c>
      <c r="Q555" s="101">
        <f t="shared" si="163"/>
        <v>0.35813317433825326</v>
      </c>
      <c r="R555" s="101">
        <f t="shared" si="164"/>
        <v>1.8805262867653584E-2</v>
      </c>
      <c r="S555" s="101">
        <f t="shared" si="152"/>
        <v>630.93371566148232</v>
      </c>
      <c r="T555" s="101">
        <f t="shared" si="168"/>
        <v>120.97511721140575</v>
      </c>
      <c r="U555" s="101">
        <f t="shared" si="168"/>
        <v>31.345249581778447</v>
      </c>
      <c r="V555" s="33">
        <f t="shared" si="169"/>
        <v>1000.0000000000065</v>
      </c>
      <c r="W555" s="105">
        <f t="shared" si="165"/>
        <v>87985.440067770134</v>
      </c>
      <c r="X555" s="112">
        <f t="shared" si="170"/>
        <v>847.67963320682225</v>
      </c>
      <c r="Y555" s="32">
        <f t="shared" si="166"/>
        <v>476.50734969109982</v>
      </c>
    </row>
    <row r="556" spans="1:25" x14ac:dyDescent="0.25">
      <c r="A556" s="4">
        <v>550</v>
      </c>
      <c r="C556" s="110">
        <f>IF(male=0,VLOOKUP(((A554:A1388/'Life tables'!$I$2)*2)+age,lifetable,13,1),IF(male=1,VLOOKUP(((A554:A1388/'Life tables'!$I$2)*2)+age,lifetable,10,1),"error"))</f>
        <v>4.6329957291590951E-4</v>
      </c>
      <c r="F556" s="101">
        <f t="shared" si="153"/>
        <v>145.91718207550494</v>
      </c>
      <c r="G556" s="101">
        <f t="shared" si="154"/>
        <v>14.657686327321109</v>
      </c>
      <c r="H556" s="101">
        <f t="shared" si="155"/>
        <v>0.33542314389048478</v>
      </c>
      <c r="I556" s="101">
        <f t="shared" si="156"/>
        <v>0.33542314389048478</v>
      </c>
      <c r="J556" s="101">
        <f t="shared" si="157"/>
        <v>7.4705070750678823E-2</v>
      </c>
      <c r="K556" s="101">
        <f t="shared" si="158"/>
        <v>2.6293525188402108E-2</v>
      </c>
      <c r="L556" s="101">
        <f t="shared" si="167"/>
        <v>130.48765086446377</v>
      </c>
      <c r="M556" s="101">
        <f t="shared" si="159"/>
        <v>701.76245113131733</v>
      </c>
      <c r="N556" s="101">
        <f t="shared" si="160"/>
        <v>67.58124450176247</v>
      </c>
      <c r="O556" s="101">
        <f t="shared" si="161"/>
        <v>1.6131573011117895</v>
      </c>
      <c r="P556" s="101">
        <f t="shared" si="162"/>
        <v>1.6131573011117895</v>
      </c>
      <c r="Q556" s="101">
        <f t="shared" si="163"/>
        <v>0.35793135578965585</v>
      </c>
      <c r="R556" s="101">
        <f t="shared" si="164"/>
        <v>1.8794665550426679E-2</v>
      </c>
      <c r="S556" s="101">
        <f t="shared" si="152"/>
        <v>630.57816600599119</v>
      </c>
      <c r="T556" s="101">
        <f t="shared" si="168"/>
        <v>121.40775363794609</v>
      </c>
      <c r="U556" s="101">
        <f t="shared" si="168"/>
        <v>31.390337772517274</v>
      </c>
      <c r="V556" s="33">
        <f t="shared" si="169"/>
        <v>1000.0000000000065</v>
      </c>
      <c r="W556" s="105">
        <f t="shared" si="165"/>
        <v>87834.785434081336</v>
      </c>
      <c r="X556" s="112">
        <f t="shared" si="170"/>
        <v>847.20190858954311</v>
      </c>
      <c r="Y556" s="32">
        <f t="shared" si="166"/>
        <v>476.1018449942062</v>
      </c>
    </row>
    <row r="557" spans="1:25" x14ac:dyDescent="0.25">
      <c r="A557" s="4">
        <v>551</v>
      </c>
      <c r="C557" s="110">
        <f>IF(male=0,VLOOKUP(((A555:A1389/'Life tables'!$I$2)*2)+age,lifetable,13,1),IF(male=1,VLOOKUP(((A555:A1389/'Life tables'!$I$2)*2)+age,lifetable,10,1),"error"))</f>
        <v>4.6329957291590951E-4</v>
      </c>
      <c r="F557" s="101">
        <f t="shared" si="153"/>
        <v>145.83492200672981</v>
      </c>
      <c r="G557" s="101">
        <f t="shared" si="154"/>
        <v>14.64942313125181</v>
      </c>
      <c r="H557" s="101">
        <f t="shared" si="155"/>
        <v>0.33523405080019386</v>
      </c>
      <c r="I557" s="101">
        <f t="shared" si="156"/>
        <v>0.33523405080019386</v>
      </c>
      <c r="J557" s="101">
        <f t="shared" si="157"/>
        <v>7.4662956147241513E-2</v>
      </c>
      <c r="K557" s="101">
        <f t="shared" si="158"/>
        <v>2.6278702347393441E-2</v>
      </c>
      <c r="L557" s="101">
        <f t="shared" si="167"/>
        <v>130.41408911538298</v>
      </c>
      <c r="M557" s="101">
        <f t="shared" si="159"/>
        <v>701.3669865828133</v>
      </c>
      <c r="N557" s="101">
        <f t="shared" si="160"/>
        <v>67.543160408917174</v>
      </c>
      <c r="O557" s="101">
        <f t="shared" si="161"/>
        <v>1.6122482377631853</v>
      </c>
      <c r="P557" s="101">
        <f t="shared" si="162"/>
        <v>1.6122482377631853</v>
      </c>
      <c r="Q557" s="101">
        <f t="shared" si="163"/>
        <v>0.35772965055195821</v>
      </c>
      <c r="R557" s="101">
        <f t="shared" si="164"/>
        <v>1.8784074183056991E-2</v>
      </c>
      <c r="S557" s="101">
        <f t="shared" si="152"/>
        <v>630.22281597363474</v>
      </c>
      <c r="T557" s="101">
        <f t="shared" si="168"/>
        <v>121.84014624464528</v>
      </c>
      <c r="U557" s="101">
        <f t="shared" si="168"/>
        <v>31.435400549047724</v>
      </c>
      <c r="V557" s="33">
        <f t="shared" si="169"/>
        <v>1000.0000000000065</v>
      </c>
      <c r="W557" s="105">
        <f t="shared" si="165"/>
        <v>87684.388725682322</v>
      </c>
      <c r="X557" s="112">
        <f t="shared" si="170"/>
        <v>846.72445320631346</v>
      </c>
      <c r="Y557" s="32">
        <f t="shared" si="166"/>
        <v>475.69668538118276</v>
      </c>
    </row>
    <row r="558" spans="1:25" x14ac:dyDescent="0.25">
      <c r="A558" s="4">
        <v>552</v>
      </c>
      <c r="C558" s="110">
        <f>IF(male=0,VLOOKUP(((A556:A1390/'Life tables'!$I$2)*2)+age,lifetable,13,1),IF(male=1,VLOOKUP(((A556:A1390/'Life tables'!$I$2)*2)+age,lifetable,10,1),"error"))</f>
        <v>4.6329957291590951E-4</v>
      </c>
      <c r="F558" s="101">
        <f t="shared" si="153"/>
        <v>145.75270911277678</v>
      </c>
      <c r="G558" s="101">
        <f t="shared" si="154"/>
        <v>14.641164673992121</v>
      </c>
      <c r="H558" s="101">
        <f t="shared" si="155"/>
        <v>0.33504506615173901</v>
      </c>
      <c r="I558" s="101">
        <f t="shared" si="156"/>
        <v>0.33504506615173901</v>
      </c>
      <c r="J558" s="101">
        <f t="shared" si="157"/>
        <v>7.4620865695849692E-2</v>
      </c>
      <c r="K558" s="101">
        <f t="shared" si="158"/>
        <v>2.6263888007044905E-2</v>
      </c>
      <c r="L558" s="101">
        <f t="shared" si="167"/>
        <v>130.34056955277828</v>
      </c>
      <c r="M558" s="101">
        <f t="shared" si="159"/>
        <v>700.97174409353659</v>
      </c>
      <c r="N558" s="101">
        <f t="shared" si="160"/>
        <v>67.505097700856581</v>
      </c>
      <c r="O558" s="101">
        <f t="shared" si="161"/>
        <v>1.6113396848671755</v>
      </c>
      <c r="P558" s="101">
        <f t="shared" si="162"/>
        <v>1.6113396848671755</v>
      </c>
      <c r="Q558" s="101">
        <f t="shared" si="163"/>
        <v>0.35752805857475212</v>
      </c>
      <c r="R558" s="101">
        <f t="shared" si="164"/>
        <v>1.8773488762897653E-2</v>
      </c>
      <c r="S558" s="101">
        <f t="shared" si="152"/>
        <v>629.86766547560796</v>
      </c>
      <c r="T558" s="101">
        <f t="shared" si="168"/>
        <v>122.27229516891589</v>
      </c>
      <c r="U558" s="101">
        <f t="shared" si="168"/>
        <v>31.480437925817668</v>
      </c>
      <c r="V558" s="33">
        <f t="shared" si="169"/>
        <v>1000.0000000000064</v>
      </c>
      <c r="W558" s="105">
        <f t="shared" si="165"/>
        <v>87534.249502163118</v>
      </c>
      <c r="X558" s="112">
        <f t="shared" si="170"/>
        <v>846.24726690527268</v>
      </c>
      <c r="Y558" s="32">
        <f t="shared" si="166"/>
        <v>475.29187055830067</v>
      </c>
    </row>
    <row r="559" spans="1:25" x14ac:dyDescent="0.25">
      <c r="A559" s="4">
        <v>553</v>
      </c>
      <c r="C559" s="110">
        <f>IF(male=0,VLOOKUP(((A557:A1391/'Life tables'!$I$2)*2)+age,lifetable,13,1),IF(male=1,VLOOKUP(((A557:A1391/'Life tables'!$I$2)*2)+age,lifetable,10,1),"error"))</f>
        <v>4.6329957291590951E-4</v>
      </c>
      <c r="F559" s="101">
        <f t="shared" si="153"/>
        <v>145.67054334138962</v>
      </c>
      <c r="G559" s="101">
        <f t="shared" si="154"/>
        <v>14.632910950292795</v>
      </c>
      <c r="H559" s="101">
        <f t="shared" si="155"/>
        <v>0.33485618982499765</v>
      </c>
      <c r="I559" s="101">
        <f t="shared" si="156"/>
        <v>0.33485618982499765</v>
      </c>
      <c r="J559" s="101">
        <f t="shared" si="157"/>
        <v>7.4578799369749843E-2</v>
      </c>
      <c r="K559" s="101">
        <f t="shared" si="158"/>
        <v>2.6249082157940206E-2</v>
      </c>
      <c r="L559" s="101">
        <f t="shared" si="167"/>
        <v>130.26709212991915</v>
      </c>
      <c r="M559" s="101">
        <f t="shared" si="159"/>
        <v>700.57672356388321</v>
      </c>
      <c r="N559" s="101">
        <f t="shared" si="160"/>
        <v>67.467056367988619</v>
      </c>
      <c r="O559" s="101">
        <f t="shared" si="161"/>
        <v>1.610431642194798</v>
      </c>
      <c r="P559" s="101">
        <f t="shared" si="162"/>
        <v>1.610431642194798</v>
      </c>
      <c r="Q559" s="101">
        <f t="shared" si="163"/>
        <v>0.35732657980723526</v>
      </c>
      <c r="R559" s="101">
        <f t="shared" si="164"/>
        <v>1.8762909287281051E-2</v>
      </c>
      <c r="S559" s="101">
        <f t="shared" si="152"/>
        <v>629.51271442241045</v>
      </c>
      <c r="T559" s="101">
        <f t="shared" si="168"/>
        <v>122.70420054809287</v>
      </c>
      <c r="U559" s="101">
        <f t="shared" si="168"/>
        <v>31.52544991726289</v>
      </c>
      <c r="V559" s="33">
        <f t="shared" si="169"/>
        <v>1000.0000000000065</v>
      </c>
      <c r="W559" s="105">
        <f t="shared" si="165"/>
        <v>87384.367323827726</v>
      </c>
      <c r="X559" s="112">
        <f t="shared" si="170"/>
        <v>845.77034953465068</v>
      </c>
      <c r="Y559" s="32">
        <f t="shared" si="166"/>
        <v>474.88740023208391</v>
      </c>
    </row>
    <row r="560" spans="1:25" x14ac:dyDescent="0.25">
      <c r="A560" s="4">
        <v>554</v>
      </c>
      <c r="C560" s="110">
        <f>IF(male=0,VLOOKUP(((A558:A1392/'Life tables'!$I$2)*2)+age,lifetable,13,1),IF(male=1,VLOOKUP(((A558:A1392/'Life tables'!$I$2)*2)+age,lifetable,10,1),"error"))</f>
        <v>4.6329957291590951E-4</v>
      </c>
      <c r="F560" s="101">
        <f t="shared" si="153"/>
        <v>145.58842464114929</v>
      </c>
      <c r="G560" s="101">
        <f t="shared" si="154"/>
        <v>14.624661954988683</v>
      </c>
      <c r="H560" s="101">
        <f t="shared" si="155"/>
        <v>0.33466742170177172</v>
      </c>
      <c r="I560" s="101">
        <f t="shared" si="156"/>
        <v>0.33466742170177172</v>
      </c>
      <c r="J560" s="101">
        <f t="shared" si="157"/>
        <v>7.4536757142616955E-2</v>
      </c>
      <c r="K560" s="101">
        <f t="shared" si="158"/>
        <v>2.6234284790813897E-2</v>
      </c>
      <c r="L560" s="101">
        <f t="shared" si="167"/>
        <v>130.19365680082362</v>
      </c>
      <c r="M560" s="101">
        <f t="shared" si="159"/>
        <v>700.18192489350133</v>
      </c>
      <c r="N560" s="101">
        <f t="shared" si="160"/>
        <v>67.429036400649196</v>
      </c>
      <c r="O560" s="101">
        <f t="shared" si="161"/>
        <v>1.6095241095153721</v>
      </c>
      <c r="P560" s="101">
        <f t="shared" si="162"/>
        <v>1.6095241095153721</v>
      </c>
      <c r="Q560" s="101">
        <f t="shared" si="163"/>
        <v>0.3571252141982233</v>
      </c>
      <c r="R560" s="101">
        <f t="shared" si="164"/>
        <v>1.8752335753519565E-2</v>
      </c>
      <c r="S560" s="101">
        <f t="shared" si="152"/>
        <v>629.15796272386967</v>
      </c>
      <c r="T560" s="101">
        <f t="shared" si="168"/>
        <v>123.13586251943372</v>
      </c>
      <c r="U560" s="101">
        <f t="shared" si="168"/>
        <v>31.570436537807222</v>
      </c>
      <c r="V560" s="33">
        <f t="shared" si="169"/>
        <v>1000.0000000000065</v>
      </c>
      <c r="W560" s="105">
        <f t="shared" si="165"/>
        <v>87234.741751694353</v>
      </c>
      <c r="X560" s="112">
        <f t="shared" si="170"/>
        <v>845.29370094276544</v>
      </c>
      <c r="Y560" s="32">
        <f t="shared" si="166"/>
        <v>474.48327410930733</v>
      </c>
    </row>
    <row r="561" spans="1:25" x14ac:dyDescent="0.25">
      <c r="A561" s="4">
        <v>555</v>
      </c>
      <c r="C561" s="110">
        <f>IF(male=0,VLOOKUP(((A559:A1393/'Life tables'!$I$2)*2)+age,lifetable,13,1),IF(male=1,VLOOKUP(((A559:A1393/'Life tables'!$I$2)*2)+age,lifetable,10,1),"error"))</f>
        <v>4.6329957291590951E-4</v>
      </c>
      <c r="F561" s="101">
        <f t="shared" si="153"/>
        <v>145.50635296144807</v>
      </c>
      <c r="G561" s="101">
        <f t="shared" si="154"/>
        <v>14.616417682996133</v>
      </c>
      <c r="H561" s="101">
        <f t="shared" si="155"/>
        <v>0.33447876166572804</v>
      </c>
      <c r="I561" s="101">
        <f t="shared" si="156"/>
        <v>0.33447876166572804</v>
      </c>
      <c r="J561" s="101">
        <f t="shared" si="157"/>
        <v>7.449473898854149E-2</v>
      </c>
      <c r="K561" s="101">
        <f t="shared" si="158"/>
        <v>2.6219495896546721E-2</v>
      </c>
      <c r="L561" s="101">
        <f t="shared" si="167"/>
        <v>130.1202635202354</v>
      </c>
      <c r="M561" s="101">
        <f t="shared" si="159"/>
        <v>699.78734798131745</v>
      </c>
      <c r="N561" s="101">
        <f t="shared" si="160"/>
        <v>67.391037789104701</v>
      </c>
      <c r="O561" s="101">
        <f t="shared" si="161"/>
        <v>1.6086170865965574</v>
      </c>
      <c r="P561" s="101">
        <f t="shared" si="162"/>
        <v>1.6086170865965574</v>
      </c>
      <c r="Q561" s="101">
        <f t="shared" si="163"/>
        <v>0.35692396169616425</v>
      </c>
      <c r="R561" s="101">
        <f t="shared" si="164"/>
        <v>1.8741768158906231E-2</v>
      </c>
      <c r="S561" s="101">
        <f t="shared" si="152"/>
        <v>628.80341028916462</v>
      </c>
      <c r="T561" s="101">
        <f t="shared" si="168"/>
        <v>123.56728122011842</v>
      </c>
      <c r="U561" s="101">
        <f t="shared" si="168"/>
        <v>31.615397801862674</v>
      </c>
      <c r="V561" s="33">
        <f t="shared" si="169"/>
        <v>1000.0000000000065</v>
      </c>
      <c r="W561" s="105">
        <f t="shared" si="165"/>
        <v>87085.372347495242</v>
      </c>
      <c r="X561" s="112">
        <f t="shared" si="170"/>
        <v>844.81732097802546</v>
      </c>
      <c r="Y561" s="32">
        <f t="shared" si="166"/>
        <v>474.07949189699769</v>
      </c>
    </row>
    <row r="562" spans="1:25" x14ac:dyDescent="0.25">
      <c r="A562" s="4">
        <v>556</v>
      </c>
      <c r="C562" s="110">
        <f>IF(male=0,VLOOKUP(((A560:A1394/'Life tables'!$I$2)*2)+age,lifetable,13,1),IF(male=1,VLOOKUP(((A560:A1394/'Life tables'!$I$2)*2)+age,lifetable,10,1),"error"))</f>
        <v>4.6329957291590951E-4</v>
      </c>
      <c r="F562" s="101">
        <f t="shared" si="153"/>
        <v>145.42432825246465</v>
      </c>
      <c r="G562" s="101">
        <f t="shared" si="154"/>
        <v>14.60817812931049</v>
      </c>
      <c r="H562" s="101">
        <f t="shared" si="155"/>
        <v>0.33429020960234124</v>
      </c>
      <c r="I562" s="101">
        <f t="shared" si="156"/>
        <v>0.33429020960234124</v>
      </c>
      <c r="J562" s="101">
        <f t="shared" si="157"/>
        <v>7.4452744882016461E-2</v>
      </c>
      <c r="K562" s="101">
        <f t="shared" si="158"/>
        <v>2.6204715466161144E-2</v>
      </c>
      <c r="L562" s="101">
        <f t="shared" si="167"/>
        <v>130.0469122436013</v>
      </c>
      <c r="M562" s="101">
        <f t="shared" si="159"/>
        <v>699.39299272556093</v>
      </c>
      <c r="N562" s="101">
        <f t="shared" si="160"/>
        <v>67.353060523554419</v>
      </c>
      <c r="O562" s="101">
        <f t="shared" si="161"/>
        <v>1.6077105732044119</v>
      </c>
      <c r="P562" s="101">
        <f t="shared" si="162"/>
        <v>1.6077105732044119</v>
      </c>
      <c r="Q562" s="101">
        <f t="shared" si="163"/>
        <v>0.35672282224915036</v>
      </c>
      <c r="R562" s="101">
        <f t="shared" si="164"/>
        <v>1.8731206500715417E-2</v>
      </c>
      <c r="S562" s="101">
        <f t="shared" si="152"/>
        <v>628.44905702684787</v>
      </c>
      <c r="T562" s="101">
        <f t="shared" si="168"/>
        <v>123.99845678724958</v>
      </c>
      <c r="U562" s="101">
        <f t="shared" si="168"/>
        <v>31.660333723829549</v>
      </c>
      <c r="V562" s="33">
        <f t="shared" si="169"/>
        <v>1000.0000000000067</v>
      </c>
      <c r="W562" s="105">
        <f t="shared" si="165"/>
        <v>86936.258673676843</v>
      </c>
      <c r="X562" s="112">
        <f t="shared" si="170"/>
        <v>844.34120948892746</v>
      </c>
      <c r="Y562" s="32">
        <f t="shared" si="166"/>
        <v>473.67605330243299</v>
      </c>
    </row>
    <row r="563" spans="1:25" x14ac:dyDescent="0.25">
      <c r="A563" s="4">
        <v>557</v>
      </c>
      <c r="C563" s="110">
        <f>IF(male=0,VLOOKUP(((A561:A1395/'Life tables'!$I$2)*2)+age,lifetable,13,1),IF(male=1,VLOOKUP(((A561:A1395/'Life tables'!$I$2)*2)+age,lifetable,10,1),"error"))</f>
        <v>4.6329957291590951E-4</v>
      </c>
      <c r="F563" s="101">
        <f t="shared" si="153"/>
        <v>145.34235046513948</v>
      </c>
      <c r="G563" s="101">
        <f t="shared" si="154"/>
        <v>14.599943289003621</v>
      </c>
      <c r="H563" s="101">
        <f t="shared" si="155"/>
        <v>0.33410176539883707</v>
      </c>
      <c r="I563" s="101">
        <f t="shared" si="156"/>
        <v>0.33410176539883707</v>
      </c>
      <c r="J563" s="101">
        <f t="shared" si="157"/>
        <v>7.4410774797924906E-2</v>
      </c>
      <c r="K563" s="101">
        <f t="shared" si="158"/>
        <v>2.6189943490816877E-2</v>
      </c>
      <c r="L563" s="101">
        <f t="shared" si="167"/>
        <v>129.97360292704943</v>
      </c>
      <c r="M563" s="101">
        <f t="shared" si="159"/>
        <v>698.99885902378799</v>
      </c>
      <c r="N563" s="101">
        <f t="shared" si="160"/>
        <v>67.315104594132762</v>
      </c>
      <c r="O563" s="101">
        <f t="shared" si="161"/>
        <v>1.6068045691034454</v>
      </c>
      <c r="P563" s="101">
        <f t="shared" si="162"/>
        <v>1.6068045691034454</v>
      </c>
      <c r="Q563" s="101">
        <f t="shared" si="163"/>
        <v>0.35652179580493037</v>
      </c>
      <c r="R563" s="101">
        <f t="shared" si="164"/>
        <v>1.8720650776203464E-2</v>
      </c>
      <c r="S563" s="101">
        <f t="shared" si="152"/>
        <v>628.09490284486719</v>
      </c>
      <c r="T563" s="101">
        <f t="shared" si="168"/>
        <v>124.42938935785243</v>
      </c>
      <c r="U563" s="101">
        <f t="shared" si="168"/>
        <v>31.705244318096568</v>
      </c>
      <c r="V563" s="33">
        <f t="shared" si="169"/>
        <v>1000.0000000000065</v>
      </c>
      <c r="W563" s="105">
        <f t="shared" si="165"/>
        <v>86787.400293399536</v>
      </c>
      <c r="X563" s="112">
        <f t="shared" si="170"/>
        <v>843.8653663240575</v>
      </c>
      <c r="Y563" s="32">
        <f t="shared" si="166"/>
        <v>473.27295803314115</v>
      </c>
    </row>
    <row r="564" spans="1:25" x14ac:dyDescent="0.25">
      <c r="A564" s="4">
        <v>558</v>
      </c>
      <c r="C564" s="110">
        <f>IF(male=0,VLOOKUP(((A562:A1396/'Life tables'!$I$2)*2)+age,lifetable,13,1),IF(male=1,VLOOKUP(((A562:A1396/'Life tables'!$I$2)*2)+age,lifetable,10,1),"error"))</f>
        <v>4.6329957291590951E-4</v>
      </c>
      <c r="F564" s="101">
        <f t="shared" si="153"/>
        <v>145.26041955115167</v>
      </c>
      <c r="G564" s="101">
        <f t="shared" si="154"/>
        <v>14.591713157221591</v>
      </c>
      <c r="H564" s="101">
        <f t="shared" si="155"/>
        <v>0.33391342894413917</v>
      </c>
      <c r="I564" s="101">
        <f t="shared" si="156"/>
        <v>0.33391342894413917</v>
      </c>
      <c r="J564" s="101">
        <f t="shared" si="157"/>
        <v>7.4368828711528015E-2</v>
      </c>
      <c r="K564" s="101">
        <f t="shared" si="158"/>
        <v>2.6175179961806756E-2</v>
      </c>
      <c r="L564" s="101">
        <f t="shared" si="167"/>
        <v>129.90033552736847</v>
      </c>
      <c r="M564" s="101">
        <f t="shared" si="159"/>
        <v>698.60494677290592</v>
      </c>
      <c r="N564" s="101">
        <f t="shared" si="160"/>
        <v>67.277169990911716</v>
      </c>
      <c r="O564" s="101">
        <f t="shared" si="161"/>
        <v>1.6058990740566765</v>
      </c>
      <c r="P564" s="101">
        <f t="shared" si="162"/>
        <v>1.6058990740566765</v>
      </c>
      <c r="Q564" s="101">
        <f t="shared" si="163"/>
        <v>0.35632088231092252</v>
      </c>
      <c r="R564" s="101">
        <f t="shared" si="164"/>
        <v>1.8710100982609338E-2</v>
      </c>
      <c r="S564" s="101">
        <f t="shared" si="152"/>
        <v>627.74094765058726</v>
      </c>
      <c r="T564" s="101">
        <f t="shared" si="168"/>
        <v>124.86007906887488</v>
      </c>
      <c r="U564" s="101">
        <f t="shared" si="168"/>
        <v>31.750129599040985</v>
      </c>
      <c r="V564" s="33">
        <f t="shared" si="169"/>
        <v>1000.0000000000066</v>
      </c>
      <c r="W564" s="105">
        <f t="shared" si="165"/>
        <v>86638.796770538014</v>
      </c>
      <c r="X564" s="112">
        <f t="shared" si="170"/>
        <v>843.38979133209068</v>
      </c>
      <c r="Y564" s="32">
        <f t="shared" si="166"/>
        <v>472.87020579690244</v>
      </c>
    </row>
    <row r="565" spans="1:25" x14ac:dyDescent="0.25">
      <c r="A565" s="4">
        <v>559</v>
      </c>
      <c r="C565" s="110">
        <f>IF(male=0,VLOOKUP(((A563:A1397/'Life tables'!$I$2)*2)+age,lifetable,13,1),IF(male=1,VLOOKUP(((A563:A1397/'Life tables'!$I$2)*2)+age,lifetable,10,1),"error"))</f>
        <v>4.6329957291590951E-4</v>
      </c>
      <c r="F565" s="101">
        <f t="shared" si="153"/>
        <v>145.17853546289595</v>
      </c>
      <c r="G565" s="101">
        <f t="shared" si="154"/>
        <v>14.583487729182348</v>
      </c>
      <c r="H565" s="101">
        <f t="shared" si="155"/>
        <v>0.33372520012881618</v>
      </c>
      <c r="I565" s="101">
        <f t="shared" si="156"/>
        <v>0.33372520012881618</v>
      </c>
      <c r="J565" s="101">
        <f t="shared" si="157"/>
        <v>7.4326906598453424E-2</v>
      </c>
      <c r="K565" s="101">
        <f t="shared" si="158"/>
        <v>2.6160424870552548E-2</v>
      </c>
      <c r="L565" s="101">
        <f t="shared" si="167"/>
        <v>129.82711000198697</v>
      </c>
      <c r="M565" s="101">
        <f t="shared" si="159"/>
        <v>698.21125586919459</v>
      </c>
      <c r="N565" s="101">
        <f t="shared" si="160"/>
        <v>67.239256703902782</v>
      </c>
      <c r="O565" s="101">
        <f t="shared" si="161"/>
        <v>1.6049940878256814</v>
      </c>
      <c r="P565" s="101">
        <f t="shared" si="162"/>
        <v>1.6049940878256814</v>
      </c>
      <c r="Q565" s="101">
        <f t="shared" si="163"/>
        <v>0.35612008171422443</v>
      </c>
      <c r="R565" s="101">
        <f t="shared" si="164"/>
        <v>1.869955711715519E-2</v>
      </c>
      <c r="S565" s="101">
        <f t="shared" si="152"/>
        <v>627.38719135080908</v>
      </c>
      <c r="T565" s="101">
        <f t="shared" si="168"/>
        <v>125.29052605718756</v>
      </c>
      <c r="U565" s="101">
        <f t="shared" si="168"/>
        <v>31.794989581028691</v>
      </c>
      <c r="V565" s="33">
        <f t="shared" si="169"/>
        <v>1000.0000000000065</v>
      </c>
      <c r="W565" s="105">
        <f t="shared" si="165"/>
        <v>86490.447669680565</v>
      </c>
      <c r="X565" s="112">
        <f t="shared" si="170"/>
        <v>842.91448436179007</v>
      </c>
      <c r="Y565" s="32">
        <f t="shared" si="166"/>
        <v>472.4677963017462</v>
      </c>
    </row>
    <row r="566" spans="1:25" x14ac:dyDescent="0.25">
      <c r="A566" s="4">
        <v>560</v>
      </c>
      <c r="C566" s="110">
        <f>IF(male=0,VLOOKUP(((A564:A1398/'Life tables'!$I$2)*2)+age,lifetable,13,1),IF(male=1,VLOOKUP(((A564:A1398/'Life tables'!$I$2)*2)+age,lifetable,10,1),"error"))</f>
        <v>4.6329957291590951E-4</v>
      </c>
      <c r="F566" s="101">
        <f t="shared" si="153"/>
        <v>145.09669815346066</v>
      </c>
      <c r="G566" s="101">
        <f t="shared" si="154"/>
        <v>14.575267000173522</v>
      </c>
      <c r="H566" s="101">
        <f t="shared" si="155"/>
        <v>0.33353707884503125</v>
      </c>
      <c r="I566" s="101">
        <f t="shared" si="156"/>
        <v>0.33353707884503125</v>
      </c>
      <c r="J566" s="101">
        <f t="shared" si="157"/>
        <v>7.4285008434683747E-2</v>
      </c>
      <c r="K566" s="101">
        <f t="shared" si="158"/>
        <v>2.6145678208601014E-2</v>
      </c>
      <c r="L566" s="101">
        <f t="shared" si="167"/>
        <v>129.75392630895379</v>
      </c>
      <c r="M566" s="101">
        <f t="shared" si="159"/>
        <v>697.81778620832961</v>
      </c>
      <c r="N566" s="101">
        <f t="shared" si="160"/>
        <v>67.201364723059299</v>
      </c>
      <c r="O566" s="101">
        <f t="shared" si="161"/>
        <v>1.6040896101706472</v>
      </c>
      <c r="P566" s="101">
        <f t="shared" si="162"/>
        <v>1.6040896101706472</v>
      </c>
      <c r="Q566" s="101">
        <f t="shared" si="163"/>
        <v>0.35591939396162603</v>
      </c>
      <c r="R566" s="101">
        <f t="shared" si="164"/>
        <v>1.8689019177047003E-2</v>
      </c>
      <c r="S566" s="101">
        <f t="shared" si="152"/>
        <v>627.03363385179034</v>
      </c>
      <c r="T566" s="101">
        <f t="shared" si="168"/>
        <v>125.72073045958388</v>
      </c>
      <c r="U566" s="101">
        <f t="shared" si="168"/>
        <v>31.839824278414341</v>
      </c>
      <c r="V566" s="33">
        <f t="shared" si="169"/>
        <v>1000.0000000000065</v>
      </c>
      <c r="W566" s="105">
        <f t="shared" si="165"/>
        <v>86342.352556129481</v>
      </c>
      <c r="X566" s="112">
        <f t="shared" si="170"/>
        <v>842.43944526200835</v>
      </c>
      <c r="Y566" s="32">
        <f t="shared" si="166"/>
        <v>472.06572925595208</v>
      </c>
    </row>
    <row r="567" spans="1:25" x14ac:dyDescent="0.25">
      <c r="A567" s="4">
        <v>561</v>
      </c>
      <c r="C567" s="110">
        <f>IF(male=0,VLOOKUP(((A565:A1399/'Life tables'!$I$2)*2)+age,lifetable,13,1),IF(male=1,VLOOKUP(((A565:A1399/'Life tables'!$I$2)*2)+age,lifetable,10,1),"error"))</f>
        <v>4.6329957291590951E-4</v>
      </c>
      <c r="F567" s="101">
        <f t="shared" si="153"/>
        <v>145.01490757660645</v>
      </c>
      <c r="G567" s="101">
        <f t="shared" si="154"/>
        <v>14.567050965550269</v>
      </c>
      <c r="H567" s="101">
        <f t="shared" si="155"/>
        <v>0.33334906498649292</v>
      </c>
      <c r="I567" s="101">
        <f t="shared" si="156"/>
        <v>0.33334906498649292</v>
      </c>
      <c r="J567" s="101">
        <f t="shared" si="157"/>
        <v>7.4243134196545907E-2</v>
      </c>
      <c r="K567" s="101">
        <f t="shared" si="158"/>
        <v>2.6130939967620063E-2</v>
      </c>
      <c r="L567" s="101">
        <f t="shared" si="167"/>
        <v>129.68078440691903</v>
      </c>
      <c r="M567" s="101">
        <f t="shared" si="159"/>
        <v>697.42453768540179</v>
      </c>
      <c r="N567" s="101">
        <f t="shared" si="160"/>
        <v>67.163494038278287</v>
      </c>
      <c r="O567" s="101">
        <f t="shared" si="161"/>
        <v>1.6031856408504168</v>
      </c>
      <c r="P567" s="101">
        <f t="shared" si="162"/>
        <v>1.6031856408504168</v>
      </c>
      <c r="Q567" s="101">
        <f t="shared" si="163"/>
        <v>0.3557188189996186</v>
      </c>
      <c r="R567" s="101">
        <f t="shared" si="164"/>
        <v>1.8678487159475086E-2</v>
      </c>
      <c r="S567" s="101">
        <f t="shared" si="152"/>
        <v>626.68027505926352</v>
      </c>
      <c r="T567" s="101">
        <f t="shared" si="168"/>
        <v>126.15069241278005</v>
      </c>
      <c r="U567" s="101">
        <f t="shared" si="168"/>
        <v>31.884633705541436</v>
      </c>
      <c r="V567" s="33">
        <f t="shared" si="169"/>
        <v>1000.0000000000064</v>
      </c>
      <c r="W567" s="105">
        <f t="shared" si="165"/>
        <v>86194.510995900346</v>
      </c>
      <c r="X567" s="112">
        <f t="shared" si="170"/>
        <v>841.96467388168492</v>
      </c>
      <c r="Y567" s="32">
        <f t="shared" si="166"/>
        <v>471.66400436804997</v>
      </c>
    </row>
    <row r="568" spans="1:25" x14ac:dyDescent="0.25">
      <c r="A568" s="4">
        <v>562</v>
      </c>
      <c r="C568" s="110">
        <f>IF(male=0,VLOOKUP(((A566:A1400/'Life tables'!$I$2)*2)+age,lifetable,13,1),IF(male=1,VLOOKUP(((A566:A1400/'Life tables'!$I$2)*2)+age,lifetable,10,1),"error"))</f>
        <v>4.6329957291590951E-4</v>
      </c>
      <c r="F568" s="101">
        <f t="shared" si="153"/>
        <v>144.93316368674536</v>
      </c>
      <c r="G568" s="101">
        <f t="shared" si="154"/>
        <v>14.558839620733186</v>
      </c>
      <c r="H568" s="101">
        <f t="shared" si="155"/>
        <v>0.3331611584484071</v>
      </c>
      <c r="I568" s="101">
        <f t="shared" si="156"/>
        <v>0.3331611584484071</v>
      </c>
      <c r="J568" s="101">
        <f t="shared" si="157"/>
        <v>7.4201283860700268E-2</v>
      </c>
      <c r="K568" s="101">
        <f t="shared" si="158"/>
        <v>2.6116210139394976E-2</v>
      </c>
      <c r="L568" s="101">
        <f t="shared" si="167"/>
        <v>129.60768425511526</v>
      </c>
      <c r="M568" s="101">
        <f t="shared" si="159"/>
        <v>697.03151019493941</v>
      </c>
      <c r="N568" s="101">
        <f t="shared" si="160"/>
        <v>67.125644639402594</v>
      </c>
      <c r="O568" s="101">
        <f t="shared" si="161"/>
        <v>1.6022821796225399</v>
      </c>
      <c r="P568" s="101">
        <f t="shared" si="162"/>
        <v>1.6022821796225399</v>
      </c>
      <c r="Q568" s="101">
        <f t="shared" si="163"/>
        <v>0.35551835677440696</v>
      </c>
      <c r="R568" s="101">
        <f t="shared" si="164"/>
        <v>1.8667961061614686E-2</v>
      </c>
      <c r="S568" s="101">
        <f t="shared" si="152"/>
        <v>626.32711487845575</v>
      </c>
      <c r="T568" s="101">
        <f t="shared" si="168"/>
        <v>126.58041205341516</v>
      </c>
      <c r="U568" s="101">
        <f t="shared" si="168"/>
        <v>31.929417876742445</v>
      </c>
      <c r="V568" s="33">
        <f t="shared" si="169"/>
        <v>1000.0000000000064</v>
      </c>
      <c r="W568" s="105">
        <f t="shared" si="165"/>
        <v>86046.922555722384</v>
      </c>
      <c r="X568" s="112">
        <f t="shared" si="170"/>
        <v>841.49017006984866</v>
      </c>
      <c r="Y568" s="32">
        <f t="shared" si="166"/>
        <v>471.26262134681895</v>
      </c>
    </row>
    <row r="569" spans="1:25" x14ac:dyDescent="0.25">
      <c r="A569" s="4">
        <v>563</v>
      </c>
      <c r="C569" s="110">
        <f>IF(male=0,VLOOKUP(((A567:A1401/'Life tables'!$I$2)*2)+age,lifetable,13,1),IF(male=1,VLOOKUP(((A567:A1401/'Life tables'!$I$2)*2)+age,lifetable,10,1),"error"))</f>
        <v>4.6329957291590951E-4</v>
      </c>
      <c r="F569" s="101">
        <f t="shared" si="153"/>
        <v>144.85146643892099</v>
      </c>
      <c r="G569" s="101">
        <f t="shared" si="154"/>
        <v>14.550632961206311</v>
      </c>
      <c r="H569" s="101">
        <f t="shared" si="155"/>
        <v>0.33297335912743153</v>
      </c>
      <c r="I569" s="101">
        <f t="shared" si="156"/>
        <v>0.33297335912743153</v>
      </c>
      <c r="J569" s="101">
        <f t="shared" si="157"/>
        <v>7.4159457404130574E-2</v>
      </c>
      <c r="K569" s="101">
        <f t="shared" si="158"/>
        <v>2.610148871582485E-2</v>
      </c>
      <c r="L569" s="101">
        <f t="shared" si="167"/>
        <v>129.53462581333986</v>
      </c>
      <c r="M569" s="101">
        <f t="shared" si="159"/>
        <v>696.63870363092769</v>
      </c>
      <c r="N569" s="101">
        <f t="shared" si="160"/>
        <v>67.087816516222773</v>
      </c>
      <c r="O569" s="101">
        <f t="shared" si="161"/>
        <v>1.6013792262433177</v>
      </c>
      <c r="P569" s="101">
        <f t="shared" si="162"/>
        <v>1.6013792262433177</v>
      </c>
      <c r="Q569" s="101">
        <f t="shared" si="163"/>
        <v>0.35531800723191842</v>
      </c>
      <c r="R569" s="101">
        <f t="shared" si="164"/>
        <v>1.86574408806265E-2</v>
      </c>
      <c r="S569" s="101">
        <f t="shared" si="152"/>
        <v>625.97415321410574</v>
      </c>
      <c r="T569" s="101">
        <f t="shared" si="168"/>
        <v>127.00988951805121</v>
      </c>
      <c r="U569" s="101">
        <f t="shared" si="168"/>
        <v>31.974176806338896</v>
      </c>
      <c r="V569" s="33">
        <f t="shared" si="169"/>
        <v>1000.0000000000063</v>
      </c>
      <c r="W569" s="105">
        <f t="shared" si="165"/>
        <v>85899.586803037717</v>
      </c>
      <c r="X569" s="112">
        <f t="shared" si="170"/>
        <v>841.01593367561622</v>
      </c>
      <c r="Y569" s="32">
        <f t="shared" si="166"/>
        <v>470.86157990128788</v>
      </c>
    </row>
    <row r="570" spans="1:25" x14ac:dyDescent="0.25">
      <c r="A570" s="4">
        <v>564</v>
      </c>
      <c r="C570" s="110">
        <f>IF(male=0,VLOOKUP(((A568:A1402/'Life tables'!$I$2)*2)+age,lifetable,13,1),IF(male=1,VLOOKUP(((A568:A1402/'Life tables'!$I$2)*2)+age,lifetable,10,1),"error"))</f>
        <v>4.6329957291590951E-4</v>
      </c>
      <c r="F570" s="101">
        <f t="shared" si="153"/>
        <v>144.76981578878909</v>
      </c>
      <c r="G570" s="101">
        <f t="shared" si="154"/>
        <v>14.542430982515166</v>
      </c>
      <c r="H570" s="101">
        <f t="shared" si="155"/>
        <v>0.33278566692163103</v>
      </c>
      <c r="I570" s="101">
        <f t="shared" si="156"/>
        <v>0.33278566692163103</v>
      </c>
      <c r="J570" s="101">
        <f t="shared" si="157"/>
        <v>7.411765480413389E-2</v>
      </c>
      <c r="K570" s="101">
        <f t="shared" si="158"/>
        <v>2.6086775688919067E-2</v>
      </c>
      <c r="L570" s="101">
        <f t="shared" si="167"/>
        <v>129.46160904193761</v>
      </c>
      <c r="M570" s="101">
        <f t="shared" si="159"/>
        <v>696.24611788682716</v>
      </c>
      <c r="N570" s="101">
        <f t="shared" si="160"/>
        <v>67.050009658478828</v>
      </c>
      <c r="O570" s="101">
        <f t="shared" si="161"/>
        <v>1.6004767804678461</v>
      </c>
      <c r="P570" s="101">
        <f t="shared" si="162"/>
        <v>1.6004767804678461</v>
      </c>
      <c r="Q570" s="101">
        <f t="shared" si="163"/>
        <v>0.35511777031781305</v>
      </c>
      <c r="R570" s="101">
        <f t="shared" si="164"/>
        <v>1.8646926613657189E-2</v>
      </c>
      <c r="S570" s="101">
        <f t="shared" si="152"/>
        <v>625.62138997048123</v>
      </c>
      <c r="T570" s="101">
        <f t="shared" si="168"/>
        <v>127.43912494317316</v>
      </c>
      <c r="U570" s="101">
        <f t="shared" si="168"/>
        <v>32.018910508641476</v>
      </c>
      <c r="V570" s="33">
        <f t="shared" si="169"/>
        <v>1000.0000000000065</v>
      </c>
      <c r="W570" s="105">
        <f t="shared" si="165"/>
        <v>85752.503306001352</v>
      </c>
      <c r="X570" s="112">
        <f t="shared" si="170"/>
        <v>840.5419645481918</v>
      </c>
      <c r="Y570" s="32">
        <f t="shared" si="166"/>
        <v>470.46087974073379</v>
      </c>
    </row>
    <row r="571" spans="1:25" x14ac:dyDescent="0.25">
      <c r="A571" s="4">
        <v>565</v>
      </c>
      <c r="C571" s="110">
        <f>IF(male=0,VLOOKUP(((A569:A1403/'Life tables'!$I$2)*2)+age,lifetable,13,1),IF(male=1,VLOOKUP(((A569:A1403/'Life tables'!$I$2)*2)+age,lifetable,10,1),"error"))</f>
        <v>4.6329957291590951E-4</v>
      </c>
      <c r="F571" s="101">
        <f t="shared" si="153"/>
        <v>144.6882116925986</v>
      </c>
      <c r="G571" s="101">
        <f t="shared" si="154"/>
        <v>14.534233680264867</v>
      </c>
      <c r="H571" s="101">
        <f t="shared" si="155"/>
        <v>0.33259808173043404</v>
      </c>
      <c r="I571" s="101">
        <f t="shared" si="156"/>
        <v>0.33259808173043404</v>
      </c>
      <c r="J571" s="101">
        <f t="shared" si="157"/>
        <v>7.4075876038311103E-2</v>
      </c>
      <c r="K571" s="101">
        <f t="shared" si="158"/>
        <v>2.607207105079392E-2</v>
      </c>
      <c r="L571" s="101">
        <f t="shared" si="167"/>
        <v>129.38863390178375</v>
      </c>
      <c r="M571" s="101">
        <f t="shared" si="159"/>
        <v>695.85375285559326</v>
      </c>
      <c r="N571" s="101">
        <f t="shared" si="160"/>
        <v>67.012224055862134</v>
      </c>
      <c r="O571" s="101">
        <f t="shared" si="161"/>
        <v>1.5995748420500588</v>
      </c>
      <c r="P571" s="101">
        <f t="shared" si="162"/>
        <v>1.5995748420500588</v>
      </c>
      <c r="Q571" s="101">
        <f t="shared" si="163"/>
        <v>0.35491764597749303</v>
      </c>
      <c r="R571" s="101">
        <f t="shared" si="164"/>
        <v>1.8636418257839866E-2</v>
      </c>
      <c r="S571" s="101">
        <f t="shared" si="152"/>
        <v>625.26882505139565</v>
      </c>
      <c r="T571" s="101">
        <f t="shared" si="168"/>
        <v>127.86811846518896</v>
      </c>
      <c r="U571" s="101">
        <f t="shared" si="168"/>
        <v>32.063618997950108</v>
      </c>
      <c r="V571" s="33">
        <f t="shared" si="169"/>
        <v>1000.0000000000065</v>
      </c>
      <c r="W571" s="105">
        <f t="shared" si="165"/>
        <v>85605.671633480728</v>
      </c>
      <c r="X571" s="112">
        <f t="shared" si="170"/>
        <v>840.06826253686734</v>
      </c>
      <c r="Y571" s="32">
        <f t="shared" si="166"/>
        <v>470.06052057468332</v>
      </c>
    </row>
    <row r="572" spans="1:25" x14ac:dyDescent="0.25">
      <c r="A572" s="4">
        <v>566</v>
      </c>
      <c r="C572" s="110">
        <f>IF(male=0,VLOOKUP(((A570:A1404/'Life tables'!$I$2)*2)+age,lifetable,13,1),IF(male=1,VLOOKUP(((A570:A1404/'Life tables'!$I$2)*2)+age,lifetable,10,1),"error"))</f>
        <v>4.6329957291590951E-4</v>
      </c>
      <c r="F572" s="101">
        <f t="shared" si="153"/>
        <v>144.60665410717343</v>
      </c>
      <c r="G572" s="101">
        <f t="shared" si="154"/>
        <v>14.526041050118286</v>
      </c>
      <c r="H572" s="101">
        <f t="shared" si="155"/>
        <v>0.33241060345459078</v>
      </c>
      <c r="I572" s="101">
        <f t="shared" si="156"/>
        <v>0.33241060345459078</v>
      </c>
      <c r="J572" s="101">
        <f t="shared" si="157"/>
        <v>7.4034121084557342E-2</v>
      </c>
      <c r="K572" s="101">
        <f t="shared" si="158"/>
        <v>2.6057374793669298E-2</v>
      </c>
      <c r="L572" s="101">
        <f t="shared" si="167"/>
        <v>129.31570035426773</v>
      </c>
      <c r="M572" s="101">
        <f t="shared" si="159"/>
        <v>695.46160842969391</v>
      </c>
      <c r="N572" s="101">
        <f t="shared" si="160"/>
        <v>66.974459698017142</v>
      </c>
      <c r="O572" s="101">
        <f t="shared" si="161"/>
        <v>1.5986734107427696</v>
      </c>
      <c r="P572" s="101">
        <f t="shared" si="162"/>
        <v>1.5986734107427696</v>
      </c>
      <c r="Q572" s="101">
        <f t="shared" si="163"/>
        <v>0.35471763415611213</v>
      </c>
      <c r="R572" s="101">
        <f t="shared" si="164"/>
        <v>1.8625915810294602E-2</v>
      </c>
      <c r="S572" s="101">
        <f t="shared" si="152"/>
        <v>624.91645836022485</v>
      </c>
      <c r="T572" s="101">
        <f t="shared" si="168"/>
        <v>128.29687022042964</v>
      </c>
      <c r="U572" s="101">
        <f t="shared" si="168"/>
        <v>32.108302288554071</v>
      </c>
      <c r="V572" s="33">
        <f t="shared" si="169"/>
        <v>1000.0000000000066</v>
      </c>
      <c r="W572" s="105">
        <f t="shared" si="165"/>
        <v>85459.091355055469</v>
      </c>
      <c r="X572" s="112">
        <f t="shared" si="170"/>
        <v>839.59482749102278</v>
      </c>
      <c r="Y572" s="32">
        <f t="shared" si="166"/>
        <v>469.66050211291139</v>
      </c>
    </row>
    <row r="573" spans="1:25" x14ac:dyDescent="0.25">
      <c r="A573" s="4">
        <v>567</v>
      </c>
      <c r="C573" s="110">
        <f>IF(male=0,VLOOKUP(((A571:A1405/'Life tables'!$I$2)*2)+age,lifetable,13,1),IF(male=1,VLOOKUP(((A571:A1405/'Life tables'!$I$2)*2)+age,lifetable,10,1),"error"))</f>
        <v>4.6329957291590951E-4</v>
      </c>
      <c r="F573" s="101">
        <f t="shared" si="153"/>
        <v>144.5251429898951</v>
      </c>
      <c r="G573" s="101">
        <f t="shared" si="154"/>
        <v>14.517853087794309</v>
      </c>
      <c r="H573" s="101">
        <f t="shared" si="155"/>
        <v>0.33222323199613307</v>
      </c>
      <c r="I573" s="101">
        <f t="shared" si="156"/>
        <v>0.33222323199613307</v>
      </c>
      <c r="J573" s="101">
        <f t="shared" si="157"/>
        <v>7.3992389921053267E-2</v>
      </c>
      <c r="K573" s="101">
        <f t="shared" si="158"/>
        <v>2.6042686909865567E-2</v>
      </c>
      <c r="L573" s="101">
        <f t="shared" si="167"/>
        <v>129.24280836127761</v>
      </c>
      <c r="M573" s="101">
        <f t="shared" si="159"/>
        <v>695.06968450112765</v>
      </c>
      <c r="N573" s="101">
        <f t="shared" si="160"/>
        <v>66.936716574543055</v>
      </c>
      <c r="O573" s="101">
        <f t="shared" si="161"/>
        <v>1.5977724862977127</v>
      </c>
      <c r="P573" s="101">
        <f t="shared" si="162"/>
        <v>1.5977724862977127</v>
      </c>
      <c r="Q573" s="101">
        <f t="shared" si="163"/>
        <v>0.35451773479858456</v>
      </c>
      <c r="R573" s="101">
        <f t="shared" si="164"/>
        <v>1.8615419268128888E-2</v>
      </c>
      <c r="S573" s="101">
        <f t="shared" si="152"/>
        <v>624.56428979992245</v>
      </c>
      <c r="T573" s="101">
        <f t="shared" si="168"/>
        <v>128.72538034514929</v>
      </c>
      <c r="U573" s="101">
        <f t="shared" si="168"/>
        <v>32.152960394732062</v>
      </c>
      <c r="V573" s="33">
        <f t="shared" si="169"/>
        <v>1000.0000000000065</v>
      </c>
      <c r="W573" s="105">
        <f t="shared" si="165"/>
        <v>85312.762041017006</v>
      </c>
      <c r="X573" s="112">
        <f t="shared" si="170"/>
        <v>839.12165926012517</v>
      </c>
      <c r="Y573" s="32">
        <f t="shared" si="166"/>
        <v>469.26082406544123</v>
      </c>
    </row>
    <row r="574" spans="1:25" x14ac:dyDescent="0.25">
      <c r="A574" s="4">
        <v>568</v>
      </c>
      <c r="C574" s="110">
        <f>IF(male=0,VLOOKUP(((A572:A1406/'Life tables'!$I$2)*2)+age,lifetable,13,1),IF(male=1,VLOOKUP(((A572:A1406/'Life tables'!$I$2)*2)+age,lifetable,10,1),"error"))</f>
        <v>4.6329957291590951E-4</v>
      </c>
      <c r="F574" s="101">
        <f t="shared" si="153"/>
        <v>144.4436782986852</v>
      </c>
      <c r="G574" s="101">
        <f t="shared" si="154"/>
        <v>14.509669789066068</v>
      </c>
      <c r="H574" s="101">
        <f t="shared" si="155"/>
        <v>0.3320359672583344</v>
      </c>
      <c r="I574" s="101">
        <f t="shared" si="156"/>
        <v>0.3320359672583344</v>
      </c>
      <c r="J574" s="101">
        <f t="shared" si="157"/>
        <v>7.395068252625607E-2</v>
      </c>
      <c r="K574" s="101">
        <f t="shared" si="158"/>
        <v>2.6028007391800421E-2</v>
      </c>
      <c r="L574" s="101">
        <f t="shared" si="167"/>
        <v>129.1699578851844</v>
      </c>
      <c r="M574" s="101">
        <f t="shared" si="159"/>
        <v>694.67798096143986</v>
      </c>
      <c r="N574" s="101">
        <f t="shared" si="160"/>
        <v>66.898994674995464</v>
      </c>
      <c r="O574" s="101">
        <f t="shared" si="161"/>
        <v>1.5968720684655817</v>
      </c>
      <c r="P574" s="101">
        <f t="shared" si="162"/>
        <v>1.5968720684655817</v>
      </c>
      <c r="Q574" s="101">
        <f t="shared" si="163"/>
        <v>0.35431794784959336</v>
      </c>
      <c r="R574" s="101">
        <f t="shared" si="164"/>
        <v>1.8604928628438093E-2</v>
      </c>
      <c r="S574" s="101">
        <f t="shared" si="152"/>
        <v>624.21231927303518</v>
      </c>
      <c r="T574" s="101">
        <f t="shared" si="168"/>
        <v>129.15364897552513</v>
      </c>
      <c r="U574" s="101">
        <f t="shared" si="168"/>
        <v>32.197593330752298</v>
      </c>
      <c r="V574" s="33">
        <f t="shared" si="169"/>
        <v>1000.0000000000064</v>
      </c>
      <c r="W574" s="105">
        <f t="shared" si="165"/>
        <v>85166.683262368213</v>
      </c>
      <c r="X574" s="112">
        <f t="shared" si="170"/>
        <v>838.64875769372895</v>
      </c>
      <c r="Y574" s="32">
        <f t="shared" si="166"/>
        <v>468.86148614254336</v>
      </c>
    </row>
    <row r="575" spans="1:25" x14ac:dyDescent="0.25">
      <c r="A575" s="4">
        <v>569</v>
      </c>
      <c r="C575" s="110">
        <f>IF(male=0,VLOOKUP(((A573:A1407/'Life tables'!$I$2)*2)+age,lifetable,13,1),IF(male=1,VLOOKUP(((A573:A1407/'Life tables'!$I$2)*2)+age,lifetable,10,1),"error"))</f>
        <v>4.6329957291590951E-4</v>
      </c>
      <c r="F575" s="101">
        <f t="shared" si="153"/>
        <v>144.36225999198919</v>
      </c>
      <c r="G575" s="101">
        <f t="shared" si="154"/>
        <v>14.501491149759326</v>
      </c>
      <c r="H575" s="101">
        <f t="shared" si="155"/>
        <v>0.33184880914567233</v>
      </c>
      <c r="I575" s="101">
        <f t="shared" si="156"/>
        <v>0.33184880914567233</v>
      </c>
      <c r="J575" s="101">
        <f t="shared" si="157"/>
        <v>7.3908998878891116E-2</v>
      </c>
      <c r="K575" s="101">
        <f t="shared" si="158"/>
        <v>2.6013336231985942E-2</v>
      </c>
      <c r="L575" s="101">
        <f t="shared" si="167"/>
        <v>129.09714888882763</v>
      </c>
      <c r="M575" s="101">
        <f t="shared" si="159"/>
        <v>694.28649770173979</v>
      </c>
      <c r="N575" s="101">
        <f t="shared" si="160"/>
        <v>66.861293988887951</v>
      </c>
      <c r="O575" s="101">
        <f t="shared" si="161"/>
        <v>1.5959721569960665</v>
      </c>
      <c r="P575" s="101">
        <f t="shared" si="162"/>
        <v>1.5959721569960665</v>
      </c>
      <c r="Q575" s="101">
        <f t="shared" si="163"/>
        <v>0.3541182732535994</v>
      </c>
      <c r="R575" s="101">
        <f t="shared" si="164"/>
        <v>1.8594443888305886E-2</v>
      </c>
      <c r="S575" s="101">
        <f t="shared" si="152"/>
        <v>623.86054668171778</v>
      </c>
      <c r="T575" s="101">
        <f t="shared" si="168"/>
        <v>129.58167624765761</v>
      </c>
      <c r="U575" s="101">
        <f t="shared" si="168"/>
        <v>32.242201110872593</v>
      </c>
      <c r="V575" s="33">
        <f t="shared" si="169"/>
        <v>1000.0000000000063</v>
      </c>
      <c r="W575" s="105">
        <f t="shared" si="165"/>
        <v>85020.854590822782</v>
      </c>
      <c r="X575" s="112">
        <f t="shared" si="170"/>
        <v>838.17612264147613</v>
      </c>
      <c r="Y575" s="32">
        <f t="shared" si="166"/>
        <v>468.46248805473772</v>
      </c>
    </row>
    <row r="576" spans="1:25" x14ac:dyDescent="0.25">
      <c r="A576" s="4">
        <v>570</v>
      </c>
      <c r="C576" s="110">
        <f>IF(male=0,VLOOKUP(((A574:A1408/'Life tables'!$I$2)*2)+age,lifetable,13,1),IF(male=1,VLOOKUP(((A574:A1408/'Life tables'!$I$2)*2)+age,lifetable,10,1),"error"))</f>
        <v>4.6329957291590951E-4</v>
      </c>
      <c r="F576" s="101">
        <f t="shared" si="153"/>
        <v>144.28088802876027</v>
      </c>
      <c r="G576" s="101">
        <f t="shared" si="154"/>
        <v>14.493317165750845</v>
      </c>
      <c r="H576" s="101">
        <f t="shared" si="155"/>
        <v>0.33166175756379174</v>
      </c>
      <c r="I576" s="101">
        <f t="shared" si="156"/>
        <v>0.33166175756379174</v>
      </c>
      <c r="J576" s="101">
        <f t="shared" si="157"/>
        <v>7.3867338957943673E-2</v>
      </c>
      <c r="K576" s="101">
        <f t="shared" si="158"/>
        <v>2.5998673423025701E-2</v>
      </c>
      <c r="L576" s="101">
        <f t="shared" si="167"/>
        <v>129.02438133550086</v>
      </c>
      <c r="M576" s="101">
        <f t="shared" si="159"/>
        <v>693.89523461271574</v>
      </c>
      <c r="N576" s="101">
        <f t="shared" si="160"/>
        <v>66.82361450569357</v>
      </c>
      <c r="O576" s="101">
        <f t="shared" si="161"/>
        <v>1.5950727516378898</v>
      </c>
      <c r="P576" s="101">
        <f t="shared" si="162"/>
        <v>1.5950727516378898</v>
      </c>
      <c r="Q576" s="101">
        <f t="shared" si="163"/>
        <v>0.3539187109548485</v>
      </c>
      <c r="R576" s="101">
        <f t="shared" si="164"/>
        <v>1.8583965044804668E-2</v>
      </c>
      <c r="S576" s="101">
        <f t="shared" si="152"/>
        <v>623.50897192774676</v>
      </c>
      <c r="T576" s="101">
        <f t="shared" si="168"/>
        <v>130.00946229757039</v>
      </c>
      <c r="U576" s="101">
        <f t="shared" si="168"/>
        <v>32.286783749340422</v>
      </c>
      <c r="V576" s="33">
        <f t="shared" si="169"/>
        <v>1000.0000000000063</v>
      </c>
      <c r="W576" s="105">
        <f t="shared" si="165"/>
        <v>84875.275598804947</v>
      </c>
      <c r="X576" s="112">
        <f t="shared" si="170"/>
        <v>837.70375395309543</v>
      </c>
      <c r="Y576" s="32">
        <f t="shared" si="166"/>
        <v>468.06382951279051</v>
      </c>
    </row>
    <row r="577" spans="1:25" x14ac:dyDescent="0.25">
      <c r="A577" s="4">
        <v>571</v>
      </c>
      <c r="C577" s="110">
        <f>IF(male=0,VLOOKUP(((A575:A1409/'Life tables'!$I$2)*2)+age,lifetable,13,1),IF(male=1,VLOOKUP(((A575:A1409/'Life tables'!$I$2)*2)+age,lifetable,10,1),"error"))</f>
        <v>4.6329957291590951E-4</v>
      </c>
      <c r="F577" s="101">
        <f t="shared" si="153"/>
        <v>144.19956236844385</v>
      </c>
      <c r="G577" s="101">
        <f t="shared" si="154"/>
        <v>14.485147832966831</v>
      </c>
      <c r="H577" s="101">
        <f t="shared" si="155"/>
        <v>0.3314748124194688</v>
      </c>
      <c r="I577" s="101">
        <f t="shared" si="156"/>
        <v>0.3314748124194688</v>
      </c>
      <c r="J577" s="101">
        <f t="shared" si="157"/>
        <v>7.3825702742651086E-2</v>
      </c>
      <c r="K577" s="101">
        <f t="shared" si="158"/>
        <v>2.598401895761198E-2</v>
      </c>
      <c r="L577" s="101">
        <f t="shared" si="167"/>
        <v>128.95165518893782</v>
      </c>
      <c r="M577" s="101">
        <f t="shared" si="159"/>
        <v>693.50419158465161</v>
      </c>
      <c r="N577" s="101">
        <f t="shared" si="160"/>
        <v>66.785956214846422</v>
      </c>
      <c r="O577" s="101">
        <f t="shared" si="161"/>
        <v>1.5941738521388449</v>
      </c>
      <c r="P577" s="101">
        <f t="shared" si="162"/>
        <v>1.5941738521388449</v>
      </c>
      <c r="Q577" s="101">
        <f t="shared" si="163"/>
        <v>0.35371926089738037</v>
      </c>
      <c r="R577" s="101">
        <f t="shared" si="164"/>
        <v>1.8573492094996022E-2</v>
      </c>
      <c r="S577" s="101">
        <f t="shared" si="152"/>
        <v>623.15759491253516</v>
      </c>
      <c r="T577" s="101">
        <f t="shared" si="168"/>
        <v>130.43700726121043</v>
      </c>
      <c r="U577" s="101">
        <f t="shared" si="168"/>
        <v>32.331341260393032</v>
      </c>
      <c r="V577" s="33">
        <f t="shared" si="169"/>
        <v>1000.0000000000064</v>
      </c>
      <c r="W577" s="105">
        <f t="shared" si="165"/>
        <v>84729.945859449144</v>
      </c>
      <c r="X577" s="112">
        <f t="shared" si="170"/>
        <v>837.23165147840291</v>
      </c>
      <c r="Y577" s="32">
        <f t="shared" si="166"/>
        <v>467.6655102277154</v>
      </c>
    </row>
    <row r="578" spans="1:25" x14ac:dyDescent="0.25">
      <c r="A578" s="4">
        <v>572</v>
      </c>
      <c r="C578" s="110">
        <f>IF(male=0,VLOOKUP(((A576:A1410/'Life tables'!$I$2)*2)+age,lifetable,13,1),IF(male=1,VLOOKUP(((A576:A1410/'Life tables'!$I$2)*2)+age,lifetable,10,1),"error"))</f>
        <v>4.6329957291590951E-4</v>
      </c>
      <c r="F578" s="101">
        <f t="shared" si="153"/>
        <v>144.11828297096253</v>
      </c>
      <c r="G578" s="101">
        <f t="shared" si="154"/>
        <v>14.476983147381427</v>
      </c>
      <c r="H578" s="101">
        <f t="shared" si="155"/>
        <v>0.33128797362057666</v>
      </c>
      <c r="I578" s="101">
        <f t="shared" si="156"/>
        <v>0.33128797362057666</v>
      </c>
      <c r="J578" s="101">
        <f t="shared" si="157"/>
        <v>7.3784090212494949E-2</v>
      </c>
      <c r="K578" s="101">
        <f t="shared" si="158"/>
        <v>2.5969372828523032E-2</v>
      </c>
      <c r="L578" s="101">
        <f t="shared" si="167"/>
        <v>128.87897041329893</v>
      </c>
      <c r="M578" s="101">
        <f t="shared" si="159"/>
        <v>693.11336850744044</v>
      </c>
      <c r="N578" s="101">
        <f t="shared" si="160"/>
        <v>66.748319105742965</v>
      </c>
      <c r="O578" s="101">
        <f t="shared" si="161"/>
        <v>1.5932754582458262</v>
      </c>
      <c r="P578" s="101">
        <f t="shared" si="162"/>
        <v>1.5932754582458262</v>
      </c>
      <c r="Q578" s="101">
        <f t="shared" si="163"/>
        <v>0.35351992302503543</v>
      </c>
      <c r="R578" s="101">
        <f t="shared" si="164"/>
        <v>1.8563025035931047E-2</v>
      </c>
      <c r="S578" s="101">
        <f t="shared" si="152"/>
        <v>622.80641553714486</v>
      </c>
      <c r="T578" s="101">
        <f t="shared" si="168"/>
        <v>130.86431127444794</v>
      </c>
      <c r="U578" s="101">
        <f t="shared" si="168"/>
        <v>32.375873658257483</v>
      </c>
      <c r="V578" s="33">
        <f t="shared" si="169"/>
        <v>1000.0000000000063</v>
      </c>
      <c r="W578" s="105">
        <f t="shared" si="165"/>
        <v>84584.864946599235</v>
      </c>
      <c r="X578" s="112">
        <f t="shared" si="170"/>
        <v>836.75981506730091</v>
      </c>
      <c r="Y578" s="32">
        <f t="shared" si="166"/>
        <v>467.26752991077325</v>
      </c>
    </row>
    <row r="579" spans="1:25" x14ac:dyDescent="0.25">
      <c r="A579" s="4">
        <v>573</v>
      </c>
      <c r="C579" s="110">
        <f>IF(male=0,VLOOKUP(((A577:A1411/'Life tables'!$I$2)*2)+age,lifetable,13,1),IF(male=1,VLOOKUP(((A577:A1411/'Life tables'!$I$2)*2)+age,lifetable,10,1),"error"))</f>
        <v>4.6329957291590951E-4</v>
      </c>
      <c r="F579" s="101">
        <f t="shared" si="153"/>
        <v>144.03704979670141</v>
      </c>
      <c r="G579" s="101">
        <f t="shared" si="154"/>
        <v>14.468823105015231</v>
      </c>
      <c r="H579" s="101">
        <f t="shared" si="155"/>
        <v>0.33110124107605171</v>
      </c>
      <c r="I579" s="101">
        <f t="shared" si="156"/>
        <v>0.33110124107605171</v>
      </c>
      <c r="J579" s="101">
        <f t="shared" si="157"/>
        <v>7.3742501347193665E-2</v>
      </c>
      <c r="K579" s="101">
        <f t="shared" si="158"/>
        <v>2.595473502862046E-2</v>
      </c>
      <c r="L579" s="101">
        <f t="shared" si="167"/>
        <v>128.80632697315826</v>
      </c>
      <c r="M579" s="101">
        <f t="shared" si="159"/>
        <v>692.72276527059967</v>
      </c>
      <c r="N579" s="101">
        <f t="shared" si="160"/>
        <v>66.710703167743489</v>
      </c>
      <c r="O579" s="101">
        <f t="shared" si="161"/>
        <v>1.592377569704865</v>
      </c>
      <c r="P579" s="101">
        <f t="shared" si="162"/>
        <v>1.592377569704865</v>
      </c>
      <c r="Q579" s="101">
        <f t="shared" si="163"/>
        <v>0.35332069728146254</v>
      </c>
      <c r="R579" s="101">
        <f t="shared" si="164"/>
        <v>1.8552563864650793E-2</v>
      </c>
      <c r="S579" s="101">
        <f t="shared" ref="S579:S642" si="171">M579-SUM(N579:R579)</f>
        <v>622.4554337023003</v>
      </c>
      <c r="T579" s="101">
        <f t="shared" si="168"/>
        <v>131.29137447307659</v>
      </c>
      <c r="U579" s="101">
        <f t="shared" si="168"/>
        <v>32.420380957150755</v>
      </c>
      <c r="V579" s="33">
        <f t="shared" si="169"/>
        <v>1000.0000000000065</v>
      </c>
      <c r="W579" s="105">
        <f t="shared" si="165"/>
        <v>84440.032434808047</v>
      </c>
      <c r="X579" s="112">
        <f t="shared" si="170"/>
        <v>836.28824456977918</v>
      </c>
      <c r="Y579" s="32">
        <f t="shared" si="166"/>
        <v>466.86988827347176</v>
      </c>
    </row>
    <row r="580" spans="1:25" x14ac:dyDescent="0.25">
      <c r="A580" s="4">
        <v>574</v>
      </c>
      <c r="C580" s="110">
        <f>IF(male=0,VLOOKUP(((A578:A1412/'Life tables'!$I$2)*2)+age,lifetable,13,1),IF(male=1,VLOOKUP(((A578:A1412/'Life tables'!$I$2)*2)+age,lifetable,10,1),"error"))</f>
        <v>4.9660762749414999E-4</v>
      </c>
      <c r="F580" s="101">
        <f t="shared" si="153"/>
        <v>143.95586280649408</v>
      </c>
      <c r="G580" s="101">
        <f t="shared" si="154"/>
        <v>14.460667701933895</v>
      </c>
      <c r="H580" s="101">
        <f t="shared" si="155"/>
        <v>0.33091461469586125</v>
      </c>
      <c r="I580" s="101">
        <f t="shared" si="156"/>
        <v>0.33091461469586125</v>
      </c>
      <c r="J580" s="101">
        <f t="shared" si="157"/>
        <v>7.8999526815059548E-2</v>
      </c>
      <c r="K580" s="101">
        <f t="shared" si="158"/>
        <v>2.5940105550846675E-2</v>
      </c>
      <c r="L580" s="101">
        <f t="shared" si="167"/>
        <v>128.72842624280256</v>
      </c>
      <c r="M580" s="101">
        <f t="shared" si="159"/>
        <v>692.33238176328496</v>
      </c>
      <c r="N580" s="101">
        <f t="shared" si="160"/>
        <v>66.673108390173439</v>
      </c>
      <c r="O580" s="101">
        <f t="shared" si="161"/>
        <v>1.5914801862611612</v>
      </c>
      <c r="P580" s="101">
        <f t="shared" si="162"/>
        <v>1.5914801862611612</v>
      </c>
      <c r="Q580" s="101">
        <f t="shared" si="163"/>
        <v>0.37850859811914961</v>
      </c>
      <c r="R580" s="101">
        <f t="shared" si="164"/>
        <v>1.8542108578186615E-2</v>
      </c>
      <c r="S580" s="101">
        <f t="shared" si="171"/>
        <v>622.07926229389182</v>
      </c>
      <c r="T580" s="101">
        <f t="shared" si="168"/>
        <v>131.74888259801079</v>
      </c>
      <c r="U580" s="101">
        <f t="shared" si="168"/>
        <v>32.464863171279788</v>
      </c>
      <c r="V580" s="33">
        <f t="shared" si="169"/>
        <v>1000.0000000000064</v>
      </c>
      <c r="W580" s="105">
        <f t="shared" si="165"/>
        <v>84292.769228693811</v>
      </c>
      <c r="X580" s="112">
        <f t="shared" si="170"/>
        <v>835.78625423071571</v>
      </c>
      <c r="Y580" s="32">
        <f t="shared" si="166"/>
        <v>466.45518062780957</v>
      </c>
    </row>
    <row r="581" spans="1:25" x14ac:dyDescent="0.25">
      <c r="A581" s="4">
        <v>575</v>
      </c>
      <c r="C581" s="110">
        <f>IF(male=0,VLOOKUP(((A579:A1413/'Life tables'!$I$2)*2)+age,lifetable,13,1),IF(male=1,VLOOKUP(((A579:A1413/'Life tables'!$I$2)*2)+age,lifetable,10,1),"error"))</f>
        <v>4.9660762749414999E-4</v>
      </c>
      <c r="F581" s="101">
        <f t="shared" si="153"/>
        <v>143.86942322042844</v>
      </c>
      <c r="G581" s="101">
        <f t="shared" si="154"/>
        <v>14.451984664605515</v>
      </c>
      <c r="H581" s="101">
        <f t="shared" si="155"/>
        <v>0.33071591405415252</v>
      </c>
      <c r="I581" s="101">
        <f t="shared" si="156"/>
        <v>0.33071591405415252</v>
      </c>
      <c r="J581" s="101">
        <f t="shared" si="157"/>
        <v>7.8952090842226291E-2</v>
      </c>
      <c r="K581" s="101">
        <f t="shared" si="158"/>
        <v>2.5924529582333825E-2</v>
      </c>
      <c r="L581" s="101">
        <f t="shared" si="167"/>
        <v>128.65113010729007</v>
      </c>
      <c r="M581" s="101">
        <f t="shared" si="159"/>
        <v>691.9168310102873</v>
      </c>
      <c r="N581" s="101">
        <f t="shared" si="160"/>
        <v>66.633089952316084</v>
      </c>
      <c r="O581" s="101">
        <f t="shared" si="161"/>
        <v>1.5905249502976238</v>
      </c>
      <c r="P581" s="101">
        <f t="shared" si="162"/>
        <v>1.5905249502976238</v>
      </c>
      <c r="Q581" s="101">
        <f t="shared" si="163"/>
        <v>0.3782814102291886</v>
      </c>
      <c r="R581" s="101">
        <f t="shared" si="164"/>
        <v>1.8530979260268237E-2</v>
      </c>
      <c r="S581" s="101">
        <f t="shared" si="171"/>
        <v>621.70587876788647</v>
      </c>
      <c r="T581" s="101">
        <f t="shared" si="168"/>
        <v>132.20611609908221</v>
      </c>
      <c r="U581" s="101">
        <f t="shared" si="168"/>
        <v>32.509318680122391</v>
      </c>
      <c r="V581" s="33">
        <f t="shared" si="169"/>
        <v>1000.0000000000064</v>
      </c>
      <c r="W581" s="105">
        <f t="shared" si="165"/>
        <v>84145.348173205814</v>
      </c>
      <c r="X581" s="112">
        <f t="shared" si="170"/>
        <v>835.28456522080171</v>
      </c>
      <c r="Y581" s="32">
        <f t="shared" si="166"/>
        <v>466.04111976386008</v>
      </c>
    </row>
    <row r="582" spans="1:25" x14ac:dyDescent="0.25">
      <c r="A582" s="4">
        <v>576</v>
      </c>
      <c r="C582" s="110">
        <f>IF(male=0,VLOOKUP(((A580:A1414/'Life tables'!$I$2)*2)+age,lifetable,13,1),IF(male=1,VLOOKUP(((A580:A1414/'Life tables'!$I$2)*2)+age,lifetable,10,1),"error"))</f>
        <v>4.9660762749414999E-4</v>
      </c>
      <c r="F582" s="101">
        <f t="shared" si="153"/>
        <v>143.78303642385538</v>
      </c>
      <c r="G582" s="101">
        <f t="shared" si="154"/>
        <v>14.443306930092147</v>
      </c>
      <c r="H582" s="101">
        <f t="shared" si="155"/>
        <v>0.3305173347608506</v>
      </c>
      <c r="I582" s="101">
        <f t="shared" si="156"/>
        <v>0.3305173347608506</v>
      </c>
      <c r="J582" s="101">
        <f t="shared" si="157"/>
        <v>7.8904683839001219E-2</v>
      </c>
      <c r="K582" s="101">
        <f t="shared" si="158"/>
        <v>2.5908963126215837E-2</v>
      </c>
      <c r="L582" s="101">
        <f t="shared" si="167"/>
        <v>128.57388117727632</v>
      </c>
      <c r="M582" s="101">
        <f t="shared" si="159"/>
        <v>691.50152879694633</v>
      </c>
      <c r="N582" s="101">
        <f t="shared" si="160"/>
        <v>66.59309544936616</v>
      </c>
      <c r="O582" s="101">
        <f t="shared" si="161"/>
        <v>1.589570285657846</v>
      </c>
      <c r="P582" s="101">
        <f t="shared" si="162"/>
        <v>1.589570285657846</v>
      </c>
      <c r="Q582" s="101">
        <f t="shared" si="163"/>
        <v>0.37805435821962186</v>
      </c>
      <c r="R582" s="101">
        <f t="shared" si="164"/>
        <v>1.8519856598761465E-2</v>
      </c>
      <c r="S582" s="101">
        <f t="shared" si="171"/>
        <v>621.33271856144609</v>
      </c>
      <c r="T582" s="101">
        <f t="shared" si="168"/>
        <v>132.66307514114084</v>
      </c>
      <c r="U582" s="101">
        <f t="shared" si="168"/>
        <v>32.553747499847368</v>
      </c>
      <c r="V582" s="33">
        <f t="shared" si="169"/>
        <v>1000.0000000000065</v>
      </c>
      <c r="W582" s="105">
        <f t="shared" si="165"/>
        <v>83998.184907660223</v>
      </c>
      <c r="X582" s="112">
        <f t="shared" si="170"/>
        <v>834.78317735901817</v>
      </c>
      <c r="Y582" s="32">
        <f t="shared" si="166"/>
        <v>465.62742645372288</v>
      </c>
    </row>
    <row r="583" spans="1:25" x14ac:dyDescent="0.25">
      <c r="A583" s="4">
        <v>577</v>
      </c>
      <c r="C583" s="110">
        <f>IF(male=0,VLOOKUP(((A581:A1415/'Life tables'!$I$2)*2)+age,lifetable,13,1),IF(male=1,VLOOKUP(((A581:A1415/'Life tables'!$I$2)*2)+age,lifetable,10,1),"error"))</f>
        <v>4.9660762749414999E-4</v>
      </c>
      <c r="F583" s="101">
        <f t="shared" ref="F583:F646" si="172">E582*(1-pCAUC)+(L582+G582+H582+I582 )*(1-pCAUC)+(S582+N582+O582+P582)*(pUAUC)</f>
        <v>143.69670235663037</v>
      </c>
      <c r="G583" s="101">
        <f t="shared" ref="G583:G646" si="173">F583*(rrOSEX)</f>
        <v>14.434634492352147</v>
      </c>
      <c r="H583" s="101">
        <f t="shared" ref="H583:H646" si="174">F583*rrEREX</f>
        <v>0.33031887667769982</v>
      </c>
      <c r="I583" s="101">
        <f t="shared" ref="I583:I646" si="175">F583*rrHOEX</f>
        <v>0.33031887667769982</v>
      </c>
      <c r="J583" s="101">
        <f t="shared" ref="J583:J646" si="176">F583*mr + G583*mr + H583*mr+I583*mr</f>
        <v>7.885730577237833E-2</v>
      </c>
      <c r="K583" s="101">
        <f t="shared" ref="K583:K646" si="177">F583*amr + I583*amrHOEX</f>
        <v>2.5893406171654969E-2</v>
      </c>
      <c r="L583" s="101">
        <f t="shared" si="167"/>
        <v>128.49667939897878</v>
      </c>
      <c r="M583" s="101">
        <f t="shared" ref="M583:M646" si="178">E582*pCAUC+(L582+G582+H582+I582)*pCAUC+(S582+N582+O582+P582)*(1-pUAUC)</f>
        <v>691.08647500238771</v>
      </c>
      <c r="N583" s="101">
        <f t="shared" ref="N583:N646" si="179">M583*rrOSEXc</f>
        <v>66.553124869683202</v>
      </c>
      <c r="O583" s="101">
        <f t="shared" ref="O583:O646" si="180">M583*rrEREXc</f>
        <v>1.588616192063971</v>
      </c>
      <c r="P583" s="101">
        <f t="shared" ref="P583:P646" si="181">M583*rrHOEXc</f>
        <v>1.588616192063971</v>
      </c>
      <c r="Q583" s="101">
        <f t="shared" ref="Q583:Q646" si="182">M583*mr + N583*mr + O583*mr+P583*mr</f>
        <v>0.37782744202436569</v>
      </c>
      <c r="R583" s="101">
        <f t="shared" ref="R583:R646" si="183">M583*amrc + P583*amrHOEX</f>
        <v>1.8508740590429031E-2</v>
      </c>
      <c r="S583" s="101">
        <f t="shared" si="171"/>
        <v>620.95978156596175</v>
      </c>
      <c r="T583" s="101">
        <f t="shared" si="168"/>
        <v>133.11975988893758</v>
      </c>
      <c r="U583" s="101">
        <f t="shared" si="168"/>
        <v>32.59814964660945</v>
      </c>
      <c r="V583" s="33">
        <f t="shared" si="169"/>
        <v>1000.0000000000063</v>
      </c>
      <c r="W583" s="105">
        <f t="shared" ref="W583:W646" si="184">(cNES*L583+(cNES+cOSEX)*G583+(cNES+cEREX)*H583+(cNES+cHOEX)*I583 +(cNES+ cNES)*S583 +(cNES+ cOSEX)*N583 + (cNES+cEREX)*O583 + (cNES+cHOEX)*P583)/(1+cDR)^A$5:A$65536</f>
        <v>83851.278982483622</v>
      </c>
      <c r="X583" s="112">
        <f t="shared" si="170"/>
        <v>834.2820904644592</v>
      </c>
      <c r="Y583" s="32">
        <f t="shared" ref="Y583:Y646" si="185">(uNES*L583+ uOCEX*G583+uEREX*H583+uHOEX*I583+uNES*S583+ uOCEX*N583+uEREX*O583+uHOEX*P583)/(1+oDR)^A$5:A$65536</f>
        <v>465.21410037106079</v>
      </c>
    </row>
    <row r="584" spans="1:25" x14ac:dyDescent="0.25">
      <c r="A584" s="4">
        <v>578</v>
      </c>
      <c r="C584" s="110">
        <f>IF(male=0,VLOOKUP(((A582:A1416/'Life tables'!$I$2)*2)+age,lifetable,13,1),IF(male=1,VLOOKUP(((A582:A1416/'Life tables'!$I$2)*2)+age,lifetable,10,1),"error"))</f>
        <v>4.9660762749414999E-4</v>
      </c>
      <c r="F584" s="101">
        <f t="shared" si="172"/>
        <v>143.61042095954133</v>
      </c>
      <c r="G584" s="101">
        <f t="shared" si="173"/>
        <v>14.425967345437538</v>
      </c>
      <c r="H584" s="101">
        <f t="shared" si="174"/>
        <v>0.33012053966858806</v>
      </c>
      <c r="I584" s="101">
        <f t="shared" si="175"/>
        <v>0.33012053966858806</v>
      </c>
      <c r="J584" s="101">
        <f t="shared" si="176"/>
        <v>7.8809956609863591E-2</v>
      </c>
      <c r="K584" s="101">
        <f t="shared" si="177"/>
        <v>2.5877858707981517E-2</v>
      </c>
      <c r="L584" s="101">
        <f t="shared" ref="L584:L647" si="186">F584-SUM(G584:K584)</f>
        <v>128.41952471944876</v>
      </c>
      <c r="M584" s="101">
        <f t="shared" si="178"/>
        <v>690.6716695049181</v>
      </c>
      <c r="N584" s="101">
        <f t="shared" si="179"/>
        <v>66.513178201547888</v>
      </c>
      <c r="O584" s="101">
        <f t="shared" si="180"/>
        <v>1.5876626692362596</v>
      </c>
      <c r="P584" s="101">
        <f t="shared" si="181"/>
        <v>1.5876626692362596</v>
      </c>
      <c r="Q584" s="101">
        <f t="shared" si="182"/>
        <v>0.37760066157688826</v>
      </c>
      <c r="R584" s="101">
        <f t="shared" si="183"/>
        <v>1.8497631232011733E-2</v>
      </c>
      <c r="S584" s="101">
        <f t="shared" si="171"/>
        <v>620.58706767208878</v>
      </c>
      <c r="T584" s="101">
        <f t="shared" ref="T584:U647" si="187">J584+Q584+T583</f>
        <v>133.57617050712435</v>
      </c>
      <c r="U584" s="101">
        <f t="shared" si="187"/>
        <v>32.642525136549445</v>
      </c>
      <c r="V584" s="33">
        <f t="shared" ref="V584:V647" si="188">SUM(G584:I584,L584,N584,O584,P584,S584,T584,U584)</f>
        <v>1000.0000000000064</v>
      </c>
      <c r="W584" s="105">
        <f t="shared" si="184"/>
        <v>83704.629948847345</v>
      </c>
      <c r="X584" s="112">
        <f t="shared" ref="X584:X647" si="189">(L584+G584+H584+I584+N584+O584+P584+S584)</f>
        <v>833.78130435633261</v>
      </c>
      <c r="Y584" s="32">
        <f t="shared" si="185"/>
        <v>464.80114118982851</v>
      </c>
    </row>
    <row r="585" spans="1:25" x14ac:dyDescent="0.25">
      <c r="A585" s="4">
        <v>579</v>
      </c>
      <c r="C585" s="110">
        <f>IF(male=0,VLOOKUP(((A583:A1417/'Life tables'!$I$2)*2)+age,lifetable,13,1),IF(male=1,VLOOKUP(((A583:A1417/'Life tables'!$I$2)*2)+age,lifetable,10,1),"error"))</f>
        <v>4.9660762749414999E-4</v>
      </c>
      <c r="F585" s="101">
        <f t="shared" si="172"/>
        <v>143.52419217428005</v>
      </c>
      <c r="G585" s="101">
        <f t="shared" si="173"/>
        <v>14.417305483491138</v>
      </c>
      <c r="H585" s="101">
        <f t="shared" si="174"/>
        <v>0.32992232359948093</v>
      </c>
      <c r="I585" s="101">
        <f t="shared" si="175"/>
        <v>0.32992232359948093</v>
      </c>
      <c r="J585" s="101">
        <f t="shared" si="176"/>
        <v>7.8762636319458776E-2</v>
      </c>
      <c r="K585" s="101">
        <f t="shared" si="177"/>
        <v>2.5862320724688644E-2</v>
      </c>
      <c r="L585" s="101">
        <f t="shared" si="186"/>
        <v>128.34241708654579</v>
      </c>
      <c r="M585" s="101">
        <f t="shared" si="178"/>
        <v>690.25711218205254</v>
      </c>
      <c r="N585" s="101">
        <f t="shared" si="179"/>
        <v>66.473255433164638</v>
      </c>
      <c r="O585" s="101">
        <f t="shared" si="180"/>
        <v>1.586709716893153</v>
      </c>
      <c r="P585" s="101">
        <f t="shared" si="181"/>
        <v>1.586709716893153</v>
      </c>
      <c r="Q585" s="101">
        <f t="shared" si="182"/>
        <v>0.37737401681022542</v>
      </c>
      <c r="R585" s="101">
        <f t="shared" si="183"/>
        <v>1.8486528520229167E-2</v>
      </c>
      <c r="S585" s="101">
        <f t="shared" si="171"/>
        <v>620.21457676977116</v>
      </c>
      <c r="T585" s="101">
        <f t="shared" si="187"/>
        <v>134.03230716025402</v>
      </c>
      <c r="U585" s="101">
        <f t="shared" si="187"/>
        <v>32.686873985794364</v>
      </c>
      <c r="V585" s="33">
        <f t="shared" si="188"/>
        <v>1000.0000000000064</v>
      </c>
      <c r="W585" s="105">
        <f t="shared" si="184"/>
        <v>83558.237358666869</v>
      </c>
      <c r="X585" s="112">
        <f t="shared" si="189"/>
        <v>833.28081885395795</v>
      </c>
      <c r="Y585" s="32">
        <f t="shared" si="185"/>
        <v>464.38854858427197</v>
      </c>
    </row>
    <row r="586" spans="1:25" x14ac:dyDescent="0.25">
      <c r="A586" s="4">
        <v>580</v>
      </c>
      <c r="C586" s="110">
        <f>IF(male=0,VLOOKUP(((A584:A1418/'Life tables'!$I$2)*2)+age,lifetable,13,1),IF(male=1,VLOOKUP(((A584:A1418/'Life tables'!$I$2)*2)+age,lifetable,10,1),"error"))</f>
        <v>4.9660762749414999E-4</v>
      </c>
      <c r="F586" s="101">
        <f t="shared" si="172"/>
        <v>143.43801594341429</v>
      </c>
      <c r="G586" s="101">
        <f t="shared" si="173"/>
        <v>14.408648900743756</v>
      </c>
      <c r="H586" s="101">
        <f t="shared" si="174"/>
        <v>0.32972422833835763</v>
      </c>
      <c r="I586" s="101">
        <f t="shared" si="175"/>
        <v>0.32972422833835763</v>
      </c>
      <c r="J586" s="101">
        <f t="shared" si="176"/>
        <v>7.8715344869646472E-2</v>
      </c>
      <c r="K586" s="101">
        <f t="shared" si="177"/>
        <v>2.5846792211427345E-2</v>
      </c>
      <c r="L586" s="101">
        <f t="shared" si="186"/>
        <v>128.26535644891274</v>
      </c>
      <c r="M586" s="101">
        <f t="shared" si="178"/>
        <v>689.8428029105437</v>
      </c>
      <c r="N586" s="101">
        <f t="shared" si="179"/>
        <v>66.433356552664492</v>
      </c>
      <c r="O586" s="101">
        <f t="shared" si="180"/>
        <v>1.5857573347513394</v>
      </c>
      <c r="P586" s="101">
        <f t="shared" si="181"/>
        <v>1.5857573347513394</v>
      </c>
      <c r="Q586" s="101">
        <f t="shared" si="182"/>
        <v>0.3771475076569959</v>
      </c>
      <c r="R586" s="101">
        <f t="shared" si="183"/>
        <v>1.8475432451780512E-2</v>
      </c>
      <c r="S586" s="101">
        <f t="shared" si="171"/>
        <v>619.84230874826778</v>
      </c>
      <c r="T586" s="101">
        <f t="shared" si="187"/>
        <v>134.48817001278067</v>
      </c>
      <c r="U586" s="101">
        <f t="shared" si="187"/>
        <v>32.731196210457568</v>
      </c>
      <c r="V586" s="33">
        <f t="shared" si="188"/>
        <v>1000.0000000000064</v>
      </c>
      <c r="W586" s="105">
        <f t="shared" si="184"/>
        <v>83412.100764602408</v>
      </c>
      <c r="X586" s="112">
        <f t="shared" si="189"/>
        <v>832.78063377676824</v>
      </c>
      <c r="Y586" s="32">
        <f t="shared" si="185"/>
        <v>463.97632222892889</v>
      </c>
    </row>
    <row r="587" spans="1:25" x14ac:dyDescent="0.25">
      <c r="A587" s="4">
        <v>581</v>
      </c>
      <c r="C587" s="110">
        <f>IF(male=0,VLOOKUP(((A585:A1419/'Life tables'!$I$2)*2)+age,lifetable,13,1),IF(male=1,VLOOKUP(((A585:A1419/'Life tables'!$I$2)*2)+age,lifetable,10,1),"error"))</f>
        <v>4.9660762749414999E-4</v>
      </c>
      <c r="F587" s="101">
        <f t="shared" si="172"/>
        <v>143.35189221036072</v>
      </c>
      <c r="G587" s="101">
        <f t="shared" si="173"/>
        <v>14.399997591511484</v>
      </c>
      <c r="H587" s="101">
        <f t="shared" si="174"/>
        <v>0.32952625375514877</v>
      </c>
      <c r="I587" s="101">
        <f t="shared" si="175"/>
        <v>0.32952625375514877</v>
      </c>
      <c r="J587" s="101">
        <f t="shared" si="176"/>
        <v>7.8668082229375103E-2</v>
      </c>
      <c r="K587" s="101">
        <f t="shared" si="177"/>
        <v>2.5831273158001607E-2</v>
      </c>
      <c r="L587" s="101">
        <f t="shared" si="186"/>
        <v>128.18834275595157</v>
      </c>
      <c r="M587" s="101">
        <f t="shared" si="178"/>
        <v>689.42874156640744</v>
      </c>
      <c r="N587" s="101">
        <f t="shared" si="179"/>
        <v>66.393481548107474</v>
      </c>
      <c r="O587" s="101">
        <f t="shared" si="180"/>
        <v>1.5848055225258137</v>
      </c>
      <c r="P587" s="101">
        <f t="shared" si="181"/>
        <v>1.5848055225258137</v>
      </c>
      <c r="Q587" s="101">
        <f t="shared" si="182"/>
        <v>0.37692113404941568</v>
      </c>
      <c r="R587" s="101">
        <f t="shared" si="183"/>
        <v>1.8464343023345212E-2</v>
      </c>
      <c r="S587" s="101">
        <f t="shared" si="171"/>
        <v>619.47026349617556</v>
      </c>
      <c r="T587" s="101">
        <f t="shared" si="187"/>
        <v>134.94375922905945</v>
      </c>
      <c r="U587" s="101">
        <f t="shared" si="187"/>
        <v>32.775491826638913</v>
      </c>
      <c r="V587" s="33">
        <f t="shared" si="188"/>
        <v>1000.0000000000064</v>
      </c>
      <c r="W587" s="105">
        <f t="shared" si="184"/>
        <v>83266.219720058536</v>
      </c>
      <c r="X587" s="112">
        <f t="shared" si="189"/>
        <v>832.28074894430802</v>
      </c>
      <c r="Y587" s="32">
        <f t="shared" si="185"/>
        <v>463.56446179862712</v>
      </c>
    </row>
    <row r="588" spans="1:25" x14ac:dyDescent="0.25">
      <c r="A588" s="4">
        <v>582</v>
      </c>
      <c r="C588" s="110">
        <f>IF(male=0,VLOOKUP(((A586:A1420/'Life tables'!$I$2)*2)+age,lifetable,13,1),IF(male=1,VLOOKUP(((A586:A1420/'Life tables'!$I$2)*2)+age,lifetable,10,1),"error"))</f>
        <v>4.9660762749414999E-4</v>
      </c>
      <c r="F588" s="101">
        <f t="shared" si="172"/>
        <v>143.26582091935865</v>
      </c>
      <c r="G588" s="101">
        <f t="shared" si="173"/>
        <v>14.391351550193038</v>
      </c>
      <c r="H588" s="101">
        <f t="shared" si="174"/>
        <v>0.32932839972167594</v>
      </c>
      <c r="I588" s="101">
        <f t="shared" si="175"/>
        <v>0.32932839972167594</v>
      </c>
      <c r="J588" s="101">
        <f t="shared" si="176"/>
        <v>7.8620848368044546E-2</v>
      </c>
      <c r="K588" s="101">
        <f t="shared" si="177"/>
        <v>2.581576355436363E-2</v>
      </c>
      <c r="L588" s="101">
        <f t="shared" si="186"/>
        <v>128.11137595779985</v>
      </c>
      <c r="M588" s="101">
        <f t="shared" si="178"/>
        <v>689.01492802494943</v>
      </c>
      <c r="N588" s="101">
        <f t="shared" si="179"/>
        <v>66.353630407485269</v>
      </c>
      <c r="O588" s="101">
        <f t="shared" si="180"/>
        <v>1.5838542799299384</v>
      </c>
      <c r="P588" s="101">
        <f t="shared" si="181"/>
        <v>1.5838542799299384</v>
      </c>
      <c r="Q588" s="101">
        <f t="shared" si="182"/>
        <v>0.37669489591931249</v>
      </c>
      <c r="R588" s="101">
        <f t="shared" si="183"/>
        <v>1.8453260231583692E-2</v>
      </c>
      <c r="S588" s="101">
        <f t="shared" si="171"/>
        <v>619.09844090145339</v>
      </c>
      <c r="T588" s="101">
        <f t="shared" si="187"/>
        <v>135.39907497334681</v>
      </c>
      <c r="U588" s="101">
        <f t="shared" si="187"/>
        <v>32.819760850424856</v>
      </c>
      <c r="V588" s="33">
        <f t="shared" si="188"/>
        <v>1000.0000000000065</v>
      </c>
      <c r="W588" s="105">
        <f t="shared" si="184"/>
        <v>83120.59377918423</v>
      </c>
      <c r="X588" s="112">
        <f t="shared" si="189"/>
        <v>831.78116417623482</v>
      </c>
      <c r="Y588" s="32">
        <f t="shared" si="185"/>
        <v>463.152966968486</v>
      </c>
    </row>
    <row r="589" spans="1:25" x14ac:dyDescent="0.25">
      <c r="A589" s="4">
        <v>583</v>
      </c>
      <c r="C589" s="110">
        <f>IF(male=0,VLOOKUP(((A587:A1421/'Life tables'!$I$2)*2)+age,lifetable,13,1),IF(male=1,VLOOKUP(((A587:A1421/'Life tables'!$I$2)*2)+age,lifetable,10,1),"error"))</f>
        <v>4.9660762749414999E-4</v>
      </c>
      <c r="F589" s="101">
        <f t="shared" si="172"/>
        <v>143.17980201544486</v>
      </c>
      <c r="G589" s="101">
        <f t="shared" si="173"/>
        <v>14.382710771267252</v>
      </c>
      <c r="H589" s="101">
        <f t="shared" si="174"/>
        <v>0.32913066611159397</v>
      </c>
      <c r="I589" s="101">
        <f t="shared" si="175"/>
        <v>0.32913066611159397</v>
      </c>
      <c r="J589" s="101">
        <f t="shared" si="176"/>
        <v>7.8573643255492279E-2</v>
      </c>
      <c r="K589" s="101">
        <f t="shared" si="177"/>
        <v>2.5800263390609333E-2</v>
      </c>
      <c r="L589" s="101">
        <f t="shared" si="186"/>
        <v>128.03445600530833</v>
      </c>
      <c r="M589" s="101">
        <f t="shared" si="178"/>
        <v>688.60136216079002</v>
      </c>
      <c r="N589" s="101">
        <f t="shared" si="179"/>
        <v>66.313803118723555</v>
      </c>
      <c r="O589" s="101">
        <f t="shared" si="180"/>
        <v>1.5829036066755007</v>
      </c>
      <c r="P589" s="101">
        <f t="shared" si="181"/>
        <v>1.5829036066755007</v>
      </c>
      <c r="Q589" s="101">
        <f t="shared" si="182"/>
        <v>0.37646879319813947</v>
      </c>
      <c r="R589" s="101">
        <f t="shared" si="183"/>
        <v>1.8442184073138031E-2</v>
      </c>
      <c r="S589" s="101">
        <f t="shared" si="171"/>
        <v>618.72684085144419</v>
      </c>
      <c r="T589" s="101">
        <f t="shared" si="187"/>
        <v>135.85411740980044</v>
      </c>
      <c r="U589" s="101">
        <f t="shared" si="187"/>
        <v>32.864003297888601</v>
      </c>
      <c r="V589" s="33">
        <f t="shared" si="188"/>
        <v>1000.0000000000066</v>
      </c>
      <c r="W589" s="105">
        <f t="shared" si="184"/>
        <v>82975.222496872695</v>
      </c>
      <c r="X589" s="112">
        <f t="shared" si="189"/>
        <v>831.28187929231751</v>
      </c>
      <c r="Y589" s="32">
        <f t="shared" si="185"/>
        <v>462.74183741391454</v>
      </c>
    </row>
    <row r="590" spans="1:25" x14ac:dyDescent="0.25">
      <c r="A590" s="4">
        <v>584</v>
      </c>
      <c r="C590" s="110">
        <f>IF(male=0,VLOOKUP(((A588:A1422/'Life tables'!$I$2)*2)+age,lifetable,13,1),IF(male=1,VLOOKUP(((A588:A1422/'Life tables'!$I$2)*2)+age,lifetable,10,1),"error"))</f>
        <v>4.9660762749414999E-4</v>
      </c>
      <c r="F590" s="101">
        <f t="shared" si="172"/>
        <v>143.09383544442895</v>
      </c>
      <c r="G590" s="101">
        <f t="shared" si="173"/>
        <v>14.374075249290582</v>
      </c>
      <c r="H590" s="101">
        <f t="shared" si="174"/>
        <v>0.32893305280033414</v>
      </c>
      <c r="I590" s="101">
        <f t="shared" si="175"/>
        <v>0.32893305280033414</v>
      </c>
      <c r="J590" s="101">
        <f t="shared" si="176"/>
        <v>7.8526466861979921E-2</v>
      </c>
      <c r="K590" s="101">
        <f t="shared" si="177"/>
        <v>2.5784772656973882E-2</v>
      </c>
      <c r="L590" s="101">
        <f t="shared" si="186"/>
        <v>127.95758285001874</v>
      </c>
      <c r="M590" s="101">
        <f t="shared" si="178"/>
        <v>688.18804384788837</v>
      </c>
      <c r="N590" s="101">
        <f t="shared" si="179"/>
        <v>66.273999669684301</v>
      </c>
      <c r="O590" s="101">
        <f t="shared" si="180"/>
        <v>1.5819535024727669</v>
      </c>
      <c r="P590" s="101">
        <f t="shared" si="181"/>
        <v>1.5819535024727669</v>
      </c>
      <c r="Q590" s="101">
        <f t="shared" si="182"/>
        <v>0.37624282581698809</v>
      </c>
      <c r="R590" s="101">
        <f t="shared" si="183"/>
        <v>1.8431114544632577E-2</v>
      </c>
      <c r="S590" s="101">
        <f t="shared" si="171"/>
        <v>618.35546323289691</v>
      </c>
      <c r="T590" s="101">
        <f t="shared" si="187"/>
        <v>136.30888670247941</v>
      </c>
      <c r="U590" s="101">
        <f t="shared" si="187"/>
        <v>32.908219185090211</v>
      </c>
      <c r="V590" s="33">
        <f t="shared" si="188"/>
        <v>1000.0000000000063</v>
      </c>
      <c r="W590" s="105">
        <f t="shared" si="184"/>
        <v>82830.10542876141</v>
      </c>
      <c r="X590" s="112">
        <f t="shared" si="189"/>
        <v>830.78289411243668</v>
      </c>
      <c r="Y590" s="32">
        <f t="shared" si="185"/>
        <v>462.33107281061109</v>
      </c>
    </row>
    <row r="591" spans="1:25" x14ac:dyDescent="0.25">
      <c r="A591" s="4">
        <v>585</v>
      </c>
      <c r="C591" s="110">
        <f>IF(male=0,VLOOKUP(((A589:A1423/'Life tables'!$I$2)*2)+age,lifetable,13,1),IF(male=1,VLOOKUP(((A589:A1423/'Life tables'!$I$2)*2)+age,lifetable,10,1),"error"))</f>
        <v>4.9660762749414999E-4</v>
      </c>
      <c r="F591" s="101">
        <f t="shared" si="172"/>
        <v>143.00792115286959</v>
      </c>
      <c r="G591" s="101">
        <f t="shared" si="173"/>
        <v>14.365444978894738</v>
      </c>
      <c r="H591" s="101">
        <f t="shared" si="174"/>
        <v>0.32873555966504969</v>
      </c>
      <c r="I591" s="101">
        <f t="shared" si="175"/>
        <v>0.32873555966504969</v>
      </c>
      <c r="J591" s="101">
        <f t="shared" si="176"/>
        <v>7.8479319158180155E-2</v>
      </c>
      <c r="K591" s="101">
        <f t="shared" si="177"/>
        <v>2.5769291343827421E-2</v>
      </c>
      <c r="L591" s="101">
        <f t="shared" si="186"/>
        <v>127.88075644414273</v>
      </c>
      <c r="M591" s="101">
        <f t="shared" si="178"/>
        <v>687.77497295956698</v>
      </c>
      <c r="N591" s="101">
        <f t="shared" si="179"/>
        <v>66.234220048168211</v>
      </c>
      <c r="O591" s="101">
        <f t="shared" si="180"/>
        <v>1.5810039670305414</v>
      </c>
      <c r="P591" s="101">
        <f t="shared" si="181"/>
        <v>1.5810039670305414</v>
      </c>
      <c r="Q591" s="101">
        <f t="shared" si="182"/>
        <v>0.3760169937066018</v>
      </c>
      <c r="R591" s="101">
        <f t="shared" si="183"/>
        <v>1.8420051642674656E-2</v>
      </c>
      <c r="S591" s="101">
        <f t="shared" si="171"/>
        <v>617.98430793198838</v>
      </c>
      <c r="T591" s="101">
        <f t="shared" si="187"/>
        <v>136.7633830153442</v>
      </c>
      <c r="U591" s="101">
        <f t="shared" si="187"/>
        <v>32.95240852807671</v>
      </c>
      <c r="V591" s="33">
        <f t="shared" si="188"/>
        <v>1000.0000000000061</v>
      </c>
      <c r="W591" s="105">
        <f t="shared" si="184"/>
        <v>82685.242131231687</v>
      </c>
      <c r="X591" s="112">
        <f t="shared" si="189"/>
        <v>830.28420845658525</v>
      </c>
      <c r="Y591" s="32">
        <f t="shared" si="185"/>
        <v>461.92067283456475</v>
      </c>
    </row>
    <row r="592" spans="1:25" x14ac:dyDescent="0.25">
      <c r="A592" s="4">
        <v>586</v>
      </c>
      <c r="C592" s="110">
        <f>IF(male=0,VLOOKUP(((A590:A1424/'Life tables'!$I$2)*2)+age,lifetable,13,1),IF(male=1,VLOOKUP(((A590:A1424/'Life tables'!$I$2)*2)+age,lifetable,10,1),"error"))</f>
        <v>4.9660762749414999E-4</v>
      </c>
      <c r="F592" s="101">
        <f t="shared" si="172"/>
        <v>142.92205908805155</v>
      </c>
      <c r="G592" s="101">
        <f t="shared" si="173"/>
        <v>14.356819954784367</v>
      </c>
      <c r="H592" s="101">
        <f t="shared" si="174"/>
        <v>0.32853818658456291</v>
      </c>
      <c r="I592" s="101">
        <f t="shared" si="175"/>
        <v>0.32853818658456291</v>
      </c>
      <c r="J592" s="101">
        <f t="shared" si="176"/>
        <v>7.8432200115164108E-2</v>
      </c>
      <c r="K592" s="101">
        <f t="shared" si="177"/>
        <v>2.5753819441670944E-2</v>
      </c>
      <c r="L592" s="101">
        <f t="shared" si="186"/>
        <v>127.80397674054123</v>
      </c>
      <c r="M592" s="101">
        <f t="shared" si="178"/>
        <v>687.36214936853389</v>
      </c>
      <c r="N592" s="101">
        <f t="shared" si="179"/>
        <v>66.194464241916791</v>
      </c>
      <c r="O592" s="101">
        <f t="shared" si="180"/>
        <v>1.5800550000562146</v>
      </c>
      <c r="P592" s="101">
        <f t="shared" si="181"/>
        <v>1.5800550000562146</v>
      </c>
      <c r="Q592" s="101">
        <f t="shared" si="182"/>
        <v>0.37579129679738821</v>
      </c>
      <c r="R592" s="101">
        <f t="shared" si="183"/>
        <v>1.8408995363855114E-2</v>
      </c>
      <c r="S592" s="101">
        <f t="shared" si="171"/>
        <v>617.6133748343434</v>
      </c>
      <c r="T592" s="101">
        <f t="shared" si="187"/>
        <v>137.21760651225676</v>
      </c>
      <c r="U592" s="101">
        <f t="shared" si="187"/>
        <v>32.996571342882234</v>
      </c>
      <c r="V592" s="33">
        <f t="shared" si="188"/>
        <v>1000.0000000000064</v>
      </c>
      <c r="W592" s="105">
        <f t="shared" si="184"/>
        <v>82540.632161408736</v>
      </c>
      <c r="X592" s="112">
        <f t="shared" si="189"/>
        <v>829.78582214486732</v>
      </c>
      <c r="Y592" s="32">
        <f t="shared" si="185"/>
        <v>461.5106371620538</v>
      </c>
    </row>
    <row r="593" spans="1:25" x14ac:dyDescent="0.25">
      <c r="A593" s="4">
        <v>587</v>
      </c>
      <c r="C593" s="110">
        <f>IF(male=0,VLOOKUP(((A591:A1425/'Life tables'!$I$2)*2)+age,lifetable,13,1),IF(male=1,VLOOKUP(((A591:A1425/'Life tables'!$I$2)*2)+age,lifetable,10,1),"error"))</f>
        <v>4.9660762749414999E-4</v>
      </c>
      <c r="F593" s="101">
        <f t="shared" si="172"/>
        <v>142.83624919796327</v>
      </c>
      <c r="G593" s="101">
        <f t="shared" si="173"/>
        <v>14.348200171734792</v>
      </c>
      <c r="H593" s="101">
        <f t="shared" si="174"/>
        <v>0.32834093343931359</v>
      </c>
      <c r="I593" s="101">
        <f t="shared" si="175"/>
        <v>0.32834093343931359</v>
      </c>
      <c r="J593" s="101">
        <f t="shared" si="176"/>
        <v>7.8385109704389125E-2</v>
      </c>
      <c r="K593" s="101">
        <f t="shared" si="177"/>
        <v>2.5738356941132232E-2</v>
      </c>
      <c r="L593" s="101">
        <f t="shared" si="186"/>
        <v>127.72724369270433</v>
      </c>
      <c r="M593" s="101">
        <f t="shared" si="178"/>
        <v>686.94957294690391</v>
      </c>
      <c r="N593" s="101">
        <f t="shared" si="179"/>
        <v>66.1547322386144</v>
      </c>
      <c r="O593" s="101">
        <f t="shared" si="180"/>
        <v>1.5791066012558141</v>
      </c>
      <c r="P593" s="101">
        <f t="shared" si="181"/>
        <v>1.5791066012558141</v>
      </c>
      <c r="Q593" s="101">
        <f t="shared" si="182"/>
        <v>0.37556573501943058</v>
      </c>
      <c r="R593" s="101">
        <f t="shared" si="183"/>
        <v>1.8397945704748918E-2</v>
      </c>
      <c r="S593" s="101">
        <f t="shared" si="171"/>
        <v>617.24266382505368</v>
      </c>
      <c r="T593" s="101">
        <f t="shared" si="187"/>
        <v>137.67155735698057</v>
      </c>
      <c r="U593" s="101">
        <f t="shared" si="187"/>
        <v>33.040707645528116</v>
      </c>
      <c r="V593" s="33">
        <f t="shared" si="188"/>
        <v>1000.000000000006</v>
      </c>
      <c r="W593" s="105">
        <f t="shared" si="184"/>
        <v>82396.275077161103</v>
      </c>
      <c r="X593" s="112">
        <f t="shared" si="189"/>
        <v>829.28773499749741</v>
      </c>
      <c r="Y593" s="32">
        <f t="shared" si="185"/>
        <v>461.10096546964462</v>
      </c>
    </row>
    <row r="594" spans="1:25" x14ac:dyDescent="0.25">
      <c r="A594" s="4">
        <v>588</v>
      </c>
      <c r="C594" s="110">
        <f>IF(male=0,VLOOKUP(((A592:A1426/'Life tables'!$I$2)*2)+age,lifetable,13,1),IF(male=1,VLOOKUP(((A592:A1426/'Life tables'!$I$2)*2)+age,lifetable,10,1),"error"))</f>
        <v>4.9660762749414999E-4</v>
      </c>
      <c r="F594" s="101">
        <f t="shared" si="172"/>
        <v>142.75049143127544</v>
      </c>
      <c r="G594" s="101">
        <f t="shared" si="173"/>
        <v>14.339585624589883</v>
      </c>
      <c r="H594" s="101">
        <f t="shared" si="174"/>
        <v>0.32814380011130995</v>
      </c>
      <c r="I594" s="101">
        <f t="shared" si="175"/>
        <v>0.32814380011130995</v>
      </c>
      <c r="J594" s="101">
        <f t="shared" si="176"/>
        <v>7.8338047897686877E-2</v>
      </c>
      <c r="K594" s="101">
        <f t="shared" si="177"/>
        <v>2.5722903832962003E-2</v>
      </c>
      <c r="L594" s="101">
        <f t="shared" si="186"/>
        <v>127.65055725473229</v>
      </c>
      <c r="M594" s="101">
        <f t="shared" si="178"/>
        <v>686.53724356622206</v>
      </c>
      <c r="N594" s="101">
        <f t="shared" si="179"/>
        <v>66.115024025890577</v>
      </c>
      <c r="O594" s="101">
        <f t="shared" si="180"/>
        <v>1.5781587703340578</v>
      </c>
      <c r="P594" s="101">
        <f t="shared" si="181"/>
        <v>1.5781587703340578</v>
      </c>
      <c r="Q594" s="101">
        <f t="shared" si="182"/>
        <v>0.37534030830250059</v>
      </c>
      <c r="R594" s="101">
        <f t="shared" si="183"/>
        <v>1.8386902661915783E-2</v>
      </c>
      <c r="S594" s="101">
        <f t="shared" si="171"/>
        <v>616.872174788699</v>
      </c>
      <c r="T594" s="101">
        <f t="shared" si="187"/>
        <v>138.12523571318076</v>
      </c>
      <c r="U594" s="101">
        <f t="shared" si="187"/>
        <v>33.084817452022996</v>
      </c>
      <c r="V594" s="33">
        <f t="shared" si="188"/>
        <v>1000.0000000000063</v>
      </c>
      <c r="W594" s="105">
        <f t="shared" si="184"/>
        <v>82252.17043710062</v>
      </c>
      <c r="X594" s="112">
        <f t="shared" si="189"/>
        <v>828.78994683480255</v>
      </c>
      <c r="Y594" s="32">
        <f t="shared" si="185"/>
        <v>460.6916574341933</v>
      </c>
    </row>
    <row r="595" spans="1:25" x14ac:dyDescent="0.25">
      <c r="A595" s="4">
        <v>589</v>
      </c>
      <c r="C595" s="110">
        <f>IF(male=0,VLOOKUP(((A593:A1427/'Life tables'!$I$2)*2)+age,lifetable,13,1),IF(male=1,VLOOKUP(((A593:A1427/'Life tables'!$I$2)*2)+age,lifetable,10,1),"error"))</f>
        <v>4.9660762749414999E-4</v>
      </c>
      <c r="F595" s="101">
        <f t="shared" si="172"/>
        <v>142.66478573731993</v>
      </c>
      <c r="G595" s="101">
        <f t="shared" si="173"/>
        <v>14.330976308259917</v>
      </c>
      <c r="H595" s="101">
        <f t="shared" si="174"/>
        <v>0.32794678648407999</v>
      </c>
      <c r="I595" s="101">
        <f t="shared" si="175"/>
        <v>0.32794678648407999</v>
      </c>
      <c r="J595" s="101">
        <f t="shared" si="176"/>
        <v>7.8291014667251912E-2</v>
      </c>
      <c r="K595" s="101">
        <f t="shared" si="177"/>
        <v>2.5707460108030124E-2</v>
      </c>
      <c r="L595" s="101">
        <f t="shared" si="186"/>
        <v>127.57391738131658</v>
      </c>
      <c r="M595" s="101">
        <f t="shared" si="178"/>
        <v>686.12516109748253</v>
      </c>
      <c r="N595" s="101">
        <f t="shared" si="179"/>
        <v>66.07533959132175</v>
      </c>
      <c r="O595" s="101">
        <f t="shared" si="180"/>
        <v>1.5772115069943968</v>
      </c>
      <c r="P595" s="101">
        <f t="shared" si="181"/>
        <v>1.5772115069943968</v>
      </c>
      <c r="Q595" s="101">
        <f t="shared" si="182"/>
        <v>0.37511501657606883</v>
      </c>
      <c r="R595" s="101">
        <f t="shared" si="183"/>
        <v>1.837586623190066E-2</v>
      </c>
      <c r="S595" s="101">
        <f t="shared" si="171"/>
        <v>616.50190760936403</v>
      </c>
      <c r="T595" s="101">
        <f t="shared" si="187"/>
        <v>138.57864174442409</v>
      </c>
      <c r="U595" s="101">
        <f t="shared" si="187"/>
        <v>33.128900778362926</v>
      </c>
      <c r="V595" s="33">
        <f t="shared" si="188"/>
        <v>1000.0000000000061</v>
      </c>
      <c r="W595" s="105">
        <f t="shared" si="184"/>
        <v>82108.317800581994</v>
      </c>
      <c r="X595" s="112">
        <f t="shared" si="189"/>
        <v>828.29245747721916</v>
      </c>
      <c r="Y595" s="32">
        <f t="shared" si="185"/>
        <v>460.28271273284344</v>
      </c>
    </row>
    <row r="596" spans="1:25" x14ac:dyDescent="0.25">
      <c r="A596" s="4">
        <v>590</v>
      </c>
      <c r="C596" s="110">
        <f>IF(male=0,VLOOKUP(((A594:A1428/'Life tables'!$I$2)*2)+age,lifetable,13,1),IF(male=1,VLOOKUP(((A594:A1428/'Life tables'!$I$2)*2)+age,lifetable,10,1),"error"))</f>
        <v>4.9660762749414999E-4</v>
      </c>
      <c r="F596" s="101">
        <f t="shared" si="172"/>
        <v>142.57913206606958</v>
      </c>
      <c r="G596" s="101">
        <f t="shared" si="173"/>
        <v>14.322372217719561</v>
      </c>
      <c r="H596" s="101">
        <f t="shared" si="174"/>
        <v>0.32774989244262509</v>
      </c>
      <c r="I596" s="101">
        <f t="shared" si="175"/>
        <v>0.32774989244262509</v>
      </c>
      <c r="J596" s="101">
        <f t="shared" si="176"/>
        <v>7.8244009985630525E-2</v>
      </c>
      <c r="K596" s="101">
        <f t="shared" si="177"/>
        <v>2.5692025757321962E-2</v>
      </c>
      <c r="L596" s="101">
        <f t="shared" si="186"/>
        <v>127.49732402772182</v>
      </c>
      <c r="M596" s="101">
        <f t="shared" si="178"/>
        <v>685.71332541114964</v>
      </c>
      <c r="N596" s="101">
        <f t="shared" si="179"/>
        <v>66.035678922433377</v>
      </c>
      <c r="O596" s="101">
        <f t="shared" si="180"/>
        <v>1.5762648109390645</v>
      </c>
      <c r="P596" s="101">
        <f t="shared" si="181"/>
        <v>1.5762648109390645</v>
      </c>
      <c r="Q596" s="101">
        <f t="shared" si="182"/>
        <v>0.37488985976931605</v>
      </c>
      <c r="R596" s="101">
        <f t="shared" si="183"/>
        <v>1.8364836411234306E-2</v>
      </c>
      <c r="S596" s="101">
        <f t="shared" si="171"/>
        <v>616.13186217065754</v>
      </c>
      <c r="T596" s="101">
        <f t="shared" si="187"/>
        <v>139.03177561417903</v>
      </c>
      <c r="U596" s="101">
        <f t="shared" si="187"/>
        <v>33.172957640531479</v>
      </c>
      <c r="V596" s="33">
        <f t="shared" si="188"/>
        <v>1000.0000000000061</v>
      </c>
      <c r="W596" s="105">
        <f t="shared" si="184"/>
        <v>81964.716727702515</v>
      </c>
      <c r="X596" s="112">
        <f t="shared" si="189"/>
        <v>827.79526674529563</v>
      </c>
      <c r="Y596" s="32">
        <f t="shared" si="185"/>
        <v>459.87413104302721</v>
      </c>
    </row>
    <row r="597" spans="1:25" x14ac:dyDescent="0.25">
      <c r="A597" s="4">
        <v>591</v>
      </c>
      <c r="C597" s="110">
        <f>IF(male=0,VLOOKUP(((A595:A1429/'Life tables'!$I$2)*2)+age,lifetable,13,1),IF(male=1,VLOOKUP(((A595:A1429/'Life tables'!$I$2)*2)+age,lifetable,10,1),"error"))</f>
        <v>4.9660762749414999E-4</v>
      </c>
      <c r="F597" s="101">
        <f t="shared" si="172"/>
        <v>142.4935303681186</v>
      </c>
      <c r="G597" s="101">
        <f t="shared" si="173"/>
        <v>14.313773348005903</v>
      </c>
      <c r="H597" s="101">
        <f t="shared" si="174"/>
        <v>0.3275531178733751</v>
      </c>
      <c r="I597" s="101">
        <f t="shared" si="175"/>
        <v>0.3275531178733751</v>
      </c>
      <c r="J597" s="101">
        <f t="shared" si="176"/>
        <v>7.8197033825710013E-2</v>
      </c>
      <c r="K597" s="101">
        <f t="shared" si="177"/>
        <v>2.5676600771934847E-2</v>
      </c>
      <c r="L597" s="101">
        <f t="shared" si="186"/>
        <v>127.4207771497683</v>
      </c>
      <c r="M597" s="101">
        <f t="shared" si="178"/>
        <v>685.30173637717701</v>
      </c>
      <c r="N597" s="101">
        <f t="shared" si="179"/>
        <v>65.9960420067017</v>
      </c>
      <c r="O597" s="101">
        <f t="shared" si="180"/>
        <v>1.5753186818691205</v>
      </c>
      <c r="P597" s="101">
        <f t="shared" si="181"/>
        <v>1.5753186818691205</v>
      </c>
      <c r="Q597" s="101">
        <f t="shared" si="182"/>
        <v>0.37466483781114424</v>
      </c>
      <c r="R597" s="101">
        <f t="shared" si="183"/>
        <v>1.8353813196433817E-2</v>
      </c>
      <c r="S597" s="101">
        <f t="shared" si="171"/>
        <v>615.76203835572949</v>
      </c>
      <c r="T597" s="101">
        <f t="shared" si="187"/>
        <v>139.48463748581588</v>
      </c>
      <c r="U597" s="101">
        <f t="shared" si="187"/>
        <v>33.216988054499851</v>
      </c>
      <c r="V597" s="33">
        <f t="shared" si="188"/>
        <v>1000.0000000000063</v>
      </c>
      <c r="W597" s="105">
        <f t="shared" si="184"/>
        <v>81821.366779301476</v>
      </c>
      <c r="X597" s="112">
        <f t="shared" si="189"/>
        <v>827.29837445969042</v>
      </c>
      <c r="Y597" s="32">
        <f t="shared" si="185"/>
        <v>459.46591204246454</v>
      </c>
    </row>
    <row r="598" spans="1:25" x14ac:dyDescent="0.25">
      <c r="A598" s="4">
        <v>592</v>
      </c>
      <c r="C598" s="110">
        <f>IF(male=0,VLOOKUP(((A596:A1430/'Life tables'!$I$2)*2)+age,lifetable,13,1),IF(male=1,VLOOKUP(((A596:A1430/'Life tables'!$I$2)*2)+age,lifetable,10,1),"error"))</f>
        <v>4.9660762749414999E-4</v>
      </c>
      <c r="F598" s="101">
        <f t="shared" si="172"/>
        <v>142.40798059466357</v>
      </c>
      <c r="G598" s="101">
        <f t="shared" si="173"/>
        <v>14.305179694216534</v>
      </c>
      <c r="H598" s="101">
        <f t="shared" si="174"/>
        <v>0.32735646266414442</v>
      </c>
      <c r="I598" s="101">
        <f t="shared" si="175"/>
        <v>0.32735646266414442</v>
      </c>
      <c r="J598" s="101">
        <f t="shared" si="176"/>
        <v>7.8150086160708232E-2</v>
      </c>
      <c r="K598" s="101">
        <f t="shared" si="177"/>
        <v>2.5661185143074645E-2</v>
      </c>
      <c r="L598" s="101">
        <f t="shared" si="186"/>
        <v>127.34427670381496</v>
      </c>
      <c r="M598" s="101">
        <f t="shared" si="178"/>
        <v>684.89039386502691</v>
      </c>
      <c r="N598" s="101">
        <f t="shared" si="179"/>
        <v>65.956428831555655</v>
      </c>
      <c r="O598" s="101">
        <f t="shared" si="180"/>
        <v>1.5743731194844948</v>
      </c>
      <c r="P598" s="101">
        <f t="shared" si="181"/>
        <v>1.5743731194844948</v>
      </c>
      <c r="Q598" s="101">
        <f t="shared" si="182"/>
        <v>0.37443995063018609</v>
      </c>
      <c r="R598" s="101">
        <f t="shared" si="183"/>
        <v>1.8342796584003115E-2</v>
      </c>
      <c r="S598" s="101">
        <f t="shared" si="171"/>
        <v>615.39243604728813</v>
      </c>
      <c r="T598" s="101">
        <f t="shared" si="187"/>
        <v>139.93722752260678</v>
      </c>
      <c r="U598" s="101">
        <f t="shared" si="187"/>
        <v>33.260992036226931</v>
      </c>
      <c r="V598" s="33">
        <f t="shared" si="188"/>
        <v>1000.0000000000064</v>
      </c>
      <c r="W598" s="105">
        <f t="shared" si="184"/>
        <v>81678.267516960113</v>
      </c>
      <c r="X598" s="112">
        <f t="shared" si="189"/>
        <v>826.80178044117258</v>
      </c>
      <c r="Y598" s="32">
        <f t="shared" si="185"/>
        <v>459.05805540916282</v>
      </c>
    </row>
    <row r="599" spans="1:25" x14ac:dyDescent="0.25">
      <c r="A599" s="4">
        <v>593</v>
      </c>
      <c r="C599" s="110">
        <f>IF(male=0,VLOOKUP(((A597:A1431/'Life tables'!$I$2)*2)+age,lifetable,13,1),IF(male=1,VLOOKUP(((A597:A1431/'Life tables'!$I$2)*2)+age,lifetable,10,1),"error"))</f>
        <v>4.9660762749414999E-4</v>
      </c>
      <c r="F599" s="101">
        <f t="shared" si="172"/>
        <v>142.32248269748499</v>
      </c>
      <c r="G599" s="101">
        <f t="shared" si="173"/>
        <v>14.296591251507705</v>
      </c>
      <c r="H599" s="101">
        <f t="shared" si="174"/>
        <v>0.32715992670408989</v>
      </c>
      <c r="I599" s="101">
        <f t="shared" si="175"/>
        <v>0.32715992670408989</v>
      </c>
      <c r="J599" s="101">
        <f t="shared" si="176"/>
        <v>7.8103166964163459E-2</v>
      </c>
      <c r="K599" s="101">
        <f t="shared" si="177"/>
        <v>2.5645778862052462E-2</v>
      </c>
      <c r="L599" s="101">
        <f t="shared" si="186"/>
        <v>127.26782264674289</v>
      </c>
      <c r="M599" s="101">
        <f t="shared" si="178"/>
        <v>684.47929774368743</v>
      </c>
      <c r="N599" s="101">
        <f t="shared" si="179"/>
        <v>65.916839384378505</v>
      </c>
      <c r="O599" s="101">
        <f t="shared" si="180"/>
        <v>1.5734281234840268</v>
      </c>
      <c r="P599" s="101">
        <f t="shared" si="181"/>
        <v>1.5734281234840268</v>
      </c>
      <c r="Q599" s="101">
        <f t="shared" si="182"/>
        <v>0.37421519815481563</v>
      </c>
      <c r="R599" s="101">
        <f t="shared" si="183"/>
        <v>1.8331786570433425E-2</v>
      </c>
      <c r="S599" s="101">
        <f t="shared" si="171"/>
        <v>615.02305512761563</v>
      </c>
      <c r="T599" s="101">
        <f t="shared" si="187"/>
        <v>140.38954588772575</v>
      </c>
      <c r="U599" s="101">
        <f t="shared" si="187"/>
        <v>33.304969601659415</v>
      </c>
      <c r="V599" s="33">
        <f t="shared" si="188"/>
        <v>1000.0000000000061</v>
      </c>
      <c r="W599" s="105">
        <f t="shared" si="184"/>
        <v>81535.41850300075</v>
      </c>
      <c r="X599" s="112">
        <f t="shared" si="189"/>
        <v>826.305484510621</v>
      </c>
      <c r="Y599" s="32">
        <f t="shared" si="185"/>
        <v>458.65056082141615</v>
      </c>
    </row>
    <row r="600" spans="1:25" x14ac:dyDescent="0.25">
      <c r="A600" s="4">
        <v>594</v>
      </c>
      <c r="C600" s="110">
        <f>IF(male=0,VLOOKUP(((A598:A1432/'Life tables'!$I$2)*2)+age,lifetable,13,1),IF(male=1,VLOOKUP(((A598:A1432/'Life tables'!$I$2)*2)+age,lifetable,10,1),"error"))</f>
        <v>4.9660762749414999E-4</v>
      </c>
      <c r="F600" s="101">
        <f t="shared" si="172"/>
        <v>142.23703662892962</v>
      </c>
      <c r="G600" s="101">
        <f t="shared" si="173"/>
        <v>14.288008015092549</v>
      </c>
      <c r="H600" s="101">
        <f t="shared" si="174"/>
        <v>0.32696350988366985</v>
      </c>
      <c r="I600" s="101">
        <f t="shared" si="175"/>
        <v>0.32696350988366985</v>
      </c>
      <c r="J600" s="101">
        <f t="shared" si="176"/>
        <v>7.8056276209924724E-2</v>
      </c>
      <c r="K600" s="101">
        <f t="shared" si="177"/>
        <v>2.5630381920281425E-2</v>
      </c>
      <c r="L600" s="101">
        <f t="shared" si="186"/>
        <v>127.19141493593952</v>
      </c>
      <c r="M600" s="101">
        <f t="shared" si="178"/>
        <v>684.06844788169144</v>
      </c>
      <c r="N600" s="101">
        <f t="shared" si="179"/>
        <v>65.877273652509686</v>
      </c>
      <c r="O600" s="101">
        <f t="shared" si="180"/>
        <v>1.5724836935655109</v>
      </c>
      <c r="P600" s="101">
        <f t="shared" si="181"/>
        <v>1.5724836935655109</v>
      </c>
      <c r="Q600" s="101">
        <f t="shared" si="182"/>
        <v>0.37399058031315768</v>
      </c>
      <c r="R600" s="101">
        <f t="shared" si="183"/>
        <v>1.8320783152203788E-2</v>
      </c>
      <c r="S600" s="101">
        <f t="shared" si="171"/>
        <v>614.65389547858535</v>
      </c>
      <c r="T600" s="101">
        <f t="shared" si="187"/>
        <v>140.84159274424883</v>
      </c>
      <c r="U600" s="101">
        <f t="shared" si="187"/>
        <v>33.348920766731901</v>
      </c>
      <c r="V600" s="33">
        <f t="shared" si="188"/>
        <v>1000.0000000000061</v>
      </c>
      <c r="W600" s="105">
        <f t="shared" si="184"/>
        <v>81392.819300486779</v>
      </c>
      <c r="X600" s="112">
        <f t="shared" si="189"/>
        <v>825.80948648902552</v>
      </c>
      <c r="Y600" s="32">
        <f t="shared" si="185"/>
        <v>458.24342795780638</v>
      </c>
    </row>
    <row r="601" spans="1:25" x14ac:dyDescent="0.25">
      <c r="A601" s="4">
        <v>595</v>
      </c>
      <c r="C601" s="110">
        <f>IF(male=0,VLOOKUP(((A599:A1433/'Life tables'!$I$2)*2)+age,lifetable,13,1),IF(male=1,VLOOKUP(((A599:A1433/'Life tables'!$I$2)*2)+age,lifetable,10,1),"error"))</f>
        <v>4.9660762749414999E-4</v>
      </c>
      <c r="F601" s="101">
        <f t="shared" si="172"/>
        <v>142.15164234189294</v>
      </c>
      <c r="G601" s="101">
        <f t="shared" si="173"/>
        <v>14.279429980239319</v>
      </c>
      <c r="H601" s="101">
        <f t="shared" si="174"/>
        <v>0.32676721209460408</v>
      </c>
      <c r="I601" s="101">
        <f t="shared" si="175"/>
        <v>0.32676721209460408</v>
      </c>
      <c r="J601" s="101">
        <f t="shared" si="176"/>
        <v>7.8009413872142261E-2</v>
      </c>
      <c r="K601" s="101">
        <f t="shared" si="177"/>
        <v>2.5614994309273539E-2</v>
      </c>
      <c r="L601" s="101">
        <f t="shared" si="186"/>
        <v>127.11505352928299</v>
      </c>
      <c r="M601" s="101">
        <f t="shared" si="178"/>
        <v>683.65784414713244</v>
      </c>
      <c r="N601" s="101">
        <f t="shared" si="179"/>
        <v>65.837731623246313</v>
      </c>
      <c r="O601" s="101">
        <f t="shared" si="180"/>
        <v>1.5715398294257299</v>
      </c>
      <c r="P601" s="101">
        <f t="shared" si="181"/>
        <v>1.5715398294257299</v>
      </c>
      <c r="Q601" s="101">
        <f t="shared" si="182"/>
        <v>0.3737660970330971</v>
      </c>
      <c r="R601" s="101">
        <f t="shared" si="183"/>
        <v>1.8309786325781469E-2</v>
      </c>
      <c r="S601" s="101">
        <f t="shared" si="171"/>
        <v>614.2849569816758</v>
      </c>
      <c r="T601" s="101">
        <f t="shared" si="187"/>
        <v>141.29336825515406</v>
      </c>
      <c r="U601" s="101">
        <f t="shared" si="187"/>
        <v>33.392845547366953</v>
      </c>
      <c r="V601" s="33">
        <f t="shared" si="188"/>
        <v>1000.0000000000061</v>
      </c>
      <c r="W601" s="105">
        <f t="shared" si="184"/>
        <v>81250.469473221689</v>
      </c>
      <c r="X601" s="112">
        <f t="shared" si="189"/>
        <v>825.31378619748511</v>
      </c>
      <c r="Y601" s="32">
        <f t="shared" si="185"/>
        <v>457.83665649720126</v>
      </c>
    </row>
    <row r="602" spans="1:25" x14ac:dyDescent="0.25">
      <c r="A602" s="4">
        <v>596</v>
      </c>
      <c r="C602" s="110">
        <f>IF(male=0,VLOOKUP(((A600:A1434/'Life tables'!$I$2)*2)+age,lifetable,13,1),IF(male=1,VLOOKUP(((A600:A1434/'Life tables'!$I$2)*2)+age,lifetable,10,1),"error"))</f>
        <v>4.9660762749414999E-4</v>
      </c>
      <c r="F602" s="101">
        <f t="shared" si="172"/>
        <v>142.0662997898026</v>
      </c>
      <c r="G602" s="101">
        <f t="shared" si="173"/>
        <v>14.270857142269724</v>
      </c>
      <c r="H602" s="101">
        <f t="shared" si="174"/>
        <v>0.32657103322983566</v>
      </c>
      <c r="I602" s="101">
        <f t="shared" si="175"/>
        <v>0.32657103322983566</v>
      </c>
      <c r="J602" s="101">
        <f t="shared" si="176"/>
        <v>7.7962579925258207E-2</v>
      </c>
      <c r="K602" s="101">
        <f t="shared" si="177"/>
        <v>2.559961602063671E-2</v>
      </c>
      <c r="L602" s="101">
        <f t="shared" si="186"/>
        <v>127.0387383851273</v>
      </c>
      <c r="M602" s="101">
        <f t="shared" si="178"/>
        <v>683.24748640768257</v>
      </c>
      <c r="N602" s="101">
        <f t="shared" si="179"/>
        <v>65.79821328384493</v>
      </c>
      <c r="O602" s="101">
        <f t="shared" si="180"/>
        <v>1.570596530760499</v>
      </c>
      <c r="P602" s="101">
        <f t="shared" si="181"/>
        <v>1.570596530760499</v>
      </c>
      <c r="Q602" s="101">
        <f t="shared" si="182"/>
        <v>0.37354174824228809</v>
      </c>
      <c r="R602" s="101">
        <f t="shared" si="183"/>
        <v>1.829879608762245E-2</v>
      </c>
      <c r="S602" s="101">
        <f t="shared" si="171"/>
        <v>613.9162395179867</v>
      </c>
      <c r="T602" s="101">
        <f t="shared" si="187"/>
        <v>141.74487258332161</v>
      </c>
      <c r="U602" s="101">
        <f t="shared" si="187"/>
        <v>33.436743959475216</v>
      </c>
      <c r="V602" s="33">
        <f t="shared" si="188"/>
        <v>1000.0000000000061</v>
      </c>
      <c r="W602" s="105">
        <f t="shared" si="184"/>
        <v>81108.368585749064</v>
      </c>
      <c r="X602" s="112">
        <f t="shared" si="189"/>
        <v>824.81838345720939</v>
      </c>
      <c r="Y602" s="32">
        <f t="shared" si="185"/>
        <v>457.43024611875484</v>
      </c>
    </row>
    <row r="603" spans="1:25" x14ac:dyDescent="0.25">
      <c r="A603" s="4">
        <v>597</v>
      </c>
      <c r="C603" s="110">
        <f>IF(male=0,VLOOKUP(((A601:A1435/'Life tables'!$I$2)*2)+age,lifetable,13,1),IF(male=1,VLOOKUP(((A601:A1435/'Life tables'!$I$2)*2)+age,lifetable,10,1),"error"))</f>
        <v>4.9660762749414999E-4</v>
      </c>
      <c r="F603" s="101">
        <f t="shared" si="172"/>
        <v>141.98100892660224</v>
      </c>
      <c r="G603" s="101">
        <f t="shared" si="173"/>
        <v>14.262289496557306</v>
      </c>
      <c r="H603" s="101">
        <f t="shared" si="174"/>
        <v>0.32637497318349379</v>
      </c>
      <c r="I603" s="101">
        <f t="shared" si="175"/>
        <v>0.32637497318349379</v>
      </c>
      <c r="J603" s="101">
        <f t="shared" si="176"/>
        <v>7.7915774343997976E-2</v>
      </c>
      <c r="K603" s="101">
        <f t="shared" si="177"/>
        <v>2.5584247046071817E-2</v>
      </c>
      <c r="L603" s="101">
        <f t="shared" si="186"/>
        <v>126.96246946228788</v>
      </c>
      <c r="M603" s="101">
        <f t="shared" si="178"/>
        <v>682.83737453060724</v>
      </c>
      <c r="N603" s="101">
        <f t="shared" si="179"/>
        <v>65.758718621522917</v>
      </c>
      <c r="O603" s="101">
        <f t="shared" si="180"/>
        <v>1.5696537972646982</v>
      </c>
      <c r="P603" s="101">
        <f t="shared" si="181"/>
        <v>1.5696537972646982</v>
      </c>
      <c r="Q603" s="101">
        <f t="shared" si="182"/>
        <v>0.37331753386816263</v>
      </c>
      <c r="R603" s="101">
        <f t="shared" si="183"/>
        <v>1.8287812434171824E-2</v>
      </c>
      <c r="S603" s="101">
        <f t="shared" si="171"/>
        <v>613.54774296825258</v>
      </c>
      <c r="T603" s="101">
        <f t="shared" si="187"/>
        <v>142.19610589153376</v>
      </c>
      <c r="U603" s="101">
        <f t="shared" si="187"/>
        <v>33.480616018955459</v>
      </c>
      <c r="V603" s="33">
        <f t="shared" si="188"/>
        <v>1000.0000000000064</v>
      </c>
      <c r="W603" s="105">
        <f t="shared" si="184"/>
        <v>80966.516203351581</v>
      </c>
      <c r="X603" s="112">
        <f t="shared" si="189"/>
        <v>824.32327808951709</v>
      </c>
      <c r="Y603" s="32">
        <f t="shared" si="185"/>
        <v>457.02419650190762</v>
      </c>
    </row>
    <row r="604" spans="1:25" x14ac:dyDescent="0.25">
      <c r="A604" s="4">
        <v>598</v>
      </c>
      <c r="C604" s="110">
        <f>IF(male=0,VLOOKUP(((A602:A1436/'Life tables'!$I$2)*2)+age,lifetable,13,1),IF(male=1,VLOOKUP(((A602:A1436/'Life tables'!$I$2)*2)+age,lifetable,10,1),"error"))</f>
        <v>4.9660762749414999E-4</v>
      </c>
      <c r="F604" s="101">
        <f t="shared" si="172"/>
        <v>141.89576970673579</v>
      </c>
      <c r="G604" s="101">
        <f t="shared" si="173"/>
        <v>14.253727038525863</v>
      </c>
      <c r="H604" s="101">
        <f t="shared" si="174"/>
        <v>0.32617903185085767</v>
      </c>
      <c r="I604" s="101">
        <f t="shared" si="175"/>
        <v>0.32617903185085767</v>
      </c>
      <c r="J604" s="101">
        <f t="shared" si="176"/>
        <v>7.7868997103361468E-2</v>
      </c>
      <c r="K604" s="101">
        <f t="shared" si="177"/>
        <v>2.5568887377369894E-2</v>
      </c>
      <c r="L604" s="101">
        <f t="shared" si="186"/>
        <v>126.88624672002749</v>
      </c>
      <c r="M604" s="101">
        <f t="shared" si="178"/>
        <v>682.42750838278118</v>
      </c>
      <c r="N604" s="101">
        <f t="shared" si="179"/>
        <v>65.719247623460006</v>
      </c>
      <c r="O604" s="101">
        <f t="shared" si="180"/>
        <v>1.5687116286323095</v>
      </c>
      <c r="P604" s="101">
        <f t="shared" si="181"/>
        <v>1.5687116286323095</v>
      </c>
      <c r="Q604" s="101">
        <f t="shared" si="182"/>
        <v>0.37309345383793935</v>
      </c>
      <c r="R604" s="101">
        <f t="shared" si="183"/>
        <v>1.8276835361864217E-2</v>
      </c>
      <c r="S604" s="101">
        <f t="shared" si="171"/>
        <v>613.17946721285671</v>
      </c>
      <c r="T604" s="101">
        <f t="shared" si="187"/>
        <v>142.64706834247505</v>
      </c>
      <c r="U604" s="101">
        <f t="shared" si="187"/>
        <v>33.524461741694694</v>
      </c>
      <c r="V604" s="33">
        <f t="shared" si="188"/>
        <v>1000.0000000000061</v>
      </c>
      <c r="W604" s="105">
        <f t="shared" si="184"/>
        <v>80824.91189205063</v>
      </c>
      <c r="X604" s="112">
        <f t="shared" si="189"/>
        <v>823.82846991583642</v>
      </c>
      <c r="Y604" s="32">
        <f t="shared" si="185"/>
        <v>456.61850732638521</v>
      </c>
    </row>
    <row r="605" spans="1:25" x14ac:dyDescent="0.25">
      <c r="A605" s="4">
        <v>599</v>
      </c>
      <c r="C605" s="110">
        <f>IF(male=0,VLOOKUP(((A603:A1437/'Life tables'!$I$2)*2)+age,lifetable,13,1),IF(male=1,VLOOKUP(((A603:A1437/'Life tables'!$I$2)*2)+age,lifetable,10,1),"error"))</f>
        <v>4.9660762749414999E-4</v>
      </c>
      <c r="F605" s="101">
        <f t="shared" si="172"/>
        <v>141.81058208513218</v>
      </c>
      <c r="G605" s="101">
        <f t="shared" si="173"/>
        <v>14.24516976364791</v>
      </c>
      <c r="H605" s="101">
        <f t="shared" si="174"/>
        <v>0.32598320912832152</v>
      </c>
      <c r="I605" s="101">
        <f t="shared" si="175"/>
        <v>0.32598320912832152</v>
      </c>
      <c r="J605" s="101">
        <f t="shared" si="176"/>
        <v>7.7822248178614786E-2</v>
      </c>
      <c r="K605" s="101">
        <f t="shared" si="177"/>
        <v>2.555353700640936E-2</v>
      </c>
      <c r="L605" s="101">
        <f t="shared" si="186"/>
        <v>126.8100701180426</v>
      </c>
      <c r="M605" s="101">
        <f t="shared" si="178"/>
        <v>682.01788783070413</v>
      </c>
      <c r="N605" s="101">
        <f t="shared" si="179"/>
        <v>65.679800276799838</v>
      </c>
      <c r="O605" s="101">
        <f t="shared" si="180"/>
        <v>1.5677700245564528</v>
      </c>
      <c r="P605" s="101">
        <f t="shared" si="181"/>
        <v>1.5677700245564528</v>
      </c>
      <c r="Q605" s="101">
        <f t="shared" si="182"/>
        <v>0.37286950807863134</v>
      </c>
      <c r="R605" s="101">
        <f t="shared" si="183"/>
        <v>1.8265864867124212E-2</v>
      </c>
      <c r="S605" s="101">
        <f t="shared" si="171"/>
        <v>612.8114121318456</v>
      </c>
      <c r="T605" s="101">
        <f t="shared" si="187"/>
        <v>143.09776009873229</v>
      </c>
      <c r="U605" s="101">
        <f t="shared" si="187"/>
        <v>33.568281143568228</v>
      </c>
      <c r="V605" s="33">
        <f t="shared" si="188"/>
        <v>1000.000000000006</v>
      </c>
      <c r="W605" s="105">
        <f t="shared" si="184"/>
        <v>80683.555218605848</v>
      </c>
      <c r="X605" s="112">
        <f t="shared" si="189"/>
        <v>823.33395875770543</v>
      </c>
      <c r="Y605" s="32">
        <f t="shared" si="185"/>
        <v>456.213178272199</v>
      </c>
    </row>
    <row r="606" spans="1:25" x14ac:dyDescent="0.25">
      <c r="A606" s="4">
        <v>600</v>
      </c>
      <c r="C606" s="110">
        <f>IF(male=0,VLOOKUP(((A604:A1438/'Life tables'!$I$2)*2)+age,lifetable,13,1),IF(male=1,VLOOKUP(((A604:A1438/'Life tables'!$I$2)*2)+age,lifetable,10,1),"error"))</f>
        <v>5.3177043245611344E-4</v>
      </c>
      <c r="F606" s="101">
        <f t="shared" si="172"/>
        <v>141.72544601719073</v>
      </c>
      <c r="G606" s="101">
        <f t="shared" si="173"/>
        <v>14.23661766744322</v>
      </c>
      <c r="H606" s="101">
        <f t="shared" si="174"/>
        <v>0.32578750491336061</v>
      </c>
      <c r="I606" s="101">
        <f t="shared" si="175"/>
        <v>0.32578750491336061</v>
      </c>
      <c r="J606" s="101">
        <f t="shared" si="176"/>
        <v>8.3282502377078862E-2</v>
      </c>
      <c r="K606" s="101">
        <f t="shared" si="177"/>
        <v>2.5538195925153405E-2</v>
      </c>
      <c r="L606" s="101">
        <f t="shared" si="186"/>
        <v>126.72843264161855</v>
      </c>
      <c r="M606" s="101">
        <f t="shared" si="178"/>
        <v>681.60851274051481</v>
      </c>
      <c r="N606" s="101">
        <f t="shared" si="179"/>
        <v>65.640376568651277</v>
      </c>
      <c r="O606" s="101">
        <f t="shared" si="180"/>
        <v>1.5668289847294179</v>
      </c>
      <c r="P606" s="101">
        <f t="shared" si="181"/>
        <v>1.5668289847294179</v>
      </c>
      <c r="Q606" s="101">
        <f t="shared" si="182"/>
        <v>0.39903125167387438</v>
      </c>
      <c r="R606" s="101">
        <f t="shared" si="183"/>
        <v>1.8254900946366726E-2</v>
      </c>
      <c r="S606" s="101">
        <f t="shared" si="171"/>
        <v>612.41719204978449</v>
      </c>
      <c r="T606" s="101">
        <f t="shared" si="187"/>
        <v>143.58007385278324</v>
      </c>
      <c r="U606" s="101">
        <f t="shared" si="187"/>
        <v>33.612074240439746</v>
      </c>
      <c r="V606" s="33">
        <f t="shared" si="188"/>
        <v>1000.000000000006</v>
      </c>
      <c r="W606" s="105">
        <f t="shared" si="184"/>
        <v>80539.743733456824</v>
      </c>
      <c r="X606" s="112">
        <f t="shared" si="189"/>
        <v>822.80785190678307</v>
      </c>
      <c r="Y606" s="32">
        <f t="shared" si="185"/>
        <v>455.790254842146</v>
      </c>
    </row>
    <row r="607" spans="1:25" x14ac:dyDescent="0.25">
      <c r="A607" s="4">
        <v>601</v>
      </c>
      <c r="C607" s="110">
        <f>IF(male=0,VLOOKUP(((A605:A1439/'Life tables'!$I$2)*2)+age,lifetable,13,1),IF(male=1,VLOOKUP(((A605:A1439/'Life tables'!$I$2)*2)+age,lifetable,10,1),"error"))</f>
        <v>5.3177043245611344E-4</v>
      </c>
      <c r="F607" s="101">
        <f t="shared" si="172"/>
        <v>141.63485432691408</v>
      </c>
      <c r="G607" s="101">
        <f t="shared" si="173"/>
        <v>14.227517542556967</v>
      </c>
      <c r="H607" s="101">
        <f t="shared" si="174"/>
        <v>0.32557925973530316</v>
      </c>
      <c r="I607" s="101">
        <f t="shared" si="175"/>
        <v>0.32557925973530316</v>
      </c>
      <c r="J607" s="101">
        <f t="shared" si="176"/>
        <v>8.3229267740160554E-2</v>
      </c>
      <c r="K607" s="101">
        <f t="shared" si="177"/>
        <v>2.5521871768832211E-2</v>
      </c>
      <c r="L607" s="101">
        <f t="shared" si="186"/>
        <v>126.64742712537752</v>
      </c>
      <c r="M607" s="101">
        <f t="shared" si="178"/>
        <v>681.17299757986916</v>
      </c>
      <c r="N607" s="101">
        <f t="shared" si="179"/>
        <v>65.598435515081988</v>
      </c>
      <c r="O607" s="101">
        <f t="shared" si="180"/>
        <v>1.5658278561281258</v>
      </c>
      <c r="P607" s="101">
        <f t="shared" si="181"/>
        <v>1.5658278561281258</v>
      </c>
      <c r="Q607" s="101">
        <f t="shared" si="182"/>
        <v>0.39877628983518398</v>
      </c>
      <c r="R607" s="101">
        <f t="shared" si="183"/>
        <v>1.8243236939873817E-2</v>
      </c>
      <c r="S607" s="101">
        <f t="shared" si="171"/>
        <v>612.02588682575583</v>
      </c>
      <c r="T607" s="101">
        <f t="shared" si="187"/>
        <v>144.06207941035859</v>
      </c>
      <c r="U607" s="101">
        <f t="shared" si="187"/>
        <v>33.655839349148451</v>
      </c>
      <c r="V607" s="33">
        <f t="shared" si="188"/>
        <v>1000.0000000000061</v>
      </c>
      <c r="W607" s="105">
        <f t="shared" si="184"/>
        <v>80395.770290690794</v>
      </c>
      <c r="X607" s="112">
        <f t="shared" si="189"/>
        <v>822.28208124049911</v>
      </c>
      <c r="Y607" s="32">
        <f t="shared" si="185"/>
        <v>455.36801067714731</v>
      </c>
    </row>
    <row r="608" spans="1:25" x14ac:dyDescent="0.25">
      <c r="A608" s="4">
        <v>602</v>
      </c>
      <c r="C608" s="110">
        <f>IF(male=0,VLOOKUP(((A606:A1440/'Life tables'!$I$2)*2)+age,lifetable,13,1),IF(male=1,VLOOKUP(((A606:A1440/'Life tables'!$I$2)*2)+age,lifetable,10,1),"error"))</f>
        <v>5.3177043245611344E-4</v>
      </c>
      <c r="F608" s="101">
        <f t="shared" si="172"/>
        <v>141.54432146322105</v>
      </c>
      <c r="G608" s="101">
        <f t="shared" si="173"/>
        <v>14.218423326924158</v>
      </c>
      <c r="H608" s="101">
        <f t="shared" si="174"/>
        <v>0.32537114978325099</v>
      </c>
      <c r="I608" s="101">
        <f t="shared" si="175"/>
        <v>0.32537114978325099</v>
      </c>
      <c r="J608" s="101">
        <f t="shared" si="176"/>
        <v>8.3176067671664689E-2</v>
      </c>
      <c r="K608" s="101">
        <f t="shared" si="177"/>
        <v>2.550555821275861E-2</v>
      </c>
      <c r="L608" s="101">
        <f t="shared" si="186"/>
        <v>126.56647421084597</v>
      </c>
      <c r="M608" s="101">
        <f t="shared" si="178"/>
        <v>680.73775977727826</v>
      </c>
      <c r="N608" s="101">
        <f t="shared" si="179"/>
        <v>65.5565211716943</v>
      </c>
      <c r="O608" s="101">
        <f t="shared" si="180"/>
        <v>1.5648273650961</v>
      </c>
      <c r="P608" s="101">
        <f t="shared" si="181"/>
        <v>1.5648273650961</v>
      </c>
      <c r="Q608" s="101">
        <f t="shared" si="182"/>
        <v>0.39852149036907203</v>
      </c>
      <c r="R608" s="101">
        <f t="shared" si="183"/>
        <v>1.8231580361609462E-2</v>
      </c>
      <c r="S608" s="101">
        <f t="shared" si="171"/>
        <v>611.63483080466108</v>
      </c>
      <c r="T608" s="101">
        <f t="shared" si="187"/>
        <v>144.54377696839933</v>
      </c>
      <c r="U608" s="101">
        <f t="shared" si="187"/>
        <v>33.699576487722815</v>
      </c>
      <c r="V608" s="33">
        <f t="shared" si="188"/>
        <v>1000.0000000000064</v>
      </c>
      <c r="W608" s="105">
        <f t="shared" si="184"/>
        <v>80252.054178393228</v>
      </c>
      <c r="X608" s="112">
        <f t="shared" si="189"/>
        <v>821.75664654388424</v>
      </c>
      <c r="Y608" s="32">
        <f t="shared" si="185"/>
        <v>454.94615768137976</v>
      </c>
    </row>
    <row r="609" spans="1:25" x14ac:dyDescent="0.25">
      <c r="A609" s="4">
        <v>603</v>
      </c>
      <c r="C609" s="110">
        <f>IF(male=0,VLOOKUP(((A607:A1441/'Life tables'!$I$2)*2)+age,lifetable,13,1),IF(male=1,VLOOKUP(((A607:A1441/'Life tables'!$I$2)*2)+age,lifetable,10,1),"error"))</f>
        <v>5.3177043245611344E-4</v>
      </c>
      <c r="F609" s="101">
        <f t="shared" si="172"/>
        <v>141.45384735890724</v>
      </c>
      <c r="G609" s="101">
        <f t="shared" si="173"/>
        <v>14.209335013793968</v>
      </c>
      <c r="H609" s="101">
        <f t="shared" si="174"/>
        <v>0.32516317490271973</v>
      </c>
      <c r="I609" s="101">
        <f t="shared" si="175"/>
        <v>0.32516317490271973</v>
      </c>
      <c r="J609" s="101">
        <f t="shared" si="176"/>
        <v>8.312290213209983E-2</v>
      </c>
      <c r="K609" s="101">
        <f t="shared" si="177"/>
        <v>2.5489255244822713E-2</v>
      </c>
      <c r="L609" s="101">
        <f t="shared" si="186"/>
        <v>126.48557383793091</v>
      </c>
      <c r="M609" s="101">
        <f t="shared" si="178"/>
        <v>680.30279918497695</v>
      </c>
      <c r="N609" s="101">
        <f t="shared" si="179"/>
        <v>65.514633524258102</v>
      </c>
      <c r="O609" s="101">
        <f t="shared" si="180"/>
        <v>1.5638275112936693</v>
      </c>
      <c r="P609" s="101">
        <f t="shared" si="181"/>
        <v>1.5638275112936693</v>
      </c>
      <c r="Q609" s="101">
        <f t="shared" si="182"/>
        <v>0.39826685318903299</v>
      </c>
      <c r="R609" s="101">
        <f t="shared" si="183"/>
        <v>1.8219931207616197E-2</v>
      </c>
      <c r="S609" s="101">
        <f t="shared" si="171"/>
        <v>611.24402385373492</v>
      </c>
      <c r="T609" s="101">
        <f t="shared" si="187"/>
        <v>145.02516672372047</v>
      </c>
      <c r="U609" s="101">
        <f t="shared" si="187"/>
        <v>33.743285674175254</v>
      </c>
      <c r="V609" s="33">
        <f t="shared" si="188"/>
        <v>1000.0000000000064</v>
      </c>
      <c r="W609" s="105">
        <f t="shared" si="184"/>
        <v>80108.594937850678</v>
      </c>
      <c r="X609" s="112">
        <f t="shared" si="189"/>
        <v>821.23154760211071</v>
      </c>
      <c r="Y609" s="32">
        <f t="shared" si="185"/>
        <v>454.52469549239282</v>
      </c>
    </row>
    <row r="610" spans="1:25" x14ac:dyDescent="0.25">
      <c r="A610" s="4">
        <v>604</v>
      </c>
      <c r="C610" s="110">
        <f>IF(male=0,VLOOKUP(((A608:A1442/'Life tables'!$I$2)*2)+age,lifetable,13,1),IF(male=1,VLOOKUP(((A608:A1442/'Life tables'!$I$2)*2)+age,lifetable,10,1),"error"))</f>
        <v>5.3177043245611344E-4</v>
      </c>
      <c r="F610" s="101">
        <f t="shared" si="172"/>
        <v>141.36343194774514</v>
      </c>
      <c r="G610" s="101">
        <f t="shared" si="173"/>
        <v>14.200252596513705</v>
      </c>
      <c r="H610" s="101">
        <f t="shared" si="174"/>
        <v>0.32495533494147066</v>
      </c>
      <c r="I610" s="101">
        <f t="shared" si="175"/>
        <v>0.32495533494147066</v>
      </c>
      <c r="J610" s="101">
        <f t="shared" si="176"/>
        <v>8.3069771082548427E-2</v>
      </c>
      <c r="K610" s="101">
        <f t="shared" si="177"/>
        <v>2.5472962853090666E-2</v>
      </c>
      <c r="L610" s="101">
        <f t="shared" si="186"/>
        <v>126.40472594741286</v>
      </c>
      <c r="M610" s="101">
        <f t="shared" si="178"/>
        <v>679.86811565436551</v>
      </c>
      <c r="N610" s="101">
        <f t="shared" si="179"/>
        <v>65.472772558462935</v>
      </c>
      <c r="O610" s="101">
        <f t="shared" si="180"/>
        <v>1.562828294379244</v>
      </c>
      <c r="P610" s="101">
        <f t="shared" si="181"/>
        <v>1.562828294379244</v>
      </c>
      <c r="Q610" s="101">
        <f t="shared" si="182"/>
        <v>0.39801237820807295</v>
      </c>
      <c r="R610" s="101">
        <f t="shared" si="183"/>
        <v>1.8208289473914216E-2</v>
      </c>
      <c r="S610" s="101">
        <f t="shared" si="171"/>
        <v>610.85346583946205</v>
      </c>
      <c r="T610" s="101">
        <f t="shared" si="187"/>
        <v>145.50624887301109</v>
      </c>
      <c r="U610" s="101">
        <f t="shared" si="187"/>
        <v>33.786966926502259</v>
      </c>
      <c r="V610" s="33">
        <f t="shared" si="188"/>
        <v>1000.0000000000063</v>
      </c>
      <c r="W610" s="105">
        <f t="shared" si="184"/>
        <v>79965.392111127483</v>
      </c>
      <c r="X610" s="112">
        <f t="shared" si="189"/>
        <v>820.70678420049296</v>
      </c>
      <c r="Y610" s="32">
        <f t="shared" si="185"/>
        <v>454.10362374807443</v>
      </c>
    </row>
    <row r="611" spans="1:25" x14ac:dyDescent="0.25">
      <c r="A611" s="4">
        <v>605</v>
      </c>
      <c r="C611" s="110">
        <f>IF(male=0,VLOOKUP(((A609:A1443/'Life tables'!$I$2)*2)+age,lifetable,13,1),IF(male=1,VLOOKUP(((A609:A1443/'Life tables'!$I$2)*2)+age,lifetable,10,1),"error"))</f>
        <v>5.3177043245611344E-4</v>
      </c>
      <c r="F611" s="101">
        <f t="shared" si="172"/>
        <v>141.27307516445433</v>
      </c>
      <c r="G611" s="101">
        <f t="shared" si="173"/>
        <v>14.191176068525815</v>
      </c>
      <c r="H611" s="101">
        <f t="shared" si="174"/>
        <v>0.32474762974944227</v>
      </c>
      <c r="I611" s="101">
        <f t="shared" si="175"/>
        <v>0.32474762974944227</v>
      </c>
      <c r="J611" s="101">
        <f t="shared" si="176"/>
        <v>8.3016674484649625E-2</v>
      </c>
      <c r="K611" s="101">
        <f t="shared" si="177"/>
        <v>2.5456681025799274E-2</v>
      </c>
      <c r="L611" s="101">
        <f t="shared" si="186"/>
        <v>126.32393048091917</v>
      </c>
      <c r="M611" s="101">
        <f t="shared" si="178"/>
        <v>679.43370903603852</v>
      </c>
      <c r="N611" s="101">
        <f t="shared" si="179"/>
        <v>65.430938259920723</v>
      </c>
      <c r="O611" s="101">
        <f t="shared" si="180"/>
        <v>1.5618297140093826</v>
      </c>
      <c r="P611" s="101">
        <f t="shared" si="181"/>
        <v>1.5618297140093826</v>
      </c>
      <c r="Q611" s="101">
        <f t="shared" si="182"/>
        <v>0.39775806533872576</v>
      </c>
      <c r="R611" s="101">
        <f t="shared" si="183"/>
        <v>1.8196655156502123E-2</v>
      </c>
      <c r="S611" s="101">
        <f t="shared" si="171"/>
        <v>610.46315662760378</v>
      </c>
      <c r="T611" s="101">
        <f t="shared" si="187"/>
        <v>145.98702361283446</v>
      </c>
      <c r="U611" s="101">
        <f t="shared" si="187"/>
        <v>33.830620262684562</v>
      </c>
      <c r="V611" s="33">
        <f t="shared" si="188"/>
        <v>1000.0000000000061</v>
      </c>
      <c r="W611" s="105">
        <f t="shared" si="184"/>
        <v>79822.445241065507</v>
      </c>
      <c r="X611" s="112">
        <f t="shared" si="189"/>
        <v>820.18235612448711</v>
      </c>
      <c r="Y611" s="32">
        <f t="shared" si="185"/>
        <v>453.68294208665014</v>
      </c>
    </row>
    <row r="612" spans="1:25" x14ac:dyDescent="0.25">
      <c r="A612" s="4">
        <v>606</v>
      </c>
      <c r="C612" s="110">
        <f>IF(male=0,VLOOKUP(((A610:A1444/'Life tables'!$I$2)*2)+age,lifetable,13,1),IF(male=1,VLOOKUP(((A610:A1444/'Life tables'!$I$2)*2)+age,lifetable,10,1),"error"))</f>
        <v>5.3177043245611344E-4</v>
      </c>
      <c r="F612" s="101">
        <f t="shared" si="172"/>
        <v>141.18277694467207</v>
      </c>
      <c r="G612" s="101">
        <f t="shared" si="173"/>
        <v>14.182105423364925</v>
      </c>
      <c r="H612" s="101">
        <f t="shared" si="174"/>
        <v>0.32454005917868245</v>
      </c>
      <c r="I612" s="101">
        <f t="shared" si="175"/>
        <v>0.32454005917868245</v>
      </c>
      <c r="J612" s="101">
        <f t="shared" si="176"/>
        <v>8.2963612300581802E-2</v>
      </c>
      <c r="K612" s="101">
        <f t="shared" si="177"/>
        <v>2.5440409751350701E-2</v>
      </c>
      <c r="L612" s="101">
        <f t="shared" si="186"/>
        <v>126.24318738089785</v>
      </c>
      <c r="M612" s="101">
        <f t="shared" si="178"/>
        <v>678.9995791798151</v>
      </c>
      <c r="N612" s="101">
        <f t="shared" si="179"/>
        <v>65.389130614168735</v>
      </c>
      <c r="O612" s="101">
        <f t="shared" si="180"/>
        <v>1.5608317698388612</v>
      </c>
      <c r="P612" s="101">
        <f t="shared" si="181"/>
        <v>1.5608317698388612</v>
      </c>
      <c r="Q612" s="101">
        <f t="shared" si="182"/>
        <v>0.39750391449307199</v>
      </c>
      <c r="R612" s="101">
        <f t="shared" si="183"/>
        <v>1.818502825135777E-2</v>
      </c>
      <c r="S612" s="101">
        <f t="shared" si="171"/>
        <v>610.07309608322419</v>
      </c>
      <c r="T612" s="101">
        <f t="shared" si="187"/>
        <v>146.46749113962812</v>
      </c>
      <c r="U612" s="101">
        <f t="shared" si="187"/>
        <v>33.874245700687268</v>
      </c>
      <c r="V612" s="33">
        <f t="shared" si="188"/>
        <v>1000.0000000000063</v>
      </c>
      <c r="W612" s="105">
        <f t="shared" si="184"/>
        <v>79679.753871284367</v>
      </c>
      <c r="X612" s="112">
        <f t="shared" si="189"/>
        <v>819.6582631596907</v>
      </c>
      <c r="Y612" s="32">
        <f t="shared" si="185"/>
        <v>453.2626501466828</v>
      </c>
    </row>
    <row r="613" spans="1:25" x14ac:dyDescent="0.25">
      <c r="A613" s="4">
        <v>607</v>
      </c>
      <c r="C613" s="110">
        <f>IF(male=0,VLOOKUP(((A611:A1445/'Life tables'!$I$2)*2)+age,lifetable,13,1),IF(male=1,VLOOKUP(((A611:A1445/'Life tables'!$I$2)*2)+age,lifetable,10,1),"error"))</f>
        <v>5.3177043245611344E-4</v>
      </c>
      <c r="F613" s="101">
        <f t="shared" si="172"/>
        <v>141.09253722492525</v>
      </c>
      <c r="G613" s="101">
        <f t="shared" si="173"/>
        <v>14.173040654655029</v>
      </c>
      <c r="H613" s="101">
        <f t="shared" si="174"/>
        <v>0.32433262308328409</v>
      </c>
      <c r="I613" s="101">
        <f t="shared" si="175"/>
        <v>0.32433262308328409</v>
      </c>
      <c r="J613" s="101">
        <f t="shared" si="176"/>
        <v>8.2910584493046002E-2</v>
      </c>
      <c r="K613" s="101">
        <f t="shared" si="177"/>
        <v>2.5424149018307425E-2</v>
      </c>
      <c r="L613" s="101">
        <f t="shared" si="186"/>
        <v>126.1624965905923</v>
      </c>
      <c r="M613" s="101">
        <f t="shared" si="178"/>
        <v>678.5657259347654</v>
      </c>
      <c r="N613" s="101">
        <f t="shared" si="179"/>
        <v>65.347349606672083</v>
      </c>
      <c r="O613" s="101">
        <f t="shared" si="180"/>
        <v>1.5598344615207334</v>
      </c>
      <c r="P613" s="101">
        <f t="shared" si="181"/>
        <v>1.5598344615207334</v>
      </c>
      <c r="Q613" s="101">
        <f t="shared" si="182"/>
        <v>0.39724992558275329</v>
      </c>
      <c r="R613" s="101">
        <f t="shared" si="183"/>
        <v>1.817340875443893E-2</v>
      </c>
      <c r="S613" s="101">
        <f t="shared" si="171"/>
        <v>609.68328407071465</v>
      </c>
      <c r="T613" s="101">
        <f t="shared" si="187"/>
        <v>146.94765164970391</v>
      </c>
      <c r="U613" s="101">
        <f t="shared" si="187"/>
        <v>33.917843258460017</v>
      </c>
      <c r="V613" s="33">
        <f t="shared" si="188"/>
        <v>1000.000000000006</v>
      </c>
      <c r="W613" s="105">
        <f t="shared" si="184"/>
        <v>79537.317546181032</v>
      </c>
      <c r="X613" s="112">
        <f t="shared" si="189"/>
        <v>819.13450509184213</v>
      </c>
      <c r="Y613" s="32">
        <f t="shared" si="185"/>
        <v>452.8427475670714</v>
      </c>
    </row>
    <row r="614" spans="1:25" x14ac:dyDescent="0.25">
      <c r="A614" s="4">
        <v>608</v>
      </c>
      <c r="C614" s="110">
        <f>IF(male=0,VLOOKUP(((A612:A1446/'Life tables'!$I$2)*2)+age,lifetable,13,1),IF(male=1,VLOOKUP(((A612:A1446/'Life tables'!$I$2)*2)+age,lifetable,10,1),"error"))</f>
        <v>5.3177043245611344E-4</v>
      </c>
      <c r="F614" s="101">
        <f t="shared" si="172"/>
        <v>141.00235594260306</v>
      </c>
      <c r="G614" s="101">
        <f t="shared" si="173"/>
        <v>14.16398175610674</v>
      </c>
      <c r="H614" s="101">
        <f t="shared" si="174"/>
        <v>0.32412532131932231</v>
      </c>
      <c r="I614" s="101">
        <f t="shared" si="175"/>
        <v>0.32412532131932231</v>
      </c>
      <c r="J614" s="101">
        <f t="shared" si="176"/>
        <v>8.2857591025250157E-2</v>
      </c>
      <c r="K614" s="101">
        <f t="shared" si="177"/>
        <v>2.5407898815387291E-2</v>
      </c>
      <c r="L614" s="101">
        <f t="shared" si="186"/>
        <v>126.08185805401703</v>
      </c>
      <c r="M614" s="101">
        <f t="shared" si="178"/>
        <v>678.13214914923901</v>
      </c>
      <c r="N614" s="101">
        <f t="shared" si="179"/>
        <v>65.305595222826497</v>
      </c>
      <c r="O614" s="101">
        <f t="shared" si="180"/>
        <v>1.5588377887063973</v>
      </c>
      <c r="P614" s="101">
        <f t="shared" si="181"/>
        <v>1.5588377887063973</v>
      </c>
      <c r="Q614" s="101">
        <f t="shared" si="182"/>
        <v>0.39699609851898948</v>
      </c>
      <c r="R614" s="101">
        <f t="shared" si="183"/>
        <v>1.8161796661684097E-2</v>
      </c>
      <c r="S614" s="101">
        <f t="shared" si="171"/>
        <v>609.29372045381911</v>
      </c>
      <c r="T614" s="101">
        <f t="shared" si="187"/>
        <v>147.42750533924814</v>
      </c>
      <c r="U614" s="101">
        <f t="shared" si="187"/>
        <v>33.961412953937092</v>
      </c>
      <c r="V614" s="33">
        <f t="shared" si="188"/>
        <v>1000.000000000006</v>
      </c>
      <c r="W614" s="105">
        <f t="shared" si="184"/>
        <v>79395.135810930122</v>
      </c>
      <c r="X614" s="112">
        <f t="shared" si="189"/>
        <v>818.61108170682087</v>
      </c>
      <c r="Y614" s="32">
        <f t="shared" si="185"/>
        <v>452.42323398705247</v>
      </c>
    </row>
    <row r="615" spans="1:25" x14ac:dyDescent="0.25">
      <c r="A615" s="4">
        <v>609</v>
      </c>
      <c r="C615" s="110">
        <f>IF(male=0,VLOOKUP(((A613:A1447/'Life tables'!$I$2)*2)+age,lifetable,13,1),IF(male=1,VLOOKUP(((A613:A1447/'Life tables'!$I$2)*2)+age,lifetable,10,1),"error"))</f>
        <v>5.3177043245611344E-4</v>
      </c>
      <c r="F615" s="101">
        <f t="shared" si="172"/>
        <v>140.91223303593046</v>
      </c>
      <c r="G615" s="101">
        <f t="shared" si="173"/>
        <v>14.154928721514624</v>
      </c>
      <c r="H615" s="101">
        <f t="shared" si="174"/>
        <v>0.32391815374479338</v>
      </c>
      <c r="I615" s="101">
        <f t="shared" si="175"/>
        <v>0.32391815374479338</v>
      </c>
      <c r="J615" s="101">
        <f t="shared" si="176"/>
        <v>8.280463186089318E-2</v>
      </c>
      <c r="K615" s="101">
        <f t="shared" si="177"/>
        <v>2.5391659131458758E-2</v>
      </c>
      <c r="L615" s="101">
        <f t="shared" si="186"/>
        <v>126.0012717159339</v>
      </c>
      <c r="M615" s="101">
        <f t="shared" si="178"/>
        <v>677.69884867089013</v>
      </c>
      <c r="N615" s="101">
        <f t="shared" si="179"/>
        <v>65.263867447960777</v>
      </c>
      <c r="O615" s="101">
        <f t="shared" si="180"/>
        <v>1.5578417510456519</v>
      </c>
      <c r="P615" s="101">
        <f t="shared" si="181"/>
        <v>1.5578417510456519</v>
      </c>
      <c r="Q615" s="101">
        <f t="shared" si="182"/>
        <v>0.3967424332125935</v>
      </c>
      <c r="R615" s="101">
        <f t="shared" si="183"/>
        <v>1.8150191969013123E-2</v>
      </c>
      <c r="S615" s="101">
        <f t="shared" si="171"/>
        <v>608.90440509565644</v>
      </c>
      <c r="T615" s="101">
        <f t="shared" si="187"/>
        <v>147.90705240432163</v>
      </c>
      <c r="U615" s="101">
        <f t="shared" si="187"/>
        <v>34.004954805037563</v>
      </c>
      <c r="V615" s="33">
        <f t="shared" si="188"/>
        <v>1000.0000000000058</v>
      </c>
      <c r="W615" s="105">
        <f t="shared" si="184"/>
        <v>79253.208211483099</v>
      </c>
      <c r="X615" s="112">
        <f t="shared" si="189"/>
        <v>818.08799279064669</v>
      </c>
      <c r="Y615" s="32">
        <f t="shared" si="185"/>
        <v>452.00410904619787</v>
      </c>
    </row>
    <row r="616" spans="1:25" x14ac:dyDescent="0.25">
      <c r="A616" s="4">
        <v>610</v>
      </c>
      <c r="C616" s="110">
        <f>IF(male=0,VLOOKUP(((A614:A1448/'Life tables'!$I$2)*2)+age,lifetable,13,1),IF(male=1,VLOOKUP(((A614:A1448/'Life tables'!$I$2)*2)+age,lifetable,10,1),"error"))</f>
        <v>5.3177043245611344E-4</v>
      </c>
      <c r="F616" s="101">
        <f t="shared" si="172"/>
        <v>140.82216844394259</v>
      </c>
      <c r="G616" s="101">
        <f t="shared" si="173"/>
        <v>14.145881544754637</v>
      </c>
      <c r="H616" s="101">
        <f t="shared" si="174"/>
        <v>0.32371112021955611</v>
      </c>
      <c r="I616" s="101">
        <f t="shared" si="175"/>
        <v>0.32371112021955611</v>
      </c>
      <c r="J616" s="101">
        <f t="shared" si="176"/>
        <v>8.2751706964150129E-2</v>
      </c>
      <c r="K616" s="101">
        <f t="shared" si="177"/>
        <v>2.537542995553628E-2</v>
      </c>
      <c r="L616" s="101">
        <f t="shared" si="186"/>
        <v>125.92073752182915</v>
      </c>
      <c r="M616" s="101">
        <f t="shared" si="178"/>
        <v>677.26582434670411</v>
      </c>
      <c r="N616" s="101">
        <f t="shared" si="179"/>
        <v>65.222166267339261</v>
      </c>
      <c r="O616" s="101">
        <f t="shared" si="180"/>
        <v>1.5568463481867592</v>
      </c>
      <c r="P616" s="101">
        <f t="shared" si="181"/>
        <v>1.5568463481867592</v>
      </c>
      <c r="Q616" s="101">
        <f t="shared" si="182"/>
        <v>0.39648892957398657</v>
      </c>
      <c r="R616" s="101">
        <f t="shared" si="183"/>
        <v>1.8138594672327962E-2</v>
      </c>
      <c r="S616" s="101">
        <f t="shared" si="171"/>
        <v>608.51533785874506</v>
      </c>
      <c r="T616" s="101">
        <f t="shared" si="187"/>
        <v>148.38629304085975</v>
      </c>
      <c r="U616" s="101">
        <f t="shared" si="187"/>
        <v>34.048468829665424</v>
      </c>
      <c r="V616" s="33">
        <f t="shared" si="188"/>
        <v>1000.000000000006</v>
      </c>
      <c r="W616" s="105">
        <f t="shared" si="184"/>
        <v>79111.534294568744</v>
      </c>
      <c r="X616" s="112">
        <f t="shared" si="189"/>
        <v>817.56523812948069</v>
      </c>
      <c r="Y616" s="32">
        <f t="shared" si="185"/>
        <v>451.5853723844163</v>
      </c>
    </row>
    <row r="617" spans="1:25" x14ac:dyDescent="0.25">
      <c r="A617" s="4">
        <v>611</v>
      </c>
      <c r="C617" s="110">
        <f>IF(male=0,VLOOKUP(((A615:A1449/'Life tables'!$I$2)*2)+age,lifetable,13,1),IF(male=1,VLOOKUP(((A615:A1449/'Life tables'!$I$2)*2)+age,lifetable,10,1),"error"))</f>
        <v>5.3177043245611344E-4</v>
      </c>
      <c r="F617" s="101">
        <f t="shared" si="172"/>
        <v>140.7321621064599</v>
      </c>
      <c r="G617" s="101">
        <f t="shared" si="173"/>
        <v>14.136840219781615</v>
      </c>
      <c r="H617" s="101">
        <f t="shared" si="174"/>
        <v>0.32350422060527428</v>
      </c>
      <c r="I617" s="101">
        <f t="shared" si="175"/>
        <v>0.32350422060527428</v>
      </c>
      <c r="J617" s="101">
        <f t="shared" si="176"/>
        <v>8.2698816299657585E-2</v>
      </c>
      <c r="K617" s="101">
        <f t="shared" si="177"/>
        <v>2.5359211276775796E-2</v>
      </c>
      <c r="L617" s="101">
        <f t="shared" si="186"/>
        <v>125.8402554178913</v>
      </c>
      <c r="M617" s="101">
        <f t="shared" si="178"/>
        <v>676.83307602302091</v>
      </c>
      <c r="N617" s="101">
        <f t="shared" si="179"/>
        <v>65.180491666164158</v>
      </c>
      <c r="O617" s="101">
        <f t="shared" si="180"/>
        <v>1.5558515797764974</v>
      </c>
      <c r="P617" s="101">
        <f t="shared" si="181"/>
        <v>1.5558515797764974</v>
      </c>
      <c r="Q617" s="101">
        <f t="shared" si="182"/>
        <v>0.39623558751321214</v>
      </c>
      <c r="R617" s="101">
        <f t="shared" si="183"/>
        <v>1.8127004767513277E-2</v>
      </c>
      <c r="S617" s="101">
        <f t="shared" si="171"/>
        <v>608.12651860502297</v>
      </c>
      <c r="T617" s="101">
        <f t="shared" si="187"/>
        <v>148.86522744467263</v>
      </c>
      <c r="U617" s="101">
        <f t="shared" si="187"/>
        <v>34.09195504570971</v>
      </c>
      <c r="V617" s="33">
        <f t="shared" si="188"/>
        <v>1000.0000000000059</v>
      </c>
      <c r="W617" s="105">
        <f t="shared" si="184"/>
        <v>78970.113607692285</v>
      </c>
      <c r="X617" s="112">
        <f t="shared" si="189"/>
        <v>817.04281750962355</v>
      </c>
      <c r="Y617" s="32">
        <f t="shared" si="185"/>
        <v>451.16702364195044</v>
      </c>
    </row>
    <row r="618" spans="1:25" x14ac:dyDescent="0.25">
      <c r="A618" s="4">
        <v>612</v>
      </c>
      <c r="C618" s="110">
        <f>IF(male=0,VLOOKUP(((A616:A1450/'Life tables'!$I$2)*2)+age,lifetable,13,1),IF(male=1,VLOOKUP(((A616:A1450/'Life tables'!$I$2)*2)+age,lifetable,10,1),"error"))</f>
        <v>5.3177043245611344E-4</v>
      </c>
      <c r="F618" s="101">
        <f t="shared" si="172"/>
        <v>140.64221396406413</v>
      </c>
      <c r="G618" s="101">
        <f t="shared" si="173"/>
        <v>14.127804740626869</v>
      </c>
      <c r="H618" s="101">
        <f t="shared" si="174"/>
        <v>0.32329745476536187</v>
      </c>
      <c r="I618" s="101">
        <f t="shared" si="175"/>
        <v>0.32329745476536187</v>
      </c>
      <c r="J618" s="101">
        <f t="shared" si="176"/>
        <v>8.2645959832499366E-2</v>
      </c>
      <c r="K618" s="101">
        <f t="shared" si="177"/>
        <v>2.5343003084470458E-2</v>
      </c>
      <c r="L618" s="101">
        <f t="shared" si="186"/>
        <v>125.75982535098956</v>
      </c>
      <c r="M618" s="101">
        <f t="shared" si="178"/>
        <v>676.40060354555931</v>
      </c>
      <c r="N618" s="101">
        <f t="shared" si="179"/>
        <v>65.138843629577849</v>
      </c>
      <c r="O618" s="101">
        <f t="shared" si="180"/>
        <v>1.5548574454602162</v>
      </c>
      <c r="P618" s="101">
        <f t="shared" si="181"/>
        <v>1.5548574454602162</v>
      </c>
      <c r="Q618" s="101">
        <f t="shared" si="182"/>
        <v>0.39598240693994996</v>
      </c>
      <c r="R618" s="101">
        <f t="shared" si="183"/>
        <v>1.8115422250437087E-2</v>
      </c>
      <c r="S618" s="101">
        <f t="shared" si="171"/>
        <v>607.73794719587067</v>
      </c>
      <c r="T618" s="101">
        <f t="shared" si="187"/>
        <v>149.34385581144508</v>
      </c>
      <c r="U618" s="101">
        <f t="shared" si="187"/>
        <v>34.135413471044615</v>
      </c>
      <c r="V618" s="33">
        <f t="shared" si="188"/>
        <v>1000.0000000000059</v>
      </c>
      <c r="W618" s="105">
        <f t="shared" si="184"/>
        <v>78828.945699135555</v>
      </c>
      <c r="X618" s="112">
        <f t="shared" si="189"/>
        <v>816.52073071751613</v>
      </c>
      <c r="Y618" s="32">
        <f t="shared" si="185"/>
        <v>450.74906245937876</v>
      </c>
    </row>
    <row r="619" spans="1:25" x14ac:dyDescent="0.25">
      <c r="A619" s="4">
        <v>613</v>
      </c>
      <c r="C619" s="110">
        <f>IF(male=0,VLOOKUP(((A617:A1451/'Life tables'!$I$2)*2)+age,lifetable,13,1),IF(male=1,VLOOKUP(((A617:A1451/'Life tables'!$I$2)*2)+age,lifetable,10,1),"error"))</f>
        <v>5.3177043245611344E-4</v>
      </c>
      <c r="F619" s="101">
        <f t="shared" si="172"/>
        <v>140.55232395807499</v>
      </c>
      <c r="G619" s="101">
        <f t="shared" si="173"/>
        <v>14.118775101395844</v>
      </c>
      <c r="H619" s="101">
        <f t="shared" si="174"/>
        <v>0.3230908225649291</v>
      </c>
      <c r="I619" s="101">
        <f t="shared" si="175"/>
        <v>0.3230908225649291</v>
      </c>
      <c r="J619" s="101">
        <f t="shared" si="176"/>
        <v>8.259313752819307E-2</v>
      </c>
      <c r="K619" s="101">
        <f t="shared" si="177"/>
        <v>2.5326805368046372E-2</v>
      </c>
      <c r="L619" s="101">
        <f t="shared" si="186"/>
        <v>125.67944726865305</v>
      </c>
      <c r="M619" s="101">
        <f t="shared" si="178"/>
        <v>675.96840675944122</v>
      </c>
      <c r="N619" s="101">
        <f t="shared" si="179"/>
        <v>65.097222142665245</v>
      </c>
      <c r="O619" s="101">
        <f t="shared" si="180"/>
        <v>1.5538639448818945</v>
      </c>
      <c r="P619" s="101">
        <f t="shared" si="181"/>
        <v>1.5538639448818945</v>
      </c>
      <c r="Q619" s="101">
        <f t="shared" si="182"/>
        <v>0.39572938776353045</v>
      </c>
      <c r="R619" s="101">
        <f t="shared" si="183"/>
        <v>1.8103847116951444E-2</v>
      </c>
      <c r="S619" s="101">
        <f t="shared" si="171"/>
        <v>607.34962349213174</v>
      </c>
      <c r="T619" s="101">
        <f t="shared" si="187"/>
        <v>149.82217833673681</v>
      </c>
      <c r="U619" s="101">
        <f t="shared" si="187"/>
        <v>34.178844123529615</v>
      </c>
      <c r="V619" s="33">
        <f t="shared" si="188"/>
        <v>1000.000000000006</v>
      </c>
      <c r="W619" s="105">
        <f t="shared" si="184"/>
        <v>78688.030117956499</v>
      </c>
      <c r="X619" s="112">
        <f t="shared" si="189"/>
        <v>815.9989775397396</v>
      </c>
      <c r="Y619" s="32">
        <f t="shared" si="185"/>
        <v>450.33148847761481</v>
      </c>
    </row>
    <row r="620" spans="1:25" x14ac:dyDescent="0.25">
      <c r="A620" s="4">
        <v>614</v>
      </c>
      <c r="C620" s="110">
        <f>IF(male=0,VLOOKUP(((A618:A1452/'Life tables'!$I$2)*2)+age,lifetable,13,1),IF(male=1,VLOOKUP(((A618:A1452/'Life tables'!$I$2)*2)+age,lifetable,10,1),"error"))</f>
        <v>5.3177043245611344E-4</v>
      </c>
      <c r="F620" s="101">
        <f t="shared" si="172"/>
        <v>140.46249203052773</v>
      </c>
      <c r="G620" s="101">
        <f t="shared" si="173"/>
        <v>14.109751296265856</v>
      </c>
      <c r="H620" s="101">
        <f t="shared" si="174"/>
        <v>0.32288432387073107</v>
      </c>
      <c r="I620" s="101">
        <f t="shared" si="175"/>
        <v>0.32288432387073107</v>
      </c>
      <c r="J620" s="101">
        <f t="shared" si="176"/>
        <v>8.2540349352676706E-2</v>
      </c>
      <c r="K620" s="101">
        <f t="shared" si="177"/>
        <v>2.5310618117058585E-2</v>
      </c>
      <c r="L620" s="101">
        <f t="shared" si="186"/>
        <v>125.59912111905068</v>
      </c>
      <c r="M620" s="101">
        <f t="shared" si="178"/>
        <v>675.53648550921184</v>
      </c>
      <c r="N620" s="101">
        <f t="shared" si="179"/>
        <v>65.055627190455695</v>
      </c>
      <c r="O620" s="101">
        <f t="shared" si="180"/>
        <v>1.5528710776841845</v>
      </c>
      <c r="P620" s="101">
        <f t="shared" si="181"/>
        <v>1.5528710776841845</v>
      </c>
      <c r="Q620" s="101">
        <f t="shared" si="182"/>
        <v>0.3954765298929464</v>
      </c>
      <c r="R620" s="101">
        <f t="shared" si="183"/>
        <v>1.8092279362892934E-2</v>
      </c>
      <c r="S620" s="101">
        <f t="shared" si="171"/>
        <v>606.96154735413188</v>
      </c>
      <c r="T620" s="101">
        <f t="shared" si="187"/>
        <v>150.30019521598243</v>
      </c>
      <c r="U620" s="101">
        <f t="shared" si="187"/>
        <v>34.222247021009565</v>
      </c>
      <c r="V620" s="33">
        <f t="shared" si="188"/>
        <v>1000.0000000000059</v>
      </c>
      <c r="W620" s="105">
        <f t="shared" si="184"/>
        <v>78547.366413988682</v>
      </c>
      <c r="X620" s="112">
        <f t="shared" si="189"/>
        <v>815.47755776301392</v>
      </c>
      <c r="Y620" s="32">
        <f t="shared" si="185"/>
        <v>449.91430133790544</v>
      </c>
    </row>
    <row r="621" spans="1:25" x14ac:dyDescent="0.25">
      <c r="A621" s="4">
        <v>615</v>
      </c>
      <c r="C621" s="110">
        <f>IF(male=0,VLOOKUP(((A619:A1453/'Life tables'!$I$2)*2)+age,lifetable,13,1),IF(male=1,VLOOKUP(((A619:A1453/'Life tables'!$I$2)*2)+age,lifetable,10,1),"error"))</f>
        <v>5.3177043245611344E-4</v>
      </c>
      <c r="F621" s="101">
        <f t="shared" si="172"/>
        <v>140.37271812415113</v>
      </c>
      <c r="G621" s="101">
        <f t="shared" si="173"/>
        <v>14.100733319483892</v>
      </c>
      <c r="H621" s="101">
        <f t="shared" si="174"/>
        <v>0.32267795855111719</v>
      </c>
      <c r="I621" s="101">
        <f t="shared" si="175"/>
        <v>0.32267795855111719</v>
      </c>
      <c r="J621" s="101">
        <f t="shared" si="176"/>
        <v>8.2487595272295822E-2</v>
      </c>
      <c r="K621" s="101">
        <f t="shared" si="177"/>
        <v>2.5294441321187123E-2</v>
      </c>
      <c r="L621" s="101">
        <f t="shared" si="186"/>
        <v>125.51884685097153</v>
      </c>
      <c r="M621" s="101">
        <f t="shared" si="178"/>
        <v>675.1048396388627</v>
      </c>
      <c r="N621" s="101">
        <f t="shared" si="179"/>
        <v>65.01405875792527</v>
      </c>
      <c r="O621" s="101">
        <f t="shared" si="180"/>
        <v>1.5518788435084661</v>
      </c>
      <c r="P621" s="101">
        <f t="shared" si="181"/>
        <v>1.5518788435084661</v>
      </c>
      <c r="Q621" s="101">
        <f t="shared" si="182"/>
        <v>0.39522383323686622</v>
      </c>
      <c r="R621" s="101">
        <f t="shared" si="183"/>
        <v>1.8080718984083331E-2</v>
      </c>
      <c r="S621" s="101">
        <f t="shared" si="171"/>
        <v>606.57371864169954</v>
      </c>
      <c r="T621" s="101">
        <f t="shared" si="187"/>
        <v>150.77790664449159</v>
      </c>
      <c r="U621" s="101">
        <f t="shared" si="187"/>
        <v>34.265622181314832</v>
      </c>
      <c r="V621" s="33">
        <f t="shared" si="188"/>
        <v>1000.0000000000058</v>
      </c>
      <c r="W621" s="105">
        <f t="shared" si="184"/>
        <v>78406.95413784108</v>
      </c>
      <c r="X621" s="112">
        <f t="shared" si="189"/>
        <v>814.95647117419935</v>
      </c>
      <c r="Y621" s="32">
        <f t="shared" si="185"/>
        <v>449.49750068183226</v>
      </c>
    </row>
    <row r="622" spans="1:25" x14ac:dyDescent="0.25">
      <c r="A622" s="4">
        <v>616</v>
      </c>
      <c r="C622" s="110">
        <f>IF(male=0,VLOOKUP(((A620:A1454/'Life tables'!$I$2)*2)+age,lifetable,13,1),IF(male=1,VLOOKUP(((A620:A1454/'Life tables'!$I$2)*2)+age,lifetable,10,1),"error"))</f>
        <v>5.3177043245611344E-4</v>
      </c>
      <c r="F622" s="101">
        <f t="shared" si="172"/>
        <v>140.28300218234639</v>
      </c>
      <c r="G622" s="101">
        <f t="shared" si="173"/>
        <v>14.091721165364484</v>
      </c>
      <c r="H622" s="101">
        <f t="shared" si="174"/>
        <v>0.32247172647598249</v>
      </c>
      <c r="I622" s="101">
        <f t="shared" si="175"/>
        <v>0.32247172647598249</v>
      </c>
      <c r="J622" s="101">
        <f t="shared" si="176"/>
        <v>8.243487525379109E-2</v>
      </c>
      <c r="K622" s="101">
        <f t="shared" si="177"/>
        <v>2.5278274970233171E-2</v>
      </c>
      <c r="L622" s="101">
        <f t="shared" si="186"/>
        <v>125.43862441380593</v>
      </c>
      <c r="M622" s="101">
        <f t="shared" si="178"/>
        <v>674.67346899185293</v>
      </c>
      <c r="N622" s="101">
        <f t="shared" si="179"/>
        <v>64.972516829998725</v>
      </c>
      <c r="O622" s="101">
        <f t="shared" si="180"/>
        <v>1.5508872419948951</v>
      </c>
      <c r="P622" s="101">
        <f t="shared" si="181"/>
        <v>1.5508872419948951</v>
      </c>
      <c r="Q622" s="101">
        <f t="shared" si="182"/>
        <v>0.39497129770364697</v>
      </c>
      <c r="R622" s="101">
        <f t="shared" si="183"/>
        <v>1.8069165976330136E-2</v>
      </c>
      <c r="S622" s="101">
        <f t="shared" si="171"/>
        <v>606.18613721418444</v>
      </c>
      <c r="T622" s="101">
        <f t="shared" si="187"/>
        <v>151.25531281744904</v>
      </c>
      <c r="U622" s="101">
        <f t="shared" si="187"/>
        <v>34.308969622261394</v>
      </c>
      <c r="V622" s="33">
        <f t="shared" si="188"/>
        <v>1000.0000000000059</v>
      </c>
      <c r="W622" s="105">
        <f t="shared" si="184"/>
        <v>78266.7928408976</v>
      </c>
      <c r="X622" s="112">
        <f t="shared" si="189"/>
        <v>814.43571756029542</v>
      </c>
      <c r="Y622" s="32">
        <f t="shared" si="185"/>
        <v>449.08108615130988</v>
      </c>
    </row>
    <row r="623" spans="1:25" x14ac:dyDescent="0.25">
      <c r="A623" s="4">
        <v>617</v>
      </c>
      <c r="C623" s="110">
        <f>IF(male=0,VLOOKUP(((A621:A1455/'Life tables'!$I$2)*2)+age,lifetable,13,1),IF(male=1,VLOOKUP(((A621:A1455/'Life tables'!$I$2)*2)+age,lifetable,10,1),"error"))</f>
        <v>5.3177043245611344E-4</v>
      </c>
      <c r="F623" s="101">
        <f t="shared" si="172"/>
        <v>140.19334414916682</v>
      </c>
      <c r="G623" s="101">
        <f t="shared" si="173"/>
        <v>14.082714828287671</v>
      </c>
      <c r="H623" s="101">
        <f t="shared" si="174"/>
        <v>0.322265627516721</v>
      </c>
      <c r="I623" s="101">
        <f t="shared" si="175"/>
        <v>0.322265627516721</v>
      </c>
      <c r="J623" s="101">
        <f t="shared" si="176"/>
        <v>8.2382189264286435E-2</v>
      </c>
      <c r="K623" s="101">
        <f t="shared" si="177"/>
        <v>2.5262119054115427E-2</v>
      </c>
      <c r="L623" s="101">
        <f t="shared" si="186"/>
        <v>125.3584537575273</v>
      </c>
      <c r="M623" s="101">
        <f t="shared" si="178"/>
        <v>674.2423734111286</v>
      </c>
      <c r="N623" s="101">
        <f t="shared" si="179"/>
        <v>64.931001391551433</v>
      </c>
      <c r="O623" s="101">
        <f t="shared" si="180"/>
        <v>1.5498962727824481</v>
      </c>
      <c r="P623" s="101">
        <f t="shared" si="181"/>
        <v>1.5498962727824481</v>
      </c>
      <c r="Q623" s="101">
        <f t="shared" si="182"/>
        <v>0.39471892320134527</v>
      </c>
      <c r="R623" s="101">
        <f t="shared" si="183"/>
        <v>1.8057620335427123E-2</v>
      </c>
      <c r="S623" s="101">
        <f t="shared" si="171"/>
        <v>605.79880293047552</v>
      </c>
      <c r="T623" s="101">
        <f t="shared" si="187"/>
        <v>151.73241392991466</v>
      </c>
      <c r="U623" s="101">
        <f t="shared" si="187"/>
        <v>34.352289361650939</v>
      </c>
      <c r="V623" s="33">
        <f t="shared" si="188"/>
        <v>1000.0000000000059</v>
      </c>
      <c r="W623" s="105">
        <f t="shared" si="184"/>
        <v>78126.882075316622</v>
      </c>
      <c r="X623" s="112">
        <f t="shared" si="189"/>
        <v>813.91529670844034</v>
      </c>
      <c r="Y623" s="32">
        <f t="shared" si="185"/>
        <v>448.66505738858666</v>
      </c>
    </row>
    <row r="624" spans="1:25" x14ac:dyDescent="0.25">
      <c r="A624" s="4">
        <v>618</v>
      </c>
      <c r="C624" s="110">
        <f>IF(male=0,VLOOKUP(((A622:A1456/'Life tables'!$I$2)*2)+age,lifetable,13,1),IF(male=1,VLOOKUP(((A622:A1456/'Life tables'!$I$2)*2)+age,lifetable,10,1),"error"))</f>
        <v>5.3177043245611344E-4</v>
      </c>
      <c r="F624" s="101">
        <f t="shared" si="172"/>
        <v>140.10374396929774</v>
      </c>
      <c r="G624" s="101">
        <f t="shared" si="173"/>
        <v>14.073714302696978</v>
      </c>
      <c r="H624" s="101">
        <f t="shared" si="174"/>
        <v>0.32205966154617965</v>
      </c>
      <c r="I624" s="101">
        <f t="shared" si="175"/>
        <v>0.32205966154617965</v>
      </c>
      <c r="J624" s="101">
        <f t="shared" si="176"/>
        <v>8.2329537271277176E-2</v>
      </c>
      <c r="K624" s="101">
        <f t="shared" si="177"/>
        <v>2.5245973562866467E-2</v>
      </c>
      <c r="L624" s="101">
        <f t="shared" si="186"/>
        <v>125.27833483267426</v>
      </c>
      <c r="M624" s="101">
        <f t="shared" si="178"/>
        <v>673.8115527391426</v>
      </c>
      <c r="N624" s="101">
        <f t="shared" si="179"/>
        <v>64.889512427411276</v>
      </c>
      <c r="O624" s="101">
        <f t="shared" si="180"/>
        <v>1.548905935508968</v>
      </c>
      <c r="P624" s="101">
        <f t="shared" si="181"/>
        <v>1.548905935508968</v>
      </c>
      <c r="Q624" s="101">
        <f t="shared" si="182"/>
        <v>0.39446670963772884</v>
      </c>
      <c r="R624" s="101">
        <f t="shared" si="183"/>
        <v>1.8046082057154848E-2</v>
      </c>
      <c r="S624" s="101">
        <f t="shared" si="171"/>
        <v>605.41171564901856</v>
      </c>
      <c r="T624" s="101">
        <f t="shared" si="187"/>
        <v>152.20921017682366</v>
      </c>
      <c r="U624" s="101">
        <f t="shared" si="187"/>
        <v>34.395581417270961</v>
      </c>
      <c r="V624" s="33">
        <f t="shared" si="188"/>
        <v>1000.0000000000059</v>
      </c>
      <c r="W624" s="105">
        <f t="shared" si="184"/>
        <v>77987.221394030479</v>
      </c>
      <c r="X624" s="112">
        <f t="shared" si="189"/>
        <v>813.39520840591138</v>
      </c>
      <c r="Y624" s="32">
        <f t="shared" si="185"/>
        <v>448.24941403624342</v>
      </c>
    </row>
    <row r="625" spans="1:25" x14ac:dyDescent="0.25">
      <c r="A625" s="4">
        <v>619</v>
      </c>
      <c r="C625" s="110">
        <f>IF(male=0,VLOOKUP(((A623:A1457/'Life tables'!$I$2)*2)+age,lifetable,13,1),IF(male=1,VLOOKUP(((A623:A1457/'Life tables'!$I$2)*2)+age,lifetable,10,1),"error"))</f>
        <v>5.3177043245611344E-4</v>
      </c>
      <c r="F625" s="101">
        <f t="shared" si="172"/>
        <v>140.01420158803742</v>
      </c>
      <c r="G625" s="101">
        <f t="shared" si="173"/>
        <v>14.064719583097499</v>
      </c>
      <c r="H625" s="101">
        <f t="shared" si="174"/>
        <v>0.32185382843861432</v>
      </c>
      <c r="I625" s="101">
        <f t="shared" si="175"/>
        <v>0.32185382843861432</v>
      </c>
      <c r="J625" s="101">
        <f t="shared" si="176"/>
        <v>8.2276919242618748E-2</v>
      </c>
      <c r="K625" s="101">
        <f t="shared" si="177"/>
        <v>2.5229838486629321E-2</v>
      </c>
      <c r="L625" s="101">
        <f t="shared" si="186"/>
        <v>125.19826759033344</v>
      </c>
      <c r="M625" s="101">
        <f t="shared" si="178"/>
        <v>673.38100681787398</v>
      </c>
      <c r="N625" s="101">
        <f t="shared" si="179"/>
        <v>64.848049922360474</v>
      </c>
      <c r="O625" s="101">
        <f t="shared" si="180"/>
        <v>1.5479162298112084</v>
      </c>
      <c r="P625" s="101">
        <f t="shared" si="181"/>
        <v>1.5479162298112084</v>
      </c>
      <c r="Q625" s="101">
        <f t="shared" si="182"/>
        <v>0.39421465692028829</v>
      </c>
      <c r="R625" s="101">
        <f t="shared" si="183"/>
        <v>1.8034551137281179E-2</v>
      </c>
      <c r="S625" s="101">
        <f t="shared" si="171"/>
        <v>605.02487522783349</v>
      </c>
      <c r="T625" s="101">
        <f t="shared" si="187"/>
        <v>152.68570175298657</v>
      </c>
      <c r="U625" s="101">
        <f t="shared" si="187"/>
        <v>34.438845806894868</v>
      </c>
      <c r="V625" s="33">
        <f t="shared" si="188"/>
        <v>1000.000000000006</v>
      </c>
      <c r="W625" s="105">
        <f t="shared" si="184"/>
        <v>77847.810350744941</v>
      </c>
      <c r="X625" s="112">
        <f t="shared" si="189"/>
        <v>812.87545244012449</v>
      </c>
      <c r="Y625" s="32">
        <f t="shared" si="185"/>
        <v>447.83415573719338</v>
      </c>
    </row>
    <row r="626" spans="1:25" x14ac:dyDescent="0.25">
      <c r="A626" s="4">
        <v>620</v>
      </c>
      <c r="C626" s="110">
        <f>IF(male=0,VLOOKUP(((A624:A1458/'Life tables'!$I$2)*2)+age,lifetable,13,1),IF(male=1,VLOOKUP(((A624:A1458/'Life tables'!$I$2)*2)+age,lifetable,10,1),"error"))</f>
        <v>5.3177043245611344E-4</v>
      </c>
      <c r="F626" s="101">
        <f t="shared" si="172"/>
        <v>139.92471695127844</v>
      </c>
      <c r="G626" s="101">
        <f t="shared" si="173"/>
        <v>14.055730664054034</v>
      </c>
      <c r="H626" s="101">
        <f t="shared" si="174"/>
        <v>0.32164812806964704</v>
      </c>
      <c r="I626" s="101">
        <f t="shared" si="175"/>
        <v>0.32164812806964704</v>
      </c>
      <c r="J626" s="101">
        <f t="shared" si="176"/>
        <v>8.2224335146515865E-2</v>
      </c>
      <c r="K626" s="101">
        <f t="shared" si="177"/>
        <v>2.5213713815654109E-2</v>
      </c>
      <c r="L626" s="101">
        <f t="shared" si="186"/>
        <v>125.11825198212294</v>
      </c>
      <c r="M626" s="101">
        <f t="shared" si="178"/>
        <v>672.95073548884614</v>
      </c>
      <c r="N626" s="101">
        <f t="shared" si="179"/>
        <v>64.806613861137407</v>
      </c>
      <c r="O626" s="101">
        <f t="shared" si="180"/>
        <v>1.5469271553248756</v>
      </c>
      <c r="P626" s="101">
        <f t="shared" si="181"/>
        <v>1.5469271553248756</v>
      </c>
      <c r="Q626" s="101">
        <f t="shared" si="182"/>
        <v>0.39396276495624716</v>
      </c>
      <c r="R626" s="101">
        <f t="shared" si="183"/>
        <v>1.8023027571561785E-2</v>
      </c>
      <c r="S626" s="101">
        <f t="shared" si="171"/>
        <v>604.63828152453118</v>
      </c>
      <c r="T626" s="101">
        <f t="shared" si="187"/>
        <v>153.16188885308935</v>
      </c>
      <c r="U626" s="101">
        <f t="shared" si="187"/>
        <v>34.482082548282087</v>
      </c>
      <c r="V626" s="33">
        <f t="shared" si="188"/>
        <v>1000.0000000000059</v>
      </c>
      <c r="W626" s="105">
        <f t="shared" si="184"/>
        <v>77708.648499938805</v>
      </c>
      <c r="X626" s="112">
        <f t="shared" si="189"/>
        <v>812.35602859863457</v>
      </c>
      <c r="Y626" s="32">
        <f t="shared" si="185"/>
        <v>447.41928213468242</v>
      </c>
    </row>
    <row r="627" spans="1:25" x14ac:dyDescent="0.25">
      <c r="A627" s="4">
        <v>621</v>
      </c>
      <c r="C627" s="110">
        <f>IF(male=0,VLOOKUP(((A625:A1459/'Life tables'!$I$2)*2)+age,lifetable,13,1),IF(male=1,VLOOKUP(((A625:A1459/'Life tables'!$I$2)*2)+age,lifetable,10,1),"error"))</f>
        <v>5.3177043245611344E-4</v>
      </c>
      <c r="F627" s="101">
        <f t="shared" si="172"/>
        <v>139.83529000548972</v>
      </c>
      <c r="G627" s="101">
        <f t="shared" si="173"/>
        <v>14.046747540189271</v>
      </c>
      <c r="H627" s="101">
        <f t="shared" si="174"/>
        <v>0.32144256031622476</v>
      </c>
      <c r="I627" s="101">
        <f t="shared" si="175"/>
        <v>0.32144256031622476</v>
      </c>
      <c r="J627" s="101">
        <f t="shared" si="176"/>
        <v>8.2171784951511936E-2</v>
      </c>
      <c r="K627" s="101">
        <f t="shared" si="177"/>
        <v>2.5197599540294813E-2</v>
      </c>
      <c r="L627" s="101">
        <f t="shared" si="186"/>
        <v>125.03828796017619</v>
      </c>
      <c r="M627" s="101">
        <f t="shared" si="178"/>
        <v>672.52073859314487</v>
      </c>
      <c r="N627" s="101">
        <f t="shared" si="179"/>
        <v>64.765204228438279</v>
      </c>
      <c r="O627" s="101">
        <f t="shared" si="180"/>
        <v>1.5459387116846699</v>
      </c>
      <c r="P627" s="101">
        <f t="shared" si="181"/>
        <v>1.5459387116846699</v>
      </c>
      <c r="Q627" s="101">
        <f t="shared" si="182"/>
        <v>0.39371103365257309</v>
      </c>
      <c r="R627" s="101">
        <f t="shared" si="183"/>
        <v>1.8011511355740608E-2</v>
      </c>
      <c r="S627" s="101">
        <f t="shared" si="171"/>
        <v>604.25193439632892</v>
      </c>
      <c r="T627" s="101">
        <f t="shared" si="187"/>
        <v>153.63777167169343</v>
      </c>
      <c r="U627" s="101">
        <f t="shared" si="187"/>
        <v>34.525291659178123</v>
      </c>
      <c r="V627" s="33">
        <f t="shared" si="188"/>
        <v>1000.000000000006</v>
      </c>
      <c r="W627" s="105">
        <f t="shared" si="184"/>
        <v>77569.73539686302</v>
      </c>
      <c r="X627" s="112">
        <f t="shared" si="189"/>
        <v>811.8369366691345</v>
      </c>
      <c r="Y627" s="32">
        <f t="shared" si="185"/>
        <v>447.00479287228768</v>
      </c>
    </row>
    <row r="628" spans="1:25" x14ac:dyDescent="0.25">
      <c r="A628" s="4">
        <v>622</v>
      </c>
      <c r="C628" s="110">
        <f>IF(male=0,VLOOKUP(((A626:A1460/'Life tables'!$I$2)*2)+age,lifetable,13,1),IF(male=1,VLOOKUP(((A626:A1460/'Life tables'!$I$2)*2)+age,lifetable,10,1),"error"))</f>
        <v>5.3177043245611344E-4</v>
      </c>
      <c r="F628" s="101">
        <f t="shared" si="172"/>
        <v>139.74592069769892</v>
      </c>
      <c r="G628" s="101">
        <f t="shared" si="173"/>
        <v>14.037770206182028</v>
      </c>
      <c r="H628" s="101">
        <f t="shared" si="174"/>
        <v>0.32123712505657864</v>
      </c>
      <c r="I628" s="101">
        <f t="shared" si="175"/>
        <v>0.32123712505657864</v>
      </c>
      <c r="J628" s="101">
        <f t="shared" si="176"/>
        <v>8.2119268626478642E-2</v>
      </c>
      <c r="K628" s="101">
        <f t="shared" si="177"/>
        <v>2.5181495651006084E-2</v>
      </c>
      <c r="L628" s="101">
        <f t="shared" si="186"/>
        <v>124.95837547712625</v>
      </c>
      <c r="M628" s="101">
        <f t="shared" si="178"/>
        <v>672.09101597143558</v>
      </c>
      <c r="N628" s="101">
        <f t="shared" si="179"/>
        <v>64.723821008918833</v>
      </c>
      <c r="O628" s="101">
        <f t="shared" si="180"/>
        <v>1.5449508985243252</v>
      </c>
      <c r="P628" s="101">
        <f t="shared" si="181"/>
        <v>1.5449508985243252</v>
      </c>
      <c r="Q628" s="101">
        <f t="shared" si="182"/>
        <v>0.39345946291598732</v>
      </c>
      <c r="R628" s="101">
        <f t="shared" si="183"/>
        <v>1.8000002485550334E-2</v>
      </c>
      <c r="S628" s="101">
        <f t="shared" si="171"/>
        <v>603.86583370006656</v>
      </c>
      <c r="T628" s="101">
        <f t="shared" si="187"/>
        <v>154.1133504032359</v>
      </c>
      <c r="U628" s="101">
        <f t="shared" si="187"/>
        <v>34.568473157314678</v>
      </c>
      <c r="V628" s="33">
        <f t="shared" si="188"/>
        <v>1000.000000000006</v>
      </c>
      <c r="W628" s="105">
        <f t="shared" si="184"/>
        <v>77431.070597540514</v>
      </c>
      <c r="X628" s="112">
        <f t="shared" si="189"/>
        <v>811.31817643945544</v>
      </c>
      <c r="Y628" s="32">
        <f t="shared" si="185"/>
        <v>446.59068759391852</v>
      </c>
    </row>
    <row r="629" spans="1:25" x14ac:dyDescent="0.25">
      <c r="A629" s="4">
        <v>623</v>
      </c>
      <c r="C629" s="110">
        <f>IF(male=0,VLOOKUP(((A627:A1461/'Life tables'!$I$2)*2)+age,lifetable,13,1),IF(male=1,VLOOKUP(((A627:A1461/'Life tables'!$I$2)*2)+age,lifetable,10,1),"error"))</f>
        <v>5.3177043245611344E-4</v>
      </c>
      <c r="F629" s="101">
        <f t="shared" si="172"/>
        <v>139.65660897547565</v>
      </c>
      <c r="G629" s="101">
        <f t="shared" si="173"/>
        <v>14.028798656765565</v>
      </c>
      <c r="H629" s="101">
        <f t="shared" si="174"/>
        <v>0.32103182217018589</v>
      </c>
      <c r="I629" s="101">
        <f t="shared" si="175"/>
        <v>0.32103182217018589</v>
      </c>
      <c r="J629" s="101">
        <f t="shared" si="176"/>
        <v>8.206678614060621E-2</v>
      </c>
      <c r="K629" s="101">
        <f t="shared" si="177"/>
        <v>2.5165402138340235E-2</v>
      </c>
      <c r="L629" s="101">
        <f t="shared" si="186"/>
        <v>124.87851448609076</v>
      </c>
      <c r="M629" s="101">
        <f t="shared" si="178"/>
        <v>671.66156746397985</v>
      </c>
      <c r="N629" s="101">
        <f t="shared" si="179"/>
        <v>64.682464187195905</v>
      </c>
      <c r="O629" s="101">
        <f t="shared" si="180"/>
        <v>1.5439637154766472</v>
      </c>
      <c r="P629" s="101">
        <f t="shared" si="181"/>
        <v>1.5439637154766472</v>
      </c>
      <c r="Q629" s="101">
        <f t="shared" si="182"/>
        <v>0.39320805265297487</v>
      </c>
      <c r="R629" s="101">
        <f t="shared" si="183"/>
        <v>1.7988500956712835E-2</v>
      </c>
      <c r="S629" s="101">
        <f t="shared" si="171"/>
        <v>603.47997929222095</v>
      </c>
      <c r="T629" s="101">
        <f t="shared" si="187"/>
        <v>154.58862524202948</v>
      </c>
      <c r="U629" s="101">
        <f t="shared" si="187"/>
        <v>34.611627060409731</v>
      </c>
      <c r="V629" s="33">
        <f t="shared" si="188"/>
        <v>1000.0000000000061</v>
      </c>
      <c r="W629" s="105">
        <f t="shared" si="184"/>
        <v>77292.653658765179</v>
      </c>
      <c r="X629" s="112">
        <f t="shared" si="189"/>
        <v>810.79974769756689</v>
      </c>
      <c r="Y629" s="32">
        <f t="shared" si="185"/>
        <v>446.17696594381471</v>
      </c>
    </row>
    <row r="630" spans="1:25" x14ac:dyDescent="0.25">
      <c r="A630" s="4">
        <v>624</v>
      </c>
      <c r="C630" s="110">
        <f>IF(male=0,VLOOKUP(((A628:A1462/'Life tables'!$I$2)*2)+age,lifetable,13,1),IF(male=1,VLOOKUP(((A628:A1462/'Life tables'!$I$2)*2)+age,lifetable,10,1),"error"))</f>
        <v>5.3177043245611344E-4</v>
      </c>
      <c r="F630" s="101">
        <f t="shared" si="172"/>
        <v>139.56735478691513</v>
      </c>
      <c r="G630" s="101">
        <f t="shared" si="173"/>
        <v>14.019832886725935</v>
      </c>
      <c r="H630" s="101">
        <f t="shared" si="174"/>
        <v>0.32082665153773171</v>
      </c>
      <c r="I630" s="101">
        <f t="shared" si="175"/>
        <v>0.32082665153773171</v>
      </c>
      <c r="J630" s="101">
        <f t="shared" si="176"/>
        <v>8.2014337463393705E-2</v>
      </c>
      <c r="K630" s="101">
        <f t="shared" si="177"/>
        <v>2.5149318992944293E-2</v>
      </c>
      <c r="L630" s="101">
        <f t="shared" si="186"/>
        <v>124.79870494065739</v>
      </c>
      <c r="M630" s="101">
        <f t="shared" si="178"/>
        <v>671.2323929106517</v>
      </c>
      <c r="N630" s="101">
        <f t="shared" si="179"/>
        <v>64.641133747849025</v>
      </c>
      <c r="O630" s="101">
        <f t="shared" si="180"/>
        <v>1.5429771621735509</v>
      </c>
      <c r="P630" s="101">
        <f t="shared" si="181"/>
        <v>1.5429771621735509</v>
      </c>
      <c r="Q630" s="101">
        <f t="shared" si="182"/>
        <v>0.39295680276979417</v>
      </c>
      <c r="R630" s="101">
        <f t="shared" si="183"/>
        <v>1.7977006764939605E-2</v>
      </c>
      <c r="S630" s="101">
        <f t="shared" si="171"/>
        <v>603.09437102892082</v>
      </c>
      <c r="T630" s="101">
        <f t="shared" si="187"/>
        <v>155.06359638226266</v>
      </c>
      <c r="U630" s="101">
        <f t="shared" si="187"/>
        <v>34.654753386167613</v>
      </c>
      <c r="V630" s="33">
        <f t="shared" si="188"/>
        <v>1000.0000000000059</v>
      </c>
      <c r="W630" s="105">
        <f t="shared" si="184"/>
        <v>77154.484138101514</v>
      </c>
      <c r="X630" s="112">
        <f t="shared" si="189"/>
        <v>810.28165023157567</v>
      </c>
      <c r="Y630" s="32">
        <f t="shared" si="185"/>
        <v>445.76362756654612</v>
      </c>
    </row>
    <row r="631" spans="1:25" x14ac:dyDescent="0.25">
      <c r="A631" s="4">
        <v>625</v>
      </c>
      <c r="C631" s="110">
        <f>IF(male=0,VLOOKUP(((A629:A1463/'Life tables'!$I$2)*2)+age,lifetable,13,1),IF(male=1,VLOOKUP(((A629:A1463/'Life tables'!$I$2)*2)+age,lifetable,10,1),"error"))</f>
        <v>5.3177043245611344E-4</v>
      </c>
      <c r="F631" s="101">
        <f t="shared" si="172"/>
        <v>139.47815808062219</v>
      </c>
      <c r="G631" s="101">
        <f t="shared" si="173"/>
        <v>14.010872890900389</v>
      </c>
      <c r="H631" s="101">
        <f t="shared" si="174"/>
        <v>0.32062161304107284</v>
      </c>
      <c r="I631" s="101">
        <f t="shared" si="175"/>
        <v>0.32062161304107284</v>
      </c>
      <c r="J631" s="101">
        <f t="shared" si="176"/>
        <v>8.1961922564639605E-2</v>
      </c>
      <c r="K631" s="101">
        <f t="shared" si="177"/>
        <v>2.5133246205557114E-2</v>
      </c>
      <c r="L631" s="101">
        <f t="shared" si="186"/>
        <v>124.71894679486947</v>
      </c>
      <c r="M631" s="101">
        <f t="shared" si="178"/>
        <v>670.8034921509535</v>
      </c>
      <c r="N631" s="101">
        <f t="shared" si="179"/>
        <v>64.599829675421901</v>
      </c>
      <c r="O631" s="101">
        <f t="shared" si="180"/>
        <v>1.5419912382460963</v>
      </c>
      <c r="P631" s="101">
        <f t="shared" si="181"/>
        <v>1.5419912382460963</v>
      </c>
      <c r="Q631" s="101">
        <f t="shared" si="182"/>
        <v>0.39270571317248537</v>
      </c>
      <c r="R631" s="101">
        <f t="shared" si="183"/>
        <v>1.7965519905932179E-2</v>
      </c>
      <c r="S631" s="101">
        <f t="shared" si="171"/>
        <v>602.70900876596102</v>
      </c>
      <c r="T631" s="101">
        <f t="shared" si="187"/>
        <v>155.53826401799978</v>
      </c>
      <c r="U631" s="101">
        <f t="shared" si="187"/>
        <v>34.697852152279104</v>
      </c>
      <c r="V631" s="33">
        <f t="shared" si="188"/>
        <v>1000.000000000006</v>
      </c>
      <c r="W631" s="105">
        <f t="shared" si="184"/>
        <v>77016.561593883729</v>
      </c>
      <c r="X631" s="112">
        <f t="shared" si="189"/>
        <v>809.76388382972709</v>
      </c>
      <c r="Y631" s="32">
        <f t="shared" si="185"/>
        <v>445.35067210701521</v>
      </c>
    </row>
    <row r="632" spans="1:25" x14ac:dyDescent="0.25">
      <c r="A632" s="4">
        <v>626</v>
      </c>
      <c r="C632" s="110">
        <f>IF(male=0,VLOOKUP(((A630:A1464/'Life tables'!$I$2)*2)+age,lifetable,13,1),IF(male=1,VLOOKUP(((A630:A1464/'Life tables'!$I$2)*2)+age,lifetable,10,1),"error"))</f>
        <v>5.6976556749510632E-4</v>
      </c>
      <c r="F632" s="101">
        <f t="shared" si="172"/>
        <v>139.38901880569605</v>
      </c>
      <c r="G632" s="101">
        <f t="shared" si="173"/>
        <v>14.001918664175834</v>
      </c>
      <c r="H632" s="101">
        <f t="shared" si="174"/>
        <v>0.32041670656320259</v>
      </c>
      <c r="I632" s="101">
        <f t="shared" si="175"/>
        <v>0.32041670656320259</v>
      </c>
      <c r="J632" s="101">
        <f t="shared" si="176"/>
        <v>8.7761999349427716E-2</v>
      </c>
      <c r="K632" s="101">
        <f t="shared" si="177"/>
        <v>2.5117183767006637E-2</v>
      </c>
      <c r="L632" s="101">
        <f t="shared" si="186"/>
        <v>124.63338754527737</v>
      </c>
      <c r="M632" s="101">
        <f t="shared" si="178"/>
        <v>670.37486502403101</v>
      </c>
      <c r="N632" s="101">
        <f t="shared" si="179"/>
        <v>64.558551954423962</v>
      </c>
      <c r="O632" s="101">
        <f t="shared" si="180"/>
        <v>1.5410059433245242</v>
      </c>
      <c r="P632" s="101">
        <f t="shared" si="181"/>
        <v>1.5410059433245242</v>
      </c>
      <c r="Q632" s="101">
        <f t="shared" si="182"/>
        <v>0.42049577964747026</v>
      </c>
      <c r="R632" s="101">
        <f t="shared" si="183"/>
        <v>1.7954040375382542E-2</v>
      </c>
      <c r="S632" s="101">
        <f t="shared" si="171"/>
        <v>602.2958513629352</v>
      </c>
      <c r="T632" s="101">
        <f t="shared" si="187"/>
        <v>156.04652179699667</v>
      </c>
      <c r="U632" s="101">
        <f t="shared" si="187"/>
        <v>34.740923376421492</v>
      </c>
      <c r="V632" s="33">
        <f t="shared" si="188"/>
        <v>1000.000000000006</v>
      </c>
      <c r="W632" s="105">
        <f t="shared" si="184"/>
        <v>76876.09863354644</v>
      </c>
      <c r="X632" s="112">
        <f t="shared" si="189"/>
        <v>809.21255482658785</v>
      </c>
      <c r="Y632" s="32">
        <f t="shared" si="185"/>
        <v>444.91916075513961</v>
      </c>
    </row>
    <row r="633" spans="1:25" x14ac:dyDescent="0.25">
      <c r="A633" s="4">
        <v>627</v>
      </c>
      <c r="C633" s="110">
        <f>IF(male=0,VLOOKUP(((A631:A1465/'Life tables'!$I$2)*2)+age,lifetable,13,1),IF(male=1,VLOOKUP(((A631:A1465/'Life tables'!$I$2)*2)+age,lifetable,10,1),"error"))</f>
        <v>5.6976556749510632E-4</v>
      </c>
      <c r="F633" s="101">
        <f t="shared" si="172"/>
        <v>139.2940842862246</v>
      </c>
      <c r="G633" s="101">
        <f t="shared" si="173"/>
        <v>13.992382293007925</v>
      </c>
      <c r="H633" s="101">
        <f t="shared" si="174"/>
        <v>0.32019847842494009</v>
      </c>
      <c r="I633" s="101">
        <f t="shared" si="175"/>
        <v>0.32019847842494009</v>
      </c>
      <c r="J633" s="101">
        <f t="shared" si="176"/>
        <v>8.7702226755377768E-2</v>
      </c>
      <c r="K633" s="101">
        <f t="shared" si="177"/>
        <v>2.510007705521666E-2</v>
      </c>
      <c r="L633" s="101">
        <f t="shared" si="186"/>
        <v>124.5485027325562</v>
      </c>
      <c r="M633" s="101">
        <f t="shared" si="178"/>
        <v>669.91847054036316</v>
      </c>
      <c r="N633" s="101">
        <f t="shared" si="179"/>
        <v>64.514600176809907</v>
      </c>
      <c r="O633" s="101">
        <f t="shared" si="180"/>
        <v>1.5399568189487058</v>
      </c>
      <c r="P633" s="101">
        <f t="shared" si="181"/>
        <v>1.5399568189487058</v>
      </c>
      <c r="Q633" s="101">
        <f t="shared" si="182"/>
        <v>0.42020950406607616</v>
      </c>
      <c r="R633" s="101">
        <f t="shared" si="183"/>
        <v>1.794181717696865E-2</v>
      </c>
      <c r="S633" s="101">
        <f t="shared" si="171"/>
        <v>601.88580540441274</v>
      </c>
      <c r="T633" s="101">
        <f t="shared" si="187"/>
        <v>156.55443352781813</v>
      </c>
      <c r="U633" s="101">
        <f t="shared" si="187"/>
        <v>34.783965270653674</v>
      </c>
      <c r="V633" s="33">
        <f t="shared" si="188"/>
        <v>1000.0000000000058</v>
      </c>
      <c r="W633" s="105">
        <f t="shared" si="184"/>
        <v>76735.460414058049</v>
      </c>
      <c r="X633" s="112">
        <f t="shared" si="189"/>
        <v>808.66160120153404</v>
      </c>
      <c r="Y633" s="32">
        <f t="shared" si="185"/>
        <v>444.48837045149594</v>
      </c>
    </row>
    <row r="634" spans="1:25" x14ac:dyDescent="0.25">
      <c r="A634" s="4">
        <v>628</v>
      </c>
      <c r="C634" s="110">
        <f>IF(male=0,VLOOKUP(((A632:A1466/'Life tables'!$I$2)*2)+age,lifetable,13,1),IF(male=1,VLOOKUP(((A632:A1466/'Life tables'!$I$2)*2)+age,lifetable,10,1),"error"))</f>
        <v>5.6976556749510632E-4</v>
      </c>
      <c r="F634" s="101">
        <f t="shared" si="172"/>
        <v>139.19921539207851</v>
      </c>
      <c r="G634" s="101">
        <f t="shared" si="173"/>
        <v>13.982852514041292</v>
      </c>
      <c r="H634" s="101">
        <f t="shared" si="174"/>
        <v>0.31998040114110504</v>
      </c>
      <c r="I634" s="101">
        <f t="shared" si="175"/>
        <v>0.31998040114110504</v>
      </c>
      <c r="J634" s="101">
        <f t="shared" si="176"/>
        <v>8.764249548029121E-2</v>
      </c>
      <c r="K634" s="101">
        <f t="shared" si="177"/>
        <v>2.5082982168772545E-2</v>
      </c>
      <c r="L634" s="101">
        <f t="shared" si="186"/>
        <v>124.46367659810595</v>
      </c>
      <c r="M634" s="101">
        <f t="shared" si="178"/>
        <v>669.46238580945544</v>
      </c>
      <c r="N634" s="101">
        <f t="shared" si="179"/>
        <v>64.470678229057782</v>
      </c>
      <c r="O634" s="101">
        <f t="shared" si="180"/>
        <v>1.5389084066085994</v>
      </c>
      <c r="P634" s="101">
        <f t="shared" si="181"/>
        <v>1.5389084066085994</v>
      </c>
      <c r="Q634" s="101">
        <f t="shared" si="182"/>
        <v>0.41992342277855438</v>
      </c>
      <c r="R634" s="101">
        <f t="shared" si="183"/>
        <v>1.7929602274381246E-2</v>
      </c>
      <c r="S634" s="101">
        <f t="shared" si="171"/>
        <v>601.47603774212757</v>
      </c>
      <c r="T634" s="101">
        <f t="shared" si="187"/>
        <v>157.06199944607698</v>
      </c>
      <c r="U634" s="101">
        <f t="shared" si="187"/>
        <v>34.826977855096828</v>
      </c>
      <c r="V634" s="33">
        <f t="shared" si="188"/>
        <v>1000.0000000000059</v>
      </c>
      <c r="W634" s="105">
        <f t="shared" si="184"/>
        <v>76595.079441802023</v>
      </c>
      <c r="X634" s="112">
        <f t="shared" si="189"/>
        <v>808.11102269883202</v>
      </c>
      <c r="Y634" s="32">
        <f t="shared" si="185"/>
        <v>444.05799726024219</v>
      </c>
    </row>
    <row r="635" spans="1:25" x14ac:dyDescent="0.25">
      <c r="A635" s="4">
        <v>629</v>
      </c>
      <c r="C635" s="110">
        <f>IF(male=0,VLOOKUP(((A633:A1467/'Life tables'!$I$2)*2)+age,lifetable,13,1),IF(male=1,VLOOKUP(((A633:A1467/'Life tables'!$I$2)*2)+age,lifetable,10,1),"error"))</f>
        <v>5.6976556749510632E-4</v>
      </c>
      <c r="F635" s="101">
        <f t="shared" si="172"/>
        <v>139.10441204734079</v>
      </c>
      <c r="G635" s="101">
        <f t="shared" si="173"/>
        <v>13.97332931964992</v>
      </c>
      <c r="H635" s="101">
        <f t="shared" si="174"/>
        <v>0.31976247453718526</v>
      </c>
      <c r="I635" s="101">
        <f t="shared" si="175"/>
        <v>0.31976247453718526</v>
      </c>
      <c r="J635" s="101">
        <f t="shared" si="176"/>
        <v>8.7582805476369222E-2</v>
      </c>
      <c r="K635" s="101">
        <f t="shared" si="177"/>
        <v>2.506589909399444E-2</v>
      </c>
      <c r="L635" s="101">
        <f t="shared" si="186"/>
        <v>124.37890907404613</v>
      </c>
      <c r="M635" s="101">
        <f t="shared" si="178"/>
        <v>669.0066106514912</v>
      </c>
      <c r="N635" s="101">
        <f t="shared" si="179"/>
        <v>64.426786093850836</v>
      </c>
      <c r="O635" s="101">
        <f t="shared" si="180"/>
        <v>1.5378607058908564</v>
      </c>
      <c r="P635" s="101">
        <f t="shared" si="181"/>
        <v>1.5378607058908564</v>
      </c>
      <c r="Q635" s="101">
        <f t="shared" si="182"/>
        <v>0.41963753567211393</v>
      </c>
      <c r="R635" s="101">
        <f t="shared" si="183"/>
        <v>1.7917395662804463E-2</v>
      </c>
      <c r="S635" s="101">
        <f t="shared" si="171"/>
        <v>601.06654821452378</v>
      </c>
      <c r="T635" s="101">
        <f t="shared" si="187"/>
        <v>157.56921978722548</v>
      </c>
      <c r="U635" s="101">
        <f t="shared" si="187"/>
        <v>34.86996114985363</v>
      </c>
      <c r="V635" s="33">
        <f t="shared" si="188"/>
        <v>1000.0000000000059</v>
      </c>
      <c r="W635" s="105">
        <f t="shared" si="184"/>
        <v>76454.955247489357</v>
      </c>
      <c r="X635" s="112">
        <f t="shared" si="189"/>
        <v>807.56081906292673</v>
      </c>
      <c r="Y635" s="32">
        <f t="shared" si="185"/>
        <v>443.62804077743755</v>
      </c>
    </row>
    <row r="636" spans="1:25" x14ac:dyDescent="0.25">
      <c r="A636" s="4">
        <v>630</v>
      </c>
      <c r="C636" s="110">
        <f>IF(male=0,VLOOKUP(((A634:A1468/'Life tables'!$I$2)*2)+age,lifetable,13,1),IF(male=1,VLOOKUP(((A634:A1468/'Life tables'!$I$2)*2)+age,lifetable,10,1),"error"))</f>
        <v>5.6976556749510632E-4</v>
      </c>
      <c r="F636" s="101">
        <f t="shared" si="172"/>
        <v>139.00967417713264</v>
      </c>
      <c r="G636" s="101">
        <f t="shared" si="173"/>
        <v>13.963812702312072</v>
      </c>
      <c r="H636" s="101">
        <f t="shared" si="174"/>
        <v>0.31954469844105515</v>
      </c>
      <c r="I636" s="101">
        <f t="shared" si="175"/>
        <v>0.31954469844105515</v>
      </c>
      <c r="J636" s="101">
        <f t="shared" si="176"/>
        <v>8.7523156696466639E-2</v>
      </c>
      <c r="K636" s="101">
        <f t="shared" si="177"/>
        <v>2.5048827817389572E-2</v>
      </c>
      <c r="L636" s="101">
        <f t="shared" si="186"/>
        <v>124.29420009342459</v>
      </c>
      <c r="M636" s="101">
        <f t="shared" si="178"/>
        <v>668.55114488579397</v>
      </c>
      <c r="N636" s="101">
        <f t="shared" si="179"/>
        <v>64.382923753789541</v>
      </c>
      <c r="O636" s="101">
        <f t="shared" si="180"/>
        <v>1.5368137163801516</v>
      </c>
      <c r="P636" s="101">
        <f t="shared" si="181"/>
        <v>1.5368137163801516</v>
      </c>
      <c r="Q636" s="101">
        <f t="shared" si="182"/>
        <v>0.41935184263342462</v>
      </c>
      <c r="R636" s="101">
        <f t="shared" si="183"/>
        <v>1.7905197337399408E-2</v>
      </c>
      <c r="S636" s="101">
        <f t="shared" si="171"/>
        <v>600.65733665927337</v>
      </c>
      <c r="T636" s="101">
        <f t="shared" si="187"/>
        <v>158.07609478655536</v>
      </c>
      <c r="U636" s="101">
        <f t="shared" si="187"/>
        <v>34.912915175008422</v>
      </c>
      <c r="V636" s="33">
        <f t="shared" si="188"/>
        <v>1000.0000000000058</v>
      </c>
      <c r="W636" s="105">
        <f t="shared" si="184"/>
        <v>76315.087362646111</v>
      </c>
      <c r="X636" s="112">
        <f t="shared" si="189"/>
        <v>807.01099003844206</v>
      </c>
      <c r="Y636" s="32">
        <f t="shared" si="185"/>
        <v>443.19850059953461</v>
      </c>
    </row>
    <row r="637" spans="1:25" x14ac:dyDescent="0.25">
      <c r="A637" s="4">
        <v>631</v>
      </c>
      <c r="C637" s="110">
        <f>IF(male=0,VLOOKUP(((A635:A1469/'Life tables'!$I$2)*2)+age,lifetable,13,1),IF(male=1,VLOOKUP(((A635:A1469/'Life tables'!$I$2)*2)+age,lifetable,10,1),"error"))</f>
        <v>5.6976556749510632E-4</v>
      </c>
      <c r="F637" s="101">
        <f t="shared" si="172"/>
        <v>138.91500170758161</v>
      </c>
      <c r="G637" s="101">
        <f t="shared" si="173"/>
        <v>13.95430265460711</v>
      </c>
      <c r="H637" s="101">
        <f t="shared" si="174"/>
        <v>0.3193270726829025</v>
      </c>
      <c r="I637" s="101">
        <f t="shared" si="175"/>
        <v>0.3193270726829025</v>
      </c>
      <c r="J637" s="101">
        <f t="shared" si="176"/>
        <v>8.7463549094072043E-2</v>
      </c>
      <c r="K637" s="101">
        <f t="shared" si="177"/>
        <v>2.5031768325646509E-2</v>
      </c>
      <c r="L637" s="101">
        <f t="shared" si="186"/>
        <v>124.20954959018897</v>
      </c>
      <c r="M637" s="101">
        <f t="shared" si="178"/>
        <v>668.09598833086045</v>
      </c>
      <c r="N637" s="101">
        <f t="shared" si="179"/>
        <v>64.339091191394743</v>
      </c>
      <c r="O637" s="101">
        <f t="shared" si="180"/>
        <v>1.5357674376592594</v>
      </c>
      <c r="P637" s="101">
        <f t="shared" si="181"/>
        <v>1.5357674376592594</v>
      </c>
      <c r="Q637" s="101">
        <f t="shared" si="182"/>
        <v>0.41906634354863792</v>
      </c>
      <c r="R637" s="101">
        <f t="shared" si="183"/>
        <v>1.7893007293305046E-2</v>
      </c>
      <c r="S637" s="101">
        <f t="shared" si="171"/>
        <v>600.2484029133052</v>
      </c>
      <c r="T637" s="101">
        <f t="shared" si="187"/>
        <v>158.58262467919806</v>
      </c>
      <c r="U637" s="101">
        <f t="shared" si="187"/>
        <v>34.955839950627372</v>
      </c>
      <c r="V637" s="33">
        <f t="shared" si="188"/>
        <v>1000.0000000000057</v>
      </c>
      <c r="W637" s="105">
        <f t="shared" si="184"/>
        <v>76175.475319613441</v>
      </c>
      <c r="X637" s="112">
        <f t="shared" si="189"/>
        <v>806.4615353701804</v>
      </c>
      <c r="Y637" s="32">
        <f t="shared" si="185"/>
        <v>442.76937632337894</v>
      </c>
    </row>
    <row r="638" spans="1:25" x14ac:dyDescent="0.25">
      <c r="A638" s="4">
        <v>632</v>
      </c>
      <c r="C638" s="110">
        <f>IF(male=0,VLOOKUP(((A636:A1470/'Life tables'!$I$2)*2)+age,lifetable,13,1),IF(male=1,VLOOKUP(((A636:A1470/'Life tables'!$I$2)*2)+age,lifetable,10,1),"error"))</f>
        <v>5.6976556749510632E-4</v>
      </c>
      <c r="F638" s="101">
        <f t="shared" si="172"/>
        <v>138.82039456579071</v>
      </c>
      <c r="G638" s="101">
        <f t="shared" si="173"/>
        <v>13.944799169212375</v>
      </c>
      <c r="H638" s="101">
        <f t="shared" si="174"/>
        <v>0.31910959709515724</v>
      </c>
      <c r="I638" s="101">
        <f t="shared" si="175"/>
        <v>0.31910959709515724</v>
      </c>
      <c r="J638" s="101">
        <f t="shared" si="176"/>
        <v>8.7403982623287996E-2</v>
      </c>
      <c r="K638" s="101">
        <f t="shared" si="177"/>
        <v>2.5014720605629585E-2</v>
      </c>
      <c r="L638" s="101">
        <f t="shared" si="186"/>
        <v>124.12495749915911</v>
      </c>
      <c r="M638" s="101">
        <f t="shared" si="178"/>
        <v>667.64114080438981</v>
      </c>
      <c r="N638" s="101">
        <f t="shared" si="179"/>
        <v>64.295288389110468</v>
      </c>
      <c r="O638" s="101">
        <f t="shared" si="180"/>
        <v>1.5347218693091205</v>
      </c>
      <c r="P638" s="101">
        <f t="shared" si="181"/>
        <v>1.5347218693091205</v>
      </c>
      <c r="Q638" s="101">
        <f t="shared" si="182"/>
        <v>0.41878103830340452</v>
      </c>
      <c r="R638" s="101">
        <f t="shared" si="183"/>
        <v>1.7880825525638973E-2</v>
      </c>
      <c r="S638" s="101">
        <f t="shared" si="171"/>
        <v>599.839746812832</v>
      </c>
      <c r="T638" s="101">
        <f t="shared" si="187"/>
        <v>159.08880970012476</v>
      </c>
      <c r="U638" s="101">
        <f t="shared" si="187"/>
        <v>34.998735496758641</v>
      </c>
      <c r="V638" s="33">
        <f t="shared" si="188"/>
        <v>1000.0000000000059</v>
      </c>
      <c r="W638" s="105">
        <f t="shared" si="184"/>
        <v>76036.118651547586</v>
      </c>
      <c r="X638" s="112">
        <f t="shared" si="189"/>
        <v>805.9124548031225</v>
      </c>
      <c r="Y638" s="32">
        <f t="shared" si="185"/>
        <v>442.34066754620812</v>
      </c>
    </row>
    <row r="639" spans="1:25" x14ac:dyDescent="0.25">
      <c r="A639" s="4">
        <v>633</v>
      </c>
      <c r="C639" s="110">
        <f>IF(male=0,VLOOKUP(((A637:A1471/'Life tables'!$I$2)*2)+age,lifetable,13,1),IF(male=1,VLOOKUP(((A637:A1471/'Life tables'!$I$2)*2)+age,lifetable,10,1),"error"))</f>
        <v>5.6976556749510632E-4</v>
      </c>
      <c r="F639" s="101">
        <f t="shared" si="172"/>
        <v>138.7258526798085</v>
      </c>
      <c r="G639" s="101">
        <f t="shared" si="173"/>
        <v>13.935302238900196</v>
      </c>
      <c r="H639" s="101">
        <f t="shared" si="174"/>
        <v>0.31889227151242311</v>
      </c>
      <c r="I639" s="101">
        <f t="shared" si="175"/>
        <v>0.31889227151242311</v>
      </c>
      <c r="J639" s="101">
        <f t="shared" si="176"/>
        <v>8.7344457238812553E-2</v>
      </c>
      <c r="K639" s="101">
        <f t="shared" si="177"/>
        <v>2.4997684644373519E-2</v>
      </c>
      <c r="L639" s="101">
        <f t="shared" si="186"/>
        <v>124.04042375600027</v>
      </c>
      <c r="M639" s="101">
        <f t="shared" si="178"/>
        <v>667.18660212331395</v>
      </c>
      <c r="N639" s="101">
        <f t="shared" si="179"/>
        <v>64.251515329306869</v>
      </c>
      <c r="O639" s="101">
        <f t="shared" si="180"/>
        <v>1.5336770109089124</v>
      </c>
      <c r="P639" s="101">
        <f t="shared" si="181"/>
        <v>1.5336770109089124</v>
      </c>
      <c r="Q639" s="101">
        <f t="shared" si="182"/>
        <v>0.41849592678289416</v>
      </c>
      <c r="R639" s="101">
        <f t="shared" si="183"/>
        <v>1.786865202949825E-2</v>
      </c>
      <c r="S639" s="101">
        <f t="shared" si="171"/>
        <v>599.4313681933769</v>
      </c>
      <c r="T639" s="101">
        <f t="shared" si="187"/>
        <v>159.59465008414645</v>
      </c>
      <c r="U639" s="101">
        <f t="shared" si="187"/>
        <v>35.041601833432516</v>
      </c>
      <c r="V639" s="33">
        <f t="shared" si="188"/>
        <v>1000.0000000000059</v>
      </c>
      <c r="W639" s="105">
        <f t="shared" si="184"/>
        <v>75897.016892419386</v>
      </c>
      <c r="X639" s="112">
        <f t="shared" si="189"/>
        <v>805.36374808242692</v>
      </c>
      <c r="Y639" s="32">
        <f t="shared" si="185"/>
        <v>441.91237386565308</v>
      </c>
    </row>
    <row r="640" spans="1:25" x14ac:dyDescent="0.25">
      <c r="A640" s="4">
        <v>634</v>
      </c>
      <c r="C640" s="110">
        <f>IF(male=0,VLOOKUP(((A638:A1472/'Life tables'!$I$2)*2)+age,lifetable,13,1),IF(male=1,VLOOKUP(((A638:A1472/'Life tables'!$I$2)*2)+age,lifetable,10,1),"error"))</f>
        <v>5.6976556749510632E-4</v>
      </c>
      <c r="F640" s="101">
        <f t="shared" si="172"/>
        <v>138.63137597860026</v>
      </c>
      <c r="G640" s="101">
        <f t="shared" si="173"/>
        <v>13.925811856534986</v>
      </c>
      <c r="H640" s="101">
        <f t="shared" si="174"/>
        <v>0.31867509577141084</v>
      </c>
      <c r="I640" s="101">
        <f t="shared" si="175"/>
        <v>0.31867509577141084</v>
      </c>
      <c r="J640" s="101">
        <f t="shared" si="176"/>
        <v>8.7284972895920854E-2</v>
      </c>
      <c r="K640" s="101">
        <f t="shared" si="177"/>
        <v>2.498066042907823E-2</v>
      </c>
      <c r="L640" s="101">
        <f t="shared" si="186"/>
        <v>123.95594829719745</v>
      </c>
      <c r="M640" s="101">
        <f t="shared" si="178"/>
        <v>666.73237210382683</v>
      </c>
      <c r="N640" s="101">
        <f t="shared" si="179"/>
        <v>64.207771994283007</v>
      </c>
      <c r="O640" s="101">
        <f t="shared" si="180"/>
        <v>1.5326328620361156</v>
      </c>
      <c r="P640" s="101">
        <f t="shared" si="181"/>
        <v>1.5326328620361156</v>
      </c>
      <c r="Q640" s="101">
        <f t="shared" si="182"/>
        <v>0.41821100887181362</v>
      </c>
      <c r="R640" s="101">
        <f t="shared" si="183"/>
        <v>1.7856486799960158E-2</v>
      </c>
      <c r="S640" s="101">
        <f t="shared" si="171"/>
        <v>599.02326688979986</v>
      </c>
      <c r="T640" s="101">
        <f t="shared" si="187"/>
        <v>160.10014606591417</v>
      </c>
      <c r="U640" s="101">
        <f t="shared" si="187"/>
        <v>35.084438980661552</v>
      </c>
      <c r="V640" s="33">
        <f t="shared" si="188"/>
        <v>1000.000000000006</v>
      </c>
      <c r="W640" s="105">
        <f t="shared" si="184"/>
        <v>75758.1695770144</v>
      </c>
      <c r="X640" s="112">
        <f t="shared" si="189"/>
        <v>804.81541495343026</v>
      </c>
      <c r="Y640" s="32">
        <f t="shared" si="185"/>
        <v>441.48449487973528</v>
      </c>
    </row>
    <row r="641" spans="1:25" x14ac:dyDescent="0.25">
      <c r="A641" s="4">
        <v>635</v>
      </c>
      <c r="C641" s="110">
        <f>IF(male=0,VLOOKUP(((A639:A1473/'Life tables'!$I$2)*2)+age,lifetable,13,1),IF(male=1,VLOOKUP(((A639:A1473/'Life tables'!$I$2)*2)+age,lifetable,10,1),"error"))</f>
        <v>5.6976556749510632E-4</v>
      </c>
      <c r="F641" s="101">
        <f t="shared" si="172"/>
        <v>138.5369643920198</v>
      </c>
      <c r="G641" s="101">
        <f t="shared" si="173"/>
        <v>13.916328015070414</v>
      </c>
      <c r="H641" s="101">
        <f t="shared" si="174"/>
        <v>0.31845806971087381</v>
      </c>
      <c r="I641" s="101">
        <f t="shared" si="175"/>
        <v>0.31845806971087381</v>
      </c>
      <c r="J641" s="101">
        <f t="shared" si="176"/>
        <v>8.7225529550447545E-2</v>
      </c>
      <c r="K641" s="101">
        <f t="shared" si="177"/>
        <v>2.496364794710372E-2</v>
      </c>
      <c r="L641" s="101">
        <f t="shared" si="186"/>
        <v>123.87153106003008</v>
      </c>
      <c r="M641" s="101">
        <f t="shared" si="178"/>
        <v>666.27845056141064</v>
      </c>
      <c r="N641" s="101">
        <f t="shared" si="179"/>
        <v>64.164058366269444</v>
      </c>
      <c r="O641" s="101">
        <f t="shared" si="180"/>
        <v>1.5315894222665751</v>
      </c>
      <c r="P641" s="101">
        <f t="shared" si="181"/>
        <v>1.5315894222665751</v>
      </c>
      <c r="Q641" s="101">
        <f t="shared" si="182"/>
        <v>0.41792628445442326</v>
      </c>
      <c r="R641" s="101">
        <f t="shared" si="183"/>
        <v>1.7844329832082933E-2</v>
      </c>
      <c r="S641" s="101">
        <f t="shared" si="171"/>
        <v>598.61544273632148</v>
      </c>
      <c r="T641" s="101">
        <f t="shared" si="187"/>
        <v>160.60529787991905</v>
      </c>
      <c r="U641" s="101">
        <f t="shared" si="187"/>
        <v>35.127246958440736</v>
      </c>
      <c r="V641" s="33">
        <f t="shared" si="188"/>
        <v>1000.000000000006</v>
      </c>
      <c r="W641" s="105">
        <f t="shared" si="184"/>
        <v>75619.576240932452</v>
      </c>
      <c r="X641" s="112">
        <f t="shared" si="189"/>
        <v>804.26745516164635</v>
      </c>
      <c r="Y641" s="32">
        <f t="shared" si="185"/>
        <v>441.05703018686796</v>
      </c>
    </row>
    <row r="642" spans="1:25" x14ac:dyDescent="0.25">
      <c r="A642" s="4">
        <v>636</v>
      </c>
      <c r="C642" s="110">
        <f>IF(male=0,VLOOKUP(((A640:A1474/'Life tables'!$I$2)*2)+age,lifetable,13,1),IF(male=1,VLOOKUP(((A640:A1474/'Life tables'!$I$2)*2)+age,lifetable,10,1),"error"))</f>
        <v>5.6976556749510632E-4</v>
      </c>
      <c r="F642" s="101">
        <f t="shared" si="172"/>
        <v>138.44261785078254</v>
      </c>
      <c r="G642" s="101">
        <f t="shared" si="173"/>
        <v>13.906850707546701</v>
      </c>
      <c r="H642" s="101">
        <f t="shared" si="174"/>
        <v>0.31824119317154603</v>
      </c>
      <c r="I642" s="101">
        <f t="shared" si="175"/>
        <v>0.31824119317154603</v>
      </c>
      <c r="J642" s="101">
        <f t="shared" si="176"/>
        <v>8.7166127158769729E-2</v>
      </c>
      <c r="K642" s="101">
        <f t="shared" si="177"/>
        <v>2.4946647185965277E-2</v>
      </c>
      <c r="L642" s="101">
        <f t="shared" si="186"/>
        <v>123.78717198254802</v>
      </c>
      <c r="M642" s="101">
        <f t="shared" si="178"/>
        <v>665.82483731086393</v>
      </c>
      <c r="N642" s="101">
        <f t="shared" si="179"/>
        <v>64.120374427430846</v>
      </c>
      <c r="O642" s="101">
        <f t="shared" si="180"/>
        <v>1.5305466911745642</v>
      </c>
      <c r="P642" s="101">
        <f t="shared" si="181"/>
        <v>1.5305466911745642</v>
      </c>
      <c r="Q642" s="101">
        <f t="shared" si="182"/>
        <v>0.41764175341455467</v>
      </c>
      <c r="R642" s="101">
        <f t="shared" si="183"/>
        <v>1.7832181120906492E-2</v>
      </c>
      <c r="S642" s="101">
        <f t="shared" si="171"/>
        <v>598.20789556654847</v>
      </c>
      <c r="T642" s="101">
        <f t="shared" si="187"/>
        <v>161.11010576049239</v>
      </c>
      <c r="U642" s="101">
        <f t="shared" si="187"/>
        <v>35.170025786747608</v>
      </c>
      <c r="V642" s="33">
        <f t="shared" si="188"/>
        <v>1000.0000000000063</v>
      </c>
      <c r="W642" s="105">
        <f t="shared" si="184"/>
        <v>75481.236420587535</v>
      </c>
      <c r="X642" s="112">
        <f t="shared" si="189"/>
        <v>803.71986845276638</v>
      </c>
      <c r="Y642" s="32">
        <f t="shared" si="185"/>
        <v>440.62997938585505</v>
      </c>
    </row>
    <row r="643" spans="1:25" x14ac:dyDescent="0.25">
      <c r="A643" s="4">
        <v>637</v>
      </c>
      <c r="C643" s="110">
        <f>IF(male=0,VLOOKUP(((A641:A1475/'Life tables'!$I$2)*2)+age,lifetable,13,1),IF(male=1,VLOOKUP(((A641:A1475/'Life tables'!$I$2)*2)+age,lifetable,10,1),"error"))</f>
        <v>5.6976556749510632E-4</v>
      </c>
      <c r="F643" s="101">
        <f t="shared" si="172"/>
        <v>138.34833628643898</v>
      </c>
      <c r="G643" s="101">
        <f t="shared" si="173"/>
        <v>13.897379927087947</v>
      </c>
      <c r="H643" s="101">
        <f t="shared" si="174"/>
        <v>0.31802446599608108</v>
      </c>
      <c r="I643" s="101">
        <f t="shared" si="175"/>
        <v>0.31802446599608108</v>
      </c>
      <c r="J643" s="101">
        <f t="shared" si="176"/>
        <v>8.7106765677790243E-2</v>
      </c>
      <c r="K643" s="101">
        <f t="shared" si="177"/>
        <v>2.4929658133328647E-2</v>
      </c>
      <c r="L643" s="101">
        <f t="shared" si="186"/>
        <v>123.70287100354776</v>
      </c>
      <c r="M643" s="101">
        <f t="shared" si="178"/>
        <v>665.37153216632726</v>
      </c>
      <c r="N643" s="101">
        <f t="shared" si="179"/>
        <v>64.076720159868586</v>
      </c>
      <c r="O643" s="101">
        <f t="shared" si="180"/>
        <v>1.5295046683328433</v>
      </c>
      <c r="P643" s="101">
        <f t="shared" si="181"/>
        <v>1.5295046683328433</v>
      </c>
      <c r="Q643" s="101">
        <f t="shared" si="182"/>
        <v>0.41735741563562667</v>
      </c>
      <c r="R643" s="101">
        <f t="shared" si="183"/>
        <v>1.7820040661453124E-2</v>
      </c>
      <c r="S643" s="101">
        <f t="shared" ref="S643:S706" si="190">M643-SUM(N643:R643)</f>
        <v>597.80062521349589</v>
      </c>
      <c r="T643" s="101">
        <f t="shared" si="187"/>
        <v>161.6145699418058</v>
      </c>
      <c r="U643" s="101">
        <f t="shared" si="187"/>
        <v>35.212775485542387</v>
      </c>
      <c r="V643" s="33">
        <f t="shared" si="188"/>
        <v>1000.0000000000063</v>
      </c>
      <c r="W643" s="105">
        <f t="shared" si="184"/>
        <v>75343.149653207249</v>
      </c>
      <c r="X643" s="112">
        <f t="shared" si="189"/>
        <v>803.17265457265796</v>
      </c>
      <c r="Y643" s="32">
        <f t="shared" si="185"/>
        <v>440.20334207589048</v>
      </c>
    </row>
    <row r="644" spans="1:25" x14ac:dyDescent="0.25">
      <c r="A644" s="4">
        <v>638</v>
      </c>
      <c r="C644" s="110">
        <f>IF(male=0,VLOOKUP(((A642:A1476/'Life tables'!$I$2)*2)+age,lifetable,13,1),IF(male=1,VLOOKUP(((A642:A1476/'Life tables'!$I$2)*2)+age,lifetable,10,1),"error"))</f>
        <v>5.6976556749510632E-4</v>
      </c>
      <c r="F644" s="101">
        <f t="shared" si="172"/>
        <v>138.25411963134937</v>
      </c>
      <c r="G644" s="101">
        <f t="shared" si="173"/>
        <v>13.8879156668996</v>
      </c>
      <c r="H644" s="101">
        <f t="shared" si="174"/>
        <v>0.3178078880289939</v>
      </c>
      <c r="I644" s="101">
        <f t="shared" si="175"/>
        <v>0.3178078880289939</v>
      </c>
      <c r="J644" s="101">
        <f t="shared" si="176"/>
        <v>8.7047445064921833E-2</v>
      </c>
      <c r="K644" s="101">
        <f t="shared" si="177"/>
        <v>2.4912680777005498E-2</v>
      </c>
      <c r="L644" s="101">
        <f t="shared" si="186"/>
        <v>123.61862806254985</v>
      </c>
      <c r="M644" s="101">
        <f t="shared" si="178"/>
        <v>664.91853494130862</v>
      </c>
      <c r="N644" s="101">
        <f t="shared" si="179"/>
        <v>64.033095545623056</v>
      </c>
      <c r="O644" s="101">
        <f t="shared" si="180"/>
        <v>1.5284633533127192</v>
      </c>
      <c r="P644" s="101">
        <f t="shared" si="181"/>
        <v>1.5284633533127192</v>
      </c>
      <c r="Q644" s="101">
        <f t="shared" si="182"/>
        <v>0.41707327100066105</v>
      </c>
      <c r="R644" s="101">
        <f t="shared" si="183"/>
        <v>1.7807908448728191E-2</v>
      </c>
      <c r="S644" s="101">
        <f t="shared" si="190"/>
        <v>597.39363150961071</v>
      </c>
      <c r="T644" s="101">
        <f t="shared" si="187"/>
        <v>162.11869065787138</v>
      </c>
      <c r="U644" s="101">
        <f t="shared" si="187"/>
        <v>35.255496074768118</v>
      </c>
      <c r="V644" s="33">
        <f t="shared" si="188"/>
        <v>1000.0000000000061</v>
      </c>
      <c r="W644" s="105">
        <f t="shared" si="184"/>
        <v>75205.315476832562</v>
      </c>
      <c r="X644" s="112">
        <f t="shared" si="189"/>
        <v>802.62581326736665</v>
      </c>
      <c r="Y644" s="32">
        <f t="shared" si="185"/>
        <v>439.77711785655896</v>
      </c>
    </row>
    <row r="645" spans="1:25" x14ac:dyDescent="0.25">
      <c r="A645" s="4">
        <v>639</v>
      </c>
      <c r="C645" s="110">
        <f>IF(male=0,VLOOKUP(((A643:A1477/'Life tables'!$I$2)*2)+age,lifetable,13,1),IF(male=1,VLOOKUP(((A643:A1477/'Life tables'!$I$2)*2)+age,lifetable,10,1),"error"))</f>
        <v>5.6976556749510632E-4</v>
      </c>
      <c r="F645" s="101">
        <f t="shared" si="172"/>
        <v>138.15996781865911</v>
      </c>
      <c r="G645" s="101">
        <f t="shared" si="173"/>
        <v>13.878457920265976</v>
      </c>
      <c r="H645" s="101">
        <f t="shared" si="174"/>
        <v>0.31759145911660436</v>
      </c>
      <c r="I645" s="101">
        <f t="shared" si="175"/>
        <v>0.31759145911660436</v>
      </c>
      <c r="J645" s="101">
        <f t="shared" si="176"/>
        <v>8.6988165278071572E-2</v>
      </c>
      <c r="K645" s="101">
        <f t="shared" si="177"/>
        <v>2.4895715104948975E-2</v>
      </c>
      <c r="L645" s="101">
        <f t="shared" si="186"/>
        <v>123.53444309977691</v>
      </c>
      <c r="M645" s="101">
        <f t="shared" si="178"/>
        <v>664.46584544870757</v>
      </c>
      <c r="N645" s="101">
        <f t="shared" si="179"/>
        <v>63.989500566676071</v>
      </c>
      <c r="O645" s="101">
        <f t="shared" si="180"/>
        <v>1.5274227456840996</v>
      </c>
      <c r="P645" s="101">
        <f t="shared" si="181"/>
        <v>1.5274227456840996</v>
      </c>
      <c r="Q645" s="101">
        <f t="shared" si="182"/>
        <v>0.41678931939229835</v>
      </c>
      <c r="R645" s="101">
        <f t="shared" si="183"/>
        <v>1.7795784477720747E-2</v>
      </c>
      <c r="S645" s="101">
        <f t="shared" si="190"/>
        <v>596.98691428679331</v>
      </c>
      <c r="T645" s="101">
        <f t="shared" si="187"/>
        <v>162.62246814254175</v>
      </c>
      <c r="U645" s="101">
        <f t="shared" si="187"/>
        <v>35.298187574350784</v>
      </c>
      <c r="V645" s="33">
        <f t="shared" si="188"/>
        <v>1000.0000000000061</v>
      </c>
      <c r="W645" s="105">
        <f t="shared" si="184"/>
        <v>75067.733430317414</v>
      </c>
      <c r="X645" s="112">
        <f t="shared" si="189"/>
        <v>802.07934428311364</v>
      </c>
      <c r="Y645" s="32">
        <f t="shared" si="185"/>
        <v>439.35130632783381</v>
      </c>
    </row>
    <row r="646" spans="1:25" x14ac:dyDescent="0.25">
      <c r="A646" s="4">
        <v>640</v>
      </c>
      <c r="C646" s="110">
        <f>IF(male=0,VLOOKUP(((A644:A1478/'Life tables'!$I$2)*2)+age,lifetable,13,1),IF(male=1,VLOOKUP(((A644:A1478/'Life tables'!$I$2)*2)+age,lifetable,10,1),"error"))</f>
        <v>5.6976556749510632E-4</v>
      </c>
      <c r="F646" s="101">
        <f t="shared" si="172"/>
        <v>138.06588078227477</v>
      </c>
      <c r="G646" s="101">
        <f t="shared" si="173"/>
        <v>13.869006680547852</v>
      </c>
      <c r="H646" s="101">
        <f t="shared" si="174"/>
        <v>0.31737517910698188</v>
      </c>
      <c r="I646" s="101">
        <f t="shared" si="175"/>
        <v>0.31737517910698188</v>
      </c>
      <c r="J646" s="101">
        <f t="shared" si="176"/>
        <v>8.6928926275625748E-2</v>
      </c>
      <c r="K646" s="101">
        <f t="shared" si="177"/>
        <v>2.4878761105249381E-2</v>
      </c>
      <c r="L646" s="101">
        <f t="shared" si="186"/>
        <v>123.45031605613208</v>
      </c>
      <c r="M646" s="101">
        <f t="shared" si="178"/>
        <v>664.01346350083895</v>
      </c>
      <c r="N646" s="101">
        <f t="shared" si="179"/>
        <v>63.945935204953159</v>
      </c>
      <c r="O646" s="101">
        <f t="shared" si="180"/>
        <v>1.5263828450155488</v>
      </c>
      <c r="P646" s="101">
        <f t="shared" si="181"/>
        <v>1.5263828450155488</v>
      </c>
      <c r="Q646" s="101">
        <f t="shared" si="182"/>
        <v>0.41650556069281214</v>
      </c>
      <c r="R646" s="101">
        <f t="shared" si="183"/>
        <v>1.7783668743404195E-2</v>
      </c>
      <c r="S646" s="101">
        <f t="shared" si="190"/>
        <v>596.58047337641847</v>
      </c>
      <c r="T646" s="101">
        <f t="shared" si="187"/>
        <v>163.12590262951019</v>
      </c>
      <c r="U646" s="101">
        <f t="shared" si="187"/>
        <v>35.340850004199439</v>
      </c>
      <c r="V646" s="33">
        <f t="shared" si="188"/>
        <v>1000.0000000000061</v>
      </c>
      <c r="W646" s="105">
        <f t="shared" si="184"/>
        <v>74930.40305332838</v>
      </c>
      <c r="X646" s="112">
        <f t="shared" si="189"/>
        <v>801.53324736629656</v>
      </c>
      <c r="Y646" s="32">
        <f t="shared" si="185"/>
        <v>438.92590709007783</v>
      </c>
    </row>
    <row r="647" spans="1:25" x14ac:dyDescent="0.25">
      <c r="A647" s="4">
        <v>641</v>
      </c>
      <c r="C647" s="110">
        <f>IF(male=0,VLOOKUP(((A645:A1479/'Life tables'!$I$2)*2)+age,lifetable,13,1),IF(male=1,VLOOKUP(((A645:A1479/'Life tables'!$I$2)*2)+age,lifetable,10,1),"error"))</f>
        <v>5.6976556749510632E-4</v>
      </c>
      <c r="F647" s="101">
        <f t="shared" ref="F647:F710" si="191">E646*(1-pCAUC)+(L646+G646+H646+I646 )*(1-pCAUC)+(S646+N646+O646+P646)*(pUAUC)</f>
        <v>137.97185845684103</v>
      </c>
      <c r="G647" s="101">
        <f t="shared" ref="G647:G710" si="192">F647*(rrOSEX)</f>
        <v>13.859561941180147</v>
      </c>
      <c r="H647" s="101">
        <f t="shared" ref="H647:H710" si="193">F647*rrEREX</f>
        <v>0.31715904784989279</v>
      </c>
      <c r="I647" s="101">
        <f t="shared" ref="I647:I710" si="194">F647*rrHOEX</f>
        <v>0.31715904784989279</v>
      </c>
      <c r="J647" s="101">
        <f t="shared" ref="J647:J710" si="195">F647*mr + G647*mr + H647*mr+I647*mr</f>
        <v>8.6869728016435388E-2</v>
      </c>
      <c r="K647" s="101">
        <f t="shared" ref="K647:K710" si="196">F647*amr + I647*amrHOEX</f>
        <v>2.4861818766130028E-2</v>
      </c>
      <c r="L647" s="101">
        <f t="shared" si="186"/>
        <v>123.36624687317854</v>
      </c>
      <c r="M647" s="101">
        <f t="shared" ref="M647:M710" si="197">E646*pCAUC+(L646+G646+H646+I646)*pCAUC+(S646+N646+O646+P646)*(1-pUAUC)</f>
        <v>663.56138890945556</v>
      </c>
      <c r="N647" s="101">
        <f t="shared" ref="N647:N710" si="198">M647*rrOSEXc</f>
        <v>63.902399442325702</v>
      </c>
      <c r="O647" s="101">
        <f t="shared" ref="O647:O710" si="199">M647*rrEREXc</f>
        <v>1.5253436508743381</v>
      </c>
      <c r="P647" s="101">
        <f t="shared" ref="P647:P710" si="200">M647*rrHOEXc</f>
        <v>1.5253436508743381</v>
      </c>
      <c r="Q647" s="101">
        <f t="shared" ref="Q647:Q710" si="201">M647*mr + N647*mr + O647*mr+P647*mr</f>
        <v>0.41622199478412347</v>
      </c>
      <c r="R647" s="101">
        <f t="shared" ref="R647:R710" si="202">M647*amrc + P647*amrHOEX</f>
        <v>1.7771561240736873E-2</v>
      </c>
      <c r="S647" s="101">
        <f t="shared" si="190"/>
        <v>596.17430860935633</v>
      </c>
      <c r="T647" s="101">
        <f t="shared" si="187"/>
        <v>163.62899435231074</v>
      </c>
      <c r="U647" s="101">
        <f t="shared" si="187"/>
        <v>35.383483384206308</v>
      </c>
      <c r="V647" s="33">
        <f t="shared" si="188"/>
        <v>1000.0000000000063</v>
      </c>
      <c r="W647" s="105">
        <f t="shared" ref="W647:W710" si="203">(cNES*L647+(cNES+cOSEX)*G647+(cNES+cEREX)*H647+(cNES+cHOEX)*I647 +(cNES+ cNES)*S647 +(cNES+ cOSEX)*N647 + (cNES+cEREX)*O647 + (cNES+cHOEX)*P647)/(1+cDR)^A$5:A$65536</f>
        <v>74793.323886343889</v>
      </c>
      <c r="X647" s="112">
        <f t="shared" si="189"/>
        <v>800.98752226348915</v>
      </c>
      <c r="Y647" s="32">
        <f t="shared" ref="Y647:Y710" si="204">(uNES*L647+ uOCEX*G647+uEREX*H647+uHOEX*I647+uNES*S647+ uOCEX*N647+uEREX*O647+uHOEX*P647)/(1+oDR)^A$5:A$65536</f>
        <v>438.50091974404211</v>
      </c>
    </row>
    <row r="648" spans="1:25" x14ac:dyDescent="0.25">
      <c r="A648" s="4">
        <v>642</v>
      </c>
      <c r="C648" s="110">
        <f>IF(male=0,VLOOKUP(((A646:A1480/'Life tables'!$I$2)*2)+age,lifetable,13,1),IF(male=1,VLOOKUP(((A646:A1480/'Life tables'!$I$2)*2)+age,lifetable,10,1),"error"))</f>
        <v>5.6976556749510632E-4</v>
      </c>
      <c r="F648" s="101">
        <f t="shared" si="191"/>
        <v>137.8779007777182</v>
      </c>
      <c r="G648" s="101">
        <f t="shared" si="192"/>
        <v>13.850123695669669</v>
      </c>
      <c r="H648" s="101">
        <f t="shared" si="193"/>
        <v>0.31694306519674825</v>
      </c>
      <c r="I648" s="101">
        <f t="shared" si="194"/>
        <v>0.31694306519674825</v>
      </c>
      <c r="J648" s="101">
        <f t="shared" si="195"/>
        <v>8.6810570459802144E-2</v>
      </c>
      <c r="K648" s="101">
        <f t="shared" si="196"/>
        <v>2.4844888075943164E-2</v>
      </c>
      <c r="L648" s="101">
        <f t="shared" ref="L648:L711" si="205">F648-SUM(G648:K648)</f>
        <v>123.28223549311929</v>
      </c>
      <c r="M648" s="101">
        <f t="shared" si="197"/>
        <v>663.10962148577096</v>
      </c>
      <c r="N648" s="101">
        <f t="shared" si="198"/>
        <v>63.858893260613158</v>
      </c>
      <c r="O648" s="101">
        <f t="shared" si="199"/>
        <v>1.5243051628265003</v>
      </c>
      <c r="P648" s="101">
        <f t="shared" si="200"/>
        <v>1.5243051628265003</v>
      </c>
      <c r="Q648" s="101">
        <f t="shared" si="201"/>
        <v>0.41593862154781525</v>
      </c>
      <c r="R648" s="101">
        <f t="shared" si="202"/>
        <v>1.7759461964662694E-2</v>
      </c>
      <c r="S648" s="101">
        <f t="shared" si="190"/>
        <v>595.76841981599239</v>
      </c>
      <c r="T648" s="101">
        <f t="shared" ref="T648:U711" si="206">J648+Q648+T647</f>
        <v>164.13174354431837</v>
      </c>
      <c r="U648" s="101">
        <f t="shared" si="206"/>
        <v>35.426087734246913</v>
      </c>
      <c r="V648" s="33">
        <f t="shared" ref="V648:V711" si="207">SUM(G648:I648,L648,N648,O648,P648,S648,T648,U648)</f>
        <v>1000.0000000000064</v>
      </c>
      <c r="W648" s="105">
        <f t="shared" si="203"/>
        <v>74656.495470654045</v>
      </c>
      <c r="X648" s="112">
        <f t="shared" ref="X648:X711" si="208">(L648+G648+H648+I648+N648+O648+P648+S648)</f>
        <v>800.44216872144102</v>
      </c>
      <c r="Y648" s="32">
        <f t="shared" si="204"/>
        <v>438.0763438908665</v>
      </c>
    </row>
    <row r="649" spans="1:25" x14ac:dyDescent="0.25">
      <c r="A649" s="4">
        <v>643</v>
      </c>
      <c r="C649" s="110">
        <f>IF(male=0,VLOOKUP(((A647:A1481/'Life tables'!$I$2)*2)+age,lifetable,13,1),IF(male=1,VLOOKUP(((A647:A1481/'Life tables'!$I$2)*2)+age,lifetable,10,1),"error"))</f>
        <v>5.6976556749510632E-4</v>
      </c>
      <c r="F649" s="101">
        <f t="shared" si="191"/>
        <v>137.78400768096068</v>
      </c>
      <c r="G649" s="101">
        <f t="shared" si="192"/>
        <v>13.840691937592952</v>
      </c>
      <c r="H649" s="101">
        <f t="shared" si="193"/>
        <v>0.31672723100055528</v>
      </c>
      <c r="I649" s="101">
        <f t="shared" si="194"/>
        <v>0.31672723100055528</v>
      </c>
      <c r="J649" s="101">
        <f t="shared" si="195"/>
        <v>8.6751453565464626E-2</v>
      </c>
      <c r="K649" s="101">
        <f t="shared" si="196"/>
        <v>2.4827969023166134E-2</v>
      </c>
      <c r="L649" s="101">
        <f t="shared" si="205"/>
        <v>123.19828185877799</v>
      </c>
      <c r="M649" s="101">
        <f t="shared" si="197"/>
        <v>662.65816104048042</v>
      </c>
      <c r="N649" s="101">
        <f t="shared" si="198"/>
        <v>63.815416641585067</v>
      </c>
      <c r="O649" s="101">
        <f t="shared" si="199"/>
        <v>1.5232673804368759</v>
      </c>
      <c r="P649" s="101">
        <f t="shared" si="200"/>
        <v>1.5232673804368759</v>
      </c>
      <c r="Q649" s="101">
        <f t="shared" si="201"/>
        <v>0.41565544086514511</v>
      </c>
      <c r="R649" s="101">
        <f t="shared" si="202"/>
        <v>1.7747370910111679E-2</v>
      </c>
      <c r="S649" s="101">
        <f t="shared" si="190"/>
        <v>595.36280682624636</v>
      </c>
      <c r="T649" s="101">
        <f t="shared" si="206"/>
        <v>164.63415043874897</v>
      </c>
      <c r="U649" s="101">
        <f t="shared" si="206"/>
        <v>35.468663074180192</v>
      </c>
      <c r="V649" s="33">
        <f t="shared" si="207"/>
        <v>1000.0000000000064</v>
      </c>
      <c r="W649" s="105">
        <f t="shared" si="203"/>
        <v>74519.917348359944</v>
      </c>
      <c r="X649" s="112">
        <f t="shared" si="208"/>
        <v>799.89718648707719</v>
      </c>
      <c r="Y649" s="32">
        <f t="shared" si="204"/>
        <v>437.65217913207812</v>
      </c>
    </row>
    <row r="650" spans="1:25" x14ac:dyDescent="0.25">
      <c r="A650" s="4">
        <v>644</v>
      </c>
      <c r="C650" s="110">
        <f>IF(male=0,VLOOKUP(((A648:A1482/'Life tables'!$I$2)*2)+age,lifetable,13,1),IF(male=1,VLOOKUP(((A648:A1482/'Life tables'!$I$2)*2)+age,lifetable,10,1),"error"))</f>
        <v>5.6976556749510632E-4</v>
      </c>
      <c r="F650" s="101">
        <f t="shared" si="191"/>
        <v>137.69017910329586</v>
      </c>
      <c r="G650" s="101">
        <f t="shared" si="192"/>
        <v>13.831266660594128</v>
      </c>
      <c r="H650" s="101">
        <f t="shared" si="193"/>
        <v>0.31651154511586743</v>
      </c>
      <c r="I650" s="101">
        <f t="shared" si="194"/>
        <v>0.31651154511586743</v>
      </c>
      <c r="J650" s="101">
        <f t="shared" si="195"/>
        <v>8.6692377293585157E-2</v>
      </c>
      <c r="K650" s="101">
        <f t="shared" si="196"/>
        <v>2.4811061596397534E-2</v>
      </c>
      <c r="L650" s="101">
        <f t="shared" si="205"/>
        <v>123.11438591358001</v>
      </c>
      <c r="M650" s="101">
        <f t="shared" si="197"/>
        <v>662.20700738378139</v>
      </c>
      <c r="N650" s="101">
        <f t="shared" si="198"/>
        <v>63.771969566963037</v>
      </c>
      <c r="O650" s="101">
        <f t="shared" si="199"/>
        <v>1.522230303269162</v>
      </c>
      <c r="P650" s="101">
        <f t="shared" si="200"/>
        <v>1.522230303269162</v>
      </c>
      <c r="Q650" s="101">
        <f t="shared" si="201"/>
        <v>0.41537245261705841</v>
      </c>
      <c r="R650" s="101">
        <f t="shared" si="202"/>
        <v>1.7735288072000522E-2</v>
      </c>
      <c r="S650" s="101">
        <f t="shared" si="190"/>
        <v>594.95746946959093</v>
      </c>
      <c r="T650" s="101">
        <f t="shared" si="206"/>
        <v>165.13621526865961</v>
      </c>
      <c r="U650" s="101">
        <f t="shared" si="206"/>
        <v>35.511209423848591</v>
      </c>
      <c r="V650" s="33">
        <f t="shared" si="207"/>
        <v>1000.0000000000065</v>
      </c>
      <c r="W650" s="105">
        <f t="shared" si="203"/>
        <v>74383.589062373183</v>
      </c>
      <c r="X650" s="112">
        <f t="shared" si="208"/>
        <v>799.35257530749823</v>
      </c>
      <c r="Y650" s="32">
        <f t="shared" si="204"/>
        <v>437.2284250695912</v>
      </c>
    </row>
    <row r="651" spans="1:25" x14ac:dyDescent="0.25">
      <c r="A651" s="4">
        <v>645</v>
      </c>
      <c r="C651" s="110">
        <f>IF(male=0,VLOOKUP(((A649:A1483/'Life tables'!$I$2)*2)+age,lifetable,13,1),IF(male=1,VLOOKUP(((A649:A1483/'Life tables'!$I$2)*2)+age,lifetable,10,1),"error"))</f>
        <v>5.6976556749510632E-4</v>
      </c>
      <c r="F651" s="101">
        <f t="shared" si="191"/>
        <v>137.59641498210377</v>
      </c>
      <c r="G651" s="101">
        <f t="shared" si="192"/>
        <v>13.821847858382888</v>
      </c>
      <c r="H651" s="101">
        <f t="shared" si="193"/>
        <v>0.31629600739873892</v>
      </c>
      <c r="I651" s="101">
        <f t="shared" si="194"/>
        <v>0.31629600739873892</v>
      </c>
      <c r="J651" s="101">
        <f t="shared" si="195"/>
        <v>8.6633341604736985E-2</v>
      </c>
      <c r="K651" s="101">
        <f t="shared" si="196"/>
        <v>2.4794165784353572E-2</v>
      </c>
      <c r="L651" s="101">
        <f t="shared" si="205"/>
        <v>123.03054760153431</v>
      </c>
      <c r="M651" s="101">
        <f t="shared" si="197"/>
        <v>661.75616032539426</v>
      </c>
      <c r="N651" s="101">
        <f t="shared" si="198"/>
        <v>63.728552018422725</v>
      </c>
      <c r="O651" s="101">
        <f t="shared" si="199"/>
        <v>1.5211939308859581</v>
      </c>
      <c r="P651" s="101">
        <f t="shared" si="200"/>
        <v>1.5211939308859581</v>
      </c>
      <c r="Q651" s="101">
        <f t="shared" si="201"/>
        <v>0.4150896566842015</v>
      </c>
      <c r="R651" s="101">
        <f t="shared" si="202"/>
        <v>1.772321344523313E-2</v>
      </c>
      <c r="S651" s="101">
        <f t="shared" si="190"/>
        <v>594.55240757507022</v>
      </c>
      <c r="T651" s="101">
        <f t="shared" si="206"/>
        <v>165.63793826694854</v>
      </c>
      <c r="U651" s="101">
        <f t="shared" si="206"/>
        <v>35.553726803078177</v>
      </c>
      <c r="V651" s="33">
        <f t="shared" si="207"/>
        <v>1000.0000000000064</v>
      </c>
      <c r="W651" s="105">
        <f t="shared" si="203"/>
        <v>74247.510156415097</v>
      </c>
      <c r="X651" s="112">
        <f t="shared" si="208"/>
        <v>798.80833492997954</v>
      </c>
      <c r="Y651" s="32">
        <f t="shared" si="204"/>
        <v>436.80508130570735</v>
      </c>
    </row>
    <row r="652" spans="1:25" x14ac:dyDescent="0.25">
      <c r="A652" s="4">
        <v>646</v>
      </c>
      <c r="C652" s="110">
        <f>IF(male=0,VLOOKUP(((A650:A1484/'Life tables'!$I$2)*2)+age,lifetable,13,1),IF(male=1,VLOOKUP(((A650:A1484/'Life tables'!$I$2)*2)+age,lifetable,10,1),"error"))</f>
        <v>5.6976556749510632E-4</v>
      </c>
      <c r="F652" s="101">
        <f t="shared" si="191"/>
        <v>137.50271525539736</v>
      </c>
      <c r="G652" s="101">
        <f t="shared" si="192"/>
        <v>13.812435524732505</v>
      </c>
      <c r="H652" s="101">
        <f t="shared" si="193"/>
        <v>0.31608061770667867</v>
      </c>
      <c r="I652" s="101">
        <f t="shared" si="194"/>
        <v>0.31608061770667867</v>
      </c>
      <c r="J652" s="101">
        <f t="shared" si="195"/>
        <v>8.6574346459891968E-2</v>
      </c>
      <c r="K652" s="101">
        <f t="shared" si="196"/>
        <v>2.4777281575864493E-2</v>
      </c>
      <c r="L652" s="101">
        <f t="shared" si="205"/>
        <v>122.94676686721574</v>
      </c>
      <c r="M652" s="101">
        <f t="shared" si="197"/>
        <v>661.3056196745822</v>
      </c>
      <c r="N652" s="101">
        <f t="shared" si="198"/>
        <v>63.685163977595771</v>
      </c>
      <c r="O652" s="101">
        <f t="shared" si="199"/>
        <v>1.5201582628488133</v>
      </c>
      <c r="P652" s="101">
        <f t="shared" si="200"/>
        <v>1.5201582628488133</v>
      </c>
      <c r="Q652" s="101">
        <f t="shared" si="201"/>
        <v>0.41480705294693387</v>
      </c>
      <c r="R652" s="101">
        <f t="shared" si="202"/>
        <v>1.7711147024701179E-2</v>
      </c>
      <c r="S652" s="101">
        <f t="shared" si="190"/>
        <v>594.14762097131711</v>
      </c>
      <c r="T652" s="101">
        <f t="shared" si="206"/>
        <v>166.13931966635536</v>
      </c>
      <c r="U652" s="101">
        <f t="shared" si="206"/>
        <v>35.596215231678741</v>
      </c>
      <c r="V652" s="33">
        <f t="shared" si="207"/>
        <v>1000.0000000000061</v>
      </c>
      <c r="W652" s="105">
        <f t="shared" si="203"/>
        <v>74111.68017501643</v>
      </c>
      <c r="X652" s="112">
        <f t="shared" si="208"/>
        <v>798.26446510197206</v>
      </c>
      <c r="Y652" s="32">
        <f t="shared" si="204"/>
        <v>436.38214744311472</v>
      </c>
    </row>
    <row r="653" spans="1:25" x14ac:dyDescent="0.25">
      <c r="A653" s="4">
        <v>647</v>
      </c>
      <c r="C653" s="110">
        <f>IF(male=0,VLOOKUP(((A651:A1485/'Life tables'!$I$2)*2)+age,lifetable,13,1),IF(male=1,VLOOKUP(((A651:A1485/'Life tables'!$I$2)*2)+age,lifetable,10,1),"error"))</f>
        <v>5.6976556749510632E-4</v>
      </c>
      <c r="F653" s="101">
        <f t="shared" si="191"/>
        <v>137.40907986180366</v>
      </c>
      <c r="G653" s="101">
        <f t="shared" si="192"/>
        <v>13.803029653477937</v>
      </c>
      <c r="H653" s="101">
        <f t="shared" si="193"/>
        <v>0.31586537589860725</v>
      </c>
      <c r="I653" s="101">
        <f t="shared" si="194"/>
        <v>0.31586537589860725</v>
      </c>
      <c r="J653" s="101">
        <f t="shared" si="195"/>
        <v>8.6515391820408447E-2</v>
      </c>
      <c r="K653" s="101">
        <f t="shared" si="196"/>
        <v>2.4760408959871215E-2</v>
      </c>
      <c r="L653" s="101">
        <f t="shared" si="205"/>
        <v>122.86304365574823</v>
      </c>
      <c r="M653" s="101">
        <f t="shared" si="197"/>
        <v>660.85538524016829</v>
      </c>
      <c r="N653" s="101">
        <f t="shared" si="198"/>
        <v>63.641805426071407</v>
      </c>
      <c r="O653" s="101">
        <f t="shared" si="199"/>
        <v>1.5191232987182646</v>
      </c>
      <c r="P653" s="101">
        <f t="shared" si="200"/>
        <v>1.5191232987182646</v>
      </c>
      <c r="Q653" s="101">
        <f t="shared" si="201"/>
        <v>0.41452464128533878</v>
      </c>
      <c r="R653" s="101">
        <f t="shared" si="202"/>
        <v>1.7699088805284546E-2</v>
      </c>
      <c r="S653" s="101">
        <f t="shared" si="190"/>
        <v>593.74310948656967</v>
      </c>
      <c r="T653" s="101">
        <f t="shared" si="206"/>
        <v>166.6403596994611</v>
      </c>
      <c r="U653" s="101">
        <f t="shared" si="206"/>
        <v>35.638674729443899</v>
      </c>
      <c r="V653" s="33">
        <f t="shared" si="207"/>
        <v>1000.000000000006</v>
      </c>
      <c r="W653" s="105">
        <f t="shared" si="203"/>
        <v>73976.098663516357</v>
      </c>
      <c r="X653" s="112">
        <f t="shared" si="208"/>
        <v>797.72096557110092</v>
      </c>
      <c r="Y653" s="32">
        <f t="shared" si="204"/>
        <v>435.95962308488708</v>
      </c>
    </row>
    <row r="654" spans="1:25" x14ac:dyDescent="0.25">
      <c r="A654" s="4">
        <v>648</v>
      </c>
      <c r="C654" s="110">
        <f>IF(male=0,VLOOKUP(((A652:A1486/'Life tables'!$I$2)*2)+age,lifetable,13,1),IF(male=1,VLOOKUP(((A652:A1486/'Life tables'!$I$2)*2)+age,lifetable,10,1),"error"))</f>
        <v>5.6976556749510632E-4</v>
      </c>
      <c r="F654" s="101">
        <f t="shared" si="191"/>
        <v>137.31550874054494</v>
      </c>
      <c r="G654" s="101">
        <f t="shared" si="192"/>
        <v>13.793630238513931</v>
      </c>
      <c r="H654" s="101">
        <f t="shared" si="193"/>
        <v>0.31565028183481347</v>
      </c>
      <c r="I654" s="101">
        <f t="shared" si="194"/>
        <v>0.31565028183481347</v>
      </c>
      <c r="J654" s="101">
        <f t="shared" si="195"/>
        <v>8.6456477648019586E-2</v>
      </c>
      <c r="K654" s="101">
        <f t="shared" si="196"/>
        <v>2.474354792542189E-2</v>
      </c>
      <c r="L654" s="101">
        <f t="shared" si="205"/>
        <v>122.77937791278795</v>
      </c>
      <c r="M654" s="101">
        <f t="shared" si="197"/>
        <v>660.40545683055598</v>
      </c>
      <c r="N654" s="101">
        <f t="shared" si="198"/>
        <v>63.598476345398481</v>
      </c>
      <c r="O654" s="101">
        <f t="shared" si="199"/>
        <v>1.5180890380538852</v>
      </c>
      <c r="P654" s="101">
        <f t="shared" si="200"/>
        <v>1.5180890380538852</v>
      </c>
      <c r="Q654" s="101">
        <f t="shared" si="201"/>
        <v>0.41424242157923652</v>
      </c>
      <c r="R654" s="101">
        <f t="shared" si="202"/>
        <v>1.7687038781851877E-2</v>
      </c>
      <c r="S654" s="101">
        <f t="shared" si="190"/>
        <v>593.33887294868862</v>
      </c>
      <c r="T654" s="101">
        <f t="shared" si="206"/>
        <v>167.14105859868835</v>
      </c>
      <c r="U654" s="101">
        <f t="shared" si="206"/>
        <v>35.681105316151175</v>
      </c>
      <c r="V654" s="33">
        <f t="shared" si="207"/>
        <v>1000.0000000000059</v>
      </c>
      <c r="W654" s="105">
        <f t="shared" si="203"/>
        <v>73840.765168062164</v>
      </c>
      <c r="X654" s="112">
        <f t="shared" si="208"/>
        <v>797.1778360851664</v>
      </c>
      <c r="Y654" s="32">
        <f t="shared" si="204"/>
        <v>435.53750783448413</v>
      </c>
    </row>
    <row r="655" spans="1:25" x14ac:dyDescent="0.25">
      <c r="A655" s="4">
        <v>649</v>
      </c>
      <c r="C655" s="110">
        <f>IF(male=0,VLOOKUP(((A653:A1487/'Life tables'!$I$2)*2)+age,lifetable,13,1),IF(male=1,VLOOKUP(((A653:A1487/'Life tables'!$I$2)*2)+age,lifetable,10,1),"error"))</f>
        <v>5.6976556749510632E-4</v>
      </c>
      <c r="F655" s="101">
        <f t="shared" si="191"/>
        <v>137.22200183142118</v>
      </c>
      <c r="G655" s="101">
        <f t="shared" si="192"/>
        <v>13.78423727379327</v>
      </c>
      <c r="H655" s="101">
        <f t="shared" si="193"/>
        <v>0.31543533537691415</v>
      </c>
      <c r="I655" s="101">
        <f t="shared" si="194"/>
        <v>0.31543533537691415</v>
      </c>
      <c r="J655" s="101">
        <f t="shared" si="195"/>
        <v>8.639760390482229E-2</v>
      </c>
      <c r="K655" s="101">
        <f t="shared" si="196"/>
        <v>2.4726698461668792E-2</v>
      </c>
      <c r="L655" s="101">
        <f t="shared" si="205"/>
        <v>122.69576958450759</v>
      </c>
      <c r="M655" s="101">
        <f t="shared" si="197"/>
        <v>659.95583425374514</v>
      </c>
      <c r="N655" s="101">
        <f t="shared" si="198"/>
        <v>63.555176717086965</v>
      </c>
      <c r="O655" s="101">
        <f t="shared" si="199"/>
        <v>1.5170554804143195</v>
      </c>
      <c r="P655" s="101">
        <f t="shared" si="200"/>
        <v>1.5170554804143195</v>
      </c>
      <c r="Q655" s="101">
        <f t="shared" si="201"/>
        <v>0.41396039370819393</v>
      </c>
      <c r="R655" s="101">
        <f t="shared" si="202"/>
        <v>1.7674996949261008E-2</v>
      </c>
      <c r="S655" s="101">
        <f t="shared" si="190"/>
        <v>592.93491118517204</v>
      </c>
      <c r="T655" s="101">
        <f t="shared" si="206"/>
        <v>167.64141659630135</v>
      </c>
      <c r="U655" s="101">
        <f t="shared" si="206"/>
        <v>35.723507011562106</v>
      </c>
      <c r="V655" s="33">
        <f t="shared" si="207"/>
        <v>1000.0000000000058</v>
      </c>
      <c r="W655" s="105">
        <f t="shared" si="203"/>
        <v>73705.679235608142</v>
      </c>
      <c r="X655" s="112">
        <f t="shared" si="208"/>
        <v>796.63507639214231</v>
      </c>
      <c r="Y655" s="32">
        <f t="shared" si="204"/>
        <v>435.115801295751</v>
      </c>
    </row>
    <row r="656" spans="1:25" x14ac:dyDescent="0.25">
      <c r="A656" s="4">
        <v>650</v>
      </c>
      <c r="C656" s="110">
        <f>IF(male=0,VLOOKUP(((A654:A1488/'Life tables'!$I$2)*2)+age,lifetable,13,1),IF(male=1,VLOOKUP(((A654:A1488/'Life tables'!$I$2)*2)+age,lifetable,10,1),"error"))</f>
        <v>5.6976556749510632E-4</v>
      </c>
      <c r="F656" s="101">
        <f t="shared" si="191"/>
        <v>137.12855907479238</v>
      </c>
      <c r="G656" s="101">
        <f t="shared" si="192"/>
        <v>13.774850753324992</v>
      </c>
      <c r="H656" s="101">
        <f t="shared" si="193"/>
        <v>0.31522053638781355</v>
      </c>
      <c r="I656" s="101">
        <f t="shared" si="194"/>
        <v>0.31522053638781355</v>
      </c>
      <c r="J656" s="101">
        <f t="shared" si="195"/>
        <v>8.6338770553266136E-2</v>
      </c>
      <c r="K656" s="101">
        <f t="shared" si="196"/>
        <v>2.4709860557865101E-2</v>
      </c>
      <c r="L656" s="101">
        <f t="shared" si="205"/>
        <v>122.61221861758062</v>
      </c>
      <c r="M656" s="101">
        <f t="shared" si="197"/>
        <v>659.50651731735002</v>
      </c>
      <c r="N656" s="101">
        <f t="shared" si="198"/>
        <v>63.511906522609685</v>
      </c>
      <c r="O656" s="101">
        <f t="shared" si="199"/>
        <v>1.5160226253573261</v>
      </c>
      <c r="P656" s="101">
        <f t="shared" si="200"/>
        <v>1.5160226253573261</v>
      </c>
      <c r="Q656" s="101">
        <f t="shared" si="201"/>
        <v>0.41367855755153626</v>
      </c>
      <c r="R656" s="101">
        <f t="shared" si="202"/>
        <v>1.7662963302359447E-2</v>
      </c>
      <c r="S656" s="101">
        <f t="shared" si="190"/>
        <v>592.53122402317183</v>
      </c>
      <c r="T656" s="101">
        <f t="shared" si="206"/>
        <v>168.14143392440616</v>
      </c>
      <c r="U656" s="101">
        <f t="shared" si="206"/>
        <v>35.765879835422332</v>
      </c>
      <c r="V656" s="33">
        <f t="shared" si="207"/>
        <v>1000.0000000000059</v>
      </c>
      <c r="W656" s="105">
        <f t="shared" si="203"/>
        <v>73570.84041391527</v>
      </c>
      <c r="X656" s="112">
        <f t="shared" si="208"/>
        <v>796.09268624017739</v>
      </c>
      <c r="Y656" s="32">
        <f t="shared" si="204"/>
        <v>434.69450307291714</v>
      </c>
    </row>
    <row r="657" spans="1:25" x14ac:dyDescent="0.25">
      <c r="A657" s="4">
        <v>651</v>
      </c>
      <c r="C657" s="110">
        <f>IF(male=0,VLOOKUP(((A655:A1489/'Life tables'!$I$2)*2)+age,lifetable,13,1),IF(male=1,VLOOKUP(((A655:A1489/'Life tables'!$I$2)*2)+age,lifetable,10,1),"error"))</f>
        <v>5.6976556749510632E-4</v>
      </c>
      <c r="F657" s="101">
        <f t="shared" si="191"/>
        <v>137.0351804115621</v>
      </c>
      <c r="G657" s="101">
        <f t="shared" si="192"/>
        <v>13.765470671172736</v>
      </c>
      <c r="H657" s="101">
        <f t="shared" si="193"/>
        <v>0.31500588473166535</v>
      </c>
      <c r="I657" s="101">
        <f t="shared" si="194"/>
        <v>0.31500588473166535</v>
      </c>
      <c r="J657" s="101">
        <f t="shared" si="195"/>
        <v>8.6279977556142792E-2</v>
      </c>
      <c r="K657" s="101">
        <f t="shared" si="196"/>
        <v>2.4693034203361941E-2</v>
      </c>
      <c r="L657" s="101">
        <f t="shared" si="205"/>
        <v>122.52872495916652</v>
      </c>
      <c r="M657" s="101">
        <f t="shared" si="197"/>
        <v>659.05750582861538</v>
      </c>
      <c r="N657" s="101">
        <f t="shared" si="198"/>
        <v>63.468665743403911</v>
      </c>
      <c r="O657" s="101">
        <f t="shared" si="199"/>
        <v>1.5149904724398144</v>
      </c>
      <c r="P657" s="101">
        <f t="shared" si="200"/>
        <v>1.5149904724398144</v>
      </c>
      <c r="Q657" s="101">
        <f t="shared" si="201"/>
        <v>0.41339691298835679</v>
      </c>
      <c r="R657" s="101">
        <f t="shared" si="202"/>
        <v>1.7650937835984804E-2</v>
      </c>
      <c r="S657" s="101">
        <f t="shared" si="190"/>
        <v>592.12781128950746</v>
      </c>
      <c r="T657" s="101">
        <f t="shared" si="206"/>
        <v>168.64111081495065</v>
      </c>
      <c r="U657" s="101">
        <f t="shared" si="206"/>
        <v>35.80822380746168</v>
      </c>
      <c r="V657" s="33">
        <f t="shared" si="207"/>
        <v>1000.0000000000059</v>
      </c>
      <c r="W657" s="105">
        <f t="shared" si="203"/>
        <v>73436.248251550162</v>
      </c>
      <c r="X657" s="112">
        <f t="shared" si="208"/>
        <v>795.55066537759365</v>
      </c>
      <c r="Y657" s="32">
        <f t="shared" si="204"/>
        <v>434.27361277059686</v>
      </c>
    </row>
    <row r="658" spans="1:25" x14ac:dyDescent="0.25">
      <c r="A658" s="4">
        <v>652</v>
      </c>
      <c r="C658" s="110">
        <f>IF(male=0,VLOOKUP(((A656:A1490/'Life tables'!$I$2)*2)+age,lifetable,13,1),IF(male=1,VLOOKUP(((A656:A1490/'Life tables'!$I$2)*2)+age,lifetable,10,1),"error"))</f>
        <v>6.1270435815030666E-4</v>
      </c>
      <c r="F658" s="101">
        <f t="shared" si="191"/>
        <v>136.94186578316106</v>
      </c>
      <c r="G658" s="101">
        <f t="shared" si="192"/>
        <v>13.756097021453094</v>
      </c>
      <c r="H658" s="101">
        <f t="shared" si="193"/>
        <v>0.31479138027383491</v>
      </c>
      <c r="I658" s="101">
        <f t="shared" si="194"/>
        <v>0.31479138027383491</v>
      </c>
      <c r="J658" s="101">
        <f t="shared" si="195"/>
        <v>9.271904667596377E-2</v>
      </c>
      <c r="K658" s="101">
        <f t="shared" si="196"/>
        <v>2.4676219387605426E-2</v>
      </c>
      <c r="L658" s="101">
        <f t="shared" si="205"/>
        <v>122.43879073509673</v>
      </c>
      <c r="M658" s="101">
        <f t="shared" si="197"/>
        <v>658.60879959443241</v>
      </c>
      <c r="N658" s="101">
        <f t="shared" si="198"/>
        <v>63.425454360872827</v>
      </c>
      <c r="O658" s="101">
        <f t="shared" si="199"/>
        <v>1.5139590212178806</v>
      </c>
      <c r="P658" s="101">
        <f t="shared" si="200"/>
        <v>1.5139590212178806</v>
      </c>
      <c r="Q658" s="101">
        <f t="shared" si="201"/>
        <v>0.44424875271294317</v>
      </c>
      <c r="R658" s="101">
        <f t="shared" si="202"/>
        <v>1.7638920544965221E-2</v>
      </c>
      <c r="S658" s="101">
        <f t="shared" si="190"/>
        <v>591.69353951786593</v>
      </c>
      <c r="T658" s="101">
        <f t="shared" si="206"/>
        <v>169.17807861433957</v>
      </c>
      <c r="U658" s="101">
        <f t="shared" si="206"/>
        <v>35.850538947394249</v>
      </c>
      <c r="V658" s="33">
        <f t="shared" si="207"/>
        <v>1000.0000000000059</v>
      </c>
      <c r="W658" s="105">
        <f t="shared" si="203"/>
        <v>73298.899160499263</v>
      </c>
      <c r="X658" s="112">
        <f t="shared" si="208"/>
        <v>794.97138243827203</v>
      </c>
      <c r="Y658" s="32">
        <f t="shared" si="204"/>
        <v>433.83225972732322</v>
      </c>
    </row>
    <row r="659" spans="1:25" x14ac:dyDescent="0.25">
      <c r="A659" s="4">
        <v>653</v>
      </c>
      <c r="C659" s="110">
        <f>IF(male=0,VLOOKUP(((A657:A1491/'Life tables'!$I$2)*2)+age,lifetable,13,1),IF(male=1,VLOOKUP(((A657:A1491/'Life tables'!$I$2)*2)+age,lifetable,10,1),"error"))</f>
        <v>6.1270435815030666E-4</v>
      </c>
      <c r="F659" s="101">
        <f t="shared" si="191"/>
        <v>136.84211712288729</v>
      </c>
      <c r="G659" s="101">
        <f t="shared" si="192"/>
        <v>13.746077059766149</v>
      </c>
      <c r="H659" s="101">
        <f t="shared" si="193"/>
        <v>0.31456208576065975</v>
      </c>
      <c r="I659" s="101">
        <f t="shared" si="194"/>
        <v>0.31456208576065975</v>
      </c>
      <c r="J659" s="101">
        <f t="shared" si="195"/>
        <v>9.2651509983405225E-2</v>
      </c>
      <c r="K659" s="101">
        <f t="shared" si="196"/>
        <v>2.465824519242079E-2</v>
      </c>
      <c r="L659" s="101">
        <f t="shared" si="205"/>
        <v>122.349606136424</v>
      </c>
      <c r="M659" s="101">
        <f t="shared" si="197"/>
        <v>658.1292653153846</v>
      </c>
      <c r="N659" s="101">
        <f t="shared" si="198"/>
        <v>63.379274170828374</v>
      </c>
      <c r="O659" s="101">
        <f t="shared" si="199"/>
        <v>1.512856704868335</v>
      </c>
      <c r="P659" s="101">
        <f t="shared" si="200"/>
        <v>1.512856704868335</v>
      </c>
      <c r="Q659" s="101">
        <f t="shared" si="201"/>
        <v>0.44392529437852485</v>
      </c>
      <c r="R659" s="101">
        <f t="shared" si="202"/>
        <v>1.7626077614454852E-2</v>
      </c>
      <c r="S659" s="101">
        <f t="shared" si="190"/>
        <v>591.26272636282658</v>
      </c>
      <c r="T659" s="101">
        <f t="shared" si="206"/>
        <v>169.71465541870151</v>
      </c>
      <c r="U659" s="101">
        <f t="shared" si="206"/>
        <v>35.892823270201127</v>
      </c>
      <c r="V659" s="33">
        <f t="shared" si="207"/>
        <v>1000.0000000000058</v>
      </c>
      <c r="W659" s="105">
        <f t="shared" si="203"/>
        <v>73161.342056726833</v>
      </c>
      <c r="X659" s="112">
        <f t="shared" si="208"/>
        <v>794.39252131110311</v>
      </c>
      <c r="Y659" s="32">
        <f t="shared" si="204"/>
        <v>433.39168907808619</v>
      </c>
    </row>
    <row r="660" spans="1:25" x14ac:dyDescent="0.25">
      <c r="A660" s="4">
        <v>654</v>
      </c>
      <c r="C660" s="110">
        <f>IF(male=0,VLOOKUP(((A658:A1492/'Life tables'!$I$2)*2)+age,lifetable,13,1),IF(male=1,VLOOKUP(((A658:A1492/'Life tables'!$I$2)*2)+age,lifetable,10,1),"error"))</f>
        <v>6.1270435815030666E-4</v>
      </c>
      <c r="F660" s="101">
        <f t="shared" si="191"/>
        <v>136.74244217033583</v>
      </c>
      <c r="G660" s="101">
        <f t="shared" si="192"/>
        <v>13.736064502174173</v>
      </c>
      <c r="H660" s="101">
        <f t="shared" si="193"/>
        <v>0.31433296068110167</v>
      </c>
      <c r="I660" s="101">
        <f t="shared" si="194"/>
        <v>0.31433296068110167</v>
      </c>
      <c r="J660" s="101">
        <f t="shared" si="195"/>
        <v>9.2584023196036064E-2</v>
      </c>
      <c r="K660" s="101">
        <f t="shared" si="196"/>
        <v>2.4640284278988345E-2</v>
      </c>
      <c r="L660" s="101">
        <f t="shared" si="205"/>
        <v>122.26048743932444</v>
      </c>
      <c r="M660" s="101">
        <f t="shared" si="197"/>
        <v>657.65007914076728</v>
      </c>
      <c r="N660" s="101">
        <f t="shared" si="198"/>
        <v>63.333127503994788</v>
      </c>
      <c r="O660" s="101">
        <f t="shared" si="199"/>
        <v>1.5117551887143577</v>
      </c>
      <c r="P660" s="101">
        <f t="shared" si="200"/>
        <v>1.5117551887143577</v>
      </c>
      <c r="Q660" s="101">
        <f t="shared" si="201"/>
        <v>0.44360207084959213</v>
      </c>
      <c r="R660" s="101">
        <f t="shared" si="202"/>
        <v>1.7613244006908873E-2</v>
      </c>
      <c r="S660" s="101">
        <f t="shared" si="190"/>
        <v>590.83222594448728</v>
      </c>
      <c r="T660" s="101">
        <f t="shared" si="206"/>
        <v>170.25084151274714</v>
      </c>
      <c r="U660" s="101">
        <f t="shared" si="206"/>
        <v>35.935076798487025</v>
      </c>
      <c r="V660" s="33">
        <f t="shared" si="207"/>
        <v>1000.0000000000057</v>
      </c>
      <c r="W660" s="105">
        <f t="shared" si="203"/>
        <v>73024.043060486671</v>
      </c>
      <c r="X660" s="112">
        <f t="shared" si="208"/>
        <v>793.81408168877158</v>
      </c>
      <c r="Y660" s="32">
        <f t="shared" si="204"/>
        <v>432.95156584499688</v>
      </c>
    </row>
    <row r="661" spans="1:25" x14ac:dyDescent="0.25">
      <c r="A661" s="4">
        <v>655</v>
      </c>
      <c r="C661" s="110">
        <f>IF(male=0,VLOOKUP(((A659:A1493/'Life tables'!$I$2)*2)+age,lifetable,13,1),IF(male=1,VLOOKUP(((A659:A1493/'Life tables'!$I$2)*2)+age,lifetable,10,1),"error"))</f>
        <v>6.1270435815030666E-4</v>
      </c>
      <c r="F661" s="101">
        <f t="shared" si="191"/>
        <v>136.64284083782258</v>
      </c>
      <c r="G661" s="101">
        <f t="shared" si="192"/>
        <v>13.726059339869114</v>
      </c>
      <c r="H661" s="101">
        <f t="shared" si="193"/>
        <v>0.31410400483359913</v>
      </c>
      <c r="I661" s="101">
        <f t="shared" si="194"/>
        <v>0.31410400483359913</v>
      </c>
      <c r="J661" s="101">
        <f t="shared" si="195"/>
        <v>9.2516586254488151E-2</v>
      </c>
      <c r="K661" s="101">
        <f t="shared" si="196"/>
        <v>2.4622336631507868E-2</v>
      </c>
      <c r="L661" s="101">
        <f t="shared" si="205"/>
        <v>122.17143456540026</v>
      </c>
      <c r="M661" s="101">
        <f t="shared" si="197"/>
        <v>657.17124085094895</v>
      </c>
      <c r="N661" s="101">
        <f t="shared" si="198"/>
        <v>63.287014339221081</v>
      </c>
      <c r="O661" s="101">
        <f t="shared" si="199"/>
        <v>1.5106544722510773</v>
      </c>
      <c r="P661" s="101">
        <f t="shared" si="200"/>
        <v>1.5106544722510773</v>
      </c>
      <c r="Q661" s="101">
        <f t="shared" si="201"/>
        <v>0.44327908197799792</v>
      </c>
      <c r="R661" s="101">
        <f t="shared" si="202"/>
        <v>1.7600419716445107E-2</v>
      </c>
      <c r="S661" s="101">
        <f t="shared" si="190"/>
        <v>590.40203806553131</v>
      </c>
      <c r="T661" s="101">
        <f t="shared" si="206"/>
        <v>170.78663718097962</v>
      </c>
      <c r="U661" s="101">
        <f t="shared" si="206"/>
        <v>35.977299554834978</v>
      </c>
      <c r="V661" s="33">
        <f t="shared" si="207"/>
        <v>1000.0000000000057</v>
      </c>
      <c r="W661" s="105">
        <f t="shared" si="203"/>
        <v>72887.001688796066</v>
      </c>
      <c r="X661" s="112">
        <f t="shared" si="208"/>
        <v>793.23606326419122</v>
      </c>
      <c r="Y661" s="32">
        <f t="shared" si="204"/>
        <v>432.51188957360927</v>
      </c>
    </row>
    <row r="662" spans="1:25" x14ac:dyDescent="0.25">
      <c r="A662" s="4">
        <v>656</v>
      </c>
      <c r="C662" s="110">
        <f>IF(male=0,VLOOKUP(((A660:A1494/'Life tables'!$I$2)*2)+age,lifetable,13,1),IF(male=1,VLOOKUP(((A660:A1494/'Life tables'!$I$2)*2)+age,lifetable,10,1),"error"))</f>
        <v>6.1270435815030666E-4</v>
      </c>
      <c r="F662" s="101">
        <f t="shared" si="191"/>
        <v>136.54331303880306</v>
      </c>
      <c r="G662" s="101">
        <f t="shared" si="192"/>
        <v>13.716061564157396</v>
      </c>
      <c r="H662" s="101">
        <f t="shared" si="193"/>
        <v>0.31387521801921048</v>
      </c>
      <c r="I662" s="101">
        <f t="shared" si="194"/>
        <v>0.31387521801921048</v>
      </c>
      <c r="J662" s="101">
        <f t="shared" si="195"/>
        <v>9.2449199100164886E-2</v>
      </c>
      <c r="K662" s="101">
        <f t="shared" si="196"/>
        <v>2.4604402234384492E-2</v>
      </c>
      <c r="L662" s="101">
        <f t="shared" si="205"/>
        <v>122.08244743727269</v>
      </c>
      <c r="M662" s="101">
        <f t="shared" si="197"/>
        <v>656.69275022538807</v>
      </c>
      <c r="N662" s="101">
        <f t="shared" si="198"/>
        <v>63.240934655268624</v>
      </c>
      <c r="O662" s="101">
        <f t="shared" si="199"/>
        <v>1.5095545549715295</v>
      </c>
      <c r="P662" s="101">
        <f t="shared" si="200"/>
        <v>1.5095545549715295</v>
      </c>
      <c r="Q662" s="101">
        <f t="shared" si="201"/>
        <v>0.44295632761498127</v>
      </c>
      <c r="R662" s="101">
        <f t="shared" si="202"/>
        <v>1.7587604737156981E-2</v>
      </c>
      <c r="S662" s="101">
        <f t="shared" si="190"/>
        <v>589.97216252782425</v>
      </c>
      <c r="T662" s="101">
        <f t="shared" si="206"/>
        <v>171.32204270769478</v>
      </c>
      <c r="U662" s="101">
        <f t="shared" si="206"/>
        <v>36.019491561806518</v>
      </c>
      <c r="V662" s="33">
        <f t="shared" si="207"/>
        <v>1000.0000000000057</v>
      </c>
      <c r="W662" s="105">
        <f t="shared" si="203"/>
        <v>72750.217459532927</v>
      </c>
      <c r="X662" s="112">
        <f t="shared" si="208"/>
        <v>792.65846573050442</v>
      </c>
      <c r="Y662" s="32">
        <f t="shared" si="204"/>
        <v>432.0726598099414</v>
      </c>
    </row>
    <row r="663" spans="1:25" x14ac:dyDescent="0.25">
      <c r="A663" s="4">
        <v>657</v>
      </c>
      <c r="C663" s="110">
        <f>IF(male=0,VLOOKUP(((A661:A1495/'Life tables'!$I$2)*2)+age,lifetable,13,1),IF(male=1,VLOOKUP(((A661:A1495/'Life tables'!$I$2)*2)+age,lifetable,10,1),"error"))</f>
        <v>6.1270435815030666E-4</v>
      </c>
      <c r="F663" s="101">
        <f t="shared" si="191"/>
        <v>136.44385868783749</v>
      </c>
      <c r="G663" s="101">
        <f t="shared" si="192"/>
        <v>13.706071166456416</v>
      </c>
      <c r="H663" s="101">
        <f t="shared" si="193"/>
        <v>0.31364660004153327</v>
      </c>
      <c r="I663" s="101">
        <f t="shared" si="194"/>
        <v>0.31364660004153327</v>
      </c>
      <c r="J663" s="101">
        <f t="shared" si="195"/>
        <v>9.2381861675217669E-2</v>
      </c>
      <c r="K663" s="101">
        <f t="shared" si="196"/>
        <v>2.4586481072222409E-2</v>
      </c>
      <c r="L663" s="101">
        <f t="shared" si="205"/>
        <v>121.99352597855057</v>
      </c>
      <c r="M663" s="101">
        <f t="shared" si="197"/>
        <v>656.21460704266678</v>
      </c>
      <c r="N663" s="101">
        <f t="shared" si="198"/>
        <v>63.194888430814402</v>
      </c>
      <c r="O663" s="101">
        <f t="shared" si="199"/>
        <v>1.5084554363667364</v>
      </c>
      <c r="P663" s="101">
        <f t="shared" si="200"/>
        <v>1.5084554363667364</v>
      </c>
      <c r="Q663" s="101">
        <f t="shared" si="201"/>
        <v>0.44263380761119003</v>
      </c>
      <c r="R663" s="101">
        <f t="shared" si="202"/>
        <v>1.7574799063114467E-2</v>
      </c>
      <c r="S663" s="101">
        <f t="shared" si="190"/>
        <v>589.54259913244459</v>
      </c>
      <c r="T663" s="101">
        <f t="shared" si="206"/>
        <v>171.85705837698117</v>
      </c>
      <c r="U663" s="101">
        <f t="shared" si="206"/>
        <v>36.061652841941857</v>
      </c>
      <c r="V663" s="33">
        <f t="shared" si="207"/>
        <v>1000.0000000000056</v>
      </c>
      <c r="W663" s="105">
        <f t="shared" si="203"/>
        <v>72613.68989143541</v>
      </c>
      <c r="X663" s="112">
        <f t="shared" si="208"/>
        <v>792.08128878108255</v>
      </c>
      <c r="Y663" s="32">
        <f t="shared" si="204"/>
        <v>431.63387610047459</v>
      </c>
    </row>
    <row r="664" spans="1:25" x14ac:dyDescent="0.25">
      <c r="A664" s="4">
        <v>658</v>
      </c>
      <c r="C664" s="110">
        <f>IF(male=0,VLOOKUP(((A662:A1496/'Life tables'!$I$2)*2)+age,lifetable,13,1),IF(male=1,VLOOKUP(((A662:A1496/'Life tables'!$I$2)*2)+age,lifetable,10,1),"error"))</f>
        <v>6.1270435815030666E-4</v>
      </c>
      <c r="F664" s="101">
        <f t="shared" si="191"/>
        <v>136.34447770055718</v>
      </c>
      <c r="G664" s="101">
        <f t="shared" si="192"/>
        <v>13.696088138291161</v>
      </c>
      <c r="H664" s="101">
        <f t="shared" si="193"/>
        <v>0.31341815070662726</v>
      </c>
      <c r="I664" s="101">
        <f t="shared" si="194"/>
        <v>0.31341815070662726</v>
      </c>
      <c r="J664" s="101">
        <f t="shared" si="195"/>
        <v>9.2314573922523138E-2</v>
      </c>
      <c r="K664" s="101">
        <f t="shared" si="196"/>
        <v>2.4568573129818812E-2</v>
      </c>
      <c r="L664" s="101">
        <f t="shared" si="205"/>
        <v>121.90467011380042</v>
      </c>
      <c r="M664" s="101">
        <f t="shared" si="197"/>
        <v>655.73681108052529</v>
      </c>
      <c r="N664" s="101">
        <f t="shared" si="198"/>
        <v>63.148875644454314</v>
      </c>
      <c r="O664" s="101">
        <f t="shared" si="199"/>
        <v>1.5073571159257841</v>
      </c>
      <c r="P664" s="101">
        <f t="shared" si="200"/>
        <v>1.5073571159257841</v>
      </c>
      <c r="Q664" s="101">
        <f t="shared" si="201"/>
        <v>0.44231152181670419</v>
      </c>
      <c r="R664" s="101">
        <f t="shared" si="202"/>
        <v>1.7562002688364983E-2</v>
      </c>
      <c r="S664" s="101">
        <f t="shared" si="190"/>
        <v>589.11334767971437</v>
      </c>
      <c r="T664" s="101">
        <f t="shared" si="206"/>
        <v>172.39168447272039</v>
      </c>
      <c r="U664" s="101">
        <f t="shared" si="206"/>
        <v>36.103783417760042</v>
      </c>
      <c r="V664" s="33">
        <f t="shared" si="207"/>
        <v>1000.0000000000055</v>
      </c>
      <c r="W664" s="105">
        <f t="shared" si="203"/>
        <v>72477.418504102097</v>
      </c>
      <c r="X664" s="112">
        <f t="shared" si="208"/>
        <v>791.50453210952514</v>
      </c>
      <c r="Y664" s="32">
        <f t="shared" si="204"/>
        <v>431.19553799215339</v>
      </c>
    </row>
    <row r="665" spans="1:25" x14ac:dyDescent="0.25">
      <c r="A665" s="4">
        <v>659</v>
      </c>
      <c r="C665" s="110">
        <f>IF(male=0,VLOOKUP(((A663:A1497/'Life tables'!$I$2)*2)+age,lifetable,13,1),IF(male=1,VLOOKUP(((A663:A1497/'Life tables'!$I$2)*2)+age,lifetable,10,1),"error"))</f>
        <v>6.1270435815030666E-4</v>
      </c>
      <c r="F665" s="101">
        <f t="shared" si="191"/>
        <v>136.24516999363189</v>
      </c>
      <c r="G665" s="101">
        <f t="shared" si="192"/>
        <v>13.686112471290937</v>
      </c>
      <c r="H665" s="101">
        <f t="shared" si="193"/>
        <v>0.31318986982293945</v>
      </c>
      <c r="I665" s="101">
        <f t="shared" si="194"/>
        <v>0.31318986982293945</v>
      </c>
      <c r="J665" s="101">
        <f t="shared" si="195"/>
        <v>9.2247335785660953E-2</v>
      </c>
      <c r="K665" s="101">
        <f t="shared" si="196"/>
        <v>2.4550678392158028E-2</v>
      </c>
      <c r="L665" s="101">
        <f t="shared" si="205"/>
        <v>121.81587976851725</v>
      </c>
      <c r="M665" s="101">
        <f t="shared" si="197"/>
        <v>655.25936211589317</v>
      </c>
      <c r="N665" s="101">
        <f t="shared" si="198"/>
        <v>63.10289627470619</v>
      </c>
      <c r="O665" s="101">
        <f t="shared" si="199"/>
        <v>1.5062595931358957</v>
      </c>
      <c r="P665" s="101">
        <f t="shared" si="200"/>
        <v>1.5062595931358957</v>
      </c>
      <c r="Q665" s="101">
        <f t="shared" si="201"/>
        <v>0.44198947008105699</v>
      </c>
      <c r="R665" s="101">
        <f t="shared" si="202"/>
        <v>1.7549215606934235E-2</v>
      </c>
      <c r="S665" s="101">
        <f t="shared" si="190"/>
        <v>588.68440796922721</v>
      </c>
      <c r="T665" s="101">
        <f t="shared" si="206"/>
        <v>172.92592127858711</v>
      </c>
      <c r="U665" s="101">
        <f t="shared" si="206"/>
        <v>36.145883311759135</v>
      </c>
      <c r="V665" s="33">
        <f t="shared" si="207"/>
        <v>1000.0000000000055</v>
      </c>
      <c r="W665" s="105">
        <f t="shared" si="203"/>
        <v>72341.402817991388</v>
      </c>
      <c r="X665" s="112">
        <f t="shared" si="208"/>
        <v>790.92819540965922</v>
      </c>
      <c r="Y665" s="32">
        <f t="shared" si="204"/>
        <v>430.75764503238514</v>
      </c>
    </row>
    <row r="666" spans="1:25" x14ac:dyDescent="0.25">
      <c r="A666" s="4">
        <v>660</v>
      </c>
      <c r="C666" s="110">
        <f>IF(male=0,VLOOKUP(((A664:A1498/'Life tables'!$I$2)*2)+age,lifetable,13,1),IF(male=1,VLOOKUP(((A664:A1498/'Life tables'!$I$2)*2)+age,lifetable,10,1),"error"))</f>
        <v>6.1270435815030666E-4</v>
      </c>
      <c r="F666" s="101">
        <f t="shared" si="191"/>
        <v>136.14593548473783</v>
      </c>
      <c r="G666" s="101">
        <f t="shared" si="192"/>
        <v>13.676144157186144</v>
      </c>
      <c r="H666" s="101">
        <f t="shared" si="193"/>
        <v>0.31296175720123021</v>
      </c>
      <c r="I666" s="101">
        <f t="shared" si="194"/>
        <v>0.31296175720123021</v>
      </c>
      <c r="J666" s="101">
        <f t="shared" si="195"/>
        <v>9.218014720889231E-2</v>
      </c>
      <c r="K666" s="101">
        <f t="shared" si="196"/>
        <v>2.4532796844405722E-2</v>
      </c>
      <c r="L666" s="101">
        <f t="shared" si="205"/>
        <v>121.72715486909593</v>
      </c>
      <c r="M666" s="101">
        <f t="shared" si="197"/>
        <v>654.78225992492139</v>
      </c>
      <c r="N666" s="101">
        <f t="shared" si="198"/>
        <v>63.056950300012886</v>
      </c>
      <c r="O666" s="101">
        <f t="shared" si="199"/>
        <v>1.5051628674825044</v>
      </c>
      <c r="P666" s="101">
        <f t="shared" si="200"/>
        <v>1.5051628674825044</v>
      </c>
      <c r="Q666" s="101">
        <f t="shared" si="201"/>
        <v>0.44166765225325655</v>
      </c>
      <c r="R666" s="101">
        <f t="shared" si="202"/>
        <v>1.7536437812827078E-2</v>
      </c>
      <c r="S666" s="101">
        <f t="shared" si="190"/>
        <v>588.25577979987736</v>
      </c>
      <c r="T666" s="101">
        <f t="shared" si="206"/>
        <v>173.45976907804925</v>
      </c>
      <c r="U666" s="101">
        <f t="shared" si="206"/>
        <v>36.187952546416369</v>
      </c>
      <c r="V666" s="33">
        <f t="shared" si="207"/>
        <v>1000.0000000000053</v>
      </c>
      <c r="W666" s="105">
        <f t="shared" si="203"/>
        <v>72205.642354421594</v>
      </c>
      <c r="X666" s="112">
        <f t="shared" si="208"/>
        <v>790.35227837553975</v>
      </c>
      <c r="Y666" s="32">
        <f t="shared" si="204"/>
        <v>430.32019676903815</v>
      </c>
    </row>
    <row r="667" spans="1:25" x14ac:dyDescent="0.25">
      <c r="A667" s="4">
        <v>661</v>
      </c>
      <c r="C667" s="110">
        <f>IF(male=0,VLOOKUP(((A665:A1499/'Life tables'!$I$2)*2)+age,lifetable,13,1),IF(male=1,VLOOKUP(((A665:A1499/'Life tables'!$I$2)*2)+age,lifetable,10,1),"error"))</f>
        <v>6.1270435815030666E-4</v>
      </c>
      <c r="F667" s="101">
        <f t="shared" si="191"/>
        <v>136.0467740925275</v>
      </c>
      <c r="G667" s="101">
        <f t="shared" si="192"/>
        <v>13.666183187805256</v>
      </c>
      <c r="H667" s="101">
        <f t="shared" si="193"/>
        <v>0.31273381265450412</v>
      </c>
      <c r="I667" s="101">
        <f t="shared" si="194"/>
        <v>0.31273381265450412</v>
      </c>
      <c r="J667" s="101">
        <f t="shared" si="195"/>
        <v>9.211300813713931E-2</v>
      </c>
      <c r="K667" s="101">
        <f t="shared" si="196"/>
        <v>2.4514928471903504E-2</v>
      </c>
      <c r="L667" s="101">
        <f t="shared" si="205"/>
        <v>121.63849534280419</v>
      </c>
      <c r="M667" s="101">
        <f t="shared" si="197"/>
        <v>654.30550428301217</v>
      </c>
      <c r="N667" s="101">
        <f t="shared" si="198"/>
        <v>63.011037698745149</v>
      </c>
      <c r="O667" s="101">
        <f t="shared" si="199"/>
        <v>1.5040669384493219</v>
      </c>
      <c r="P667" s="101">
        <f t="shared" si="200"/>
        <v>1.5040669384493219</v>
      </c>
      <c r="Q667" s="101">
        <f t="shared" si="201"/>
        <v>0.4413460681818055</v>
      </c>
      <c r="R667" s="101">
        <f t="shared" si="202"/>
        <v>1.7523669300028313E-2</v>
      </c>
      <c r="S667" s="101">
        <f t="shared" si="190"/>
        <v>587.82746296988648</v>
      </c>
      <c r="T667" s="101">
        <f t="shared" si="206"/>
        <v>173.99322815436818</v>
      </c>
      <c r="U667" s="101">
        <f t="shared" si="206"/>
        <v>36.229991144188304</v>
      </c>
      <c r="V667" s="33">
        <f t="shared" si="207"/>
        <v>1000.0000000000052</v>
      </c>
      <c r="W667" s="105">
        <f t="shared" si="203"/>
        <v>72070.136635570409</v>
      </c>
      <c r="X667" s="112">
        <f t="shared" si="208"/>
        <v>789.77678070144873</v>
      </c>
      <c r="Y667" s="32">
        <f t="shared" si="204"/>
        <v>429.88319275044245</v>
      </c>
    </row>
    <row r="668" spans="1:25" x14ac:dyDescent="0.25">
      <c r="A668" s="4">
        <v>662</v>
      </c>
      <c r="C668" s="110">
        <f>IF(male=0,VLOOKUP(((A666:A1500/'Life tables'!$I$2)*2)+age,lifetable,13,1),IF(male=1,VLOOKUP(((A666:A1500/'Life tables'!$I$2)*2)+age,lifetable,10,1),"error"))</f>
        <v>6.1270435815030666E-4</v>
      </c>
      <c r="F668" s="101">
        <f t="shared" si="191"/>
        <v>135.94768573659954</v>
      </c>
      <c r="G668" s="101">
        <f t="shared" si="192"/>
        <v>13.656229555071789</v>
      </c>
      <c r="H668" s="101">
        <f t="shared" si="193"/>
        <v>0.3125060359979408</v>
      </c>
      <c r="I668" s="101">
        <f t="shared" si="194"/>
        <v>0.3125060359979408</v>
      </c>
      <c r="J668" s="101">
        <f t="shared" si="195"/>
        <v>9.2045918515964775E-2</v>
      </c>
      <c r="K668" s="101">
        <f t="shared" si="196"/>
        <v>2.4497073260163454E-2</v>
      </c>
      <c r="L668" s="101">
        <f t="shared" si="205"/>
        <v>121.54990111775574</v>
      </c>
      <c r="M668" s="101">
        <f t="shared" si="197"/>
        <v>653.82909496484911</v>
      </c>
      <c r="N668" s="101">
        <f t="shared" si="198"/>
        <v>62.965158449204523</v>
      </c>
      <c r="O668" s="101">
        <f t="shared" si="199"/>
        <v>1.5029718055184085</v>
      </c>
      <c r="P668" s="101">
        <f t="shared" si="200"/>
        <v>1.5029718055184085</v>
      </c>
      <c r="Q668" s="101">
        <f t="shared" si="201"/>
        <v>0.44102471771472235</v>
      </c>
      <c r="R668" s="101">
        <f t="shared" si="202"/>
        <v>1.7510910062503496E-2</v>
      </c>
      <c r="S668" s="101">
        <f t="shared" si="190"/>
        <v>587.3994572768305</v>
      </c>
      <c r="T668" s="101">
        <f t="shared" si="206"/>
        <v>174.52629879059887</v>
      </c>
      <c r="U668" s="101">
        <f t="shared" si="206"/>
        <v>36.271999127510973</v>
      </c>
      <c r="V668" s="33">
        <f t="shared" si="207"/>
        <v>1000.0000000000051</v>
      </c>
      <c r="W668" s="105">
        <f t="shared" si="203"/>
        <v>71934.885184474653</v>
      </c>
      <c r="X668" s="112">
        <f t="shared" si="208"/>
        <v>789.20170208189518</v>
      </c>
      <c r="Y668" s="32">
        <f t="shared" si="204"/>
        <v>429.44663252538965</v>
      </c>
    </row>
    <row r="669" spans="1:25" x14ac:dyDescent="0.25">
      <c r="A669" s="4">
        <v>663</v>
      </c>
      <c r="C669" s="110">
        <f>IF(male=0,VLOOKUP(((A667:A1501/'Life tables'!$I$2)*2)+age,lifetable,13,1),IF(male=1,VLOOKUP(((A667:A1501/'Life tables'!$I$2)*2)+age,lifetable,10,1),"error"))</f>
        <v>6.1270435815030666E-4</v>
      </c>
      <c r="F669" s="101">
        <f t="shared" si="191"/>
        <v>135.84867033747034</v>
      </c>
      <c r="G669" s="101">
        <f t="shared" si="192"/>
        <v>13.646283251001448</v>
      </c>
      <c r="H669" s="101">
        <f t="shared" si="193"/>
        <v>0.31227842704882952</v>
      </c>
      <c r="I669" s="101">
        <f t="shared" si="194"/>
        <v>0.31227842704882952</v>
      </c>
      <c r="J669" s="101">
        <f t="shared" si="195"/>
        <v>9.1978878291552782E-2</v>
      </c>
      <c r="K669" s="101">
        <f t="shared" si="196"/>
        <v>2.4479231194863043E-2</v>
      </c>
      <c r="L669" s="101">
        <f t="shared" si="205"/>
        <v>121.46137212288481</v>
      </c>
      <c r="M669" s="101">
        <f t="shared" si="197"/>
        <v>653.35303174442492</v>
      </c>
      <c r="N669" s="101">
        <f t="shared" si="198"/>
        <v>62.919312529626012</v>
      </c>
      <c r="O669" s="101">
        <f t="shared" si="199"/>
        <v>1.501877468170236</v>
      </c>
      <c r="P669" s="101">
        <f t="shared" si="200"/>
        <v>1.501877468170236</v>
      </c>
      <c r="Q669" s="101">
        <f t="shared" si="201"/>
        <v>0.44070360069955916</v>
      </c>
      <c r="R669" s="101">
        <f t="shared" si="202"/>
        <v>1.7498160094199681E-2</v>
      </c>
      <c r="S669" s="101">
        <f t="shared" si="190"/>
        <v>586.97176251766473</v>
      </c>
      <c r="T669" s="101">
        <f t="shared" si="206"/>
        <v>175.05898126958999</v>
      </c>
      <c r="U669" s="101">
        <f t="shared" si="206"/>
        <v>36.31397651880004</v>
      </c>
      <c r="V669" s="33">
        <f t="shared" si="207"/>
        <v>1000.0000000000052</v>
      </c>
      <c r="W669" s="105">
        <f t="shared" si="203"/>
        <v>71799.887525029946</v>
      </c>
      <c r="X669" s="112">
        <f t="shared" si="208"/>
        <v>788.62704221161516</v>
      </c>
      <c r="Y669" s="32">
        <f t="shared" si="204"/>
        <v>429.01051564313082</v>
      </c>
    </row>
    <row r="670" spans="1:25" x14ac:dyDescent="0.25">
      <c r="A670" s="4">
        <v>664</v>
      </c>
      <c r="C670" s="110">
        <f>IF(male=0,VLOOKUP(((A668:A1502/'Life tables'!$I$2)*2)+age,lifetable,13,1),IF(male=1,VLOOKUP(((A668:A1502/'Life tables'!$I$2)*2)+age,lifetable,10,1),"error"))</f>
        <v>6.1270435815030666E-4</v>
      </c>
      <c r="F670" s="101">
        <f t="shared" si="191"/>
        <v>135.74972781654603</v>
      </c>
      <c r="G670" s="101">
        <f t="shared" si="192"/>
        <v>13.636344267699313</v>
      </c>
      <c r="H670" s="101">
        <f t="shared" si="193"/>
        <v>0.31205098562650468</v>
      </c>
      <c r="I670" s="101">
        <f t="shared" si="194"/>
        <v>0.31205098562650468</v>
      </c>
      <c r="J670" s="101">
        <f t="shared" si="195"/>
        <v>9.191188741068991E-2</v>
      </c>
      <c r="K670" s="101">
        <f t="shared" si="196"/>
        <v>2.4461402261840053E-2</v>
      </c>
      <c r="L670" s="101">
        <f t="shared" si="205"/>
        <v>121.37290828792118</v>
      </c>
      <c r="M670" s="101">
        <f t="shared" si="197"/>
        <v>652.87731439506922</v>
      </c>
      <c r="N670" s="101">
        <f t="shared" si="198"/>
        <v>62.873499918180769</v>
      </c>
      <c r="O670" s="101">
        <f t="shared" si="199"/>
        <v>1.5007839258837521</v>
      </c>
      <c r="P670" s="101">
        <f t="shared" si="200"/>
        <v>1.5007839258837521</v>
      </c>
      <c r="Q670" s="101">
        <f t="shared" si="201"/>
        <v>0.44038271698342096</v>
      </c>
      <c r="R670" s="101">
        <f t="shared" si="202"/>
        <v>1.7485419389046162E-2</v>
      </c>
      <c r="S670" s="101">
        <f t="shared" si="190"/>
        <v>586.54437848874852</v>
      </c>
      <c r="T670" s="101">
        <f t="shared" si="206"/>
        <v>175.5912758739841</v>
      </c>
      <c r="U670" s="101">
        <f t="shared" si="206"/>
        <v>36.355923340450929</v>
      </c>
      <c r="V670" s="33">
        <f t="shared" si="207"/>
        <v>1000.0000000000053</v>
      </c>
      <c r="W670" s="105">
        <f t="shared" si="203"/>
        <v>71665.143181990221</v>
      </c>
      <c r="X670" s="112">
        <f t="shared" si="208"/>
        <v>788.0528007855703</v>
      </c>
      <c r="Y670" s="32">
        <f t="shared" si="204"/>
        <v>428.57484165337632</v>
      </c>
    </row>
    <row r="671" spans="1:25" x14ac:dyDescent="0.25">
      <c r="A671" s="4">
        <v>665</v>
      </c>
      <c r="C671" s="110">
        <f>IF(male=0,VLOOKUP(((A669:A1503/'Life tables'!$I$2)*2)+age,lifetable,13,1),IF(male=1,VLOOKUP(((A669:A1503/'Life tables'!$I$2)*2)+age,lifetable,10,1),"error"))</f>
        <v>6.1270435815030666E-4</v>
      </c>
      <c r="F671" s="101">
        <f t="shared" si="191"/>
        <v>135.65085809609556</v>
      </c>
      <c r="G671" s="101">
        <f t="shared" si="192"/>
        <v>13.62641259735714</v>
      </c>
      <c r="H671" s="101">
        <f t="shared" si="193"/>
        <v>0.31182371155228422</v>
      </c>
      <c r="I671" s="101">
        <f t="shared" si="194"/>
        <v>0.31182371155228422</v>
      </c>
      <c r="J671" s="101">
        <f t="shared" si="195"/>
        <v>9.1844945820746898E-2</v>
      </c>
      <c r="K671" s="101">
        <f t="shared" si="196"/>
        <v>2.4443586447087755E-2</v>
      </c>
      <c r="L671" s="101">
        <f t="shared" si="205"/>
        <v>121.28450954336601</v>
      </c>
      <c r="M671" s="101">
        <f t="shared" si="197"/>
        <v>652.40194268947471</v>
      </c>
      <c r="N671" s="101">
        <f t="shared" si="198"/>
        <v>62.827720592978615</v>
      </c>
      <c r="O671" s="101">
        <f t="shared" si="199"/>
        <v>1.4996911781364404</v>
      </c>
      <c r="P671" s="101">
        <f t="shared" si="200"/>
        <v>1.4996911781364404</v>
      </c>
      <c r="Q671" s="101">
        <f t="shared" si="201"/>
        <v>0.44006206641298307</v>
      </c>
      <c r="R671" s="101">
        <f t="shared" si="202"/>
        <v>1.7472687940955172E-2</v>
      </c>
      <c r="S671" s="101">
        <f t="shared" si="190"/>
        <v>586.11730498586928</v>
      </c>
      <c r="T671" s="101">
        <f t="shared" si="206"/>
        <v>176.12318288621782</v>
      </c>
      <c r="U671" s="101">
        <f t="shared" si="206"/>
        <v>36.397839614838972</v>
      </c>
      <c r="V671" s="33">
        <f t="shared" si="207"/>
        <v>1000.0000000000052</v>
      </c>
      <c r="W671" s="105">
        <f t="shared" si="203"/>
        <v>71530.651680967203</v>
      </c>
      <c r="X671" s="112">
        <f t="shared" si="208"/>
        <v>787.47897749894844</v>
      </c>
      <c r="Y671" s="32">
        <f t="shared" si="204"/>
        <v>428.1396101062968</v>
      </c>
    </row>
    <row r="672" spans="1:25" x14ac:dyDescent="0.25">
      <c r="A672" s="4">
        <v>666</v>
      </c>
      <c r="C672" s="110">
        <f>IF(male=0,VLOOKUP(((A670:A1504/'Life tables'!$I$2)*2)+age,lifetable,13,1),IF(male=1,VLOOKUP(((A670:A1504/'Life tables'!$I$2)*2)+age,lifetable,10,1),"error"))</f>
        <v>6.1270435815030666E-4</v>
      </c>
      <c r="F672" s="101">
        <f t="shared" si="191"/>
        <v>135.55206109922449</v>
      </c>
      <c r="G672" s="101">
        <f t="shared" si="192"/>
        <v>13.616488232250719</v>
      </c>
      <c r="H672" s="101">
        <f t="shared" si="193"/>
        <v>0.31159660464940908</v>
      </c>
      <c r="I672" s="101">
        <f t="shared" si="194"/>
        <v>0.31159660464940908</v>
      </c>
      <c r="J672" s="101">
        <f t="shared" si="195"/>
        <v>9.1778053469660947E-2</v>
      </c>
      <c r="K672" s="101">
        <f t="shared" si="196"/>
        <v>2.442578373675016E-2</v>
      </c>
      <c r="L672" s="101">
        <f t="shared" si="205"/>
        <v>121.19617582046854</v>
      </c>
      <c r="M672" s="101">
        <f t="shared" si="197"/>
        <v>651.92691639972406</v>
      </c>
      <c r="N672" s="101">
        <f t="shared" si="198"/>
        <v>62.781974532070613</v>
      </c>
      <c r="O672" s="101">
        <f t="shared" si="199"/>
        <v>1.4985992244043818</v>
      </c>
      <c r="P672" s="101">
        <f t="shared" si="200"/>
        <v>1.4985992244043818</v>
      </c>
      <c r="Q672" s="101">
        <f t="shared" si="201"/>
        <v>0.43974164883450922</v>
      </c>
      <c r="R672" s="101">
        <f t="shared" si="202"/>
        <v>1.7459965743822605E-2</v>
      </c>
      <c r="S672" s="101">
        <f t="shared" si="190"/>
        <v>585.69054180426633</v>
      </c>
      <c r="T672" s="101">
        <f t="shared" si="206"/>
        <v>176.65470258852199</v>
      </c>
      <c r="U672" s="101">
        <f t="shared" si="206"/>
        <v>36.439725364319543</v>
      </c>
      <c r="V672" s="33">
        <f t="shared" si="207"/>
        <v>1000.0000000000053</v>
      </c>
      <c r="W672" s="105">
        <f t="shared" si="203"/>
        <v>71396.412548430031</v>
      </c>
      <c r="X672" s="112">
        <f t="shared" si="208"/>
        <v>786.90557204716379</v>
      </c>
      <c r="Y672" s="32">
        <f t="shared" si="204"/>
        <v>427.70482055252097</v>
      </c>
    </row>
    <row r="673" spans="1:25" x14ac:dyDescent="0.25">
      <c r="A673" s="4">
        <v>667</v>
      </c>
      <c r="C673" s="110">
        <f>IF(male=0,VLOOKUP(((A671:A1505/'Life tables'!$I$2)*2)+age,lifetable,13,1),IF(male=1,VLOOKUP(((A671:A1505/'Life tables'!$I$2)*2)+age,lifetable,10,1),"error"))</f>
        <v>6.1270435815030666E-4</v>
      </c>
      <c r="F673" s="101">
        <f t="shared" si="191"/>
        <v>135.45333674984991</v>
      </c>
      <c r="G673" s="101">
        <f t="shared" si="192"/>
        <v>13.606571164737362</v>
      </c>
      <c r="H673" s="101">
        <f t="shared" si="193"/>
        <v>0.31136966474298583</v>
      </c>
      <c r="I673" s="101">
        <f t="shared" si="194"/>
        <v>0.31136966474298583</v>
      </c>
      <c r="J673" s="101">
        <f t="shared" si="195"/>
        <v>9.1711210305918667E-2</v>
      </c>
      <c r="K673" s="101">
        <f t="shared" si="196"/>
        <v>2.440799411711753E-2</v>
      </c>
      <c r="L673" s="101">
        <f t="shared" si="205"/>
        <v>121.10790705120354</v>
      </c>
      <c r="M673" s="101">
        <f t="shared" si="197"/>
        <v>651.45223529731402</v>
      </c>
      <c r="N673" s="101">
        <f t="shared" si="198"/>
        <v>62.736261713451398</v>
      </c>
      <c r="O673" s="101">
        <f t="shared" si="199"/>
        <v>1.4975080641623111</v>
      </c>
      <c r="P673" s="101">
        <f t="shared" si="200"/>
        <v>1.4975080641623111</v>
      </c>
      <c r="Q673" s="101">
        <f t="shared" si="201"/>
        <v>0.43942146409386817</v>
      </c>
      <c r="R673" s="101">
        <f t="shared" si="202"/>
        <v>1.7447252791528672E-2</v>
      </c>
      <c r="S673" s="101">
        <f t="shared" si="190"/>
        <v>585.26408873865262</v>
      </c>
      <c r="T673" s="101">
        <f t="shared" si="206"/>
        <v>177.18583526292178</v>
      </c>
      <c r="U673" s="101">
        <f t="shared" si="206"/>
        <v>36.481580611228189</v>
      </c>
      <c r="V673" s="33">
        <f t="shared" si="207"/>
        <v>1000.0000000000056</v>
      </c>
      <c r="W673" s="105">
        <f t="shared" si="203"/>
        <v>71262.425311704705</v>
      </c>
      <c r="X673" s="112">
        <f t="shared" si="208"/>
        <v>786.33258412585553</v>
      </c>
      <c r="Y673" s="32">
        <f t="shared" si="204"/>
        <v>427.27047254313607</v>
      </c>
    </row>
    <row r="674" spans="1:25" x14ac:dyDescent="0.25">
      <c r="A674" s="4">
        <v>668</v>
      </c>
      <c r="C674" s="110">
        <f>IF(male=0,VLOOKUP(((A672:A1506/'Life tables'!$I$2)*2)+age,lifetable,13,1),IF(male=1,VLOOKUP(((A672:A1506/'Life tables'!$I$2)*2)+age,lifetable,10,1),"error"))</f>
        <v>6.1270435815030666E-4</v>
      </c>
      <c r="F674" s="101">
        <f t="shared" si="191"/>
        <v>135.35468497267578</v>
      </c>
      <c r="G674" s="101">
        <f t="shared" si="192"/>
        <v>13.596661387253427</v>
      </c>
      <c r="H674" s="101">
        <f t="shared" si="193"/>
        <v>0.31114289165992964</v>
      </c>
      <c r="I674" s="101">
        <f t="shared" si="194"/>
        <v>0.31114289165992964</v>
      </c>
      <c r="J674" s="101">
        <f t="shared" si="195"/>
        <v>9.1644416278539517E-2</v>
      </c>
      <c r="K674" s="101">
        <f t="shared" si="196"/>
        <v>2.4390217574621894E-2</v>
      </c>
      <c r="L674" s="101">
        <f t="shared" si="205"/>
        <v>121.01970316824934</v>
      </c>
      <c r="M674" s="101">
        <f t="shared" si="197"/>
        <v>650.97789915317969</v>
      </c>
      <c r="N674" s="101">
        <f t="shared" si="198"/>
        <v>62.690582115061538</v>
      </c>
      <c r="O674" s="101">
        <f t="shared" si="199"/>
        <v>1.4964176968836715</v>
      </c>
      <c r="P674" s="101">
        <f t="shared" si="200"/>
        <v>1.4964176968836715</v>
      </c>
      <c r="Q674" s="101">
        <f t="shared" si="201"/>
        <v>0.43910151203654968</v>
      </c>
      <c r="R674" s="101">
        <f t="shared" si="202"/>
        <v>1.7434549077938538E-2</v>
      </c>
      <c r="S674" s="101">
        <f t="shared" si="190"/>
        <v>584.83794558323632</v>
      </c>
      <c r="T674" s="101">
        <f t="shared" si="206"/>
        <v>177.71658119123688</v>
      </c>
      <c r="U674" s="101">
        <f t="shared" si="206"/>
        <v>36.523405377880749</v>
      </c>
      <c r="V674" s="33">
        <f t="shared" si="207"/>
        <v>1000.0000000000055</v>
      </c>
      <c r="W674" s="105">
        <f t="shared" si="203"/>
        <v>71128.689498973516</v>
      </c>
      <c r="X674" s="112">
        <f t="shared" si="208"/>
        <v>785.76001343088785</v>
      </c>
      <c r="Y674" s="32">
        <f t="shared" si="204"/>
        <v>426.83656562968633</v>
      </c>
    </row>
    <row r="675" spans="1:25" x14ac:dyDescent="0.25">
      <c r="A675" s="4">
        <v>669</v>
      </c>
      <c r="C675" s="110">
        <f>IF(male=0,VLOOKUP(((A673:A1507/'Life tables'!$I$2)*2)+age,lifetable,13,1),IF(male=1,VLOOKUP(((A673:A1507/'Life tables'!$I$2)*2)+age,lifetable,10,1),"error"))</f>
        <v>6.1270435815030666E-4</v>
      </c>
      <c r="F675" s="101">
        <f t="shared" si="191"/>
        <v>135.2561056931693</v>
      </c>
      <c r="G675" s="101">
        <f t="shared" si="192"/>
        <v>13.586758892311936</v>
      </c>
      <c r="H675" s="101">
        <f t="shared" si="193"/>
        <v>0.31091628522891035</v>
      </c>
      <c r="I675" s="101">
        <f t="shared" si="194"/>
        <v>0.31091628522891035</v>
      </c>
      <c r="J675" s="101">
        <f t="shared" si="195"/>
        <v>9.1577671337059616E-2</v>
      </c>
      <c r="K675" s="101">
        <f t="shared" si="196"/>
        <v>2.437245409583283E-2</v>
      </c>
      <c r="L675" s="101">
        <f t="shared" si="205"/>
        <v>120.93156410496665</v>
      </c>
      <c r="M675" s="101">
        <f t="shared" si="197"/>
        <v>650.50390773771846</v>
      </c>
      <c r="N675" s="101">
        <f t="shared" si="198"/>
        <v>62.644935714789789</v>
      </c>
      <c r="O675" s="101">
        <f t="shared" si="199"/>
        <v>1.4953281220406702</v>
      </c>
      <c r="P675" s="101">
        <f t="shared" si="200"/>
        <v>1.4953281220406702</v>
      </c>
      <c r="Q675" s="101">
        <f t="shared" si="201"/>
        <v>0.43878179250768062</v>
      </c>
      <c r="R675" s="101">
        <f t="shared" si="202"/>
        <v>1.7421854596902962E-2</v>
      </c>
      <c r="S675" s="101">
        <f t="shared" si="190"/>
        <v>584.41211213174279</v>
      </c>
      <c r="T675" s="101">
        <f t="shared" si="206"/>
        <v>178.24694065508163</v>
      </c>
      <c r="U675" s="101">
        <f t="shared" si="206"/>
        <v>36.565199686573486</v>
      </c>
      <c r="V675" s="33">
        <f t="shared" si="207"/>
        <v>1000.0000000000055</v>
      </c>
      <c r="W675" s="105">
        <f t="shared" si="203"/>
        <v>70995.204639274278</v>
      </c>
      <c r="X675" s="112">
        <f t="shared" si="208"/>
        <v>785.18785965835036</v>
      </c>
      <c r="Y675" s="32">
        <f t="shared" si="204"/>
        <v>426.40309936417356</v>
      </c>
    </row>
    <row r="676" spans="1:25" x14ac:dyDescent="0.25">
      <c r="A676" s="4">
        <v>670</v>
      </c>
      <c r="C676" s="110">
        <f>IF(male=0,VLOOKUP(((A674:A1508/'Life tables'!$I$2)*2)+age,lifetable,13,1),IF(male=1,VLOOKUP(((A674:A1508/'Life tables'!$I$2)*2)+age,lifetable,10,1),"error"))</f>
        <v>6.1270435815030666E-4</v>
      </c>
      <c r="F676" s="101">
        <f t="shared" si="191"/>
        <v>135.1575988375379</v>
      </c>
      <c r="G676" s="101">
        <f t="shared" si="192"/>
        <v>13.576863672500272</v>
      </c>
      <c r="H676" s="101">
        <f t="shared" si="193"/>
        <v>0.3106898452802993</v>
      </c>
      <c r="I676" s="101">
        <f t="shared" si="194"/>
        <v>0.3106898452802993</v>
      </c>
      <c r="J676" s="101">
        <f t="shared" si="195"/>
        <v>9.1510975431516359E-2</v>
      </c>
      <c r="K676" s="101">
        <f t="shared" si="196"/>
        <v>2.4354703667453296E-2</v>
      </c>
      <c r="L676" s="101">
        <f t="shared" si="205"/>
        <v>120.84348979537806</v>
      </c>
      <c r="M676" s="101">
        <f t="shared" si="197"/>
        <v>650.03026082081237</v>
      </c>
      <c r="N676" s="101">
        <f t="shared" si="198"/>
        <v>62.599322490475302</v>
      </c>
      <c r="O676" s="101">
        <f t="shared" si="199"/>
        <v>1.49423933910433</v>
      </c>
      <c r="P676" s="101">
        <f t="shared" si="200"/>
        <v>1.49423933910433</v>
      </c>
      <c r="Q676" s="101">
        <f t="shared" si="201"/>
        <v>0.43846230535204073</v>
      </c>
      <c r="R676" s="101">
        <f t="shared" si="202"/>
        <v>1.7409169342258904E-2</v>
      </c>
      <c r="S676" s="101">
        <f t="shared" si="190"/>
        <v>583.9865881774341</v>
      </c>
      <c r="T676" s="101">
        <f t="shared" si="206"/>
        <v>178.7769139358652</v>
      </c>
      <c r="U676" s="101">
        <f t="shared" si="206"/>
        <v>36.6069635595832</v>
      </c>
      <c r="V676" s="33">
        <f t="shared" si="207"/>
        <v>1000.0000000000053</v>
      </c>
      <c r="W676" s="105">
        <f t="shared" si="203"/>
        <v>70861.97026250005</v>
      </c>
      <c r="X676" s="112">
        <f t="shared" si="208"/>
        <v>784.61612250455698</v>
      </c>
      <c r="Y676" s="32">
        <f t="shared" si="204"/>
        <v>425.97007329905614</v>
      </c>
    </row>
    <row r="677" spans="1:25" x14ac:dyDescent="0.25">
      <c r="A677" s="4">
        <v>671</v>
      </c>
      <c r="C677" s="110">
        <f>IF(male=0,VLOOKUP(((A675:A1509/'Life tables'!$I$2)*2)+age,lifetable,13,1),IF(male=1,VLOOKUP(((A675:A1509/'Life tables'!$I$2)*2)+age,lifetable,10,1),"error"))</f>
        <v>6.1270435815030666E-4</v>
      </c>
      <c r="F677" s="101">
        <f t="shared" si="191"/>
        <v>135.05916433270713</v>
      </c>
      <c r="G677" s="101">
        <f t="shared" si="192"/>
        <v>13.566975720477952</v>
      </c>
      <c r="H677" s="101">
        <f t="shared" si="193"/>
        <v>0.31046357164611854</v>
      </c>
      <c r="I677" s="101">
        <f t="shared" si="194"/>
        <v>0.31046357164611854</v>
      </c>
      <c r="J677" s="101">
        <f t="shared" si="195"/>
        <v>9.1444328512433323E-2</v>
      </c>
      <c r="K677" s="101">
        <f t="shared" si="196"/>
        <v>2.4336966276315656E-2</v>
      </c>
      <c r="L677" s="101">
        <f t="shared" si="205"/>
        <v>120.75548017414819</v>
      </c>
      <c r="M677" s="101">
        <f t="shared" si="197"/>
        <v>649.55695817184983</v>
      </c>
      <c r="N677" s="101">
        <f t="shared" si="198"/>
        <v>62.553742419909682</v>
      </c>
      <c r="O677" s="101">
        <f t="shared" si="199"/>
        <v>1.4931513475445384</v>
      </c>
      <c r="P677" s="101">
        <f t="shared" si="200"/>
        <v>1.4931513475445384</v>
      </c>
      <c r="Q677" s="101">
        <f t="shared" si="201"/>
        <v>0.43814305041407625</v>
      </c>
      <c r="R677" s="101">
        <f t="shared" si="202"/>
        <v>1.7396493307830097E-2</v>
      </c>
      <c r="S677" s="101">
        <f t="shared" si="190"/>
        <v>583.56137351312918</v>
      </c>
      <c r="T677" s="101">
        <f t="shared" si="206"/>
        <v>179.30650131479172</v>
      </c>
      <c r="U677" s="101">
        <f t="shared" si="206"/>
        <v>36.648697019167344</v>
      </c>
      <c r="V677" s="33">
        <f t="shared" si="207"/>
        <v>1000.0000000000055</v>
      </c>
      <c r="W677" s="105">
        <f t="shared" si="203"/>
        <v>70728.985899398089</v>
      </c>
      <c r="X677" s="112">
        <f t="shared" si="208"/>
        <v>784.0448016660464</v>
      </c>
      <c r="Y677" s="32">
        <f t="shared" si="204"/>
        <v>425.53748698724854</v>
      </c>
    </row>
    <row r="678" spans="1:25" x14ac:dyDescent="0.25">
      <c r="A678" s="4">
        <v>672</v>
      </c>
      <c r="C678" s="110">
        <f>IF(male=0,VLOOKUP(((A676:A1510/'Life tables'!$I$2)*2)+age,lifetable,13,1),IF(male=1,VLOOKUP(((A676:A1510/'Life tables'!$I$2)*2)+age,lifetable,10,1),"error"))</f>
        <v>6.1270435815030666E-4</v>
      </c>
      <c r="F678" s="101">
        <f t="shared" si="191"/>
        <v>134.9608021062989</v>
      </c>
      <c r="G678" s="101">
        <f t="shared" si="192"/>
        <v>13.557095028974448</v>
      </c>
      <c r="H678" s="101">
        <f t="shared" si="193"/>
        <v>0.31023746415999093</v>
      </c>
      <c r="I678" s="101">
        <f t="shared" si="194"/>
        <v>0.31023746415999093</v>
      </c>
      <c r="J678" s="101">
        <f t="shared" si="195"/>
        <v>9.1377730530805584E-2</v>
      </c>
      <c r="K678" s="101">
        <f t="shared" si="196"/>
        <v>2.4319241909377745E-2</v>
      </c>
      <c r="L678" s="101">
        <f t="shared" si="205"/>
        <v>120.66753517656429</v>
      </c>
      <c r="M678" s="101">
        <f t="shared" si="197"/>
        <v>649.08399955974744</v>
      </c>
      <c r="N678" s="101">
        <f t="shared" si="198"/>
        <v>62.508195480839092</v>
      </c>
      <c r="O678" s="101">
        <f t="shared" si="199"/>
        <v>1.492064146830099</v>
      </c>
      <c r="P678" s="101">
        <f t="shared" si="200"/>
        <v>1.492064146830099</v>
      </c>
      <c r="Q678" s="101">
        <f t="shared" si="201"/>
        <v>0.43782402753791561</v>
      </c>
      <c r="R678" s="101">
        <f t="shared" si="202"/>
        <v>1.7383826487427655E-2</v>
      </c>
      <c r="S678" s="101">
        <f t="shared" si="190"/>
        <v>583.1364679312228</v>
      </c>
      <c r="T678" s="101">
        <f t="shared" si="206"/>
        <v>179.83570307286044</v>
      </c>
      <c r="U678" s="101">
        <f t="shared" si="206"/>
        <v>36.69040008756415</v>
      </c>
      <c r="V678" s="33">
        <f t="shared" si="207"/>
        <v>1000.0000000000053</v>
      </c>
      <c r="W678" s="105">
        <f t="shared" si="203"/>
        <v>70596.251081569528</v>
      </c>
      <c r="X678" s="112">
        <f t="shared" si="208"/>
        <v>783.4738968395809</v>
      </c>
      <c r="Y678" s="32">
        <f t="shared" si="204"/>
        <v>425.10533998212054</v>
      </c>
    </row>
    <row r="679" spans="1:25" x14ac:dyDescent="0.25">
      <c r="A679" s="4">
        <v>673</v>
      </c>
      <c r="C679" s="110">
        <f>IF(male=0,VLOOKUP(((A677:A1511/'Life tables'!$I$2)*2)+age,lifetable,13,1),IF(male=1,VLOOKUP(((A677:A1511/'Life tables'!$I$2)*2)+age,lifetable,10,1),"error"))</f>
        <v>6.1270435815030666E-4</v>
      </c>
      <c r="F679" s="101">
        <f t="shared" si="191"/>
        <v>134.86251208661091</v>
      </c>
      <c r="G679" s="101">
        <f t="shared" si="192"/>
        <v>13.54722159078711</v>
      </c>
      <c r="H679" s="101">
        <f t="shared" si="193"/>
        <v>0.31001152265709275</v>
      </c>
      <c r="I679" s="101">
        <f t="shared" si="194"/>
        <v>0.31001152265709275</v>
      </c>
      <c r="J679" s="101">
        <f t="shared" si="195"/>
        <v>9.1311181438085726E-2</v>
      </c>
      <c r="K679" s="101">
        <f t="shared" si="196"/>
        <v>2.4301530553719176E-2</v>
      </c>
      <c r="L679" s="101">
        <f t="shared" si="205"/>
        <v>120.5796547385178</v>
      </c>
      <c r="M679" s="101">
        <f t="shared" si="197"/>
        <v>648.61138475296991</v>
      </c>
      <c r="N679" s="101">
        <f t="shared" si="198"/>
        <v>62.462681650966182</v>
      </c>
      <c r="O679" s="101">
        <f t="shared" si="199"/>
        <v>1.4909777364287766</v>
      </c>
      <c r="P679" s="101">
        <f t="shared" si="200"/>
        <v>1.4909777364287766</v>
      </c>
      <c r="Q679" s="101">
        <f t="shared" si="201"/>
        <v>0.43750523656738222</v>
      </c>
      <c r="R679" s="101">
        <f t="shared" si="202"/>
        <v>1.7371168874850577E-2</v>
      </c>
      <c r="S679" s="101">
        <f t="shared" si="190"/>
        <v>582.71187122370395</v>
      </c>
      <c r="T679" s="101">
        <f t="shared" si="206"/>
        <v>180.36451949086592</v>
      </c>
      <c r="U679" s="101">
        <f t="shared" si="206"/>
        <v>36.732072786992717</v>
      </c>
      <c r="V679" s="33">
        <f t="shared" si="207"/>
        <v>1000.0000000000053</v>
      </c>
      <c r="W679" s="105">
        <f t="shared" si="203"/>
        <v>70463.765341468286</v>
      </c>
      <c r="X679" s="112">
        <f t="shared" si="208"/>
        <v>782.90340772214677</v>
      </c>
      <c r="Y679" s="32">
        <f t="shared" si="204"/>
        <v>424.67363183749723</v>
      </c>
    </row>
    <row r="680" spans="1:25" x14ac:dyDescent="0.25">
      <c r="A680" s="4">
        <v>674</v>
      </c>
      <c r="C680" s="110">
        <f>IF(male=0,VLOOKUP(((A678:A1512/'Life tables'!$I$2)*2)+age,lifetable,13,1),IF(male=1,VLOOKUP(((A678:A1512/'Life tables'!$I$2)*2)+age,lifetable,10,1),"error"))</f>
        <v>6.1270435815030666E-4</v>
      </c>
      <c r="F680" s="101">
        <f t="shared" si="191"/>
        <v>134.7642942025962</v>
      </c>
      <c r="G680" s="101">
        <f t="shared" si="192"/>
        <v>13.537355398779129</v>
      </c>
      <c r="H680" s="101">
        <f t="shared" si="193"/>
        <v>0.30978574697410682</v>
      </c>
      <c r="I680" s="101">
        <f t="shared" si="194"/>
        <v>0.30978574697410682</v>
      </c>
      <c r="J680" s="101">
        <f t="shared" si="195"/>
        <v>9.1244681186170129E-2</v>
      </c>
      <c r="K680" s="101">
        <f t="shared" si="196"/>
        <v>2.4283832196537666E-2</v>
      </c>
      <c r="L680" s="101">
        <f t="shared" si="205"/>
        <v>120.49183879648615</v>
      </c>
      <c r="M680" s="101">
        <f t="shared" si="197"/>
        <v>648.13911351955073</v>
      </c>
      <c r="N680" s="101">
        <f t="shared" si="198"/>
        <v>62.417200907952079</v>
      </c>
      <c r="O680" s="101">
        <f t="shared" si="199"/>
        <v>1.4898921158073439</v>
      </c>
      <c r="P680" s="101">
        <f t="shared" si="200"/>
        <v>1.4898921158073439</v>
      </c>
      <c r="Q680" s="101">
        <f t="shared" si="201"/>
        <v>0.43718667734600847</v>
      </c>
      <c r="R680" s="101">
        <f t="shared" si="202"/>
        <v>1.7358520463886307E-2</v>
      </c>
      <c r="S680" s="101">
        <f t="shared" si="190"/>
        <v>582.2875831821741</v>
      </c>
      <c r="T680" s="101">
        <f t="shared" si="206"/>
        <v>180.89295084939809</v>
      </c>
      <c r="U680" s="101">
        <f t="shared" si="206"/>
        <v>36.773715139653142</v>
      </c>
      <c r="V680" s="33">
        <f t="shared" si="207"/>
        <v>1000.0000000000056</v>
      </c>
      <c r="W680" s="105">
        <f t="shared" si="203"/>
        <v>70331.528212400575</v>
      </c>
      <c r="X680" s="112">
        <f t="shared" si="208"/>
        <v>782.33333401095433</v>
      </c>
      <c r="Y680" s="32">
        <f t="shared" si="204"/>
        <v>424.24236210765844</v>
      </c>
    </row>
    <row r="681" spans="1:25" x14ac:dyDescent="0.25">
      <c r="A681" s="4">
        <v>675</v>
      </c>
      <c r="C681" s="110">
        <f>IF(male=0,VLOOKUP(((A679:A1513/'Life tables'!$I$2)*2)+age,lifetable,13,1),IF(male=1,VLOOKUP(((A679:A1513/'Life tables'!$I$2)*2)+age,lifetable,10,1),"error"))</f>
        <v>6.1270435815030666E-4</v>
      </c>
      <c r="F681" s="101">
        <f t="shared" si="191"/>
        <v>134.66614838384371</v>
      </c>
      <c r="G681" s="101">
        <f t="shared" si="192"/>
        <v>13.527496445877558</v>
      </c>
      <c r="H681" s="101">
        <f t="shared" si="193"/>
        <v>0.3095601369491775</v>
      </c>
      <c r="I681" s="101">
        <f t="shared" si="194"/>
        <v>0.3095601369491775</v>
      </c>
      <c r="J681" s="101">
        <f t="shared" si="195"/>
        <v>9.117822972738561E-2</v>
      </c>
      <c r="K681" s="101">
        <f t="shared" si="196"/>
        <v>2.4266146825145489E-2</v>
      </c>
      <c r="L681" s="101">
        <f t="shared" si="205"/>
        <v>120.40408728751527</v>
      </c>
      <c r="M681" s="101">
        <f t="shared" si="197"/>
        <v>647.66718562711071</v>
      </c>
      <c r="N681" s="101">
        <f t="shared" si="198"/>
        <v>62.371753229418161</v>
      </c>
      <c r="O681" s="101">
        <f t="shared" si="199"/>
        <v>1.488807284431626</v>
      </c>
      <c r="P681" s="101">
        <f t="shared" si="200"/>
        <v>1.488807284431626</v>
      </c>
      <c r="Q681" s="101">
        <f t="shared" si="201"/>
        <v>0.43686834971704874</v>
      </c>
      <c r="R681" s="101">
        <f t="shared" si="202"/>
        <v>1.7345881248311251E-2</v>
      </c>
      <c r="S681" s="101">
        <f t="shared" si="190"/>
        <v>581.86360359786397</v>
      </c>
      <c r="T681" s="101">
        <f t="shared" si="206"/>
        <v>181.42099742884253</v>
      </c>
      <c r="U681" s="101">
        <f t="shared" si="206"/>
        <v>36.815327167726601</v>
      </c>
      <c r="V681" s="33">
        <f t="shared" si="207"/>
        <v>1000.0000000000057</v>
      </c>
      <c r="W681" s="105">
        <f t="shared" si="203"/>
        <v>70199.539228524096</v>
      </c>
      <c r="X681" s="112">
        <f t="shared" si="208"/>
        <v>781.76367540343654</v>
      </c>
      <c r="Y681" s="32">
        <f t="shared" si="204"/>
        <v>423.81153034733728</v>
      </c>
    </row>
    <row r="682" spans="1:25" x14ac:dyDescent="0.25">
      <c r="A682" s="4">
        <v>676</v>
      </c>
      <c r="C682" s="110">
        <f>IF(male=0,VLOOKUP(((A680:A1514/'Life tables'!$I$2)*2)+age,lifetable,13,1),IF(male=1,VLOOKUP(((A680:A1514/'Life tables'!$I$2)*2)+age,lifetable,10,1),"error"))</f>
        <v>6.1270435815030666E-4</v>
      </c>
      <c r="F682" s="101">
        <f t="shared" si="191"/>
        <v>134.56807456055935</v>
      </c>
      <c r="G682" s="101">
        <f t="shared" si="192"/>
        <v>13.517644725071442</v>
      </c>
      <c r="H682" s="101">
        <f t="shared" si="193"/>
        <v>0.30933469242186767</v>
      </c>
      <c r="I682" s="101">
        <f t="shared" si="194"/>
        <v>0.30933469242186767</v>
      </c>
      <c r="J682" s="101">
        <f t="shared" si="195"/>
        <v>9.1111827014476829E-2</v>
      </c>
      <c r="K682" s="101">
        <f t="shared" si="196"/>
        <v>2.4248474426966118E-2</v>
      </c>
      <c r="L682" s="101">
        <f t="shared" si="205"/>
        <v>120.31640014920274</v>
      </c>
      <c r="M682" s="101">
        <f t="shared" si="197"/>
        <v>647.19560084287707</v>
      </c>
      <c r="N682" s="101">
        <f t="shared" si="198"/>
        <v>62.326338592947906</v>
      </c>
      <c r="O682" s="101">
        <f t="shared" si="199"/>
        <v>1.4877232417665429</v>
      </c>
      <c r="P682" s="101">
        <f t="shared" si="200"/>
        <v>1.4877232417665429</v>
      </c>
      <c r="Q682" s="101">
        <f t="shared" si="201"/>
        <v>0.43655025352349164</v>
      </c>
      <c r="R682" s="101">
        <f t="shared" si="202"/>
        <v>1.7333251221891267E-2</v>
      </c>
      <c r="S682" s="101">
        <f t="shared" si="190"/>
        <v>581.43993226165071</v>
      </c>
      <c r="T682" s="101">
        <f t="shared" si="206"/>
        <v>181.94865950938049</v>
      </c>
      <c r="U682" s="101">
        <f t="shared" si="206"/>
        <v>36.856908893375461</v>
      </c>
      <c r="V682" s="33">
        <f t="shared" si="207"/>
        <v>1000.0000000000056</v>
      </c>
      <c r="W682" s="105">
        <f t="shared" si="203"/>
        <v>70067.797924847124</v>
      </c>
      <c r="X682" s="112">
        <f t="shared" si="208"/>
        <v>781.1944315972496</v>
      </c>
      <c r="Y682" s="32">
        <f t="shared" si="204"/>
        <v>423.38113611172082</v>
      </c>
    </row>
    <row r="683" spans="1:25" x14ac:dyDescent="0.25">
      <c r="A683" s="4">
        <v>677</v>
      </c>
      <c r="C683" s="110">
        <f>IF(male=0,VLOOKUP(((A681:A1515/'Life tables'!$I$2)*2)+age,lifetable,13,1),IF(male=1,VLOOKUP(((A681:A1515/'Life tables'!$I$2)*2)+age,lifetable,10,1),"error"))</f>
        <v>6.1270435815030666E-4</v>
      </c>
      <c r="F683" s="101">
        <f t="shared" si="191"/>
        <v>134.47007266354763</v>
      </c>
      <c r="G683" s="101">
        <f t="shared" si="192"/>
        <v>13.507800229409943</v>
      </c>
      <c r="H683" s="101">
        <f t="shared" si="193"/>
        <v>0.30910941323311597</v>
      </c>
      <c r="I683" s="101">
        <f t="shared" si="194"/>
        <v>0.30910941323311597</v>
      </c>
      <c r="J683" s="101">
        <f t="shared" si="195"/>
        <v>9.1045473000593638E-2</v>
      </c>
      <c r="K683" s="101">
        <f t="shared" si="196"/>
        <v>2.4230814989530881E-2</v>
      </c>
      <c r="L683" s="101">
        <f t="shared" si="205"/>
        <v>120.22877731968133</v>
      </c>
      <c r="M683" s="101">
        <f t="shared" si="197"/>
        <v>646.72435893370186</v>
      </c>
      <c r="N683" s="101">
        <f t="shared" si="198"/>
        <v>62.28095697608866</v>
      </c>
      <c r="O683" s="101">
        <f t="shared" si="199"/>
        <v>1.4866399872761518</v>
      </c>
      <c r="P683" s="101">
        <f t="shared" si="200"/>
        <v>1.4866399872761518</v>
      </c>
      <c r="Q683" s="101">
        <f t="shared" si="201"/>
        <v>0.43623238860807284</v>
      </c>
      <c r="R683" s="101">
        <f t="shared" si="202"/>
        <v>1.7320630378382162E-2</v>
      </c>
      <c r="S683" s="101">
        <f t="shared" si="190"/>
        <v>581.01656896407439</v>
      </c>
      <c r="T683" s="101">
        <f t="shared" si="206"/>
        <v>182.47593737098916</v>
      </c>
      <c r="U683" s="101">
        <f t="shared" si="206"/>
        <v>36.898460338743376</v>
      </c>
      <c r="V683" s="33">
        <f t="shared" si="207"/>
        <v>1000.0000000000053</v>
      </c>
      <c r="W683" s="105">
        <f t="shared" si="203"/>
        <v>69936.303837227752</v>
      </c>
      <c r="X683" s="112">
        <f t="shared" si="208"/>
        <v>780.62560229027281</v>
      </c>
      <c r="Y683" s="32">
        <f t="shared" si="204"/>
        <v>422.95117895644961</v>
      </c>
    </row>
    <row r="684" spans="1:25" x14ac:dyDescent="0.25">
      <c r="A684" s="4">
        <v>678</v>
      </c>
      <c r="C684" s="110">
        <f>IF(male=0,VLOOKUP(((A682:A1516/'Life tables'!$I$2)*2)+age,lifetable,13,1),IF(male=1,VLOOKUP(((A682:A1516/'Life tables'!$I$2)*2)+age,lifetable,10,1),"error"))</f>
        <v>6.6122671421597889E-4</v>
      </c>
      <c r="F684" s="101">
        <f t="shared" si="191"/>
        <v>134.37214262419391</v>
      </c>
      <c r="G684" s="101">
        <f t="shared" si="192"/>
        <v>13.497962952000583</v>
      </c>
      <c r="H684" s="101">
        <f t="shared" si="193"/>
        <v>0.30888429922519645</v>
      </c>
      <c r="I684" s="101">
        <f t="shared" si="194"/>
        <v>0.30888429922519645</v>
      </c>
      <c r="J684" s="101">
        <f t="shared" si="195"/>
        <v>9.8184149141416141E-2</v>
      </c>
      <c r="K684" s="101">
        <f t="shared" si="196"/>
        <v>2.4213168500475765E-2</v>
      </c>
      <c r="L684" s="101">
        <f t="shared" si="205"/>
        <v>120.13401375610104</v>
      </c>
      <c r="M684" s="101">
        <f t="shared" si="197"/>
        <v>646.25345966607892</v>
      </c>
      <c r="N684" s="101">
        <f t="shared" si="198"/>
        <v>62.235608356353275</v>
      </c>
      <c r="O684" s="101">
        <f t="shared" si="199"/>
        <v>1.4855575204236871</v>
      </c>
      <c r="P684" s="101">
        <f t="shared" si="200"/>
        <v>1.4855575204236871</v>
      </c>
      <c r="Q684" s="101">
        <f t="shared" si="201"/>
        <v>0.47043647914243125</v>
      </c>
      <c r="R684" s="101">
        <f t="shared" si="202"/>
        <v>1.7308018711530163E-2</v>
      </c>
      <c r="S684" s="101">
        <f t="shared" si="190"/>
        <v>580.55899177102435</v>
      </c>
      <c r="T684" s="101">
        <f t="shared" si="206"/>
        <v>183.044557999273</v>
      </c>
      <c r="U684" s="101">
        <f t="shared" si="206"/>
        <v>36.939981525955382</v>
      </c>
      <c r="V684" s="33">
        <f t="shared" si="207"/>
        <v>1000.0000000000055</v>
      </c>
      <c r="W684" s="105">
        <f t="shared" si="203"/>
        <v>69801.824611086922</v>
      </c>
      <c r="X684" s="112">
        <f t="shared" si="208"/>
        <v>780.015460474777</v>
      </c>
      <c r="Y684" s="32">
        <f t="shared" si="204"/>
        <v>422.49868916739058</v>
      </c>
    </row>
    <row r="685" spans="1:25" x14ac:dyDescent="0.25">
      <c r="A685" s="4">
        <v>679</v>
      </c>
      <c r="C685" s="110">
        <f>IF(male=0,VLOOKUP(((A683:A1517/'Life tables'!$I$2)*2)+age,lifetable,13,1),IF(male=1,VLOOKUP(((A683:A1517/'Life tables'!$I$2)*2)+age,lifetable,10,1),"error"))</f>
        <v>6.6122671421597889E-4</v>
      </c>
      <c r="F685" s="101">
        <f t="shared" si="191"/>
        <v>134.26707918477064</v>
      </c>
      <c r="G685" s="101">
        <f t="shared" si="192"/>
        <v>13.487409109624851</v>
      </c>
      <c r="H685" s="101">
        <f t="shared" si="193"/>
        <v>0.30864278750835783</v>
      </c>
      <c r="I685" s="101">
        <f t="shared" si="194"/>
        <v>0.30864278750835783</v>
      </c>
      <c r="J685" s="101">
        <f t="shared" si="195"/>
        <v>9.8107380518067652E-2</v>
      </c>
      <c r="K685" s="101">
        <f t="shared" si="196"/>
        <v>2.4194236609443039E-2</v>
      </c>
      <c r="L685" s="101">
        <f t="shared" si="205"/>
        <v>120.04008288300156</v>
      </c>
      <c r="M685" s="101">
        <f t="shared" si="197"/>
        <v>645.74838129000625</v>
      </c>
      <c r="N685" s="101">
        <f t="shared" si="198"/>
        <v>62.18696821442078</v>
      </c>
      <c r="O685" s="101">
        <f t="shared" si="199"/>
        <v>1.4843964852775604</v>
      </c>
      <c r="P685" s="101">
        <f t="shared" si="200"/>
        <v>1.4843964852775604</v>
      </c>
      <c r="Q685" s="101">
        <f t="shared" si="201"/>
        <v>0.47006881025126057</v>
      </c>
      <c r="R685" s="101">
        <f t="shared" si="202"/>
        <v>1.7294491656698805E-2</v>
      </c>
      <c r="S685" s="101">
        <f t="shared" si="190"/>
        <v>580.10525680312242</v>
      </c>
      <c r="T685" s="101">
        <f t="shared" si="206"/>
        <v>183.61273419004232</v>
      </c>
      <c r="U685" s="101">
        <f t="shared" si="206"/>
        <v>36.981470254221527</v>
      </c>
      <c r="V685" s="33">
        <f t="shared" si="207"/>
        <v>1000.0000000000053</v>
      </c>
      <c r="W685" s="105">
        <f t="shared" si="203"/>
        <v>69667.103664736627</v>
      </c>
      <c r="X685" s="112">
        <f t="shared" si="208"/>
        <v>779.40579555574141</v>
      </c>
      <c r="Y685" s="32">
        <f t="shared" si="204"/>
        <v>422.04705088971662</v>
      </c>
    </row>
    <row r="686" spans="1:25" x14ac:dyDescent="0.25">
      <c r="A686" s="4">
        <v>680</v>
      </c>
      <c r="C686" s="110">
        <f>IF(male=0,VLOOKUP(((A684:A1518/'Life tables'!$I$2)*2)+age,lifetable,13,1),IF(male=1,VLOOKUP(((A684:A1518/'Life tables'!$I$2)*2)+age,lifetable,10,1),"error"))</f>
        <v>6.6122671421597889E-4</v>
      </c>
      <c r="F686" s="101">
        <f t="shared" si="191"/>
        <v>134.16209904749195</v>
      </c>
      <c r="G686" s="101">
        <f t="shared" si="192"/>
        <v>13.476863635123884</v>
      </c>
      <c r="H686" s="101">
        <f t="shared" si="193"/>
        <v>0.30840146728005291</v>
      </c>
      <c r="I686" s="101">
        <f t="shared" si="194"/>
        <v>0.30840146728005291</v>
      </c>
      <c r="J686" s="101">
        <f t="shared" si="195"/>
        <v>9.803067276261955E-2</v>
      </c>
      <c r="K686" s="101">
        <f t="shared" si="196"/>
        <v>2.4175319729028019E-2</v>
      </c>
      <c r="L686" s="101">
        <f t="shared" si="205"/>
        <v>119.94622648531632</v>
      </c>
      <c r="M686" s="101">
        <f t="shared" si="197"/>
        <v>645.24369650824951</v>
      </c>
      <c r="N686" s="101">
        <f t="shared" si="198"/>
        <v>62.138365976473686</v>
      </c>
      <c r="O686" s="101">
        <f t="shared" si="199"/>
        <v>1.4832363548956364</v>
      </c>
      <c r="P686" s="101">
        <f t="shared" si="200"/>
        <v>1.4832363548956364</v>
      </c>
      <c r="Q686" s="101">
        <f t="shared" si="201"/>
        <v>0.46970142787480251</v>
      </c>
      <c r="R686" s="101">
        <f t="shared" si="202"/>
        <v>1.7280975143146082E-2</v>
      </c>
      <c r="S686" s="101">
        <f t="shared" si="190"/>
        <v>579.6518754189666</v>
      </c>
      <c r="T686" s="101">
        <f t="shared" si="206"/>
        <v>184.18046629067973</v>
      </c>
      <c r="U686" s="101">
        <f t="shared" si="206"/>
        <v>37.022926549093704</v>
      </c>
      <c r="V686" s="33">
        <f t="shared" si="207"/>
        <v>1000.0000000000052</v>
      </c>
      <c r="W686" s="105">
        <f t="shared" si="203"/>
        <v>69532.642693368369</v>
      </c>
      <c r="X686" s="112">
        <f t="shared" si="208"/>
        <v>778.79660716023182</v>
      </c>
      <c r="Y686" s="32">
        <f t="shared" si="204"/>
        <v>421.59589540232889</v>
      </c>
    </row>
    <row r="687" spans="1:25" x14ac:dyDescent="0.25">
      <c r="A687" s="4">
        <v>681</v>
      </c>
      <c r="C687" s="110">
        <f>IF(male=0,VLOOKUP(((A685:A1519/'Life tables'!$I$2)*2)+age,lifetable,13,1),IF(male=1,VLOOKUP(((A685:A1519/'Life tables'!$I$2)*2)+age,lifetable,10,1),"error"))</f>
        <v>6.6122671421597889E-4</v>
      </c>
      <c r="F687" s="101">
        <f t="shared" si="191"/>
        <v>134.05720210974104</v>
      </c>
      <c r="G687" s="101">
        <f t="shared" si="192"/>
        <v>13.466326518189611</v>
      </c>
      <c r="H687" s="101">
        <f t="shared" si="193"/>
        <v>0.30816033830439404</v>
      </c>
      <c r="I687" s="101">
        <f t="shared" si="194"/>
        <v>0.30816033830439404</v>
      </c>
      <c r="J687" s="101">
        <f t="shared" si="195"/>
        <v>9.7954025800090869E-2</v>
      </c>
      <c r="K687" s="101">
        <f t="shared" si="196"/>
        <v>2.4156417840739686E-2</v>
      </c>
      <c r="L687" s="101">
        <f t="shared" si="205"/>
        <v>119.85244447130181</v>
      </c>
      <c r="M687" s="101">
        <f t="shared" si="197"/>
        <v>644.73940505049086</v>
      </c>
      <c r="N687" s="101">
        <f t="shared" si="198"/>
        <v>62.089801616479797</v>
      </c>
      <c r="O687" s="101">
        <f t="shared" si="199"/>
        <v>1.4820771286565293</v>
      </c>
      <c r="P687" s="101">
        <f t="shared" si="200"/>
        <v>1.4820771286565293</v>
      </c>
      <c r="Q687" s="101">
        <f t="shared" si="201"/>
        <v>0.46933433181628043</v>
      </c>
      <c r="R687" s="101">
        <f t="shared" si="202"/>
        <v>1.7267469163632317E-2</v>
      </c>
      <c r="S687" s="101">
        <f t="shared" si="190"/>
        <v>579.19884737571806</v>
      </c>
      <c r="T687" s="101">
        <f t="shared" si="206"/>
        <v>184.74775464829611</v>
      </c>
      <c r="U687" s="101">
        <f t="shared" si="206"/>
        <v>37.064350436098074</v>
      </c>
      <c r="V687" s="33">
        <f t="shared" si="207"/>
        <v>1000.0000000000053</v>
      </c>
      <c r="W687" s="105">
        <f t="shared" si="203"/>
        <v>69398.441196712636</v>
      </c>
      <c r="X687" s="112">
        <f t="shared" si="208"/>
        <v>778.18789491561108</v>
      </c>
      <c r="Y687" s="32">
        <f t="shared" si="204"/>
        <v>421.1452221890512</v>
      </c>
    </row>
    <row r="688" spans="1:25" x14ac:dyDescent="0.25">
      <c r="A688" s="4">
        <v>682</v>
      </c>
      <c r="C688" s="110">
        <f>IF(male=0,VLOOKUP(((A686:A1520/'Life tables'!$I$2)*2)+age,lifetable,13,1),IF(male=1,VLOOKUP(((A686:A1520/'Life tables'!$I$2)*2)+age,lifetable,10,1),"error"))</f>
        <v>6.6122671421597889E-4</v>
      </c>
      <c r="F688" s="101">
        <f t="shared" si="191"/>
        <v>133.95238827016951</v>
      </c>
      <c r="G688" s="101">
        <f t="shared" si="192"/>
        <v>13.45579774864137</v>
      </c>
      <c r="H688" s="101">
        <f t="shared" si="193"/>
        <v>0.30791940034840937</v>
      </c>
      <c r="I688" s="101">
        <f t="shared" si="194"/>
        <v>0.30791940034840937</v>
      </c>
      <c r="J688" s="101">
        <f t="shared" si="195"/>
        <v>9.7877439556427581E-2</v>
      </c>
      <c r="K688" s="101">
        <f t="shared" si="196"/>
        <v>2.4137530926315577E-2</v>
      </c>
      <c r="L688" s="101">
        <f t="shared" si="205"/>
        <v>119.75873675034858</v>
      </c>
      <c r="M688" s="101">
        <f t="shared" si="197"/>
        <v>644.23550664544166</v>
      </c>
      <c r="N688" s="101">
        <f t="shared" si="198"/>
        <v>62.041275108313421</v>
      </c>
      <c r="O688" s="101">
        <f t="shared" si="199"/>
        <v>1.4809188059366212</v>
      </c>
      <c r="P688" s="101">
        <f t="shared" si="200"/>
        <v>1.4809188059366212</v>
      </c>
      <c r="Q688" s="101">
        <f t="shared" si="201"/>
        <v>0.46896752187821178</v>
      </c>
      <c r="R688" s="101">
        <f t="shared" si="202"/>
        <v>1.7253973710891827E-2</v>
      </c>
      <c r="S688" s="101">
        <f t="shared" si="190"/>
        <v>578.74617242966588</v>
      </c>
      <c r="T688" s="101">
        <f t="shared" si="206"/>
        <v>185.31459960973075</v>
      </c>
      <c r="U688" s="101">
        <f t="shared" si="206"/>
        <v>37.105741940735278</v>
      </c>
      <c r="V688" s="33">
        <f t="shared" si="207"/>
        <v>1000.0000000000052</v>
      </c>
      <c r="W688" s="105">
        <f t="shared" si="203"/>
        <v>69264.498675416326</v>
      </c>
      <c r="X688" s="112">
        <f t="shared" si="208"/>
        <v>777.57965844953924</v>
      </c>
      <c r="Y688" s="32">
        <f t="shared" si="204"/>
        <v>420.69503073426176</v>
      </c>
    </row>
    <row r="689" spans="1:25" x14ac:dyDescent="0.25">
      <c r="A689" s="4">
        <v>683</v>
      </c>
      <c r="C689" s="110">
        <f>IF(male=0,VLOOKUP(((A687:A1521/'Life tables'!$I$2)*2)+age,lifetable,13,1),IF(male=1,VLOOKUP(((A687:A1521/'Life tables'!$I$2)*2)+age,lifetable,10,1),"error"))</f>
        <v>6.6122671421597889E-4</v>
      </c>
      <c r="F689" s="101">
        <f t="shared" si="191"/>
        <v>133.84765742865878</v>
      </c>
      <c r="G689" s="101">
        <f t="shared" si="192"/>
        <v>13.445277316422041</v>
      </c>
      <c r="H689" s="101">
        <f t="shared" si="193"/>
        <v>0.30767865318195403</v>
      </c>
      <c r="I689" s="101">
        <f t="shared" si="194"/>
        <v>0.30767865318195403</v>
      </c>
      <c r="J689" s="101">
        <f t="shared" si="195"/>
        <v>9.7800913958474178E-2</v>
      </c>
      <c r="K689" s="101">
        <f t="shared" si="196"/>
        <v>2.411865896771484E-2</v>
      </c>
      <c r="L689" s="101">
        <f t="shared" si="205"/>
        <v>119.66510323294663</v>
      </c>
      <c r="M689" s="101">
        <f t="shared" si="197"/>
        <v>643.7320010208806</v>
      </c>
      <c r="N689" s="101">
        <f t="shared" si="198"/>
        <v>61.992786425759064</v>
      </c>
      <c r="O689" s="101">
        <f t="shared" si="199"/>
        <v>1.4797613861101513</v>
      </c>
      <c r="P689" s="101">
        <f t="shared" si="200"/>
        <v>1.4797613861101513</v>
      </c>
      <c r="Q689" s="101">
        <f t="shared" si="201"/>
        <v>0.4686009978624342</v>
      </c>
      <c r="R689" s="101">
        <f t="shared" si="202"/>
        <v>1.7240488777633959E-2</v>
      </c>
      <c r="S689" s="101">
        <f t="shared" si="190"/>
        <v>578.29385033626113</v>
      </c>
      <c r="T689" s="101">
        <f t="shared" si="206"/>
        <v>185.88100152155167</v>
      </c>
      <c r="U689" s="101">
        <f t="shared" si="206"/>
        <v>37.147101088480625</v>
      </c>
      <c r="V689" s="33">
        <f t="shared" si="207"/>
        <v>1000.0000000000053</v>
      </c>
      <c r="W689" s="105">
        <f t="shared" si="203"/>
        <v>69130.814631042493</v>
      </c>
      <c r="X689" s="112">
        <f t="shared" si="208"/>
        <v>776.97189738997304</v>
      </c>
      <c r="Y689" s="32">
        <f t="shared" si="204"/>
        <v>420.24532052289237</v>
      </c>
    </row>
    <row r="690" spans="1:25" x14ac:dyDescent="0.25">
      <c r="A690" s="4">
        <v>684</v>
      </c>
      <c r="C690" s="110">
        <f>IF(male=0,VLOOKUP(((A688:A1522/'Life tables'!$I$2)*2)+age,lifetable,13,1),IF(male=1,VLOOKUP(((A688:A1522/'Life tables'!$I$2)*2)+age,lifetable,10,1),"error"))</f>
        <v>6.6122671421597889E-4</v>
      </c>
      <c r="F690" s="101">
        <f t="shared" si="191"/>
        <v>133.74300948628274</v>
      </c>
      <c r="G690" s="101">
        <f t="shared" si="192"/>
        <v>13.434765211594293</v>
      </c>
      <c r="H690" s="101">
        <f t="shared" si="193"/>
        <v>0.30743809657762433</v>
      </c>
      <c r="I690" s="101">
        <f t="shared" si="194"/>
        <v>0.30743809657762433</v>
      </c>
      <c r="J690" s="101">
        <f t="shared" si="195"/>
        <v>9.7724448933946523E-2</v>
      </c>
      <c r="K690" s="101">
        <f t="shared" si="196"/>
        <v>2.4099801947111501E-2</v>
      </c>
      <c r="L690" s="101">
        <f t="shared" si="205"/>
        <v>119.57154383065215</v>
      </c>
      <c r="M690" s="101">
        <f t="shared" si="197"/>
        <v>643.22888790369029</v>
      </c>
      <c r="N690" s="101">
        <f t="shared" si="198"/>
        <v>61.944335542514928</v>
      </c>
      <c r="O690" s="101">
        <f t="shared" si="199"/>
        <v>1.4786048685492983</v>
      </c>
      <c r="P690" s="101">
        <f t="shared" si="200"/>
        <v>1.4786048685492983</v>
      </c>
      <c r="Q690" s="101">
        <f t="shared" si="201"/>
        <v>0.46823475957013377</v>
      </c>
      <c r="R690" s="101">
        <f t="shared" si="202"/>
        <v>1.7227014356544057E-2</v>
      </c>
      <c r="S690" s="101">
        <f t="shared" si="190"/>
        <v>577.84188085015012</v>
      </c>
      <c r="T690" s="101">
        <f t="shared" si="206"/>
        <v>186.44696073005574</v>
      </c>
      <c r="U690" s="101">
        <f t="shared" si="206"/>
        <v>37.188427904784284</v>
      </c>
      <c r="V690" s="33">
        <f t="shared" si="207"/>
        <v>1000.0000000000052</v>
      </c>
      <c r="W690" s="105">
        <f t="shared" si="203"/>
        <v>68997.38856607028</v>
      </c>
      <c r="X690" s="112">
        <f t="shared" si="208"/>
        <v>776.36461136516527</v>
      </c>
      <c r="Y690" s="32">
        <f t="shared" si="204"/>
        <v>419.79609104042879</v>
      </c>
    </row>
    <row r="691" spans="1:25" x14ac:dyDescent="0.25">
      <c r="A691" s="4">
        <v>685</v>
      </c>
      <c r="C691" s="110">
        <f>IF(male=0,VLOOKUP(((A689:A1523/'Life tables'!$I$2)*2)+age,lifetable,13,1),IF(male=1,VLOOKUP(((A689:A1523/'Life tables'!$I$2)*2)+age,lifetable,10,1),"error"))</f>
        <v>6.6122671421597889E-4</v>
      </c>
      <c r="F691" s="101">
        <f t="shared" si="191"/>
        <v>133.63844434527132</v>
      </c>
      <c r="G691" s="101">
        <f t="shared" si="192"/>
        <v>13.424261424336912</v>
      </c>
      <c r="H691" s="101">
        <f t="shared" si="193"/>
        <v>0.30719773031067399</v>
      </c>
      <c r="I691" s="101">
        <f t="shared" si="194"/>
        <v>0.30719773031067399</v>
      </c>
      <c r="J691" s="101">
        <f t="shared" si="195"/>
        <v>9.7648044411405205E-2</v>
      </c>
      <c r="K691" s="101">
        <f t="shared" si="196"/>
        <v>2.4080959846887899E-2</v>
      </c>
      <c r="L691" s="101">
        <f t="shared" si="205"/>
        <v>119.47805845605477</v>
      </c>
      <c r="M691" s="101">
        <f t="shared" si="197"/>
        <v>642.72616701989398</v>
      </c>
      <c r="N691" s="101">
        <f t="shared" si="198"/>
        <v>61.895922432196457</v>
      </c>
      <c r="O691" s="101">
        <f t="shared" si="199"/>
        <v>1.4774492526242655</v>
      </c>
      <c r="P691" s="101">
        <f t="shared" si="200"/>
        <v>1.4774492526242655</v>
      </c>
      <c r="Q691" s="101">
        <f t="shared" si="201"/>
        <v>0.46786880680187054</v>
      </c>
      <c r="R691" s="101">
        <f t="shared" si="202"/>
        <v>1.7213550440284452E-2</v>
      </c>
      <c r="S691" s="101">
        <f t="shared" si="190"/>
        <v>577.39026372520686</v>
      </c>
      <c r="T691" s="101">
        <f t="shared" si="206"/>
        <v>187.01247758126902</v>
      </c>
      <c r="U691" s="101">
        <f t="shared" si="206"/>
        <v>37.229722415071457</v>
      </c>
      <c r="V691" s="33">
        <f t="shared" si="207"/>
        <v>1000.0000000000053</v>
      </c>
      <c r="W691" s="105">
        <f t="shared" si="203"/>
        <v>68864.219983894422</v>
      </c>
      <c r="X691" s="112">
        <f t="shared" si="208"/>
        <v>775.7578000036649</v>
      </c>
      <c r="Y691" s="32">
        <f t="shared" si="204"/>
        <v>419.34734177290829</v>
      </c>
    </row>
    <row r="692" spans="1:25" x14ac:dyDescent="0.25">
      <c r="A692" s="4">
        <v>686</v>
      </c>
      <c r="C692" s="110">
        <f>IF(male=0,VLOOKUP(((A690:A1524/'Life tables'!$I$2)*2)+age,lifetable,13,1),IF(male=1,VLOOKUP(((A690:A1524/'Life tables'!$I$2)*2)+age,lifetable,10,1),"error"))</f>
        <v>6.6122671421597889E-4</v>
      </c>
      <c r="F692" s="101">
        <f t="shared" si="191"/>
        <v>133.53396190897564</v>
      </c>
      <c r="G692" s="101">
        <f t="shared" si="192"/>
        <v>13.41376594494132</v>
      </c>
      <c r="H692" s="101">
        <f t="shared" si="193"/>
        <v>0.30695755415893405</v>
      </c>
      <c r="I692" s="101">
        <f t="shared" si="194"/>
        <v>0.30695755415893405</v>
      </c>
      <c r="J692" s="101">
        <f t="shared" si="195"/>
        <v>9.7571700320229951E-2</v>
      </c>
      <c r="K692" s="101">
        <f t="shared" si="196"/>
        <v>2.4062132649628396E-2</v>
      </c>
      <c r="L692" s="101">
        <f t="shared" si="205"/>
        <v>119.38464702274659</v>
      </c>
      <c r="M692" s="101">
        <f t="shared" si="197"/>
        <v>642.22383809468931</v>
      </c>
      <c r="N692" s="101">
        <f t="shared" si="198"/>
        <v>61.847547068339594</v>
      </c>
      <c r="O692" s="101">
        <f t="shared" si="199"/>
        <v>1.4762945377033585</v>
      </c>
      <c r="P692" s="101">
        <f t="shared" si="200"/>
        <v>1.4762945377033585</v>
      </c>
      <c r="Q692" s="101">
        <f t="shared" si="201"/>
        <v>0.46750313935760363</v>
      </c>
      <c r="R692" s="101">
        <f t="shared" si="202"/>
        <v>1.7200097021495366E-2</v>
      </c>
      <c r="S692" s="101">
        <f t="shared" si="190"/>
        <v>576.93899871456392</v>
      </c>
      <c r="T692" s="101">
        <f t="shared" si="206"/>
        <v>187.57755242094686</v>
      </c>
      <c r="U692" s="101">
        <f t="shared" si="206"/>
        <v>37.270984644742583</v>
      </c>
      <c r="V692" s="33">
        <f t="shared" si="207"/>
        <v>1000.0000000000055</v>
      </c>
      <c r="W692" s="105">
        <f t="shared" si="203"/>
        <v>68731.308388825288</v>
      </c>
      <c r="X692" s="112">
        <f t="shared" si="208"/>
        <v>775.15146293431599</v>
      </c>
      <c r="Y692" s="32">
        <f t="shared" si="204"/>
        <v>418.89907220692123</v>
      </c>
    </row>
    <row r="693" spans="1:25" x14ac:dyDescent="0.25">
      <c r="A693" s="4">
        <v>687</v>
      </c>
      <c r="C693" s="110">
        <f>IF(male=0,VLOOKUP(((A691:A1525/'Life tables'!$I$2)*2)+age,lifetable,13,1),IF(male=1,VLOOKUP(((A691:A1525/'Life tables'!$I$2)*2)+age,lifetable,10,1),"error"))</f>
        <v>6.6122671421597889E-4</v>
      </c>
      <c r="F693" s="101">
        <f t="shared" si="191"/>
        <v>133.42956208183404</v>
      </c>
      <c r="G693" s="101">
        <f t="shared" si="192"/>
        <v>13.403278763808146</v>
      </c>
      <c r="H693" s="101">
        <f t="shared" si="193"/>
        <v>0.30671756790273469</v>
      </c>
      <c r="I693" s="101">
        <f t="shared" si="194"/>
        <v>0.30671756790273469</v>
      </c>
      <c r="J693" s="101">
        <f t="shared" si="195"/>
        <v>9.7495416590595033E-2</v>
      </c>
      <c r="K693" s="101">
        <f t="shared" si="196"/>
        <v>2.4043320338113277E-2</v>
      </c>
      <c r="L693" s="101">
        <f t="shared" si="205"/>
        <v>119.29130944529172</v>
      </c>
      <c r="M693" s="101">
        <f t="shared" si="197"/>
        <v>641.72190085248201</v>
      </c>
      <c r="N693" s="101">
        <f t="shared" si="198"/>
        <v>61.799209424404005</v>
      </c>
      <c r="O693" s="101">
        <f t="shared" si="199"/>
        <v>1.4751407231530627</v>
      </c>
      <c r="P693" s="101">
        <f t="shared" si="200"/>
        <v>1.4751407231530627</v>
      </c>
      <c r="Q693" s="101">
        <f t="shared" si="201"/>
        <v>0.46713775703671606</v>
      </c>
      <c r="R693" s="101">
        <f t="shared" si="202"/>
        <v>1.7186654092795801E-2</v>
      </c>
      <c r="S693" s="101">
        <f t="shared" si="190"/>
        <v>576.4880855706424</v>
      </c>
      <c r="T693" s="101">
        <f t="shared" si="206"/>
        <v>188.14218559457416</v>
      </c>
      <c r="U693" s="101">
        <f t="shared" si="206"/>
        <v>37.312214619173496</v>
      </c>
      <c r="V693" s="33">
        <f t="shared" si="207"/>
        <v>1000.0000000000055</v>
      </c>
      <c r="W693" s="105">
        <f t="shared" si="203"/>
        <v>68598.653286088113</v>
      </c>
      <c r="X693" s="112">
        <f t="shared" si="208"/>
        <v>774.54559978625787</v>
      </c>
      <c r="Y693" s="32">
        <f t="shared" si="204"/>
        <v>418.45128182960838</v>
      </c>
    </row>
    <row r="694" spans="1:25" x14ac:dyDescent="0.25">
      <c r="A694" s="4">
        <v>688</v>
      </c>
      <c r="C694" s="110">
        <f>IF(male=0,VLOOKUP(((A692:A1526/'Life tables'!$I$2)*2)+age,lifetable,13,1),IF(male=1,VLOOKUP(((A692:A1526/'Life tables'!$I$2)*2)+age,lifetable,10,1),"error"))</f>
        <v>6.6122671421597889E-4</v>
      </c>
      <c r="F694" s="101">
        <f t="shared" si="191"/>
        <v>133.32524476933884</v>
      </c>
      <c r="G694" s="101">
        <f t="shared" si="192"/>
        <v>13.392799871443897</v>
      </c>
      <c r="H694" s="101">
        <f t="shared" si="193"/>
        <v>0.30647777132482901</v>
      </c>
      <c r="I694" s="101">
        <f t="shared" si="194"/>
        <v>0.30647777132482901</v>
      </c>
      <c r="J694" s="101">
        <f t="shared" si="195"/>
        <v>9.7419193153444772E-2</v>
      </c>
      <c r="K694" s="101">
        <f t="shared" si="196"/>
        <v>2.4024522895312747E-2</v>
      </c>
      <c r="L694" s="101">
        <f t="shared" si="205"/>
        <v>119.19804563919652</v>
      </c>
      <c r="M694" s="101">
        <f t="shared" si="197"/>
        <v>641.22035501691914</v>
      </c>
      <c r="N694" s="101">
        <f t="shared" si="198"/>
        <v>61.750909473776304</v>
      </c>
      <c r="O694" s="101">
        <f t="shared" si="199"/>
        <v>1.473987808338119</v>
      </c>
      <c r="P694" s="101">
        <f t="shared" si="200"/>
        <v>1.473987808338119</v>
      </c>
      <c r="Q694" s="101">
        <f t="shared" si="201"/>
        <v>0.46677265963803805</v>
      </c>
      <c r="R694" s="101">
        <f t="shared" si="202"/>
        <v>1.7173221646784451E-2</v>
      </c>
      <c r="S694" s="101">
        <f t="shared" si="190"/>
        <v>576.03752404518173</v>
      </c>
      <c r="T694" s="101">
        <f t="shared" si="206"/>
        <v>188.70637744736564</v>
      </c>
      <c r="U694" s="101">
        <f t="shared" si="206"/>
        <v>37.353412363715591</v>
      </c>
      <c r="V694" s="33">
        <f t="shared" si="207"/>
        <v>1000.0000000000056</v>
      </c>
      <c r="W694" s="105">
        <f t="shared" si="203"/>
        <v>68466.254181822922</v>
      </c>
      <c r="X694" s="112">
        <f t="shared" si="208"/>
        <v>773.94021018892431</v>
      </c>
      <c r="Y694" s="32">
        <f t="shared" si="204"/>
        <v>418.0039701286608</v>
      </c>
    </row>
    <row r="695" spans="1:25" x14ac:dyDescent="0.25">
      <c r="A695" s="4">
        <v>689</v>
      </c>
      <c r="C695" s="110">
        <f>IF(male=0,VLOOKUP(((A693:A1527/'Life tables'!$I$2)*2)+age,lifetable,13,1),IF(male=1,VLOOKUP(((A693:A1527/'Life tables'!$I$2)*2)+age,lifetable,10,1),"error"))</f>
        <v>6.6122671421597889E-4</v>
      </c>
      <c r="F695" s="101">
        <f t="shared" si="191"/>
        <v>133.22100987800491</v>
      </c>
      <c r="G695" s="101">
        <f t="shared" si="192"/>
        <v>13.382329258457794</v>
      </c>
      <c r="H695" s="101">
        <f t="shared" si="193"/>
        <v>0.30623816421032057</v>
      </c>
      <c r="I695" s="101">
        <f t="shared" si="194"/>
        <v>0.30623816421032057</v>
      </c>
      <c r="J695" s="101">
        <f t="shared" si="195"/>
        <v>9.7343029940470685E-2</v>
      </c>
      <c r="K695" s="101">
        <f t="shared" si="196"/>
        <v>2.4005740304381264E-2</v>
      </c>
      <c r="L695" s="101">
        <f t="shared" si="205"/>
        <v>119.10485552088161</v>
      </c>
      <c r="M695" s="101">
        <f t="shared" si="197"/>
        <v>640.71920031091963</v>
      </c>
      <c r="N695" s="101">
        <f t="shared" si="198"/>
        <v>61.702647189772989</v>
      </c>
      <c r="O695" s="101">
        <f t="shared" si="199"/>
        <v>1.4728357926215951</v>
      </c>
      <c r="P695" s="101">
        <f t="shared" si="200"/>
        <v>1.4728357926215951</v>
      </c>
      <c r="Q695" s="101">
        <f t="shared" si="201"/>
        <v>0.46640784695987009</v>
      </c>
      <c r="R695" s="101">
        <f t="shared" si="202"/>
        <v>1.7159799676040508E-2</v>
      </c>
      <c r="S695" s="101">
        <f t="shared" si="190"/>
        <v>575.58731388926753</v>
      </c>
      <c r="T695" s="101">
        <f t="shared" si="206"/>
        <v>189.27012832426598</v>
      </c>
      <c r="U695" s="101">
        <f t="shared" si="206"/>
        <v>37.39457790369601</v>
      </c>
      <c r="V695" s="33">
        <f t="shared" si="207"/>
        <v>1000.0000000000058</v>
      </c>
      <c r="W695" s="105">
        <f t="shared" si="203"/>
        <v>68334.110583083908</v>
      </c>
      <c r="X695" s="112">
        <f t="shared" si="208"/>
        <v>773.33529377204377</v>
      </c>
      <c r="Y695" s="32">
        <f t="shared" si="204"/>
        <v>417.55713659232083</v>
      </c>
    </row>
    <row r="696" spans="1:25" x14ac:dyDescent="0.25">
      <c r="A696" s="4">
        <v>690</v>
      </c>
      <c r="C696" s="110">
        <f>IF(male=0,VLOOKUP(((A694:A1528/'Life tables'!$I$2)*2)+age,lifetable,13,1),IF(male=1,VLOOKUP(((A694:A1528/'Life tables'!$I$2)*2)+age,lifetable,10,1),"error"))</f>
        <v>6.6122671421597889E-4</v>
      </c>
      <c r="F696" s="101">
        <f t="shared" si="191"/>
        <v>133.11685731533856</v>
      </c>
      <c r="G696" s="101">
        <f t="shared" si="192"/>
        <v>13.371866915558655</v>
      </c>
      <c r="H696" s="101">
        <f t="shared" si="193"/>
        <v>0.30599874634659213</v>
      </c>
      <c r="I696" s="101">
        <f t="shared" si="194"/>
        <v>0.30599874634659213</v>
      </c>
      <c r="J696" s="101">
        <f t="shared" si="195"/>
        <v>9.726692688408875E-2</v>
      </c>
      <c r="K696" s="101">
        <f t="shared" si="196"/>
        <v>2.3986972548651942E-2</v>
      </c>
      <c r="L696" s="101">
        <f t="shared" si="205"/>
        <v>119.01173900765399</v>
      </c>
      <c r="M696" s="101">
        <f t="shared" si="197"/>
        <v>640.21843645670515</v>
      </c>
      <c r="N696" s="101">
        <f t="shared" si="198"/>
        <v>61.654422545643406</v>
      </c>
      <c r="O696" s="101">
        <f t="shared" si="199"/>
        <v>1.4716846753649555</v>
      </c>
      <c r="P696" s="101">
        <f t="shared" si="200"/>
        <v>1.4716846753649555</v>
      </c>
      <c r="Q696" s="101">
        <f t="shared" si="201"/>
        <v>0.4660433188000051</v>
      </c>
      <c r="R696" s="101">
        <f t="shared" si="202"/>
        <v>1.7146388173124482E-2</v>
      </c>
      <c r="S696" s="101">
        <f t="shared" si="190"/>
        <v>575.13745485335869</v>
      </c>
      <c r="T696" s="101">
        <f t="shared" si="206"/>
        <v>189.83343856995009</v>
      </c>
      <c r="U696" s="101">
        <f t="shared" si="206"/>
        <v>37.43571126441779</v>
      </c>
      <c r="V696" s="33">
        <f t="shared" si="207"/>
        <v>1000.0000000000058</v>
      </c>
      <c r="W696" s="105">
        <f t="shared" si="203"/>
        <v>68202.221997839079</v>
      </c>
      <c r="X696" s="112">
        <f t="shared" si="208"/>
        <v>772.73085016563789</v>
      </c>
      <c r="Y696" s="32">
        <f t="shared" si="204"/>
        <v>417.11078070937839</v>
      </c>
    </row>
    <row r="697" spans="1:25" x14ac:dyDescent="0.25">
      <c r="A697" s="4">
        <v>691</v>
      </c>
      <c r="C697" s="110">
        <f>IF(male=0,VLOOKUP(((A695:A1529/'Life tables'!$I$2)*2)+age,lifetable,13,1),IF(male=1,VLOOKUP(((A695:A1529/'Life tables'!$I$2)*2)+age,lifetable,10,1),"error"))</f>
        <v>6.6122671421597889E-4</v>
      </c>
      <c r="F697" s="101">
        <f t="shared" si="191"/>
        <v>133.01278698980784</v>
      </c>
      <c r="G697" s="101">
        <f t="shared" si="192"/>
        <v>13.361412833551903</v>
      </c>
      <c r="H697" s="101">
        <f t="shared" si="193"/>
        <v>0.30575951752323699</v>
      </c>
      <c r="I697" s="101">
        <f t="shared" si="194"/>
        <v>0.30575951752323699</v>
      </c>
      <c r="J697" s="101">
        <f t="shared" si="195"/>
        <v>9.7190883917417578E-2</v>
      </c>
      <c r="K697" s="101">
        <f t="shared" si="196"/>
        <v>2.3968219611631193E-2</v>
      </c>
      <c r="L697" s="101">
        <f t="shared" si="205"/>
        <v>118.91869601768042</v>
      </c>
      <c r="M697" s="101">
        <f t="shared" si="197"/>
        <v>639.71806317583003</v>
      </c>
      <c r="N697" s="101">
        <f t="shared" si="198"/>
        <v>61.606235514572624</v>
      </c>
      <c r="O697" s="101">
        <f t="shared" si="199"/>
        <v>1.4705344559281308</v>
      </c>
      <c r="P697" s="101">
        <f t="shared" si="200"/>
        <v>1.4705344559281308</v>
      </c>
      <c r="Q697" s="101">
        <f t="shared" si="201"/>
        <v>0.46567907495575017</v>
      </c>
      <c r="R697" s="101">
        <f t="shared" si="202"/>
        <v>1.7132987130579022E-2</v>
      </c>
      <c r="S697" s="101">
        <f t="shared" si="190"/>
        <v>574.68794668731482</v>
      </c>
      <c r="T697" s="101">
        <f t="shared" si="206"/>
        <v>190.39630852882325</v>
      </c>
      <c r="U697" s="101">
        <f t="shared" si="206"/>
        <v>37.476812471160002</v>
      </c>
      <c r="V697" s="33">
        <f t="shared" si="207"/>
        <v>1000.0000000000057</v>
      </c>
      <c r="W697" s="105">
        <f t="shared" si="203"/>
        <v>68070.587934969604</v>
      </c>
      <c r="X697" s="112">
        <f t="shared" si="208"/>
        <v>772.12687900002243</v>
      </c>
      <c r="Y697" s="32">
        <f t="shared" si="204"/>
        <v>416.66490196917323</v>
      </c>
    </row>
    <row r="698" spans="1:25" x14ac:dyDescent="0.25">
      <c r="A698" s="4">
        <v>692</v>
      </c>
      <c r="C698" s="110">
        <f>IF(male=0,VLOOKUP(((A696:A1530/'Life tables'!$I$2)*2)+age,lifetable,13,1),IF(male=1,VLOOKUP(((A696:A1530/'Life tables'!$I$2)*2)+age,lifetable,10,1),"error"))</f>
        <v>6.6122671421597889E-4</v>
      </c>
      <c r="F698" s="101">
        <f t="shared" si="191"/>
        <v>132.90879881081335</v>
      </c>
      <c r="G698" s="101">
        <f t="shared" si="192"/>
        <v>13.35096700333664</v>
      </c>
      <c r="H698" s="101">
        <f t="shared" si="193"/>
        <v>0.3055204775319923</v>
      </c>
      <c r="I698" s="101">
        <f t="shared" si="194"/>
        <v>0.3055204775319923</v>
      </c>
      <c r="J698" s="101">
        <f t="shared" si="195"/>
        <v>9.711490097425729E-2</v>
      </c>
      <c r="K698" s="101">
        <f t="shared" si="196"/>
        <v>2.3949481476993471E-2</v>
      </c>
      <c r="L698" s="101">
        <f t="shared" si="205"/>
        <v>118.82572646996148</v>
      </c>
      <c r="M698" s="101">
        <f t="shared" si="197"/>
        <v>639.21808018920922</v>
      </c>
      <c r="N698" s="101">
        <f t="shared" si="198"/>
        <v>61.558086069684158</v>
      </c>
      <c r="O698" s="101">
        <f t="shared" si="199"/>
        <v>1.469385133669582</v>
      </c>
      <c r="P698" s="101">
        <f t="shared" si="200"/>
        <v>1.469385133669582</v>
      </c>
      <c r="Q698" s="101">
        <f t="shared" si="201"/>
        <v>0.46531511522394692</v>
      </c>
      <c r="R698" s="101">
        <f t="shared" si="202"/>
        <v>1.7119596540929646E-2</v>
      </c>
      <c r="S698" s="101">
        <f t="shared" si="190"/>
        <v>574.23878914042098</v>
      </c>
      <c r="T698" s="101">
        <f t="shared" si="206"/>
        <v>190.95873854502145</v>
      </c>
      <c r="U698" s="101">
        <f t="shared" si="206"/>
        <v>37.517881549177929</v>
      </c>
      <c r="V698" s="33">
        <f t="shared" si="207"/>
        <v>1000.0000000000058</v>
      </c>
      <c r="W698" s="105">
        <f t="shared" si="203"/>
        <v>67939.207904269279</v>
      </c>
      <c r="X698" s="112">
        <f t="shared" si="208"/>
        <v>771.52337990580645</v>
      </c>
      <c r="Y698" s="32">
        <f t="shared" si="204"/>
        <v>416.21949986159194</v>
      </c>
    </row>
    <row r="699" spans="1:25" x14ac:dyDescent="0.25">
      <c r="A699" s="4">
        <v>693</v>
      </c>
      <c r="C699" s="110">
        <f>IF(male=0,VLOOKUP(((A697:A1531/'Life tables'!$I$2)*2)+age,lifetable,13,1),IF(male=1,VLOOKUP(((A697:A1531/'Life tables'!$I$2)*2)+age,lifetable,10,1),"error"))</f>
        <v>6.6122671421597889E-4</v>
      </c>
      <c r="F699" s="101">
        <f t="shared" si="191"/>
        <v>132.80489268866054</v>
      </c>
      <c r="G699" s="101">
        <f t="shared" si="192"/>
        <v>13.340529415902857</v>
      </c>
      <c r="H699" s="101">
        <f t="shared" si="193"/>
        <v>0.30528162616667515</v>
      </c>
      <c r="I699" s="101">
        <f t="shared" si="194"/>
        <v>0.30528162616667515</v>
      </c>
      <c r="J699" s="101">
        <f t="shared" si="195"/>
        <v>9.7038977989069131E-2</v>
      </c>
      <c r="K699" s="101">
        <f t="shared" si="196"/>
        <v>2.3930758128576281E-2</v>
      </c>
      <c r="L699" s="101">
        <f t="shared" si="205"/>
        <v>118.73283028430669</v>
      </c>
      <c r="M699" s="101">
        <f t="shared" si="197"/>
        <v>638.71848721714571</v>
      </c>
      <c r="N699" s="101">
        <f t="shared" si="198"/>
        <v>61.509974184042576</v>
      </c>
      <c r="O699" s="101">
        <f t="shared" si="199"/>
        <v>1.468236707946363</v>
      </c>
      <c r="P699" s="101">
        <f t="shared" si="200"/>
        <v>1.468236707946363</v>
      </c>
      <c r="Q699" s="101">
        <f t="shared" si="201"/>
        <v>0.46495143940099143</v>
      </c>
      <c r="R699" s="101">
        <f t="shared" si="202"/>
        <v>1.7106216396685477E-2</v>
      </c>
      <c r="S699" s="101">
        <f t="shared" si="190"/>
        <v>573.78998196141276</v>
      </c>
      <c r="T699" s="101">
        <f t="shared" si="206"/>
        <v>191.52072896241151</v>
      </c>
      <c r="U699" s="101">
        <f t="shared" si="206"/>
        <v>37.558918523703191</v>
      </c>
      <c r="V699" s="33">
        <f t="shared" si="207"/>
        <v>1000.0000000000057</v>
      </c>
      <c r="W699" s="105">
        <f t="shared" si="203"/>
        <v>67808.081416443965</v>
      </c>
      <c r="X699" s="112">
        <f t="shared" si="208"/>
        <v>770.92035251389098</v>
      </c>
      <c r="Y699" s="32">
        <f t="shared" si="204"/>
        <v>415.77457387706937</v>
      </c>
    </row>
    <row r="700" spans="1:25" x14ac:dyDescent="0.25">
      <c r="A700" s="4">
        <v>694</v>
      </c>
      <c r="C700" s="110">
        <f>IF(male=0,VLOOKUP(((A698:A1532/'Life tables'!$I$2)*2)+age,lifetable,13,1),IF(male=1,VLOOKUP(((A698:A1532/'Life tables'!$I$2)*2)+age,lifetable,10,1),"error"))</f>
        <v>6.6122671421597889E-4</v>
      </c>
      <c r="F700" s="101">
        <f t="shared" si="191"/>
        <v>132.70106853453245</v>
      </c>
      <c r="G700" s="101">
        <f t="shared" si="192"/>
        <v>13.330100062328707</v>
      </c>
      <c r="H700" s="101">
        <f t="shared" si="193"/>
        <v>0.30504296322312002</v>
      </c>
      <c r="I700" s="101">
        <f t="shared" si="194"/>
        <v>0.30504296322312002</v>
      </c>
      <c r="J700" s="101">
        <f t="shared" si="195"/>
        <v>9.6963114896955582E-2</v>
      </c>
      <c r="K700" s="101">
        <f t="shared" si="196"/>
        <v>2.3912049550375264E-2</v>
      </c>
      <c r="L700" s="101">
        <f t="shared" si="205"/>
        <v>118.64000738131017</v>
      </c>
      <c r="M700" s="101">
        <f t="shared" si="197"/>
        <v>638.21928397935858</v>
      </c>
      <c r="N700" s="101">
        <f t="shared" si="198"/>
        <v>61.461899830656222</v>
      </c>
      <c r="O700" s="101">
        <f t="shared" si="199"/>
        <v>1.4670891781141857</v>
      </c>
      <c r="P700" s="101">
        <f t="shared" si="200"/>
        <v>1.4670891781141857</v>
      </c>
      <c r="Q700" s="101">
        <f t="shared" si="201"/>
        <v>0.46458804728285502</v>
      </c>
      <c r="R700" s="101">
        <f t="shared" si="202"/>
        <v>1.7092846690340009E-2</v>
      </c>
      <c r="S700" s="101">
        <f t="shared" si="190"/>
        <v>573.34152489850078</v>
      </c>
      <c r="T700" s="101">
        <f t="shared" si="206"/>
        <v>192.08228012459131</v>
      </c>
      <c r="U700" s="101">
        <f t="shared" si="206"/>
        <v>37.599923419943906</v>
      </c>
      <c r="V700" s="33">
        <f t="shared" si="207"/>
        <v>1000.0000000000057</v>
      </c>
      <c r="W700" s="105">
        <f t="shared" si="203"/>
        <v>67677.207983110973</v>
      </c>
      <c r="X700" s="112">
        <f t="shared" si="208"/>
        <v>770.31779645547044</v>
      </c>
      <c r="Y700" s="32">
        <f t="shared" si="204"/>
        <v>415.33012350658663</v>
      </c>
    </row>
    <row r="701" spans="1:25" x14ac:dyDescent="0.25">
      <c r="A701" s="4">
        <v>695</v>
      </c>
      <c r="C701" s="110">
        <f>IF(male=0,VLOOKUP(((A699:A1533/'Life tables'!$I$2)*2)+age,lifetable,13,1),IF(male=1,VLOOKUP(((A699:A1533/'Life tables'!$I$2)*2)+age,lifetable,10,1),"error"))</f>
        <v>6.6122671421597889E-4</v>
      </c>
      <c r="F701" s="101">
        <f t="shared" si="191"/>
        <v>132.59732626046338</v>
      </c>
      <c r="G701" s="101">
        <f t="shared" si="192"/>
        <v>13.319678933777851</v>
      </c>
      <c r="H701" s="101">
        <f t="shared" si="193"/>
        <v>0.30480448849911806</v>
      </c>
      <c r="I701" s="101">
        <f t="shared" si="194"/>
        <v>0.30480448849911806</v>
      </c>
      <c r="J701" s="101">
        <f t="shared" si="195"/>
        <v>9.6887311633641143E-2</v>
      </c>
      <c r="K701" s="101">
        <f t="shared" si="196"/>
        <v>2.3893355726539455E-2</v>
      </c>
      <c r="L701" s="101">
        <f t="shared" si="205"/>
        <v>118.54725768232711</v>
      </c>
      <c r="M701" s="101">
        <f t="shared" si="197"/>
        <v>637.72047019500701</v>
      </c>
      <c r="N701" s="101">
        <f t="shared" si="198"/>
        <v>61.413862982479507</v>
      </c>
      <c r="O701" s="101">
        <f t="shared" si="199"/>
        <v>1.4659425435274753</v>
      </c>
      <c r="P701" s="101">
        <f t="shared" si="200"/>
        <v>1.4659425435274753</v>
      </c>
      <c r="Q701" s="101">
        <f t="shared" si="201"/>
        <v>0.46422493866510106</v>
      </c>
      <c r="R701" s="101">
        <f t="shared" si="202"/>
        <v>1.7079487414371746E-2</v>
      </c>
      <c r="S701" s="101">
        <f t="shared" si="190"/>
        <v>572.89341769939313</v>
      </c>
      <c r="T701" s="101">
        <f t="shared" si="206"/>
        <v>192.64339237489006</v>
      </c>
      <c r="U701" s="101">
        <f t="shared" si="206"/>
        <v>37.640896263084819</v>
      </c>
      <c r="V701" s="33">
        <f t="shared" si="207"/>
        <v>1000.0000000000057</v>
      </c>
      <c r="W701" s="105">
        <f t="shared" si="203"/>
        <v>67546.58711679824</v>
      </c>
      <c r="X701" s="112">
        <f t="shared" si="208"/>
        <v>769.71571136203079</v>
      </c>
      <c r="Y701" s="32">
        <f t="shared" si="204"/>
        <v>414.88614824167064</v>
      </c>
    </row>
    <row r="702" spans="1:25" x14ac:dyDescent="0.25">
      <c r="A702" s="4">
        <v>696</v>
      </c>
      <c r="C702" s="110">
        <f>IF(male=0,VLOOKUP(((A700:A1534/'Life tables'!$I$2)*2)+age,lifetable,13,1),IF(male=1,VLOOKUP(((A700:A1534/'Life tables'!$I$2)*2)+age,lifetable,10,1),"error"))</f>
        <v>6.6122671421597889E-4</v>
      </c>
      <c r="F702" s="101">
        <f t="shared" si="191"/>
        <v>132.49366577931355</v>
      </c>
      <c r="G702" s="101">
        <f t="shared" si="192"/>
        <v>13.309266021496917</v>
      </c>
      <c r="H702" s="101">
        <f t="shared" si="193"/>
        <v>0.30456620179435917</v>
      </c>
      <c r="I702" s="101">
        <f t="shared" si="194"/>
        <v>0.30456620179435917</v>
      </c>
      <c r="J702" s="101">
        <f t="shared" si="195"/>
        <v>9.6811568135453829E-2</v>
      </c>
      <c r="K702" s="101">
        <f t="shared" si="196"/>
        <v>2.3874676641366714E-2</v>
      </c>
      <c r="L702" s="101">
        <f t="shared" si="205"/>
        <v>118.45458110945108</v>
      </c>
      <c r="M702" s="101">
        <f t="shared" si="197"/>
        <v>637.22204558271721</v>
      </c>
      <c r="N702" s="101">
        <f t="shared" si="198"/>
        <v>61.365863612415531</v>
      </c>
      <c r="O702" s="101">
        <f t="shared" si="199"/>
        <v>1.464796803539431</v>
      </c>
      <c r="P702" s="101">
        <f t="shared" si="200"/>
        <v>1.464796803539431</v>
      </c>
      <c r="Q702" s="101">
        <f t="shared" si="201"/>
        <v>0.46386211334290511</v>
      </c>
      <c r="R702" s="101">
        <f t="shared" si="202"/>
        <v>1.7066138561244899E-2</v>
      </c>
      <c r="S702" s="101">
        <f t="shared" si="190"/>
        <v>572.44566011131872</v>
      </c>
      <c r="T702" s="101">
        <f t="shared" si="206"/>
        <v>193.20406605636842</v>
      </c>
      <c r="U702" s="101">
        <f t="shared" si="206"/>
        <v>37.68183707828743</v>
      </c>
      <c r="V702" s="33">
        <f t="shared" si="207"/>
        <v>1000.0000000000057</v>
      </c>
      <c r="W702" s="105">
        <f t="shared" si="203"/>
        <v>67416.218330943841</v>
      </c>
      <c r="X702" s="112">
        <f t="shared" si="208"/>
        <v>769.11409686534978</v>
      </c>
      <c r="Y702" s="32">
        <f t="shared" si="204"/>
        <v>414.4426475743935</v>
      </c>
    </row>
    <row r="703" spans="1:25" x14ac:dyDescent="0.25">
      <c r="A703" s="4">
        <v>697</v>
      </c>
      <c r="C703" s="110">
        <f>IF(male=0,VLOOKUP(((A701:A1535/'Life tables'!$I$2)*2)+age,lifetable,13,1),IF(male=1,VLOOKUP(((A701:A1535/'Life tables'!$I$2)*2)+age,lifetable,10,1),"error"))</f>
        <v>6.6122671421597889E-4</v>
      </c>
      <c r="F703" s="101">
        <f t="shared" si="191"/>
        <v>132.39008700474437</v>
      </c>
      <c r="G703" s="101">
        <f t="shared" si="192"/>
        <v>13.298861316813012</v>
      </c>
      <c r="H703" s="101">
        <f t="shared" si="193"/>
        <v>0.30432810291037482</v>
      </c>
      <c r="I703" s="101">
        <f t="shared" si="194"/>
        <v>0.30432810291037482</v>
      </c>
      <c r="J703" s="101">
        <f t="shared" si="195"/>
        <v>9.6735884339306966E-2</v>
      </c>
      <c r="K703" s="101">
        <f t="shared" si="196"/>
        <v>2.3856012279299271E-2</v>
      </c>
      <c r="L703" s="101">
        <f t="shared" si="205"/>
        <v>118.361977585492</v>
      </c>
      <c r="M703" s="101">
        <f t="shared" si="197"/>
        <v>636.72400986060552</v>
      </c>
      <c r="N703" s="101">
        <f t="shared" si="198"/>
        <v>61.317901693318291</v>
      </c>
      <c r="O703" s="101">
        <f t="shared" si="199"/>
        <v>1.4636519575020808</v>
      </c>
      <c r="P703" s="101">
        <f t="shared" si="200"/>
        <v>1.4636519575020808</v>
      </c>
      <c r="Q703" s="101">
        <f t="shared" si="201"/>
        <v>0.46349957111107171</v>
      </c>
      <c r="R703" s="101">
        <f t="shared" si="202"/>
        <v>1.7052800123410039E-2</v>
      </c>
      <c r="S703" s="101">
        <f t="shared" si="190"/>
        <v>571.99825188104865</v>
      </c>
      <c r="T703" s="101">
        <f t="shared" si="206"/>
        <v>193.76430151181879</v>
      </c>
      <c r="U703" s="101">
        <f t="shared" si="206"/>
        <v>37.722745890690142</v>
      </c>
      <c r="V703" s="33">
        <f t="shared" si="207"/>
        <v>1000.0000000000058</v>
      </c>
      <c r="W703" s="105">
        <f t="shared" si="203"/>
        <v>67286.101139894949</v>
      </c>
      <c r="X703" s="112">
        <f t="shared" si="208"/>
        <v>768.51295259749691</v>
      </c>
      <c r="Y703" s="32">
        <f t="shared" si="204"/>
        <v>413.9996209973728</v>
      </c>
    </row>
    <row r="704" spans="1:25" x14ac:dyDescent="0.25">
      <c r="A704" s="4">
        <v>698</v>
      </c>
      <c r="C704" s="110">
        <f>IF(male=0,VLOOKUP(((A702:A1536/'Life tables'!$I$2)*2)+age,lifetable,13,1),IF(male=1,VLOOKUP(((A702:A1536/'Life tables'!$I$2)*2)+age,lifetable,10,1),"error"))</f>
        <v>6.6122671421597889E-4</v>
      </c>
      <c r="F704" s="101">
        <f t="shared" si="191"/>
        <v>132.28658985119475</v>
      </c>
      <c r="G704" s="101">
        <f t="shared" si="192"/>
        <v>13.288464811131345</v>
      </c>
      <c r="H704" s="101">
        <f t="shared" si="193"/>
        <v>0.30409019165048379</v>
      </c>
      <c r="I704" s="101">
        <f t="shared" si="194"/>
        <v>0.30409019165048379</v>
      </c>
      <c r="J704" s="101">
        <f t="shared" si="195"/>
        <v>9.6660260182682117E-2</v>
      </c>
      <c r="K704" s="101">
        <f t="shared" si="196"/>
        <v>2.3837362624919454E-2</v>
      </c>
      <c r="L704" s="101">
        <f t="shared" si="205"/>
        <v>118.26944703395483</v>
      </c>
      <c r="M704" s="101">
        <f t="shared" si="197"/>
        <v>636.22636274630213</v>
      </c>
      <c r="N704" s="101">
        <f t="shared" si="198"/>
        <v>61.269977197994962</v>
      </c>
      <c r="O704" s="101">
        <f t="shared" si="199"/>
        <v>1.4625080047663344</v>
      </c>
      <c r="P704" s="101">
        <f t="shared" si="200"/>
        <v>1.4625080047663344</v>
      </c>
      <c r="Q704" s="101">
        <f t="shared" si="201"/>
        <v>0.46313731176405137</v>
      </c>
      <c r="R704" s="101">
        <f t="shared" si="202"/>
        <v>1.7039472093304711E-2</v>
      </c>
      <c r="S704" s="101">
        <f t="shared" si="190"/>
        <v>571.55119275491711</v>
      </c>
      <c r="T704" s="101">
        <f t="shared" si="206"/>
        <v>194.32409908376553</v>
      </c>
      <c r="U704" s="101">
        <f t="shared" si="206"/>
        <v>37.763622725408368</v>
      </c>
      <c r="V704" s="33">
        <f t="shared" si="207"/>
        <v>1000.0000000000058</v>
      </c>
      <c r="W704" s="105">
        <f t="shared" si="203"/>
        <v>67156.235058907318</v>
      </c>
      <c r="X704" s="112">
        <f t="shared" si="208"/>
        <v>767.9122781908319</v>
      </c>
      <c r="Y704" s="32">
        <f t="shared" si="204"/>
        <v>413.55706800376919</v>
      </c>
    </row>
    <row r="705" spans="1:25" x14ac:dyDescent="0.25">
      <c r="A705" s="4">
        <v>699</v>
      </c>
      <c r="C705" s="110">
        <f>IF(male=0,VLOOKUP(((A703:A1537/'Life tables'!$I$2)*2)+age,lifetable,13,1),IF(male=1,VLOOKUP(((A703:A1537/'Life tables'!$I$2)*2)+age,lifetable,10,1),"error"))</f>
        <v>6.6122671421597889E-4</v>
      </c>
      <c r="F705" s="101">
        <f t="shared" si="191"/>
        <v>132.18317423385778</v>
      </c>
      <c r="G705" s="101">
        <f t="shared" si="192"/>
        <v>13.278076495932885</v>
      </c>
      <c r="H705" s="101">
        <f t="shared" si="193"/>
        <v>0.30385246781973857</v>
      </c>
      <c r="I705" s="101">
        <f t="shared" si="194"/>
        <v>0.30385246781973857</v>
      </c>
      <c r="J705" s="101">
        <f t="shared" si="195"/>
        <v>9.6584695603611881E-2</v>
      </c>
      <c r="K705" s="101">
        <f t="shared" si="196"/>
        <v>2.3818727662945495E-2</v>
      </c>
      <c r="L705" s="101">
        <f t="shared" si="205"/>
        <v>118.17698937901886</v>
      </c>
      <c r="M705" s="101">
        <f t="shared" si="197"/>
        <v>635.72910395697397</v>
      </c>
      <c r="N705" s="101">
        <f t="shared" si="198"/>
        <v>61.222090099208096</v>
      </c>
      <c r="O705" s="101">
        <f t="shared" si="199"/>
        <v>1.4613649446820371</v>
      </c>
      <c r="P705" s="101">
        <f t="shared" si="200"/>
        <v>1.4613649446820371</v>
      </c>
      <c r="Q705" s="101">
        <f t="shared" si="201"/>
        <v>0.46277533509595742</v>
      </c>
      <c r="R705" s="101">
        <f t="shared" si="202"/>
        <v>1.7026154463354051E-2</v>
      </c>
      <c r="S705" s="101">
        <f t="shared" si="190"/>
        <v>571.10448247884256</v>
      </c>
      <c r="T705" s="101">
        <f t="shared" si="206"/>
        <v>194.8834591144651</v>
      </c>
      <c r="U705" s="101">
        <f t="shared" si="206"/>
        <v>37.804467607534669</v>
      </c>
      <c r="V705" s="33">
        <f t="shared" si="207"/>
        <v>1000.0000000000057</v>
      </c>
      <c r="W705" s="105">
        <f t="shared" si="203"/>
        <v>67026.619604144347</v>
      </c>
      <c r="X705" s="112">
        <f t="shared" si="208"/>
        <v>767.31207327800598</v>
      </c>
      <c r="Y705" s="32">
        <f t="shared" si="204"/>
        <v>413.11498808728749</v>
      </c>
    </row>
    <row r="706" spans="1:25" x14ac:dyDescent="0.25">
      <c r="A706" s="4">
        <v>700</v>
      </c>
      <c r="C706" s="110">
        <f>IF(male=0,VLOOKUP(((A704:A1538/'Life tables'!$I$2)*2)+age,lifetable,13,1),IF(male=1,VLOOKUP(((A704:A1538/'Life tables'!$I$2)*2)+age,lifetable,10,1),"error"))</f>
        <v>6.6122671421597889E-4</v>
      </c>
      <c r="F706" s="101">
        <f t="shared" si="191"/>
        <v>132.0798400686586</v>
      </c>
      <c r="G706" s="101">
        <f t="shared" si="192"/>
        <v>13.267696362772133</v>
      </c>
      <c r="H706" s="101">
        <f t="shared" si="193"/>
        <v>0.30361493122487426</v>
      </c>
      <c r="I706" s="101">
        <f t="shared" si="194"/>
        <v>0.30361493122487426</v>
      </c>
      <c r="J706" s="101">
        <f t="shared" si="195"/>
        <v>9.6509190540663703E-2</v>
      </c>
      <c r="K706" s="101">
        <f t="shared" si="196"/>
        <v>2.3800107378227544E-2</v>
      </c>
      <c r="L706" s="101">
        <f t="shared" si="205"/>
        <v>118.08460454551782</v>
      </c>
      <c r="M706" s="101">
        <f t="shared" si="197"/>
        <v>635.23223320934744</v>
      </c>
      <c r="N706" s="101">
        <f t="shared" si="198"/>
        <v>61.17424036967784</v>
      </c>
      <c r="O706" s="101">
        <f t="shared" si="199"/>
        <v>1.4602227765980218</v>
      </c>
      <c r="P706" s="101">
        <f t="shared" si="200"/>
        <v>1.4602227765980218</v>
      </c>
      <c r="Q706" s="101">
        <f t="shared" si="201"/>
        <v>0.46241364090058229</v>
      </c>
      <c r="R706" s="101">
        <f t="shared" si="202"/>
        <v>1.7012847225971409E-2</v>
      </c>
      <c r="S706" s="101">
        <f t="shared" si="190"/>
        <v>570.658120798347</v>
      </c>
      <c r="T706" s="101">
        <f t="shared" si="206"/>
        <v>195.44238194590633</v>
      </c>
      <c r="U706" s="101">
        <f t="shared" si="206"/>
        <v>37.845280562138868</v>
      </c>
      <c r="V706" s="33">
        <f t="shared" si="207"/>
        <v>1000.0000000000059</v>
      </c>
      <c r="W706" s="105">
        <f t="shared" si="203"/>
        <v>66897.254292676444</v>
      </c>
      <c r="X706" s="112">
        <f t="shared" si="208"/>
        <v>766.71233749196062</v>
      </c>
      <c r="Y706" s="32">
        <f t="shared" si="204"/>
        <v>412.67338074217497</v>
      </c>
    </row>
    <row r="707" spans="1:25" x14ac:dyDescent="0.25">
      <c r="A707" s="4">
        <v>701</v>
      </c>
      <c r="C707" s="110">
        <f>IF(male=0,VLOOKUP(((A705:A1539/'Life tables'!$I$2)*2)+age,lifetable,13,1),IF(male=1,VLOOKUP(((A705:A1539/'Life tables'!$I$2)*2)+age,lifetable,10,1),"error"))</f>
        <v>6.6122671421597889E-4</v>
      </c>
      <c r="F707" s="101">
        <f t="shared" si="191"/>
        <v>131.97658727223248</v>
      </c>
      <c r="G707" s="101">
        <f t="shared" si="192"/>
        <v>13.257324403274932</v>
      </c>
      <c r="H707" s="101">
        <f t="shared" si="193"/>
        <v>0.30337758167425855</v>
      </c>
      <c r="I707" s="101">
        <f t="shared" si="194"/>
        <v>0.30337758167425855</v>
      </c>
      <c r="J707" s="101">
        <f t="shared" si="195"/>
        <v>9.6433744932923976E-2</v>
      </c>
      <c r="K707" s="101">
        <f t="shared" si="196"/>
        <v>2.37815017557437E-2</v>
      </c>
      <c r="L707" s="101">
        <f t="shared" si="205"/>
        <v>117.99229245892036</v>
      </c>
      <c r="M707" s="101">
        <f t="shared" si="197"/>
        <v>634.73575021972806</v>
      </c>
      <c r="N707" s="101">
        <f t="shared" si="198"/>
        <v>61.126427982083804</v>
      </c>
      <c r="O707" s="101">
        <f t="shared" si="199"/>
        <v>1.4590814998621531</v>
      </c>
      <c r="P707" s="101">
        <f t="shared" si="200"/>
        <v>1.4590814998621531</v>
      </c>
      <c r="Q707" s="101">
        <f t="shared" si="201"/>
        <v>0.4620522289714124</v>
      </c>
      <c r="R707" s="101">
        <f t="shared" si="202"/>
        <v>1.6999550373558842E-2</v>
      </c>
      <c r="S707" s="101">
        <f t="shared" ref="S707:S770" si="209">M707-SUM(N707:R707)</f>
        <v>570.21210745857502</v>
      </c>
      <c r="T707" s="101">
        <f t="shared" si="206"/>
        <v>196.00086791981067</v>
      </c>
      <c r="U707" s="101">
        <f t="shared" si="206"/>
        <v>37.886061614268172</v>
      </c>
      <c r="V707" s="33">
        <f t="shared" si="207"/>
        <v>1000.0000000000058</v>
      </c>
      <c r="W707" s="105">
        <f t="shared" si="203"/>
        <v>66768.138642479666</v>
      </c>
      <c r="X707" s="112">
        <f t="shared" si="208"/>
        <v>766.11307046592697</v>
      </c>
      <c r="Y707" s="32">
        <f t="shared" si="204"/>
        <v>412.23224546322092</v>
      </c>
    </row>
    <row r="708" spans="1:25" x14ac:dyDescent="0.25">
      <c r="A708" s="4">
        <v>702</v>
      </c>
      <c r="C708" s="110">
        <f>IF(male=0,VLOOKUP(((A706:A1540/'Life tables'!$I$2)*2)+age,lifetable,13,1),IF(male=1,VLOOKUP(((A706:A1540/'Life tables'!$I$2)*2)+age,lifetable,10,1),"error"))</f>
        <v>6.6122671421597889E-4</v>
      </c>
      <c r="F708" s="101">
        <f t="shared" si="191"/>
        <v>131.87341576190408</v>
      </c>
      <c r="G708" s="101">
        <f t="shared" si="192"/>
        <v>13.246960609136371</v>
      </c>
      <c r="H708" s="101">
        <f t="shared" si="193"/>
        <v>0.30314041897784372</v>
      </c>
      <c r="I708" s="101">
        <f t="shared" si="194"/>
        <v>0.30314041897784372</v>
      </c>
      <c r="J708" s="101">
        <f t="shared" si="195"/>
        <v>9.6358358719982828E-2</v>
      </c>
      <c r="K708" s="101">
        <f t="shared" si="196"/>
        <v>2.3762910780596294E-2</v>
      </c>
      <c r="L708" s="101">
        <f t="shared" si="205"/>
        <v>117.90005304531145</v>
      </c>
      <c r="M708" s="101">
        <f t="shared" si="197"/>
        <v>634.23965470402277</v>
      </c>
      <c r="N708" s="101">
        <f t="shared" si="198"/>
        <v>61.078652909067202</v>
      </c>
      <c r="O708" s="101">
        <f t="shared" si="199"/>
        <v>1.4579411138213803</v>
      </c>
      <c r="P708" s="101">
        <f t="shared" si="200"/>
        <v>1.4579411138213803</v>
      </c>
      <c r="Q708" s="101">
        <f t="shared" si="201"/>
        <v>0.46169109910164369</v>
      </c>
      <c r="R708" s="101">
        <f t="shared" si="202"/>
        <v>1.6986263898507756E-2</v>
      </c>
      <c r="S708" s="101">
        <f t="shared" si="209"/>
        <v>569.76644220431263</v>
      </c>
      <c r="T708" s="101">
        <f t="shared" si="206"/>
        <v>196.5589173776323</v>
      </c>
      <c r="U708" s="101">
        <f t="shared" si="206"/>
        <v>37.926810788947279</v>
      </c>
      <c r="V708" s="33">
        <f t="shared" si="207"/>
        <v>1000.0000000000057</v>
      </c>
      <c r="W708" s="105">
        <f t="shared" si="203"/>
        <v>66639.272172435449</v>
      </c>
      <c r="X708" s="112">
        <f t="shared" si="208"/>
        <v>765.51427183342616</v>
      </c>
      <c r="Y708" s="32">
        <f t="shared" si="204"/>
        <v>411.79158174575673</v>
      </c>
    </row>
    <row r="709" spans="1:25" x14ac:dyDescent="0.25">
      <c r="A709" s="4">
        <v>703</v>
      </c>
      <c r="C709" s="110">
        <f>IF(male=0,VLOOKUP(((A707:A1541/'Life tables'!$I$2)*2)+age,lifetable,13,1),IF(male=1,VLOOKUP(((A707:A1541/'Life tables'!$I$2)*2)+age,lifetable,10,1),"error"))</f>
        <v>6.6122671421597889E-4</v>
      </c>
      <c r="F709" s="101">
        <f t="shared" si="191"/>
        <v>131.77032545566709</v>
      </c>
      <c r="G709" s="101">
        <f t="shared" si="192"/>
        <v>13.236604972118741</v>
      </c>
      <c r="H709" s="101">
        <f t="shared" si="193"/>
        <v>0.30290344294711996</v>
      </c>
      <c r="I709" s="101">
        <f t="shared" si="194"/>
        <v>0.30290344294711996</v>
      </c>
      <c r="J709" s="101">
        <f t="shared" si="195"/>
        <v>9.6283031841919137E-2</v>
      </c>
      <c r="K709" s="101">
        <f t="shared" si="196"/>
        <v>2.3744334438008212E-2</v>
      </c>
      <c r="L709" s="101">
        <f t="shared" si="205"/>
        <v>117.80788623137418</v>
      </c>
      <c r="M709" s="101">
        <f t="shared" si="197"/>
        <v>633.74394637775879</v>
      </c>
      <c r="N709" s="101">
        <f t="shared" si="198"/>
        <v>61.030915123232695</v>
      </c>
      <c r="O709" s="101">
        <f t="shared" si="199"/>
        <v>1.4568016178217786</v>
      </c>
      <c r="P709" s="101">
        <f t="shared" si="200"/>
        <v>1.4568016178217786</v>
      </c>
      <c r="Q709" s="101">
        <f t="shared" si="201"/>
        <v>0.46133025108419601</v>
      </c>
      <c r="R709" s="101">
        <f t="shared" si="202"/>
        <v>1.6972987793199366E-2</v>
      </c>
      <c r="S709" s="101">
        <f t="shared" si="209"/>
        <v>569.32112478000511</v>
      </c>
      <c r="T709" s="101">
        <f t="shared" si="206"/>
        <v>197.11653066055842</v>
      </c>
      <c r="U709" s="101">
        <f t="shared" si="206"/>
        <v>37.967528111178488</v>
      </c>
      <c r="V709" s="33">
        <f t="shared" si="207"/>
        <v>1000.0000000000053</v>
      </c>
      <c r="W709" s="105">
        <f t="shared" si="203"/>
        <v>66510.654402329237</v>
      </c>
      <c r="X709" s="112">
        <f t="shared" si="208"/>
        <v>764.91594122826859</v>
      </c>
      <c r="Y709" s="32">
        <f t="shared" si="204"/>
        <v>411.35138908565409</v>
      </c>
    </row>
    <row r="710" spans="1:25" x14ac:dyDescent="0.25">
      <c r="A710" s="4">
        <v>704</v>
      </c>
      <c r="C710" s="110">
        <f>IF(male=0,VLOOKUP(((A708:A1542/'Life tables'!$I$2)*2)+age,lifetable,13,1),IF(male=1,VLOOKUP(((A708:A1542/'Life tables'!$I$2)*2)+age,lifetable,10,1),"error"))</f>
        <v>7.1453294378398535E-4</v>
      </c>
      <c r="F710" s="101">
        <f t="shared" si="191"/>
        <v>131.66731627216447</v>
      </c>
      <c r="G710" s="101">
        <f t="shared" si="192"/>
        <v>13.22625748404956</v>
      </c>
      <c r="H710" s="101">
        <f t="shared" si="193"/>
        <v>0.3026666533950701</v>
      </c>
      <c r="I710" s="101">
        <f t="shared" si="194"/>
        <v>0.3026666533950701</v>
      </c>
      <c r="J710" s="101">
        <f t="shared" si="195"/>
        <v>0.10396376238108086</v>
      </c>
      <c r="K710" s="101">
        <f t="shared" si="196"/>
        <v>2.3725772713319333E-2</v>
      </c>
      <c r="L710" s="101">
        <f t="shared" si="205"/>
        <v>117.70803594623037</v>
      </c>
      <c r="M710" s="101">
        <f t="shared" si="197"/>
        <v>633.24862495610398</v>
      </c>
      <c r="N710" s="101">
        <f t="shared" si="198"/>
        <v>60.983214597150329</v>
      </c>
      <c r="O710" s="101">
        <f t="shared" si="199"/>
        <v>1.4556630112085986</v>
      </c>
      <c r="P710" s="101">
        <f t="shared" si="200"/>
        <v>1.4556630112085986</v>
      </c>
      <c r="Q710" s="101">
        <f t="shared" si="201"/>
        <v>0.49813175833767087</v>
      </c>
      <c r="R710" s="101">
        <f t="shared" si="202"/>
        <v>1.6959722050005274E-2</v>
      </c>
      <c r="S710" s="101">
        <f t="shared" si="209"/>
        <v>568.83899285614882</v>
      </c>
      <c r="T710" s="101">
        <f t="shared" si="206"/>
        <v>197.71862618127719</v>
      </c>
      <c r="U710" s="101">
        <f t="shared" si="206"/>
        <v>38.008213605941812</v>
      </c>
      <c r="V710" s="33">
        <f t="shared" si="207"/>
        <v>1000.0000000000055</v>
      </c>
      <c r="W710" s="105">
        <f t="shared" si="203"/>
        <v>66378.908263117788</v>
      </c>
      <c r="X710" s="112">
        <f t="shared" si="208"/>
        <v>764.27316021278648</v>
      </c>
      <c r="Y710" s="32">
        <f t="shared" si="204"/>
        <v>410.88712518078529</v>
      </c>
    </row>
    <row r="711" spans="1:25" x14ac:dyDescent="0.25">
      <c r="A711" s="4">
        <v>705</v>
      </c>
      <c r="C711" s="110">
        <f>IF(male=0,VLOOKUP(((A709:A1543/'Life tables'!$I$2)*2)+age,lifetable,13,1),IF(male=1,VLOOKUP(((A709:A1543/'Life tables'!$I$2)*2)+age,lifetable,10,1),"error"))</f>
        <v>7.1453294378398535E-4</v>
      </c>
      <c r="F711" s="101">
        <f t="shared" ref="F711:F774" si="210">E710*(1-pCAUC)+(L710+G710+H710+I710 )*(1-pCAUC)+(S710+N710+O710+P710)*(pUAUC)</f>
        <v>131.55663190723232</v>
      </c>
      <c r="G711" s="101">
        <f t="shared" ref="G711:G774" si="211">F711*(rrOSEX)</f>
        <v>13.215139007942511</v>
      </c>
      <c r="H711" s="101">
        <f t="shared" ref="H711:H774" si="212">F711*rrEREX</f>
        <v>0.3024122207289715</v>
      </c>
      <c r="I711" s="101">
        <f t="shared" ref="I711:I774" si="213">F711*rrHOEX</f>
        <v>0.3024122207289715</v>
      </c>
      <c r="J711" s="101">
        <f t="shared" ref="J711:J774" si="214">F711*mr + G711*mr + H711*mr+I711*mr</f>
        <v>0.10387636663746806</v>
      </c>
      <c r="K711" s="101">
        <f t="shared" ref="K711:K774" si="215">F711*amr + I711*amrHOEX</f>
        <v>2.3705827960440261E-2</v>
      </c>
      <c r="L711" s="101">
        <f t="shared" si="205"/>
        <v>117.60908626323395</v>
      </c>
      <c r="M711" s="101">
        <f t="shared" ref="M711:M774" si="216">E710*pCAUC+(L710+G710+H710+I710)*pCAUC+(S710+N710+O710+P710)*(1-pUAUC)</f>
        <v>632.71652830555399</v>
      </c>
      <c r="N711" s="101">
        <f t="shared" ref="N711:N774" si="217">M711*rrOSEXc</f>
        <v>60.931972536847134</v>
      </c>
      <c r="O711" s="101">
        <f t="shared" ref="O711:O774" si="218">M711*rrEREXc</f>
        <v>1.4544398685406659</v>
      </c>
      <c r="P711" s="101">
        <f t="shared" ref="P711:P774" si="219">M711*rrHOEXc</f>
        <v>1.4544398685406659</v>
      </c>
      <c r="Q711" s="101">
        <f t="shared" ref="Q711:Q774" si="220">M711*mr + N711*mr + O711*mr+P711*mr</f>
        <v>0.49771319565991945</v>
      </c>
      <c r="R711" s="101">
        <f t="shared" ref="R711:R774" si="221">M711*amrc + P711*amrHOEX</f>
        <v>1.6945471389298836E-2</v>
      </c>
      <c r="S711" s="101">
        <f t="shared" si="209"/>
        <v>568.36101736457636</v>
      </c>
      <c r="T711" s="101">
        <f t="shared" si="206"/>
        <v>198.32021574357458</v>
      </c>
      <c r="U711" s="101">
        <f t="shared" si="206"/>
        <v>38.048864905291552</v>
      </c>
      <c r="V711" s="33">
        <f t="shared" si="207"/>
        <v>1000.0000000000055</v>
      </c>
      <c r="W711" s="105">
        <f t="shared" ref="W711:W774" si="222">(cNES*L711+(cNES+cOSEX)*G711+(cNES+cEREX)*H711+(cNES+cHOEX)*I711 +(cNES+ cNES)*S711 +(cNES+ cOSEX)*N711 + (cNES+cEREX)*O711 + (cNES+cHOEX)*P711)/(1+cDR)^A$5:A$65536</f>
        <v>66246.900385090266</v>
      </c>
      <c r="X711" s="112">
        <f t="shared" si="208"/>
        <v>763.63091935113926</v>
      </c>
      <c r="Y711" s="32">
        <f t="shared" ref="Y711:Y774" si="223">(uNES*L711+ uOCEX*G711+uEREX*H711+uHOEX*I711+uNES*S711+ uOCEX*N711+uEREX*O711+uHOEX*P711)/(1+oDR)^A$5:A$65536</f>
        <v>410.4237778308725</v>
      </c>
    </row>
    <row r="712" spans="1:25" x14ac:dyDescent="0.25">
      <c r="A712" s="4">
        <v>706</v>
      </c>
      <c r="C712" s="110">
        <f>IF(male=0,VLOOKUP(((A710:A1544/'Life tables'!$I$2)*2)+age,lifetable,13,1),IF(male=1,VLOOKUP(((A710:A1544/'Life tables'!$I$2)*2)+age,lifetable,10,1),"error"))</f>
        <v>7.1453294378398535E-4</v>
      </c>
      <c r="F712" s="101">
        <f t="shared" si="210"/>
        <v>131.44604184023069</v>
      </c>
      <c r="G712" s="101">
        <f t="shared" si="211"/>
        <v>13.204030004259939</v>
      </c>
      <c r="H712" s="101">
        <f t="shared" si="212"/>
        <v>0.30215800482766969</v>
      </c>
      <c r="I712" s="101">
        <f t="shared" si="213"/>
        <v>0.30215800482766969</v>
      </c>
      <c r="J712" s="101">
        <f t="shared" si="214"/>
        <v>0.1037890453509637</v>
      </c>
      <c r="K712" s="101">
        <f t="shared" si="215"/>
        <v>2.3685900199562931E-2</v>
      </c>
      <c r="L712" s="101">
        <f t="shared" ref="L712:L775" si="224">F712-SUM(G712:K712)</f>
        <v>117.51022088076489</v>
      </c>
      <c r="M712" s="101">
        <f t="shared" si="216"/>
        <v>632.18487751090868</v>
      </c>
      <c r="N712" s="101">
        <f t="shared" si="217"/>
        <v>60.880773413433566</v>
      </c>
      <c r="O712" s="101">
        <f t="shared" si="218"/>
        <v>1.4532177507718378</v>
      </c>
      <c r="P712" s="101">
        <f t="shared" si="219"/>
        <v>1.4532177507718378</v>
      </c>
      <c r="Q712" s="101">
        <f t="shared" si="220"/>
        <v>0.49729498370537051</v>
      </c>
      <c r="R712" s="101">
        <f t="shared" si="221"/>
        <v>1.6931232669545639E-2</v>
      </c>
      <c r="S712" s="101">
        <f t="shared" si="209"/>
        <v>567.88344237955653</v>
      </c>
      <c r="T712" s="101">
        <f t="shared" ref="T712:U775" si="225">J712+Q712+T711</f>
        <v>198.9212997726309</v>
      </c>
      <c r="U712" s="101">
        <f t="shared" si="225"/>
        <v>38.089482038160661</v>
      </c>
      <c r="V712" s="33">
        <f t="shared" ref="V712:V775" si="226">SUM(G712:I712,L712,N712,O712,P712,S712,T712,U712)</f>
        <v>1000.0000000000055</v>
      </c>
      <c r="W712" s="105">
        <f t="shared" si="222"/>
        <v>66115.154986089663</v>
      </c>
      <c r="X712" s="112">
        <f t="shared" ref="X712:X775" si="227">(L712+G712+H712+I712+N712+O712+P712+S712)</f>
        <v>762.98921818921394</v>
      </c>
      <c r="Y712" s="32">
        <f t="shared" si="223"/>
        <v>409.96095298930305</v>
      </c>
    </row>
    <row r="713" spans="1:25" x14ac:dyDescent="0.25">
      <c r="A713" s="4">
        <v>707</v>
      </c>
      <c r="C713" s="110">
        <f>IF(male=0,VLOOKUP(((A711:A1545/'Life tables'!$I$2)*2)+age,lifetable,13,1),IF(male=1,VLOOKUP(((A711:A1545/'Life tables'!$I$2)*2)+age,lifetable,10,1),"error"))</f>
        <v>7.1453294378398535E-4</v>
      </c>
      <c r="F713" s="101">
        <f t="shared" si="210"/>
        <v>131.33554595108248</v>
      </c>
      <c r="G713" s="101">
        <f t="shared" si="211"/>
        <v>13.192930460939847</v>
      </c>
      <c r="H713" s="101">
        <f t="shared" si="212"/>
        <v>0.30190400541514067</v>
      </c>
      <c r="I713" s="101">
        <f t="shared" si="213"/>
        <v>0.30190400541514067</v>
      </c>
      <c r="J713" s="101">
        <f t="shared" si="214"/>
        <v>0.10370179842675553</v>
      </c>
      <c r="K713" s="101">
        <f t="shared" si="215"/>
        <v>2.3665989409050067E-2</v>
      </c>
      <c r="L713" s="101">
        <f t="shared" si="224"/>
        <v>117.41143969147655</v>
      </c>
      <c r="M713" s="101">
        <f t="shared" si="216"/>
        <v>631.65367223813143</v>
      </c>
      <c r="N713" s="101">
        <f t="shared" si="217"/>
        <v>60.829617194741175</v>
      </c>
      <c r="O713" s="101">
        <f t="shared" si="218"/>
        <v>1.4519966571342566</v>
      </c>
      <c r="P713" s="101">
        <f t="shared" si="219"/>
        <v>1.4519966571342566</v>
      </c>
      <c r="Q713" s="101">
        <f t="shared" si="220"/>
        <v>0.49687712221126124</v>
      </c>
      <c r="R713" s="101">
        <f t="shared" si="221"/>
        <v>1.6917005881799476E-2</v>
      </c>
      <c r="S713" s="101">
        <f t="shared" si="209"/>
        <v>567.40626760102873</v>
      </c>
      <c r="T713" s="101">
        <f t="shared" si="225"/>
        <v>199.52187869326892</v>
      </c>
      <c r="U713" s="101">
        <f t="shared" si="225"/>
        <v>38.130065033451508</v>
      </c>
      <c r="V713" s="33">
        <f t="shared" si="226"/>
        <v>1000.0000000000056</v>
      </c>
      <c r="W713" s="105">
        <f t="shared" si="222"/>
        <v>65983.671545702367</v>
      </c>
      <c r="X713" s="112">
        <f t="shared" si="227"/>
        <v>762.34805627328501</v>
      </c>
      <c r="Y713" s="32">
        <f t="shared" si="223"/>
        <v>409.4986500667614</v>
      </c>
    </row>
    <row r="714" spans="1:25" x14ac:dyDescent="0.25">
      <c r="A714" s="4">
        <v>708</v>
      </c>
      <c r="C714" s="110">
        <f>IF(male=0,VLOOKUP(((A712:A1546/'Life tables'!$I$2)*2)+age,lifetable,13,1),IF(male=1,VLOOKUP(((A712:A1546/'Life tables'!$I$2)*2)+age,lifetable,10,1),"error"))</f>
        <v>7.1453294378398535E-4</v>
      </c>
      <c r="F714" s="101">
        <f t="shared" si="210"/>
        <v>131.22514412110738</v>
      </c>
      <c r="G714" s="101">
        <f t="shared" si="211"/>
        <v>13.181840366060548</v>
      </c>
      <c r="H714" s="101">
        <f t="shared" si="212"/>
        <v>0.30165022221857135</v>
      </c>
      <c r="I714" s="101">
        <f t="shared" si="213"/>
        <v>0.30165022221857135</v>
      </c>
      <c r="J714" s="101">
        <f t="shared" si="214"/>
        <v>0.10361462577113426</v>
      </c>
      <c r="K714" s="101">
        <f t="shared" si="215"/>
        <v>2.3646095567516078E-2</v>
      </c>
      <c r="L714" s="101">
        <f t="shared" si="224"/>
        <v>117.31274258927104</v>
      </c>
      <c r="M714" s="101">
        <f t="shared" si="216"/>
        <v>631.12291215217772</v>
      </c>
      <c r="N714" s="101">
        <f t="shared" si="217"/>
        <v>60.778503848504435</v>
      </c>
      <c r="O714" s="101">
        <f t="shared" si="218"/>
        <v>1.4507765868577485</v>
      </c>
      <c r="P714" s="101">
        <f t="shared" si="219"/>
        <v>1.4507765868577485</v>
      </c>
      <c r="Q714" s="101">
        <f t="shared" si="220"/>
        <v>0.49645961091403601</v>
      </c>
      <c r="R714" s="101">
        <f t="shared" si="221"/>
        <v>1.6902791017087158E-2</v>
      </c>
      <c r="S714" s="101">
        <f t="shared" si="209"/>
        <v>566.92949272802662</v>
      </c>
      <c r="T714" s="101">
        <f t="shared" si="225"/>
        <v>200.12195292995409</v>
      </c>
      <c r="U714" s="101">
        <f t="shared" si="225"/>
        <v>38.170613920036111</v>
      </c>
      <c r="V714" s="33">
        <f t="shared" si="226"/>
        <v>1000.0000000000055</v>
      </c>
      <c r="W714" s="105">
        <f t="shared" si="222"/>
        <v>65852.449544497838</v>
      </c>
      <c r="X714" s="112">
        <f t="shared" si="227"/>
        <v>761.70743315001528</v>
      </c>
      <c r="Y714" s="32">
        <f t="shared" si="223"/>
        <v>409.03686847459983</v>
      </c>
    </row>
    <row r="715" spans="1:25" x14ac:dyDescent="0.25">
      <c r="A715" s="4">
        <v>709</v>
      </c>
      <c r="C715" s="110">
        <f>IF(male=0,VLOOKUP(((A713:A1547/'Life tables'!$I$2)*2)+age,lifetable,13,1),IF(male=1,VLOOKUP(((A713:A1547/'Life tables'!$I$2)*2)+age,lifetable,10,1),"error"))</f>
        <v>7.1453294378398535E-4</v>
      </c>
      <c r="F715" s="101">
        <f t="shared" si="210"/>
        <v>131.1148362329798</v>
      </c>
      <c r="G715" s="101">
        <f t="shared" si="211"/>
        <v>13.170759707836442</v>
      </c>
      <c r="H715" s="101">
        <f t="shared" si="212"/>
        <v>0.30139665496826268</v>
      </c>
      <c r="I715" s="101">
        <f t="shared" si="213"/>
        <v>0.30139665496826268</v>
      </c>
      <c r="J715" s="101">
        <f t="shared" si="214"/>
        <v>0.10352752729146031</v>
      </c>
      <c r="K715" s="101">
        <f t="shared" si="215"/>
        <v>2.3626218653819506E-2</v>
      </c>
      <c r="L715" s="101">
        <f t="shared" si="224"/>
        <v>117.21412946926155</v>
      </c>
      <c r="M715" s="101">
        <f t="shared" si="216"/>
        <v>630.59259691703539</v>
      </c>
      <c r="N715" s="101">
        <f t="shared" si="217"/>
        <v>60.727433342364669</v>
      </c>
      <c r="O715" s="101">
        <f t="shared" si="218"/>
        <v>1.449557539169914</v>
      </c>
      <c r="P715" s="101">
        <f t="shared" si="219"/>
        <v>1.449557539169914</v>
      </c>
      <c r="Q715" s="101">
        <f t="shared" si="220"/>
        <v>0.49604244954937765</v>
      </c>
      <c r="R715" s="101">
        <f t="shared" si="221"/>
        <v>1.6888588066409579E-2</v>
      </c>
      <c r="S715" s="101">
        <f t="shared" si="209"/>
        <v>566.45311745871516</v>
      </c>
      <c r="T715" s="101">
        <f t="shared" si="225"/>
        <v>200.72152290679492</v>
      </c>
      <c r="U715" s="101">
        <f t="shared" si="225"/>
        <v>38.211128726756343</v>
      </c>
      <c r="V715" s="33">
        <f t="shared" si="226"/>
        <v>1000.0000000000055</v>
      </c>
      <c r="W715" s="105">
        <f t="shared" si="222"/>
        <v>65721.488464028022</v>
      </c>
      <c r="X715" s="112">
        <f t="shared" si="227"/>
        <v>761.06734836645421</v>
      </c>
      <c r="Y715" s="32">
        <f t="shared" si="223"/>
        <v>408.57560762483735</v>
      </c>
    </row>
    <row r="716" spans="1:25" x14ac:dyDescent="0.25">
      <c r="A716" s="4">
        <v>710</v>
      </c>
      <c r="C716" s="110">
        <f>IF(male=0,VLOOKUP(((A714:A1548/'Life tables'!$I$2)*2)+age,lifetable,13,1),IF(male=1,VLOOKUP(((A714:A1548/'Life tables'!$I$2)*2)+age,lifetable,10,1),"error"))</f>
        <v>7.1453294378398535E-4</v>
      </c>
      <c r="F716" s="101">
        <f t="shared" si="210"/>
        <v>131.00462217068775</v>
      </c>
      <c r="G716" s="101">
        <f t="shared" si="211"/>
        <v>13.159688474613883</v>
      </c>
      <c r="H716" s="101">
        <f t="shared" si="212"/>
        <v>0.30114330339753531</v>
      </c>
      <c r="I716" s="101">
        <f t="shared" si="213"/>
        <v>0.30114330339753531</v>
      </c>
      <c r="J716" s="101">
        <f t="shared" si="214"/>
        <v>0.10344050289613127</v>
      </c>
      <c r="K716" s="101">
        <f t="shared" si="215"/>
        <v>2.360635864705558E-2</v>
      </c>
      <c r="L716" s="101">
        <f t="shared" si="224"/>
        <v>117.11560022773561</v>
      </c>
      <c r="M716" s="101">
        <f t="shared" si="216"/>
        <v>630.06272619576634</v>
      </c>
      <c r="N716" s="101">
        <f t="shared" si="217"/>
        <v>60.676405643873984</v>
      </c>
      <c r="O716" s="101">
        <f t="shared" si="218"/>
        <v>1.4483395132962262</v>
      </c>
      <c r="P716" s="101">
        <f t="shared" si="219"/>
        <v>1.4483395132962262</v>
      </c>
      <c r="Q716" s="101">
        <f t="shared" si="220"/>
        <v>0.49562563785224101</v>
      </c>
      <c r="R716" s="101">
        <f t="shared" si="221"/>
        <v>1.687439702074283E-2</v>
      </c>
      <c r="S716" s="101">
        <f t="shared" si="209"/>
        <v>565.9771414904269</v>
      </c>
      <c r="T716" s="101">
        <f t="shared" si="225"/>
        <v>201.32058904754328</v>
      </c>
      <c r="U716" s="101">
        <f t="shared" si="225"/>
        <v>38.251609482424143</v>
      </c>
      <c r="V716" s="33">
        <f t="shared" si="226"/>
        <v>1000.0000000000052</v>
      </c>
      <c r="W716" s="105">
        <f t="shared" si="222"/>
        <v>65590.787786827277</v>
      </c>
      <c r="X716" s="112">
        <f t="shared" si="227"/>
        <v>760.42780147003782</v>
      </c>
      <c r="Y716" s="32">
        <f t="shared" si="223"/>
        <v>408.114866930159</v>
      </c>
    </row>
    <row r="717" spans="1:25" x14ac:dyDescent="0.25">
      <c r="A717" s="4">
        <v>711</v>
      </c>
      <c r="C717" s="110">
        <f>IF(male=0,VLOOKUP(((A715:A1549/'Life tables'!$I$2)*2)+age,lifetable,13,1),IF(male=1,VLOOKUP(((A715:A1549/'Life tables'!$I$2)*2)+age,lifetable,10,1),"error"))</f>
        <v>7.1453294378398535E-4</v>
      </c>
      <c r="F717" s="101">
        <f t="shared" si="210"/>
        <v>130.89450181949323</v>
      </c>
      <c r="G717" s="101">
        <f t="shared" si="211"/>
        <v>13.148626654867195</v>
      </c>
      <c r="H717" s="101">
        <f t="shared" si="212"/>
        <v>0.3008901672426384</v>
      </c>
      <c r="I717" s="101">
        <f t="shared" si="213"/>
        <v>0.3008901672426384</v>
      </c>
      <c r="J717" s="101">
        <f t="shared" si="214"/>
        <v>0.10335355249455062</v>
      </c>
      <c r="K717" s="101">
        <f t="shared" si="215"/>
        <v>2.3586515526549112E-2</v>
      </c>
      <c r="L717" s="101">
        <f t="shared" si="224"/>
        <v>117.01715476211966</v>
      </c>
      <c r="M717" s="101">
        <f t="shared" si="216"/>
        <v>629.53329965054456</v>
      </c>
      <c r="N717" s="101">
        <f t="shared" si="217"/>
        <v>60.625420720499022</v>
      </c>
      <c r="O717" s="101">
        <f t="shared" si="218"/>
        <v>1.4471225084601165</v>
      </c>
      <c r="P717" s="101">
        <f t="shared" si="219"/>
        <v>1.4471225084601165</v>
      </c>
      <c r="Q717" s="101">
        <f t="shared" si="220"/>
        <v>0.49520917555688226</v>
      </c>
      <c r="R717" s="101">
        <f t="shared" si="221"/>
        <v>1.686021787103922E-2</v>
      </c>
      <c r="S717" s="101">
        <f t="shared" si="209"/>
        <v>565.50156451969735</v>
      </c>
      <c r="T717" s="101">
        <f t="shared" si="225"/>
        <v>201.91915177559471</v>
      </c>
      <c r="U717" s="101">
        <f t="shared" si="225"/>
        <v>38.292056215821731</v>
      </c>
      <c r="V717" s="33">
        <f t="shared" si="226"/>
        <v>1000.0000000000052</v>
      </c>
      <c r="W717" s="105">
        <f t="shared" si="222"/>
        <v>65460.346996411972</v>
      </c>
      <c r="X717" s="112">
        <f t="shared" si="227"/>
        <v>759.78879200858876</v>
      </c>
      <c r="Y717" s="32">
        <f t="shared" si="223"/>
        <v>407.65464580391466</v>
      </c>
    </row>
    <row r="718" spans="1:25" x14ac:dyDescent="0.25">
      <c r="A718" s="4">
        <v>712</v>
      </c>
      <c r="C718" s="110">
        <f>IF(male=0,VLOOKUP(((A716:A1550/'Life tables'!$I$2)*2)+age,lifetable,13,1),IF(male=1,VLOOKUP(((A716:A1550/'Life tables'!$I$2)*2)+age,lifetable,10,1),"error"))</f>
        <v>7.1453294378398535E-4</v>
      </c>
      <c r="F718" s="101">
        <f t="shared" si="210"/>
        <v>130.78447506589387</v>
      </c>
      <c r="G718" s="101">
        <f t="shared" si="211"/>
        <v>13.137574237194832</v>
      </c>
      <c r="H718" s="101">
        <f t="shared" si="212"/>
        <v>0.30063724624266142</v>
      </c>
      <c r="I718" s="101">
        <f t="shared" si="213"/>
        <v>0.30063724624266142</v>
      </c>
      <c r="J718" s="101">
        <f t="shared" si="214"/>
        <v>0.10326667599709762</v>
      </c>
      <c r="K718" s="101">
        <f t="shared" si="215"/>
        <v>2.3566689271847553E-2</v>
      </c>
      <c r="L718" s="101">
        <f t="shared" si="224"/>
        <v>116.91879297094476</v>
      </c>
      <c r="M718" s="101">
        <f t="shared" si="216"/>
        <v>629.00431694269491</v>
      </c>
      <c r="N718" s="101">
        <f t="shared" si="217"/>
        <v>60.574478539624629</v>
      </c>
      <c r="O718" s="101">
        <f t="shared" si="218"/>
        <v>1.4459065238830651</v>
      </c>
      <c r="P718" s="101">
        <f t="shared" si="219"/>
        <v>1.4459065238830651</v>
      </c>
      <c r="Q718" s="101">
        <f t="shared" si="220"/>
        <v>0.4947930623968898</v>
      </c>
      <c r="R718" s="101">
        <f t="shared" si="221"/>
        <v>1.684605060822833E-2</v>
      </c>
      <c r="S718" s="101">
        <f t="shared" si="209"/>
        <v>565.02638624229905</v>
      </c>
      <c r="T718" s="101">
        <f t="shared" si="225"/>
        <v>202.51721151398871</v>
      </c>
      <c r="U718" s="101">
        <f t="shared" si="225"/>
        <v>38.332468955701806</v>
      </c>
      <c r="V718" s="33">
        <f t="shared" si="226"/>
        <v>1000.0000000000052</v>
      </c>
      <c r="W718" s="105">
        <f t="shared" si="222"/>
        <v>65330.165577280131</v>
      </c>
      <c r="X718" s="112">
        <f t="shared" si="227"/>
        <v>759.15031953031473</v>
      </c>
      <c r="Y718" s="32">
        <f t="shared" si="223"/>
        <v>407.19494366011861</v>
      </c>
    </row>
    <row r="719" spans="1:25" x14ac:dyDescent="0.25">
      <c r="A719" s="4">
        <v>713</v>
      </c>
      <c r="C719" s="110">
        <f>IF(male=0,VLOOKUP(((A717:A1551/'Life tables'!$I$2)*2)+age,lifetable,13,1),IF(male=1,VLOOKUP(((A717:A1551/'Life tables'!$I$2)*2)+age,lifetable,10,1),"error"))</f>
        <v>7.1453294378398535E-4</v>
      </c>
      <c r="F719" s="101">
        <f t="shared" si="210"/>
        <v>130.67454179758565</v>
      </c>
      <c r="G719" s="101">
        <f t="shared" si="211"/>
        <v>13.126531210315616</v>
      </c>
      <c r="H719" s="101">
        <f t="shared" si="212"/>
        <v>0.30038454013944854</v>
      </c>
      <c r="I719" s="101">
        <f t="shared" si="213"/>
        <v>0.30038454013944854</v>
      </c>
      <c r="J719" s="101">
        <f t="shared" si="214"/>
        <v>0.10317987331509756</v>
      </c>
      <c r="K719" s="101">
        <f t="shared" si="215"/>
        <v>2.3546879862714296E-2</v>
      </c>
      <c r="L719" s="101">
        <f t="shared" si="224"/>
        <v>116.82051475381333</v>
      </c>
      <c r="M719" s="101">
        <f t="shared" si="216"/>
        <v>628.47577773272906</v>
      </c>
      <c r="N719" s="101">
        <f t="shared" si="217"/>
        <v>60.523579068557332</v>
      </c>
      <c r="O719" s="101">
        <f t="shared" si="218"/>
        <v>1.444691558784682</v>
      </c>
      <c r="P719" s="101">
        <f t="shared" si="219"/>
        <v>1.444691558784682</v>
      </c>
      <c r="Q719" s="101">
        <f t="shared" si="220"/>
        <v>0.49437729810521225</v>
      </c>
      <c r="R719" s="101">
        <f t="shared" si="221"/>
        <v>1.6831895223217944E-2</v>
      </c>
      <c r="S719" s="101">
        <f t="shared" si="209"/>
        <v>564.55160635327388</v>
      </c>
      <c r="T719" s="101">
        <f t="shared" si="225"/>
        <v>203.11476868540902</v>
      </c>
      <c r="U719" s="101">
        <f t="shared" si="225"/>
        <v>38.37284773078774</v>
      </c>
      <c r="V719" s="33">
        <f t="shared" si="226"/>
        <v>1000.0000000000051</v>
      </c>
      <c r="W719" s="105">
        <f t="shared" si="222"/>
        <v>65200.243014910709</v>
      </c>
      <c r="X719" s="112">
        <f t="shared" si="227"/>
        <v>758.5123835838084</v>
      </c>
      <c r="Y719" s="32">
        <f t="shared" si="223"/>
        <v>406.73575991344831</v>
      </c>
    </row>
    <row r="720" spans="1:25" x14ac:dyDescent="0.25">
      <c r="A720" s="4">
        <v>714</v>
      </c>
      <c r="C720" s="110">
        <f>IF(male=0,VLOOKUP(((A718:A1552/'Life tables'!$I$2)*2)+age,lifetable,13,1),IF(male=1,VLOOKUP(((A718:A1552/'Life tables'!$I$2)*2)+age,lifetable,10,1),"error"))</f>
        <v>7.1453294378398535E-4</v>
      </c>
      <c r="F720" s="101">
        <f t="shared" si="210"/>
        <v>130.56470190342688</v>
      </c>
      <c r="G720" s="101">
        <f t="shared" si="211"/>
        <v>13.115497563065135</v>
      </c>
      <c r="H720" s="101">
        <f t="shared" si="212"/>
        <v>0.30013204867751592</v>
      </c>
      <c r="I720" s="101">
        <f t="shared" si="213"/>
        <v>0.30013204867751592</v>
      </c>
      <c r="J720" s="101">
        <f t="shared" si="214"/>
        <v>0.10309314436079368</v>
      </c>
      <c r="K720" s="101">
        <f t="shared" si="215"/>
        <v>2.3527087279122182E-2</v>
      </c>
      <c r="L720" s="101">
        <f t="shared" si="224"/>
        <v>116.72232001136679</v>
      </c>
      <c r="M720" s="101">
        <f t="shared" si="216"/>
        <v>627.94768168038149</v>
      </c>
      <c r="N720" s="101">
        <f t="shared" si="217"/>
        <v>60.472722274528842</v>
      </c>
      <c r="O720" s="101">
        <f t="shared" si="218"/>
        <v>1.4434776123827915</v>
      </c>
      <c r="P720" s="101">
        <f t="shared" si="219"/>
        <v>1.4434776123827915</v>
      </c>
      <c r="Q720" s="101">
        <f t="shared" si="220"/>
        <v>0.4939618824141867</v>
      </c>
      <c r="R720" s="101">
        <f t="shared" si="221"/>
        <v>1.6817751706895048E-2</v>
      </c>
      <c r="S720" s="101">
        <f t="shared" si="209"/>
        <v>564.07722454696602</v>
      </c>
      <c r="T720" s="101">
        <f t="shared" si="225"/>
        <v>203.71182371218399</v>
      </c>
      <c r="U720" s="101">
        <f t="shared" si="225"/>
        <v>38.413192569773756</v>
      </c>
      <c r="V720" s="33">
        <f t="shared" si="226"/>
        <v>1000.0000000000051</v>
      </c>
      <c r="W720" s="105">
        <f t="shared" si="222"/>
        <v>65070.578795763511</v>
      </c>
      <c r="X720" s="112">
        <f t="shared" si="227"/>
        <v>757.87498371804736</v>
      </c>
      <c r="Y720" s="32">
        <f t="shared" si="223"/>
        <v>406.27709397924411</v>
      </c>
    </row>
    <row r="721" spans="1:25" x14ac:dyDescent="0.25">
      <c r="A721" s="4">
        <v>715</v>
      </c>
      <c r="C721" s="110">
        <f>IF(male=0,VLOOKUP(((A719:A1553/'Life tables'!$I$2)*2)+age,lifetable,13,1),IF(male=1,VLOOKUP(((A719:A1553/'Life tables'!$I$2)*2)+age,lifetable,10,1),"error"))</f>
        <v>7.1453294378398535E-4</v>
      </c>
      <c r="F721" s="101">
        <f t="shared" si="210"/>
        <v>130.45495527340347</v>
      </c>
      <c r="G721" s="101">
        <f t="shared" si="211"/>
        <v>13.104473284392242</v>
      </c>
      <c r="H721" s="101">
        <f t="shared" si="212"/>
        <v>0.29987977160397167</v>
      </c>
      <c r="I721" s="101">
        <f t="shared" si="213"/>
        <v>0.29987977160397167</v>
      </c>
      <c r="J721" s="101">
        <f t="shared" si="214"/>
        <v>0.10300648904731942</v>
      </c>
      <c r="K721" s="101">
        <f t="shared" si="215"/>
        <v>2.3507311501247238E-2</v>
      </c>
      <c r="L721" s="101">
        <f t="shared" si="224"/>
        <v>116.62420864525473</v>
      </c>
      <c r="M721" s="101">
        <f t="shared" si="216"/>
        <v>627.420028444644</v>
      </c>
      <c r="N721" s="101">
        <f t="shared" si="217"/>
        <v>60.421908124699314</v>
      </c>
      <c r="O721" s="101">
        <f t="shared" si="218"/>
        <v>1.44226468389351</v>
      </c>
      <c r="P721" s="101">
        <f t="shared" si="219"/>
        <v>1.44226468389351</v>
      </c>
      <c r="Q721" s="101">
        <f t="shared" si="220"/>
        <v>0.49354681505556636</v>
      </c>
      <c r="R721" s="101">
        <f t="shared" si="221"/>
        <v>1.680362005012672E-2</v>
      </c>
      <c r="S721" s="101">
        <f t="shared" si="209"/>
        <v>563.60324051705197</v>
      </c>
      <c r="T721" s="101">
        <f t="shared" si="225"/>
        <v>204.30837701628687</v>
      </c>
      <c r="U721" s="101">
        <f t="shared" si="225"/>
        <v>38.45350350132513</v>
      </c>
      <c r="V721" s="33">
        <f t="shared" si="226"/>
        <v>1000.0000000000052</v>
      </c>
      <c r="W721" s="105">
        <f t="shared" si="222"/>
        <v>64941.172407278304</v>
      </c>
      <c r="X721" s="112">
        <f t="shared" si="227"/>
        <v>757.23811948239324</v>
      </c>
      <c r="Y721" s="32">
        <f t="shared" si="223"/>
        <v>405.81894527350795</v>
      </c>
    </row>
    <row r="722" spans="1:25" x14ac:dyDescent="0.25">
      <c r="A722" s="4">
        <v>716</v>
      </c>
      <c r="C722" s="110">
        <f>IF(male=0,VLOOKUP(((A720:A1554/'Life tables'!$I$2)*2)+age,lifetable,13,1),IF(male=1,VLOOKUP(((A720:A1554/'Life tables'!$I$2)*2)+age,lifetable,10,1),"error"))</f>
        <v>7.1453294378398535E-4</v>
      </c>
      <c r="F722" s="101">
        <f t="shared" si="210"/>
        <v>130.34530179859502</v>
      </c>
      <c r="G722" s="101">
        <f t="shared" si="211"/>
        <v>13.093458363355653</v>
      </c>
      <c r="H722" s="101">
        <f t="shared" si="212"/>
        <v>0.29962770866843785</v>
      </c>
      <c r="I722" s="101">
        <f t="shared" si="213"/>
        <v>0.29962770866843785</v>
      </c>
      <c r="J722" s="101">
        <f t="shared" si="214"/>
        <v>0.10291990728867188</v>
      </c>
      <c r="K722" s="101">
        <f t="shared" si="215"/>
        <v>2.3487552509462571E-2</v>
      </c>
      <c r="L722" s="101">
        <f t="shared" si="224"/>
        <v>116.52618055810436</v>
      </c>
      <c r="M722" s="101">
        <f t="shared" si="216"/>
        <v>626.89281768379828</v>
      </c>
      <c r="N722" s="101">
        <f t="shared" si="217"/>
        <v>60.371136586160546</v>
      </c>
      <c r="O722" s="101">
        <f t="shared" si="218"/>
        <v>1.4410527725313218</v>
      </c>
      <c r="P722" s="101">
        <f t="shared" si="219"/>
        <v>1.4410527725313218</v>
      </c>
      <c r="Q722" s="101">
        <f t="shared" si="220"/>
        <v>0.49313209576054567</v>
      </c>
      <c r="R722" s="101">
        <f t="shared" si="221"/>
        <v>1.6789500243761038E-2</v>
      </c>
      <c r="S722" s="101">
        <f t="shared" si="209"/>
        <v>563.12965395657079</v>
      </c>
      <c r="T722" s="101">
        <f t="shared" si="225"/>
        <v>204.90442901933608</v>
      </c>
      <c r="U722" s="101">
        <f t="shared" si="225"/>
        <v>38.493780554078356</v>
      </c>
      <c r="V722" s="33">
        <f t="shared" si="226"/>
        <v>1000.0000000000053</v>
      </c>
      <c r="W722" s="105">
        <f t="shared" si="222"/>
        <v>64812.023337874423</v>
      </c>
      <c r="X722" s="112">
        <f t="shared" si="227"/>
        <v>756.60179042659092</v>
      </c>
      <c r="Y722" s="32">
        <f t="shared" si="223"/>
        <v>405.36131321290264</v>
      </c>
    </row>
    <row r="723" spans="1:25" x14ac:dyDescent="0.25">
      <c r="A723" s="4">
        <v>717</v>
      </c>
      <c r="C723" s="110">
        <f>IF(male=0,VLOOKUP(((A721:A1555/'Life tables'!$I$2)*2)+age,lifetable,13,1),IF(male=1,VLOOKUP(((A721:A1555/'Life tables'!$I$2)*2)+age,lifetable,10,1),"error"))</f>
        <v>7.1453294378398535E-4</v>
      </c>
      <c r="F723" s="101">
        <f t="shared" si="210"/>
        <v>130.23574137114213</v>
      </c>
      <c r="G723" s="101">
        <f t="shared" si="211"/>
        <v>13.082452789120669</v>
      </c>
      <c r="H723" s="101">
        <f t="shared" si="212"/>
        <v>0.2993758596229758</v>
      </c>
      <c r="I723" s="101">
        <f t="shared" si="213"/>
        <v>0.2993758596229758</v>
      </c>
      <c r="J723" s="101">
        <f t="shared" si="214"/>
        <v>0.10283339899968588</v>
      </c>
      <c r="K723" s="101">
        <f t="shared" si="215"/>
        <v>2.3467810284332469E-2</v>
      </c>
      <c r="L723" s="101">
        <f t="shared" si="224"/>
        <v>116.42823565349148</v>
      </c>
      <c r="M723" s="101">
        <f t="shared" si="216"/>
        <v>626.36604905544868</v>
      </c>
      <c r="N723" s="101">
        <f t="shared" si="217"/>
        <v>60.32040762593909</v>
      </c>
      <c r="O723" s="101">
        <f t="shared" si="218"/>
        <v>1.4398418775091546</v>
      </c>
      <c r="P723" s="101">
        <f t="shared" si="219"/>
        <v>1.4398418775091546</v>
      </c>
      <c r="Q723" s="101">
        <f t="shared" si="220"/>
        <v>0.49271772425978633</v>
      </c>
      <c r="R723" s="101">
        <f t="shared" si="221"/>
        <v>1.6775392278627926E-2</v>
      </c>
      <c r="S723" s="101">
        <f t="shared" si="209"/>
        <v>562.65646455795286</v>
      </c>
      <c r="T723" s="101">
        <f t="shared" si="225"/>
        <v>205.49998014259555</v>
      </c>
      <c r="U723" s="101">
        <f t="shared" si="225"/>
        <v>38.534023756641318</v>
      </c>
      <c r="V723" s="33">
        <f t="shared" si="226"/>
        <v>1000.0000000000052</v>
      </c>
      <c r="W723" s="105">
        <f t="shared" si="222"/>
        <v>64683.131076949918</v>
      </c>
      <c r="X723" s="112">
        <f t="shared" si="227"/>
        <v>755.96599610076839</v>
      </c>
      <c r="Y723" s="32">
        <f t="shared" si="223"/>
        <v>404.90419721475109</v>
      </c>
    </row>
    <row r="724" spans="1:25" x14ac:dyDescent="0.25">
      <c r="A724" s="4">
        <v>718</v>
      </c>
      <c r="C724" s="110">
        <f>IF(male=0,VLOOKUP(((A722:A1556/'Life tables'!$I$2)*2)+age,lifetable,13,1),IF(male=1,VLOOKUP(((A722:A1556/'Life tables'!$I$2)*2)+age,lifetable,10,1),"error"))</f>
        <v>7.1453294378398535E-4</v>
      </c>
      <c r="F724" s="101">
        <f t="shared" si="210"/>
        <v>130.12627388421484</v>
      </c>
      <c r="G724" s="101">
        <f t="shared" si="211"/>
        <v>13.071456550955995</v>
      </c>
      <c r="H724" s="101">
        <f t="shared" si="212"/>
        <v>0.2991242242220129</v>
      </c>
      <c r="I724" s="101">
        <f t="shared" si="213"/>
        <v>0.2991242242220129</v>
      </c>
      <c r="J724" s="101">
        <f t="shared" si="214"/>
        <v>0.10274696409600911</v>
      </c>
      <c r="K724" s="101">
        <f t="shared" si="215"/>
        <v>2.3448084806606723E-2</v>
      </c>
      <c r="L724" s="101">
        <f t="shared" si="224"/>
        <v>116.3303738359122</v>
      </c>
      <c r="M724" s="101">
        <f t="shared" si="216"/>
        <v>625.83972221655358</v>
      </c>
      <c r="N724" s="101">
        <f t="shared" si="217"/>
        <v>60.269721210999293</v>
      </c>
      <c r="O724" s="101">
        <f t="shared" si="218"/>
        <v>1.4386319980384505</v>
      </c>
      <c r="P724" s="101">
        <f t="shared" si="219"/>
        <v>1.4386319980384505</v>
      </c>
      <c r="Q724" s="101">
        <f t="shared" si="220"/>
        <v>0.49230370028344161</v>
      </c>
      <c r="R724" s="101">
        <f t="shared" si="221"/>
        <v>1.6761296145540013E-2</v>
      </c>
      <c r="S724" s="101">
        <f t="shared" si="209"/>
        <v>562.18367201304841</v>
      </c>
      <c r="T724" s="101">
        <f t="shared" si="225"/>
        <v>206.09503080697499</v>
      </c>
      <c r="U724" s="101">
        <f t="shared" si="225"/>
        <v>38.574233137593467</v>
      </c>
      <c r="V724" s="33">
        <f t="shared" si="226"/>
        <v>1000.0000000000052</v>
      </c>
      <c r="W724" s="105">
        <f t="shared" si="222"/>
        <v>64554.49511488116</v>
      </c>
      <c r="X724" s="112">
        <f t="shared" si="227"/>
        <v>755.33073605543689</v>
      </c>
      <c r="Y724" s="32">
        <f t="shared" si="223"/>
        <v>404.44759669703592</v>
      </c>
    </row>
    <row r="725" spans="1:25" x14ac:dyDescent="0.25">
      <c r="A725" s="4">
        <v>719</v>
      </c>
      <c r="C725" s="110">
        <f>IF(male=0,VLOOKUP(((A723:A1557/'Life tables'!$I$2)*2)+age,lifetable,13,1),IF(male=1,VLOOKUP(((A723:A1557/'Life tables'!$I$2)*2)+age,lifetable,10,1),"error"))</f>
        <v>7.1453294378398535E-4</v>
      </c>
      <c r="F725" s="101">
        <f t="shared" si="210"/>
        <v>130.01689923198188</v>
      </c>
      <c r="G725" s="101">
        <f t="shared" si="211"/>
        <v>13.060469638230659</v>
      </c>
      <c r="H725" s="101">
        <f t="shared" si="212"/>
        <v>0.29887280222227253</v>
      </c>
      <c r="I725" s="101">
        <f t="shared" si="213"/>
        <v>0.29887280222227253</v>
      </c>
      <c r="J725" s="101">
        <f t="shared" si="214"/>
        <v>0.10266060249407782</v>
      </c>
      <c r="K725" s="101">
        <f t="shared" si="215"/>
        <v>2.3428376057215091E-2</v>
      </c>
      <c r="L725" s="101">
        <f t="shared" si="224"/>
        <v>116.23259501075539</v>
      </c>
      <c r="M725" s="101">
        <f t="shared" si="216"/>
        <v>625.31383682345484</v>
      </c>
      <c r="N725" s="101">
        <f t="shared" si="217"/>
        <v>60.219077308246135</v>
      </c>
      <c r="O725" s="101">
        <f t="shared" si="218"/>
        <v>1.4374231333292351</v>
      </c>
      <c r="P725" s="101">
        <f t="shared" si="219"/>
        <v>1.4374231333292351</v>
      </c>
      <c r="Q725" s="101">
        <f t="shared" si="220"/>
        <v>0.49189002356118017</v>
      </c>
      <c r="R725" s="101">
        <f t="shared" si="221"/>
        <v>1.6747211835293419E-2</v>
      </c>
      <c r="S725" s="101">
        <f t="shared" si="209"/>
        <v>561.71127601315379</v>
      </c>
      <c r="T725" s="101">
        <f t="shared" si="225"/>
        <v>206.68958143303024</v>
      </c>
      <c r="U725" s="101">
        <f t="shared" si="225"/>
        <v>38.614408725485973</v>
      </c>
      <c r="V725" s="33">
        <f t="shared" si="226"/>
        <v>1000.0000000000053</v>
      </c>
      <c r="W725" s="105">
        <f t="shared" si="222"/>
        <v>64426.114943021821</v>
      </c>
      <c r="X725" s="112">
        <f t="shared" si="227"/>
        <v>754.69600984148906</v>
      </c>
      <c r="Y725" s="32">
        <f t="shared" si="223"/>
        <v>403.99151107839748</v>
      </c>
    </row>
    <row r="726" spans="1:25" x14ac:dyDescent="0.25">
      <c r="A726" s="4">
        <v>720</v>
      </c>
      <c r="C726" s="110">
        <f>IF(male=0,VLOOKUP(((A724:A1558/'Life tables'!$I$2)*2)+age,lifetable,13,1),IF(male=1,VLOOKUP(((A724:A1558/'Life tables'!$I$2)*2)+age,lifetable,10,1),"error"))</f>
        <v>7.1453294378398535E-4</v>
      </c>
      <c r="F726" s="101">
        <f t="shared" si="210"/>
        <v>129.90761730958098</v>
      </c>
      <c r="G726" s="101">
        <f t="shared" si="211"/>
        <v>13.049492040411026</v>
      </c>
      <c r="H726" s="101">
        <f t="shared" si="212"/>
        <v>0.29862159338270533</v>
      </c>
      <c r="I726" s="101">
        <f t="shared" si="213"/>
        <v>0.29862159338270533</v>
      </c>
      <c r="J726" s="101">
        <f t="shared" si="214"/>
        <v>0.1025743141110933</v>
      </c>
      <c r="K726" s="101">
        <f t="shared" si="215"/>
        <v>2.3408684017261917E-2</v>
      </c>
      <c r="L726" s="101">
        <f t="shared" si="224"/>
        <v>116.13489908427619</v>
      </c>
      <c r="M726" s="101">
        <f t="shared" si="216"/>
        <v>624.78839253190802</v>
      </c>
      <c r="N726" s="101">
        <f t="shared" si="217"/>
        <v>60.168475884528135</v>
      </c>
      <c r="O726" s="101">
        <f t="shared" si="218"/>
        <v>1.4362152825901853</v>
      </c>
      <c r="P726" s="101">
        <f t="shared" si="219"/>
        <v>1.4362152825901853</v>
      </c>
      <c r="Q726" s="101">
        <f t="shared" si="220"/>
        <v>0.49147669382220943</v>
      </c>
      <c r="R726" s="101">
        <f t="shared" si="221"/>
        <v>1.6733139338668549E-2</v>
      </c>
      <c r="S726" s="101">
        <f t="shared" si="209"/>
        <v>561.23927624903865</v>
      </c>
      <c r="T726" s="101">
        <f t="shared" si="225"/>
        <v>207.28363244096354</v>
      </c>
      <c r="U726" s="101">
        <f t="shared" si="225"/>
        <v>38.654550548841904</v>
      </c>
      <c r="V726" s="33">
        <f t="shared" si="226"/>
        <v>1000.0000000000052</v>
      </c>
      <c r="W726" s="105">
        <f t="shared" si="222"/>
        <v>64297.990053702379</v>
      </c>
      <c r="X726" s="112">
        <f t="shared" si="227"/>
        <v>754.06181701019977</v>
      </c>
      <c r="Y726" s="32">
        <f t="shared" si="223"/>
        <v>403.53593977813392</v>
      </c>
    </row>
    <row r="727" spans="1:25" x14ac:dyDescent="0.25">
      <c r="A727" s="4">
        <v>721</v>
      </c>
      <c r="C727" s="110">
        <f>IF(male=0,VLOOKUP(((A725:A1559/'Life tables'!$I$2)*2)+age,lifetable,13,1),IF(male=1,VLOOKUP(((A725:A1559/'Life tables'!$I$2)*2)+age,lifetable,10,1),"error"))</f>
        <v>7.1453294378398535E-4</v>
      </c>
      <c r="F727" s="101">
        <f t="shared" si="210"/>
        <v>129.79842801309022</v>
      </c>
      <c r="G727" s="101">
        <f t="shared" si="211"/>
        <v>13.038523747057923</v>
      </c>
      <c r="H727" s="101">
        <f t="shared" si="212"/>
        <v>0.29837059746442357</v>
      </c>
      <c r="I727" s="101">
        <f t="shared" si="213"/>
        <v>0.29837059746442357</v>
      </c>
      <c r="J727" s="101">
        <f t="shared" si="214"/>
        <v>0.10248809886499943</v>
      </c>
      <c r="K727" s="101">
        <f t="shared" si="215"/>
        <v>2.3389008668021016E-2</v>
      </c>
      <c r="L727" s="101">
        <f t="shared" si="224"/>
        <v>116.03728596357043</v>
      </c>
      <c r="M727" s="101">
        <f t="shared" si="216"/>
        <v>624.26338899710959</v>
      </c>
      <c r="N727" s="101">
        <f t="shared" si="217"/>
        <v>60.117916906639955</v>
      </c>
      <c r="O727" s="101">
        <f t="shared" si="218"/>
        <v>1.435008445028694</v>
      </c>
      <c r="P727" s="101">
        <f t="shared" si="219"/>
        <v>1.435008445028694</v>
      </c>
      <c r="Q727" s="101">
        <f t="shared" si="220"/>
        <v>0.49106371079529682</v>
      </c>
      <c r="R727" s="101">
        <f t="shared" si="221"/>
        <v>1.6719078646430855E-2</v>
      </c>
      <c r="S727" s="101">
        <f t="shared" si="209"/>
        <v>560.76767241097048</v>
      </c>
      <c r="T727" s="101">
        <f t="shared" si="225"/>
        <v>207.87718425062383</v>
      </c>
      <c r="U727" s="101">
        <f t="shared" si="225"/>
        <v>38.694658636156355</v>
      </c>
      <c r="V727" s="33">
        <f t="shared" si="226"/>
        <v>1000.0000000000051</v>
      </c>
      <c r="W727" s="105">
        <f t="shared" si="222"/>
        <v>64170.119940229146</v>
      </c>
      <c r="X727" s="112">
        <f t="shared" si="227"/>
        <v>753.42815711322498</v>
      </c>
      <c r="Y727" s="32">
        <f t="shared" si="223"/>
        <v>403.08088221620096</v>
      </c>
    </row>
    <row r="728" spans="1:25" x14ac:dyDescent="0.25">
      <c r="A728" s="4">
        <v>722</v>
      </c>
      <c r="C728" s="110">
        <f>IF(male=0,VLOOKUP(((A726:A1560/'Life tables'!$I$2)*2)+age,lifetable,13,1),IF(male=1,VLOOKUP(((A726:A1560/'Life tables'!$I$2)*2)+age,lifetable,10,1),"error"))</f>
        <v>7.1453294378398535E-4</v>
      </c>
      <c r="F728" s="101">
        <f t="shared" si="210"/>
        <v>129.68933123950004</v>
      </c>
      <c r="G728" s="101">
        <f t="shared" si="211"/>
        <v>13.027564747823821</v>
      </c>
      <c r="H728" s="101">
        <f t="shared" si="212"/>
        <v>0.29811981423063694</v>
      </c>
      <c r="I728" s="101">
        <f t="shared" si="213"/>
        <v>0.29811981423063694</v>
      </c>
      <c r="J728" s="101">
        <f t="shared" si="214"/>
        <v>0.10240195667446048</v>
      </c>
      <c r="K728" s="101">
        <f t="shared" si="215"/>
        <v>2.3369349990930592E-2</v>
      </c>
      <c r="L728" s="101">
        <f t="shared" si="224"/>
        <v>115.93975555654956</v>
      </c>
      <c r="M728" s="101">
        <f t="shared" si="216"/>
        <v>623.73882587372475</v>
      </c>
      <c r="N728" s="101">
        <f t="shared" si="217"/>
        <v>60.067400341325111</v>
      </c>
      <c r="O728" s="101">
        <f t="shared" si="218"/>
        <v>1.4338026198509317</v>
      </c>
      <c r="P728" s="101">
        <f t="shared" si="219"/>
        <v>1.4338026198509317</v>
      </c>
      <c r="Q728" s="101">
        <f t="shared" si="220"/>
        <v>0.49065107420879195</v>
      </c>
      <c r="R728" s="101">
        <f t="shared" si="221"/>
        <v>1.6705029749331541E-2</v>
      </c>
      <c r="S728" s="101">
        <f t="shared" si="209"/>
        <v>560.29646418873961</v>
      </c>
      <c r="T728" s="101">
        <f t="shared" si="225"/>
        <v>208.47023728150708</v>
      </c>
      <c r="U728" s="101">
        <f t="shared" si="225"/>
        <v>38.734733015896616</v>
      </c>
      <c r="V728" s="33">
        <f t="shared" si="226"/>
        <v>1000.000000000005</v>
      </c>
      <c r="W728" s="105">
        <f t="shared" si="222"/>
        <v>64042.50409688348</v>
      </c>
      <c r="X728" s="112">
        <f t="shared" si="227"/>
        <v>752.79502970260114</v>
      </c>
      <c r="Y728" s="32">
        <f t="shared" si="223"/>
        <v>402.62633781320966</v>
      </c>
    </row>
    <row r="729" spans="1:25" x14ac:dyDescent="0.25">
      <c r="A729" s="4">
        <v>723</v>
      </c>
      <c r="C729" s="110">
        <f>IF(male=0,VLOOKUP(((A727:A1561/'Life tables'!$I$2)*2)+age,lifetable,13,1),IF(male=1,VLOOKUP(((A727:A1561/'Life tables'!$I$2)*2)+age,lifetable,10,1),"error"))</f>
        <v>7.1453294378398535E-4</v>
      </c>
      <c r="F729" s="101">
        <f t="shared" si="210"/>
        <v>129.58032688668649</v>
      </c>
      <c r="G729" s="101">
        <f t="shared" si="211"/>
        <v>13.01661503245016</v>
      </c>
      <c r="H729" s="101">
        <f t="shared" si="212"/>
        <v>0.29786924344659077</v>
      </c>
      <c r="I729" s="101">
        <f t="shared" si="213"/>
        <v>0.29786924344659077</v>
      </c>
      <c r="J729" s="101">
        <f t="shared" si="214"/>
        <v>0.1023158874588399</v>
      </c>
      <c r="K729" s="101">
        <f t="shared" si="215"/>
        <v>2.3349707967588437E-2</v>
      </c>
      <c r="L729" s="101">
        <f t="shared" si="224"/>
        <v>115.84230777191672</v>
      </c>
      <c r="M729" s="101">
        <f t="shared" si="216"/>
        <v>623.21470281591451</v>
      </c>
      <c r="N729" s="101">
        <f t="shared" si="217"/>
        <v>60.016926155278561</v>
      </c>
      <c r="O729" s="101">
        <f t="shared" si="218"/>
        <v>1.4325978062619107</v>
      </c>
      <c r="P729" s="101">
        <f t="shared" si="219"/>
        <v>1.4325978062619107</v>
      </c>
      <c r="Q729" s="101">
        <f t="shared" si="220"/>
        <v>0.49023878379064789</v>
      </c>
      <c r="R729" s="101">
        <f t="shared" si="221"/>
        <v>1.6690992638108321E-2</v>
      </c>
      <c r="S729" s="101">
        <f t="shared" si="209"/>
        <v>559.82565127168334</v>
      </c>
      <c r="T729" s="101">
        <f t="shared" si="225"/>
        <v>209.06279195275658</v>
      </c>
      <c r="U729" s="101">
        <f t="shared" si="225"/>
        <v>38.77477371650231</v>
      </c>
      <c r="V729" s="33">
        <f t="shared" si="226"/>
        <v>1000.0000000000047</v>
      </c>
      <c r="W729" s="105">
        <f t="shared" si="222"/>
        <v>63915.142018920946</v>
      </c>
      <c r="X729" s="112">
        <f t="shared" si="227"/>
        <v>752.16243433074578</v>
      </c>
      <c r="Y729" s="32">
        <f t="shared" si="223"/>
        <v>402.17230599042659</v>
      </c>
    </row>
    <row r="730" spans="1:25" x14ac:dyDescent="0.25">
      <c r="A730" s="4">
        <v>724</v>
      </c>
      <c r="C730" s="110">
        <f>IF(male=0,VLOOKUP(((A728:A1562/'Life tables'!$I$2)*2)+age,lifetable,13,1),IF(male=1,VLOOKUP(((A728:A1562/'Life tables'!$I$2)*2)+age,lifetable,10,1),"error"))</f>
        <v>7.1453294378398535E-4</v>
      </c>
      <c r="F730" s="101">
        <f t="shared" si="210"/>
        <v>129.47141485338497</v>
      </c>
      <c r="G730" s="101">
        <f t="shared" si="211"/>
        <v>13.005674590764695</v>
      </c>
      <c r="H730" s="101">
        <f t="shared" si="212"/>
        <v>0.29761888487950583</v>
      </c>
      <c r="I730" s="101">
        <f t="shared" si="213"/>
        <v>0.29761888487950583</v>
      </c>
      <c r="J730" s="101">
        <f t="shared" si="214"/>
        <v>0.10222989113817978</v>
      </c>
      <c r="K730" s="101">
        <f t="shared" si="215"/>
        <v>2.3330082579747193E-2</v>
      </c>
      <c r="L730" s="101">
        <f t="shared" si="224"/>
        <v>115.74494251914334</v>
      </c>
      <c r="M730" s="101">
        <f t="shared" si="216"/>
        <v>622.6910194773609</v>
      </c>
      <c r="N730" s="101">
        <f t="shared" si="217"/>
        <v>59.966494315149134</v>
      </c>
      <c r="O730" s="101">
        <f t="shared" si="218"/>
        <v>1.4313940034655421</v>
      </c>
      <c r="P730" s="101">
        <f t="shared" si="219"/>
        <v>1.4313940034655421</v>
      </c>
      <c r="Q730" s="101">
        <f t="shared" si="220"/>
        <v>0.48982683926844073</v>
      </c>
      <c r="R730" s="101">
        <f t="shared" si="221"/>
        <v>1.667696730348607E-2</v>
      </c>
      <c r="S730" s="101">
        <f t="shared" si="209"/>
        <v>559.35523334870879</v>
      </c>
      <c r="T730" s="101">
        <f t="shared" si="225"/>
        <v>209.65484868316321</v>
      </c>
      <c r="U730" s="101">
        <f t="shared" si="225"/>
        <v>38.814780766385546</v>
      </c>
      <c r="V730" s="33">
        <f t="shared" si="226"/>
        <v>1000.0000000000049</v>
      </c>
      <c r="W730" s="105">
        <f t="shared" si="222"/>
        <v>63788.03320257047</v>
      </c>
      <c r="X730" s="112">
        <f t="shared" si="227"/>
        <v>751.53037055045615</v>
      </c>
      <c r="Y730" s="32">
        <f t="shared" si="223"/>
        <v>401.71878616977244</v>
      </c>
    </row>
    <row r="731" spans="1:25" x14ac:dyDescent="0.25">
      <c r="A731" s="4">
        <v>725</v>
      </c>
      <c r="C731" s="110">
        <f>IF(male=0,VLOOKUP(((A729:A1563/'Life tables'!$I$2)*2)+age,lifetable,13,1),IF(male=1,VLOOKUP(((A729:A1563/'Life tables'!$I$2)*2)+age,lifetable,10,1),"error"))</f>
        <v>7.1453294378398535E-4</v>
      </c>
      <c r="F731" s="101">
        <f t="shared" si="210"/>
        <v>129.36259503916497</v>
      </c>
      <c r="G731" s="101">
        <f t="shared" si="211"/>
        <v>12.994743412678972</v>
      </c>
      <c r="H731" s="101">
        <f t="shared" si="212"/>
        <v>0.29736873829852012</v>
      </c>
      <c r="I731" s="101">
        <f t="shared" si="213"/>
        <v>0.29736873829852012</v>
      </c>
      <c r="J731" s="101">
        <f t="shared" si="214"/>
        <v>0.10214396763318073</v>
      </c>
      <c r="K731" s="101">
        <f t="shared" si="215"/>
        <v>2.3310473809309791E-2</v>
      </c>
      <c r="L731" s="101">
        <f t="shared" si="224"/>
        <v>115.64765970844647</v>
      </c>
      <c r="M731" s="101">
        <f t="shared" si="216"/>
        <v>622.16777551129121</v>
      </c>
      <c r="N731" s="101">
        <f t="shared" si="217"/>
        <v>59.916104787541862</v>
      </c>
      <c r="O731" s="101">
        <f t="shared" si="218"/>
        <v>1.4301912106646917</v>
      </c>
      <c r="P731" s="101">
        <f t="shared" si="219"/>
        <v>1.4301912106646917</v>
      </c>
      <c r="Q731" s="101">
        <f t="shared" si="220"/>
        <v>0.48941524036938916</v>
      </c>
      <c r="R731" s="101">
        <f t="shared" si="221"/>
        <v>1.6662953736177499E-2</v>
      </c>
      <c r="S731" s="101">
        <f t="shared" si="209"/>
        <v>558.88521010831437</v>
      </c>
      <c r="T731" s="101">
        <f t="shared" si="225"/>
        <v>210.24640789116577</v>
      </c>
      <c r="U731" s="101">
        <f t="shared" si="225"/>
        <v>38.854754193931036</v>
      </c>
      <c r="V731" s="33">
        <f t="shared" si="226"/>
        <v>1000.0000000000049</v>
      </c>
      <c r="W731" s="105">
        <f t="shared" si="222"/>
        <v>63661.177145033202</v>
      </c>
      <c r="X731" s="112">
        <f t="shared" si="227"/>
        <v>750.89883791490809</v>
      </c>
      <c r="Y731" s="32">
        <f t="shared" si="223"/>
        <v>401.26577777382238</v>
      </c>
    </row>
    <row r="732" spans="1:25" x14ac:dyDescent="0.25">
      <c r="A732" s="4">
        <v>726</v>
      </c>
      <c r="C732" s="110">
        <f>IF(male=0,VLOOKUP(((A730:A1564/'Life tables'!$I$2)*2)+age,lifetable,13,1),IF(male=1,VLOOKUP(((A730:A1564/'Life tables'!$I$2)*2)+age,lifetable,10,1),"error"))</f>
        <v>7.1453294378398535E-4</v>
      </c>
      <c r="F732" s="101">
        <f t="shared" si="210"/>
        <v>129.25386734440565</v>
      </c>
      <c r="G732" s="101">
        <f t="shared" si="211"/>
        <v>12.983821488185869</v>
      </c>
      <c r="H732" s="101">
        <f t="shared" si="212"/>
        <v>0.2971188034746331</v>
      </c>
      <c r="I732" s="101">
        <f t="shared" si="213"/>
        <v>0.2971188034746331</v>
      </c>
      <c r="J732" s="101">
        <f t="shared" si="214"/>
        <v>0.10205811686518272</v>
      </c>
      <c r="K732" s="101">
        <f t="shared" si="215"/>
        <v>2.3290881638325076E-2</v>
      </c>
      <c r="L732" s="101">
        <f t="shared" si="224"/>
        <v>115.55045925076701</v>
      </c>
      <c r="M732" s="101">
        <f t="shared" si="216"/>
        <v>621.64497057050244</v>
      </c>
      <c r="N732" s="101">
        <f t="shared" si="217"/>
        <v>59.86575753902035</v>
      </c>
      <c r="O732" s="101">
        <f t="shared" si="218"/>
        <v>1.4289894270612356</v>
      </c>
      <c r="P732" s="101">
        <f t="shared" si="219"/>
        <v>1.4289894270612356</v>
      </c>
      <c r="Q732" s="101">
        <f t="shared" si="220"/>
        <v>0.48900398682037305</v>
      </c>
      <c r="R732" s="101">
        <f t="shared" si="221"/>
        <v>1.6648951926883777E-2</v>
      </c>
      <c r="S732" s="101">
        <f t="shared" si="209"/>
        <v>558.41558123861239</v>
      </c>
      <c r="T732" s="101">
        <f t="shared" si="225"/>
        <v>210.83746999485132</v>
      </c>
      <c r="U732" s="101">
        <f t="shared" si="225"/>
        <v>38.894694027496243</v>
      </c>
      <c r="V732" s="33">
        <f t="shared" si="226"/>
        <v>1000.0000000000049</v>
      </c>
      <c r="W732" s="105">
        <f t="shared" si="222"/>
        <v>63534.573344481731</v>
      </c>
      <c r="X732" s="112">
        <f t="shared" si="227"/>
        <v>750.26783597765734</v>
      </c>
      <c r="Y732" s="32">
        <f t="shared" si="223"/>
        <v>400.81328022580334</v>
      </c>
    </row>
    <row r="733" spans="1:25" x14ac:dyDescent="0.25">
      <c r="A733" s="4">
        <v>727</v>
      </c>
      <c r="C733" s="110">
        <f>IF(male=0,VLOOKUP(((A731:A1565/'Life tables'!$I$2)*2)+age,lifetable,13,1),IF(male=1,VLOOKUP(((A731:A1565/'Life tables'!$I$2)*2)+age,lifetable,10,1),"error"))</f>
        <v>7.1453294378398535E-4</v>
      </c>
      <c r="F733" s="101">
        <f t="shared" si="210"/>
        <v>129.1452316702721</v>
      </c>
      <c r="G733" s="101">
        <f t="shared" si="211"/>
        <v>12.972908807357216</v>
      </c>
      <c r="H733" s="101">
        <f t="shared" si="212"/>
        <v>0.29686908018065061</v>
      </c>
      <c r="I733" s="101">
        <f t="shared" si="213"/>
        <v>0.29686908018065061</v>
      </c>
      <c r="J733" s="101">
        <f t="shared" si="214"/>
        <v>0.10197233875614629</v>
      </c>
      <c r="K733" s="101">
        <f t="shared" si="215"/>
        <v>2.3271306048983503E-2</v>
      </c>
      <c r="L733" s="101">
        <f t="shared" si="224"/>
        <v>115.45334105774845</v>
      </c>
      <c r="M733" s="101">
        <f t="shared" si="216"/>
        <v>621.12260430738525</v>
      </c>
      <c r="N733" s="101">
        <f t="shared" si="217"/>
        <v>59.815452536109056</v>
      </c>
      <c r="O733" s="101">
        <f t="shared" si="218"/>
        <v>1.4277886518561167</v>
      </c>
      <c r="P733" s="101">
        <f t="shared" si="219"/>
        <v>1.4277886518561167</v>
      </c>
      <c r="Q733" s="101">
        <f t="shared" si="220"/>
        <v>0.48859307834795296</v>
      </c>
      <c r="R733" s="101">
        <f t="shared" si="221"/>
        <v>1.6634961866295202E-2</v>
      </c>
      <c r="S733" s="101">
        <f t="shared" si="209"/>
        <v>557.94634642734968</v>
      </c>
      <c r="T733" s="101">
        <f t="shared" si="225"/>
        <v>211.42803541195542</v>
      </c>
      <c r="U733" s="101">
        <f t="shared" si="225"/>
        <v>38.934600295411521</v>
      </c>
      <c r="V733" s="33">
        <f t="shared" si="226"/>
        <v>1000.0000000000049</v>
      </c>
      <c r="W733" s="105">
        <f t="shared" si="222"/>
        <v>63408.221300059056</v>
      </c>
      <c r="X733" s="112">
        <f t="shared" si="227"/>
        <v>749.63736429263793</v>
      </c>
      <c r="Y733" s="32">
        <f t="shared" si="223"/>
        <v>400.36129294959522</v>
      </c>
    </row>
    <row r="734" spans="1:25" x14ac:dyDescent="0.25">
      <c r="A734" s="4">
        <v>728</v>
      </c>
      <c r="C734" s="110">
        <f>IF(male=0,VLOOKUP(((A732:A1566/'Life tables'!$I$2)*2)+age,lifetable,13,1),IF(male=1,VLOOKUP(((A732:A1566/'Life tables'!$I$2)*2)+age,lifetable,10,1),"error"))</f>
        <v>7.1453294378398535E-4</v>
      </c>
      <c r="F734" s="101">
        <f t="shared" si="210"/>
        <v>129.03668791869242</v>
      </c>
      <c r="G734" s="101">
        <f t="shared" si="211"/>
        <v>12.962005360341481</v>
      </c>
      <c r="H734" s="101">
        <f t="shared" si="212"/>
        <v>0.29661956819113255</v>
      </c>
      <c r="I734" s="101">
        <f t="shared" si="213"/>
        <v>0.29661956819113255</v>
      </c>
      <c r="J734" s="101">
        <f t="shared" si="214"/>
        <v>0.10188663322863439</v>
      </c>
      <c r="K734" s="101">
        <f t="shared" si="215"/>
        <v>2.3251747023613024E-2</v>
      </c>
      <c r="L734" s="101">
        <f t="shared" si="224"/>
        <v>115.35630504171642</v>
      </c>
      <c r="M734" s="101">
        <f t="shared" si="216"/>
        <v>620.60067637394536</v>
      </c>
      <c r="N734" s="101">
        <f t="shared" si="217"/>
        <v>59.765189745295388</v>
      </c>
      <c r="O734" s="101">
        <f t="shared" si="218"/>
        <v>1.4265888842493926</v>
      </c>
      <c r="P734" s="101">
        <f t="shared" si="219"/>
        <v>1.4265888842493926</v>
      </c>
      <c r="Q734" s="101">
        <f t="shared" si="220"/>
        <v>0.48818251467838647</v>
      </c>
      <c r="R734" s="101">
        <f t="shared" si="221"/>
        <v>1.6620983545091762E-2</v>
      </c>
      <c r="S734" s="101">
        <f t="shared" si="209"/>
        <v>557.47750536192768</v>
      </c>
      <c r="T734" s="101">
        <f t="shared" si="225"/>
        <v>212.01810455986245</v>
      </c>
      <c r="U734" s="101">
        <f t="shared" si="225"/>
        <v>38.974473025980224</v>
      </c>
      <c r="V734" s="33">
        <f t="shared" si="226"/>
        <v>1000.0000000000047</v>
      </c>
      <c r="W734" s="105">
        <f t="shared" si="222"/>
        <v>63282.120511877576</v>
      </c>
      <c r="X734" s="112">
        <f t="shared" si="227"/>
        <v>749.00742241416197</v>
      </c>
      <c r="Y734" s="32">
        <f t="shared" si="223"/>
        <v>399.90981536972816</v>
      </c>
    </row>
    <row r="735" spans="1:25" x14ac:dyDescent="0.25">
      <c r="A735" s="4">
        <v>729</v>
      </c>
      <c r="C735" s="110">
        <f>IF(male=0,VLOOKUP(((A733:A1567/'Life tables'!$I$2)*2)+age,lifetable,13,1),IF(male=1,VLOOKUP(((A733:A1567/'Life tables'!$I$2)*2)+age,lifetable,10,1),"error"))</f>
        <v>7.1453294378398535E-4</v>
      </c>
      <c r="F735" s="101">
        <f t="shared" si="210"/>
        <v>128.92823599233552</v>
      </c>
      <c r="G735" s="101">
        <f t="shared" si="211"/>
        <v>12.951111137361554</v>
      </c>
      <c r="H735" s="101">
        <f t="shared" si="212"/>
        <v>0.29637026728234178</v>
      </c>
      <c r="I735" s="101">
        <f t="shared" si="213"/>
        <v>0.29637026728234178</v>
      </c>
      <c r="J735" s="101">
        <f t="shared" si="214"/>
        <v>0.10180100020579495</v>
      </c>
      <c r="K735" s="101">
        <f t="shared" si="215"/>
        <v>2.3232204544675068E-2</v>
      </c>
      <c r="L735" s="101">
        <f t="shared" si="224"/>
        <v>115.2593511156588</v>
      </c>
      <c r="M735" s="101">
        <f t="shared" si="216"/>
        <v>620.07918642182665</v>
      </c>
      <c r="N735" s="101">
        <f t="shared" si="217"/>
        <v>59.714969133031893</v>
      </c>
      <c r="O735" s="101">
        <f t="shared" si="218"/>
        <v>1.4253901234402888</v>
      </c>
      <c r="P735" s="101">
        <f t="shared" si="219"/>
        <v>1.4253901234402888</v>
      </c>
      <c r="Q735" s="101">
        <f t="shared" si="220"/>
        <v>0.48777229553764634</v>
      </c>
      <c r="R735" s="101">
        <f t="shared" si="221"/>
        <v>1.6607016953943746E-2</v>
      </c>
      <c r="S735" s="101">
        <f t="shared" si="209"/>
        <v>557.00905772942258</v>
      </c>
      <c r="T735" s="101">
        <f t="shared" si="225"/>
        <v>212.60767785560589</v>
      </c>
      <c r="U735" s="101">
        <f t="shared" si="225"/>
        <v>39.014312247478841</v>
      </c>
      <c r="V735" s="33">
        <f t="shared" si="226"/>
        <v>1000.0000000000048</v>
      </c>
      <c r="W735" s="105">
        <f t="shared" si="222"/>
        <v>63156.270481017949</v>
      </c>
      <c r="X735" s="112">
        <f t="shared" si="227"/>
        <v>748.37800989692005</v>
      </c>
      <c r="Y735" s="32">
        <f t="shared" si="223"/>
        <v>399.45884691138434</v>
      </c>
    </row>
    <row r="736" spans="1:25" x14ac:dyDescent="0.25">
      <c r="A736" s="4">
        <v>730</v>
      </c>
      <c r="C736" s="110">
        <f>IF(male=0,VLOOKUP(((A734:A1568/'Life tables'!$I$2)*2)+age,lifetable,13,1),IF(male=1,VLOOKUP(((A734:A1568/'Life tables'!$I$2)*2)+age,lifetable,10,1),"error"))</f>
        <v>7.1453294378398535E-4</v>
      </c>
      <c r="F736" s="101">
        <f t="shared" si="210"/>
        <v>128.81987579458962</v>
      </c>
      <c r="G736" s="101">
        <f t="shared" si="211"/>
        <v>12.940226128712579</v>
      </c>
      <c r="H736" s="101">
        <f t="shared" si="212"/>
        <v>0.29612117723219461</v>
      </c>
      <c r="I736" s="101">
        <f t="shared" si="213"/>
        <v>0.29612117723219461</v>
      </c>
      <c r="J736" s="101">
        <f t="shared" si="214"/>
        <v>0.10171543961134394</v>
      </c>
      <c r="K736" s="101">
        <f t="shared" si="215"/>
        <v>2.32126785947607E-2</v>
      </c>
      <c r="L736" s="101">
        <f t="shared" si="224"/>
        <v>115.16247919320655</v>
      </c>
      <c r="M736" s="101">
        <f t="shared" si="216"/>
        <v>619.55813410233043</v>
      </c>
      <c r="N736" s="101">
        <f t="shared" si="217"/>
        <v>59.664790665738131</v>
      </c>
      <c r="O736" s="101">
        <f t="shared" si="218"/>
        <v>1.4241923686272442</v>
      </c>
      <c r="P736" s="101">
        <f t="shared" si="219"/>
        <v>1.4241923686272442</v>
      </c>
      <c r="Q736" s="101">
        <f t="shared" si="220"/>
        <v>0.48736242065143631</v>
      </c>
      <c r="R736" s="101">
        <f t="shared" si="221"/>
        <v>1.6593062083512283E-2</v>
      </c>
      <c r="S736" s="101">
        <f t="shared" si="209"/>
        <v>556.5410032166028</v>
      </c>
      <c r="T736" s="101">
        <f t="shared" si="225"/>
        <v>213.19675571586868</v>
      </c>
      <c r="U736" s="101">
        <f t="shared" si="225"/>
        <v>39.054117988157117</v>
      </c>
      <c r="V736" s="33">
        <f t="shared" si="226"/>
        <v>1000.0000000000048</v>
      </c>
      <c r="W736" s="105">
        <f t="shared" si="222"/>
        <v>63030.670709528131</v>
      </c>
      <c r="X736" s="112">
        <f t="shared" si="227"/>
        <v>747.74912629597895</v>
      </c>
      <c r="Y736" s="32">
        <f t="shared" si="223"/>
        <v>399.00838700039401</v>
      </c>
    </row>
    <row r="737" spans="1:25" x14ac:dyDescent="0.25">
      <c r="A737" s="4">
        <v>731</v>
      </c>
      <c r="C737" s="110">
        <f>IF(male=0,VLOOKUP(((A735:A1569/'Life tables'!$I$2)*2)+age,lifetable,13,1),IF(male=1,VLOOKUP(((A735:A1569/'Life tables'!$I$2)*2)+age,lifetable,10,1),"error"))</f>
        <v>7.7299415014675521E-4</v>
      </c>
      <c r="F737" s="101">
        <f t="shared" si="210"/>
        <v>128.71160722954127</v>
      </c>
      <c r="G737" s="101">
        <f t="shared" si="211"/>
        <v>12.92935032475985</v>
      </c>
      <c r="H737" s="101">
        <f t="shared" si="212"/>
        <v>0.29587229782021257</v>
      </c>
      <c r="I737" s="101">
        <f t="shared" si="213"/>
        <v>0.29587229782021257</v>
      </c>
      <c r="J737" s="101">
        <f t="shared" si="214"/>
        <v>0.10994504672147064</v>
      </c>
      <c r="K737" s="101">
        <f t="shared" si="215"/>
        <v>2.3193169156586806E-2</v>
      </c>
      <c r="L737" s="101">
        <f t="shared" si="224"/>
        <v>115.05737409326294</v>
      </c>
      <c r="M737" s="101">
        <f t="shared" si="216"/>
        <v>619.03751906643765</v>
      </c>
      <c r="N737" s="101">
        <f t="shared" si="217"/>
        <v>59.614654309802809</v>
      </c>
      <c r="O737" s="101">
        <f t="shared" si="218"/>
        <v>1.4229956190079605</v>
      </c>
      <c r="P737" s="101">
        <f t="shared" si="219"/>
        <v>1.4229956190079605</v>
      </c>
      <c r="Q737" s="101">
        <f t="shared" si="220"/>
        <v>0.52679409458257065</v>
      </c>
      <c r="R737" s="101">
        <f t="shared" si="221"/>
        <v>1.6579118924449902E-2</v>
      </c>
      <c r="S737" s="101">
        <f t="shared" si="209"/>
        <v>556.03350030511194</v>
      </c>
      <c r="T737" s="101">
        <f t="shared" si="225"/>
        <v>213.83349485717272</v>
      </c>
      <c r="U737" s="101">
        <f t="shared" si="225"/>
        <v>39.093890276238156</v>
      </c>
      <c r="V737" s="33">
        <f t="shared" si="226"/>
        <v>1000.0000000000048</v>
      </c>
      <c r="W737" s="105">
        <f t="shared" si="222"/>
        <v>62901.811360553649</v>
      </c>
      <c r="X737" s="112">
        <f t="shared" si="227"/>
        <v>747.07261486659388</v>
      </c>
      <c r="Y737" s="32">
        <f t="shared" si="223"/>
        <v>398.5323275405467</v>
      </c>
    </row>
    <row r="738" spans="1:25" x14ac:dyDescent="0.25">
      <c r="A738" s="4">
        <v>732</v>
      </c>
      <c r="C738" s="110">
        <f>IF(male=0,VLOOKUP(((A736:A1570/'Life tables'!$I$2)*2)+age,lifetable,13,1),IF(male=1,VLOOKUP(((A736:A1570/'Life tables'!$I$2)*2)+age,lifetable,10,1),"error"))</f>
        <v>7.7299415014675521E-4</v>
      </c>
      <c r="F738" s="101">
        <f t="shared" si="210"/>
        <v>128.59511486360785</v>
      </c>
      <c r="G738" s="101">
        <f t="shared" si="211"/>
        <v>12.917648422796749</v>
      </c>
      <c r="H738" s="101">
        <f t="shared" si="212"/>
        <v>0.29560451417016642</v>
      </c>
      <c r="I738" s="101">
        <f t="shared" si="213"/>
        <v>0.29560451417016642</v>
      </c>
      <c r="J738" s="101">
        <f t="shared" si="214"/>
        <v>0.10984553931191428</v>
      </c>
      <c r="K738" s="101">
        <f t="shared" si="215"/>
        <v>2.3172177831820528E-2</v>
      </c>
      <c r="L738" s="101">
        <f t="shared" si="224"/>
        <v>114.95323969532703</v>
      </c>
      <c r="M738" s="101">
        <f t="shared" si="216"/>
        <v>618.47750000298595</v>
      </c>
      <c r="N738" s="101">
        <f t="shared" si="217"/>
        <v>59.560723260639712</v>
      </c>
      <c r="O738" s="101">
        <f t="shared" si="218"/>
        <v>1.4217082904546694</v>
      </c>
      <c r="P738" s="101">
        <f t="shared" si="219"/>
        <v>1.4217082904546694</v>
      </c>
      <c r="Q738" s="101">
        <f t="shared" si="220"/>
        <v>0.52631752454215541</v>
      </c>
      <c r="R738" s="101">
        <f t="shared" si="221"/>
        <v>1.6564120443151184E-2</v>
      </c>
      <c r="S738" s="101">
        <f t="shared" si="209"/>
        <v>555.53047851645158</v>
      </c>
      <c r="T738" s="101">
        <f t="shared" si="225"/>
        <v>214.46965792102679</v>
      </c>
      <c r="U738" s="101">
        <f t="shared" si="225"/>
        <v>39.13362657451313</v>
      </c>
      <c r="V738" s="33">
        <f t="shared" si="226"/>
        <v>1000.0000000000045</v>
      </c>
      <c r="W738" s="105">
        <f t="shared" si="222"/>
        <v>62772.672198798391</v>
      </c>
      <c r="X738" s="112">
        <f t="shared" si="227"/>
        <v>746.39671550446474</v>
      </c>
      <c r="Y738" s="32">
        <f t="shared" si="223"/>
        <v>398.05725368561974</v>
      </c>
    </row>
    <row r="739" spans="1:25" x14ac:dyDescent="0.25">
      <c r="A739" s="4">
        <v>733</v>
      </c>
      <c r="C739" s="110">
        <f>IF(male=0,VLOOKUP(((A737:A1571/'Life tables'!$I$2)*2)+age,lifetable,13,1),IF(male=1,VLOOKUP(((A737:A1571/'Life tables'!$I$2)*2)+age,lifetable,10,1),"error"))</f>
        <v>7.7299415014675521E-4</v>
      </c>
      <c r="F739" s="101">
        <f t="shared" si="210"/>
        <v>128.47872926205329</v>
      </c>
      <c r="G739" s="101">
        <f t="shared" si="211"/>
        <v>12.90595724553895</v>
      </c>
      <c r="H739" s="101">
        <f t="shared" si="212"/>
        <v>0.29533697594182523</v>
      </c>
      <c r="I739" s="101">
        <f t="shared" si="213"/>
        <v>0.29533697594182523</v>
      </c>
      <c r="J739" s="101">
        <f t="shared" si="214"/>
        <v>0.1097461231001518</v>
      </c>
      <c r="K739" s="101">
        <f t="shared" si="215"/>
        <v>2.3151205745445817E-2</v>
      </c>
      <c r="L739" s="101">
        <f t="shared" si="224"/>
        <v>114.84920073578509</v>
      </c>
      <c r="M739" s="101">
        <f t="shared" si="216"/>
        <v>617.91798624241153</v>
      </c>
      <c r="N739" s="101">
        <f t="shared" si="217"/>
        <v>59.506840873238502</v>
      </c>
      <c r="O739" s="101">
        <f t="shared" si="218"/>
        <v>1.4204221234525904</v>
      </c>
      <c r="P739" s="101">
        <f t="shared" si="219"/>
        <v>1.4204221234525904</v>
      </c>
      <c r="Q739" s="101">
        <f t="shared" si="220"/>
        <v>0.52584138450891027</v>
      </c>
      <c r="R739" s="101">
        <f t="shared" si="221"/>
        <v>1.6549135494919903E-2</v>
      </c>
      <c r="S739" s="101">
        <f t="shared" si="209"/>
        <v>555.027910602264</v>
      </c>
      <c r="T739" s="101">
        <f t="shared" si="225"/>
        <v>215.10524542863587</v>
      </c>
      <c r="U739" s="101">
        <f t="shared" si="225"/>
        <v>39.173326915753499</v>
      </c>
      <c r="V739" s="33">
        <f t="shared" si="226"/>
        <v>1000.0000000000047</v>
      </c>
      <c r="W739" s="105">
        <f t="shared" si="222"/>
        <v>62643.798116628081</v>
      </c>
      <c r="X739" s="112">
        <f t="shared" si="227"/>
        <v>745.72142765561534</v>
      </c>
      <c r="Y739" s="32">
        <f t="shared" si="223"/>
        <v>397.58274614957247</v>
      </c>
    </row>
    <row r="740" spans="1:25" x14ac:dyDescent="0.25">
      <c r="A740" s="4">
        <v>734</v>
      </c>
      <c r="C740" s="110">
        <f>IF(male=0,VLOOKUP(((A738:A1572/'Life tables'!$I$2)*2)+age,lifetable,13,1),IF(male=1,VLOOKUP(((A738:A1572/'Life tables'!$I$2)*2)+age,lifetable,10,1),"error"))</f>
        <v>7.7299415014675521E-4</v>
      </c>
      <c r="F740" s="101">
        <f t="shared" si="210"/>
        <v>128.36245028471183</v>
      </c>
      <c r="G740" s="101">
        <f t="shared" si="211"/>
        <v>12.894276778906507</v>
      </c>
      <c r="H740" s="101">
        <f t="shared" si="212"/>
        <v>0.29506968281298684</v>
      </c>
      <c r="I740" s="101">
        <f t="shared" si="213"/>
        <v>0.29506968281298684</v>
      </c>
      <c r="J740" s="101">
        <f t="shared" si="214"/>
        <v>0.10964679796645399</v>
      </c>
      <c r="K740" s="101">
        <f t="shared" si="215"/>
        <v>2.313025287220552E-2</v>
      </c>
      <c r="L740" s="101">
        <f t="shared" si="224"/>
        <v>114.74525708934068</v>
      </c>
      <c r="M740" s="101">
        <f t="shared" si="216"/>
        <v>617.35897737090352</v>
      </c>
      <c r="N740" s="101">
        <f t="shared" si="217"/>
        <v>59.453007107748292</v>
      </c>
      <c r="O740" s="101">
        <f t="shared" si="218"/>
        <v>1.4191371170504872</v>
      </c>
      <c r="P740" s="101">
        <f t="shared" si="219"/>
        <v>1.4191371170504872</v>
      </c>
      <c r="Q740" s="101">
        <f t="shared" si="220"/>
        <v>0.52536567413068669</v>
      </c>
      <c r="R740" s="101">
        <f t="shared" si="221"/>
        <v>1.6534164068673349E-2</v>
      </c>
      <c r="S740" s="101">
        <f t="shared" si="209"/>
        <v>554.52579619085486</v>
      </c>
      <c r="T740" s="101">
        <f t="shared" si="225"/>
        <v>215.74025790073301</v>
      </c>
      <c r="U740" s="101">
        <f t="shared" si="225"/>
        <v>39.212991332694379</v>
      </c>
      <c r="V740" s="33">
        <f t="shared" si="226"/>
        <v>1000.0000000000048</v>
      </c>
      <c r="W740" s="105">
        <f t="shared" si="222"/>
        <v>62515.188571459708</v>
      </c>
      <c r="X740" s="112">
        <f t="shared" si="227"/>
        <v>745.04675076657736</v>
      </c>
      <c r="Y740" s="32">
        <f t="shared" si="223"/>
        <v>397.1088042572182</v>
      </c>
    </row>
    <row r="741" spans="1:25" x14ac:dyDescent="0.25">
      <c r="A741" s="4">
        <v>735</v>
      </c>
      <c r="C741" s="110">
        <f>IF(male=0,VLOOKUP(((A739:A1573/'Life tables'!$I$2)*2)+age,lifetable,13,1),IF(male=1,VLOOKUP(((A739:A1573/'Life tables'!$I$2)*2)+age,lifetable,10,1),"error"))</f>
        <v>7.7299415014675521E-4</v>
      </c>
      <c r="F741" s="101">
        <f t="shared" si="210"/>
        <v>128.24627779293007</v>
      </c>
      <c r="G741" s="101">
        <f t="shared" si="211"/>
        <v>12.8826070089714</v>
      </c>
      <c r="H741" s="101">
        <f t="shared" si="212"/>
        <v>0.29480263446492549</v>
      </c>
      <c r="I741" s="101">
        <f t="shared" si="213"/>
        <v>0.29480263446492549</v>
      </c>
      <c r="J741" s="101">
        <f t="shared" si="214"/>
        <v>0.10954756379238363</v>
      </c>
      <c r="K741" s="101">
        <f t="shared" si="215"/>
        <v>2.3109319187115011E-2</v>
      </c>
      <c r="L741" s="101">
        <f t="shared" si="224"/>
        <v>114.64140863204932</v>
      </c>
      <c r="M741" s="101">
        <f t="shared" si="216"/>
        <v>616.80047297364717</v>
      </c>
      <c r="N741" s="101">
        <f t="shared" si="217"/>
        <v>59.399221924221528</v>
      </c>
      <c r="O741" s="101">
        <f t="shared" si="218"/>
        <v>1.4178532702948154</v>
      </c>
      <c r="P741" s="101">
        <f t="shared" si="219"/>
        <v>1.4178532702948154</v>
      </c>
      <c r="Q741" s="101">
        <f t="shared" si="220"/>
        <v>0.52489039305448193</v>
      </c>
      <c r="R741" s="101">
        <f t="shared" si="221"/>
        <v>1.6519206153301907E-2</v>
      </c>
      <c r="S741" s="101">
        <f t="shared" si="209"/>
        <v>554.02413490962817</v>
      </c>
      <c r="T741" s="101">
        <f t="shared" si="225"/>
        <v>216.37469585757987</v>
      </c>
      <c r="U741" s="101">
        <f t="shared" si="225"/>
        <v>39.252619858034798</v>
      </c>
      <c r="V741" s="33">
        <f t="shared" si="226"/>
        <v>1000.0000000000047</v>
      </c>
      <c r="W741" s="105">
        <f t="shared" si="222"/>
        <v>62386.84302177011</v>
      </c>
      <c r="X741" s="112">
        <f t="shared" si="227"/>
        <v>744.37268428438995</v>
      </c>
      <c r="Y741" s="32">
        <f t="shared" si="223"/>
        <v>396.63542733417836</v>
      </c>
    </row>
    <row r="742" spans="1:25" x14ac:dyDescent="0.25">
      <c r="A742" s="4">
        <v>736</v>
      </c>
      <c r="C742" s="110">
        <f>IF(male=0,VLOOKUP(((A740:A1574/'Life tables'!$I$2)*2)+age,lifetable,13,1),IF(male=1,VLOOKUP(((A740:A1574/'Life tables'!$I$2)*2)+age,lifetable,10,1),"error"))</f>
        <v>7.7299415014675521E-4</v>
      </c>
      <c r="F742" s="101">
        <f t="shared" si="210"/>
        <v>128.13021164952164</v>
      </c>
      <c r="G742" s="101">
        <f t="shared" si="211"/>
        <v>12.870947921952968</v>
      </c>
      <c r="H742" s="101">
        <f t="shared" si="212"/>
        <v>0.29453583058228777</v>
      </c>
      <c r="I742" s="101">
        <f t="shared" si="213"/>
        <v>0.29453583058228777</v>
      </c>
      <c r="J742" s="101">
        <f t="shared" si="214"/>
        <v>0.10944842046075649</v>
      </c>
      <c r="K742" s="101">
        <f t="shared" si="215"/>
        <v>2.3088404665454011E-2</v>
      </c>
      <c r="L742" s="101">
        <f t="shared" si="224"/>
        <v>114.53765524127789</v>
      </c>
      <c r="M742" s="101">
        <f t="shared" si="216"/>
        <v>616.24247263486825</v>
      </c>
      <c r="N742" s="101">
        <f t="shared" si="217"/>
        <v>59.345485282618249</v>
      </c>
      <c r="O742" s="101">
        <f t="shared" si="218"/>
        <v>1.4165705822298258</v>
      </c>
      <c r="P742" s="101">
        <f t="shared" si="219"/>
        <v>1.4165705822298258</v>
      </c>
      <c r="Q742" s="101">
        <f t="shared" si="220"/>
        <v>0.52441554092647669</v>
      </c>
      <c r="R742" s="101">
        <f t="shared" si="221"/>
        <v>1.6504261737670285E-2</v>
      </c>
      <c r="S742" s="101">
        <f t="shared" si="209"/>
        <v>553.5229263851262</v>
      </c>
      <c r="T742" s="101">
        <f t="shared" si="225"/>
        <v>217.00855981896709</v>
      </c>
      <c r="U742" s="101">
        <f t="shared" si="225"/>
        <v>39.292212524437922</v>
      </c>
      <c r="V742" s="33">
        <f t="shared" si="226"/>
        <v>1000.0000000000045</v>
      </c>
      <c r="W742" s="105">
        <f t="shared" si="222"/>
        <v>62258.760927095915</v>
      </c>
      <c r="X742" s="112">
        <f t="shared" si="227"/>
        <v>743.69922765659953</v>
      </c>
      <c r="Y742" s="32">
        <f t="shared" si="223"/>
        <v>396.16261470688187</v>
      </c>
    </row>
    <row r="743" spans="1:25" x14ac:dyDescent="0.25">
      <c r="A743" s="4">
        <v>737</v>
      </c>
      <c r="C743" s="110">
        <f>IF(male=0,VLOOKUP(((A741:A1575/'Life tables'!$I$2)*2)+age,lifetable,13,1),IF(male=1,VLOOKUP(((A741:A1575/'Life tables'!$I$2)*2)+age,lifetable,10,1),"error"))</f>
        <v>7.7299415014675521E-4</v>
      </c>
      <c r="F743" s="101">
        <f t="shared" si="210"/>
        <v>128.01425171872316</v>
      </c>
      <c r="G743" s="101">
        <f t="shared" si="211"/>
        <v>12.859299504213498</v>
      </c>
      <c r="H743" s="101">
        <f t="shared" si="212"/>
        <v>0.29426927085299132</v>
      </c>
      <c r="I743" s="101">
        <f t="shared" si="213"/>
        <v>0.29426927085299132</v>
      </c>
      <c r="J743" s="101">
        <f t="shared" si="214"/>
        <v>0.10934936785560394</v>
      </c>
      <c r="K743" s="101">
        <f t="shared" si="215"/>
        <v>2.306750928275866E-2</v>
      </c>
      <c r="L743" s="101">
        <f t="shared" si="224"/>
        <v>114.43399679566531</v>
      </c>
      <c r="M743" s="101">
        <f t="shared" si="216"/>
        <v>615.6849759378764</v>
      </c>
      <c r="N743" s="101">
        <f t="shared" si="217"/>
        <v>59.29179714281026</v>
      </c>
      <c r="O743" s="101">
        <f t="shared" si="218"/>
        <v>1.4152890518976624</v>
      </c>
      <c r="P743" s="101">
        <f t="shared" si="219"/>
        <v>1.4152890518976624</v>
      </c>
      <c r="Q743" s="101">
        <f t="shared" si="220"/>
        <v>0.52394111739207194</v>
      </c>
      <c r="R743" s="101">
        <f t="shared" si="221"/>
        <v>1.6489330810618635E-2</v>
      </c>
      <c r="S743" s="101">
        <f t="shared" si="209"/>
        <v>553.0221702430681</v>
      </c>
      <c r="T743" s="101">
        <f t="shared" si="225"/>
        <v>217.64185030421476</v>
      </c>
      <c r="U743" s="101">
        <f t="shared" si="225"/>
        <v>39.331769364531297</v>
      </c>
      <c r="V743" s="33">
        <f t="shared" si="226"/>
        <v>1000.0000000000045</v>
      </c>
      <c r="W743" s="105">
        <f t="shared" si="222"/>
        <v>62130.941748032667</v>
      </c>
      <c r="X743" s="112">
        <f t="shared" si="227"/>
        <v>743.02638033125845</v>
      </c>
      <c r="Y743" s="32">
        <f t="shared" si="223"/>
        <v>395.69036570256316</v>
      </c>
    </row>
    <row r="744" spans="1:25" x14ac:dyDescent="0.25">
      <c r="A744" s="4">
        <v>738</v>
      </c>
      <c r="C744" s="110">
        <f>IF(male=0,VLOOKUP(((A742:A1576/'Life tables'!$I$2)*2)+age,lifetable,13,1),IF(male=1,VLOOKUP(((A742:A1576/'Life tables'!$I$2)*2)+age,lifetable,10,1),"error"))</f>
        <v>7.7299415014675521E-4</v>
      </c>
      <c r="F744" s="101">
        <f t="shared" si="210"/>
        <v>127.89839786615167</v>
      </c>
      <c r="G744" s="101">
        <f t="shared" si="211"/>
        <v>12.847661742253937</v>
      </c>
      <c r="H744" s="101">
        <f t="shared" si="212"/>
        <v>0.29400295496812695</v>
      </c>
      <c r="I744" s="101">
        <f t="shared" si="213"/>
        <v>0.29400295496812695</v>
      </c>
      <c r="J744" s="101">
        <f t="shared" si="214"/>
        <v>0.1092504058621365</v>
      </c>
      <c r="K744" s="101">
        <f t="shared" si="215"/>
        <v>2.3046633014813835E-2</v>
      </c>
      <c r="L744" s="101">
        <f t="shared" si="224"/>
        <v>114.33043317508452</v>
      </c>
      <c r="M744" s="101">
        <f t="shared" si="216"/>
        <v>615.12798246510681</v>
      </c>
      <c r="N744" s="101">
        <f t="shared" si="217"/>
        <v>59.238157464585179</v>
      </c>
      <c r="O744" s="101">
        <f t="shared" si="218"/>
        <v>1.4140086783384596</v>
      </c>
      <c r="P744" s="101">
        <f t="shared" si="219"/>
        <v>1.4140086783384596</v>
      </c>
      <c r="Q744" s="101">
        <f t="shared" si="220"/>
        <v>0.52346712209592494</v>
      </c>
      <c r="R744" s="101">
        <f t="shared" si="221"/>
        <v>1.6474413360963697E-2</v>
      </c>
      <c r="S744" s="101">
        <f t="shared" si="209"/>
        <v>552.52186610838783</v>
      </c>
      <c r="T744" s="101">
        <f t="shared" si="225"/>
        <v>218.27456783217281</v>
      </c>
      <c r="U744" s="101">
        <f t="shared" si="225"/>
        <v>39.371290410907072</v>
      </c>
      <c r="V744" s="33">
        <f t="shared" si="226"/>
        <v>1000.0000000000044</v>
      </c>
      <c r="W744" s="105">
        <f t="shared" si="222"/>
        <v>62003.384946234779</v>
      </c>
      <c r="X744" s="112">
        <f t="shared" si="227"/>
        <v>742.35414175692461</v>
      </c>
      <c r="Y744" s="32">
        <f t="shared" si="223"/>
        <v>395.2186796492619</v>
      </c>
    </row>
    <row r="745" spans="1:25" x14ac:dyDescent="0.25">
      <c r="A745" s="4">
        <v>739</v>
      </c>
      <c r="C745" s="110">
        <f>IF(male=0,VLOOKUP(((A743:A1577/'Life tables'!$I$2)*2)+age,lifetable,13,1),IF(male=1,VLOOKUP(((A743:A1577/'Life tables'!$I$2)*2)+age,lifetable,10,1),"error"))</f>
        <v>7.7299415014675521E-4</v>
      </c>
      <c r="F745" s="101">
        <f t="shared" si="210"/>
        <v>127.78264995876339</v>
      </c>
      <c r="G745" s="101">
        <f t="shared" si="211"/>
        <v>12.836034622709761</v>
      </c>
      <c r="H745" s="101">
        <f t="shared" si="212"/>
        <v>0.29373688262186393</v>
      </c>
      <c r="I745" s="101">
        <f t="shared" si="213"/>
        <v>0.29373688262186393</v>
      </c>
      <c r="J745" s="101">
        <f t="shared" si="214"/>
        <v>0.10915153436670856</v>
      </c>
      <c r="K745" s="101">
        <f t="shared" si="215"/>
        <v>2.3025775837645736E-2</v>
      </c>
      <c r="L745" s="101">
        <f t="shared" si="224"/>
        <v>114.22696426060554</v>
      </c>
      <c r="M745" s="101">
        <f t="shared" si="216"/>
        <v>614.57149179816111</v>
      </c>
      <c r="N745" s="101">
        <f t="shared" si="217"/>
        <v>59.184566207650334</v>
      </c>
      <c r="O745" s="101">
        <f t="shared" si="218"/>
        <v>1.4127294605904355</v>
      </c>
      <c r="P745" s="101">
        <f t="shared" si="219"/>
        <v>1.4127294605904355</v>
      </c>
      <c r="Q745" s="101">
        <f t="shared" si="220"/>
        <v>0.52299355468198283</v>
      </c>
      <c r="R745" s="101">
        <f t="shared" si="221"/>
        <v>1.6459509377499893E-2</v>
      </c>
      <c r="S745" s="101">
        <f t="shared" si="209"/>
        <v>552.02201360527044</v>
      </c>
      <c r="T745" s="101">
        <f t="shared" si="225"/>
        <v>218.9067129212215</v>
      </c>
      <c r="U745" s="101">
        <f t="shared" si="225"/>
        <v>39.410775696122215</v>
      </c>
      <c r="V745" s="33">
        <f t="shared" si="226"/>
        <v>1000.0000000000043</v>
      </c>
      <c r="W745" s="105">
        <f t="shared" si="222"/>
        <v>61876.08998441451</v>
      </c>
      <c r="X745" s="112">
        <f t="shared" si="227"/>
        <v>741.68251138266066</v>
      </c>
      <c r="Y745" s="32">
        <f t="shared" si="223"/>
        <v>394.74755587582115</v>
      </c>
    </row>
    <row r="746" spans="1:25" x14ac:dyDescent="0.25">
      <c r="A746" s="4">
        <v>740</v>
      </c>
      <c r="C746" s="110">
        <f>IF(male=0,VLOOKUP(((A744:A1578/'Life tables'!$I$2)*2)+age,lifetable,13,1),IF(male=1,VLOOKUP(((A744:A1578/'Life tables'!$I$2)*2)+age,lifetable,10,1),"error"))</f>
        <v>7.7299415014675521E-4</v>
      </c>
      <c r="F746" s="101">
        <f t="shared" si="210"/>
        <v>127.66700786481378</v>
      </c>
      <c r="G746" s="101">
        <f t="shared" si="211"/>
        <v>12.824418132346954</v>
      </c>
      <c r="H746" s="101">
        <f t="shared" si="212"/>
        <v>0.29347105351135805</v>
      </c>
      <c r="I746" s="101">
        <f t="shared" si="213"/>
        <v>0.29347105351135805</v>
      </c>
      <c r="J746" s="101">
        <f t="shared" si="214"/>
        <v>0.10905275325678439</v>
      </c>
      <c r="K746" s="101">
        <f t="shared" si="215"/>
        <v>2.3004937727514673E-2</v>
      </c>
      <c r="L746" s="101">
        <f t="shared" si="224"/>
        <v>114.12358993445982</v>
      </c>
      <c r="M746" s="101">
        <f t="shared" si="216"/>
        <v>614.01550351784681</v>
      </c>
      <c r="N746" s="101">
        <f t="shared" si="217"/>
        <v>59.131023331636577</v>
      </c>
      <c r="O746" s="101">
        <f t="shared" si="218"/>
        <v>1.411451397689983</v>
      </c>
      <c r="P746" s="101">
        <f t="shared" si="219"/>
        <v>1.411451397689983</v>
      </c>
      <c r="Q746" s="101">
        <f t="shared" si="220"/>
        <v>0.52252041479351785</v>
      </c>
      <c r="R746" s="101">
        <f t="shared" si="221"/>
        <v>1.6444618849000375E-2</v>
      </c>
      <c r="S746" s="101">
        <f t="shared" si="209"/>
        <v>551.52261235718777</v>
      </c>
      <c r="T746" s="101">
        <f t="shared" si="225"/>
        <v>219.53828608927179</v>
      </c>
      <c r="U746" s="101">
        <f t="shared" si="225"/>
        <v>39.450225252698729</v>
      </c>
      <c r="V746" s="33">
        <f t="shared" si="226"/>
        <v>1000.0000000000043</v>
      </c>
      <c r="W746" s="105">
        <f t="shared" si="222"/>
        <v>61749.056326341793</v>
      </c>
      <c r="X746" s="112">
        <f t="shared" si="227"/>
        <v>741.01148865803373</v>
      </c>
      <c r="Y746" s="32">
        <f t="shared" si="223"/>
        <v>394.27699371188743</v>
      </c>
    </row>
    <row r="747" spans="1:25" x14ac:dyDescent="0.25">
      <c r="A747" s="4">
        <v>741</v>
      </c>
      <c r="C747" s="110">
        <f>IF(male=0,VLOOKUP(((A745:A1579/'Life tables'!$I$2)*2)+age,lifetable,13,1),IF(male=1,VLOOKUP(((A745:A1579/'Life tables'!$I$2)*2)+age,lifetable,10,1),"error"))</f>
        <v>7.7299415014675521E-4</v>
      </c>
      <c r="F747" s="101">
        <f t="shared" si="210"/>
        <v>127.55147145381891</v>
      </c>
      <c r="G747" s="101">
        <f t="shared" si="211"/>
        <v>12.812812258058132</v>
      </c>
      <c r="H747" s="101">
        <f t="shared" si="212"/>
        <v>0.29320546733666292</v>
      </c>
      <c r="I747" s="101">
        <f t="shared" si="213"/>
        <v>0.29320546733666292</v>
      </c>
      <c r="J747" s="101">
        <f t="shared" si="214"/>
        <v>0.10895406242090498</v>
      </c>
      <c r="K747" s="101">
        <f t="shared" si="215"/>
        <v>2.2984118660908114E-2</v>
      </c>
      <c r="L747" s="101">
        <f t="shared" si="224"/>
        <v>114.02031008000563</v>
      </c>
      <c r="M747" s="101">
        <f t="shared" si="216"/>
        <v>613.46001720421498</v>
      </c>
      <c r="N747" s="101">
        <f t="shared" si="217"/>
        <v>59.077528796101916</v>
      </c>
      <c r="O747" s="101">
        <f t="shared" si="218"/>
        <v>1.4101744886717558</v>
      </c>
      <c r="P747" s="101">
        <f t="shared" si="219"/>
        <v>1.4101744886717558</v>
      </c>
      <c r="Q747" s="101">
        <f t="shared" si="220"/>
        <v>0.5220477020731582</v>
      </c>
      <c r="R747" s="101">
        <f t="shared" si="221"/>
        <v>1.6429741764218027E-2</v>
      </c>
      <c r="S747" s="101">
        <f t="shared" si="209"/>
        <v>551.02366198693221</v>
      </c>
      <c r="T747" s="101">
        <f t="shared" si="225"/>
        <v>220.16928785376587</v>
      </c>
      <c r="U747" s="101">
        <f t="shared" si="225"/>
        <v>39.489639113123857</v>
      </c>
      <c r="V747" s="33">
        <f t="shared" si="226"/>
        <v>1000.0000000000044</v>
      </c>
      <c r="W747" s="105">
        <f t="shared" si="222"/>
        <v>61622.28343684315</v>
      </c>
      <c r="X747" s="112">
        <f t="shared" si="227"/>
        <v>740.34107303311475</v>
      </c>
      <c r="Y747" s="32">
        <f t="shared" si="223"/>
        <v>393.8069924879087</v>
      </c>
    </row>
    <row r="748" spans="1:25" x14ac:dyDescent="0.25">
      <c r="A748" s="4">
        <v>742</v>
      </c>
      <c r="C748" s="110">
        <f>IF(male=0,VLOOKUP(((A746:A1580/'Life tables'!$I$2)*2)+age,lifetable,13,1),IF(male=1,VLOOKUP(((A746:A1580/'Life tables'!$I$2)*2)+age,lifetable,10,1),"error"))</f>
        <v>7.7299415014675521E-4</v>
      </c>
      <c r="F748" s="101">
        <f t="shared" si="210"/>
        <v>127.43604059651791</v>
      </c>
      <c r="G748" s="101">
        <f t="shared" si="211"/>
        <v>12.801216986858774</v>
      </c>
      <c r="H748" s="101">
        <f t="shared" si="212"/>
        <v>0.29294012380064371</v>
      </c>
      <c r="I748" s="101">
        <f t="shared" si="213"/>
        <v>0.29294012380064371</v>
      </c>
      <c r="J748" s="101">
        <f t="shared" si="214"/>
        <v>0.10885546174865619</v>
      </c>
      <c r="K748" s="101">
        <f t="shared" si="215"/>
        <v>2.2963318614533917E-2</v>
      </c>
      <c r="L748" s="101">
        <f t="shared" si="224"/>
        <v>113.91712458169467</v>
      </c>
      <c r="M748" s="101">
        <f t="shared" si="216"/>
        <v>612.90503243659668</v>
      </c>
      <c r="N748" s="101">
        <f t="shared" si="217"/>
        <v>59.024082560535021</v>
      </c>
      <c r="O748" s="101">
        <f t="shared" si="218"/>
        <v>1.4088987325687525</v>
      </c>
      <c r="P748" s="101">
        <f t="shared" si="219"/>
        <v>1.4088987325687525</v>
      </c>
      <c r="Q748" s="101">
        <f t="shared" si="220"/>
        <v>0.52157541616291869</v>
      </c>
      <c r="R748" s="101">
        <f t="shared" si="221"/>
        <v>1.6414878111886456E-2</v>
      </c>
      <c r="S748" s="101">
        <f t="shared" si="209"/>
        <v>550.52516211664931</v>
      </c>
      <c r="T748" s="101">
        <f t="shared" si="225"/>
        <v>220.79971873167744</v>
      </c>
      <c r="U748" s="101">
        <f t="shared" si="225"/>
        <v>39.529017309850275</v>
      </c>
      <c r="V748" s="33">
        <f t="shared" si="226"/>
        <v>1000.0000000000043</v>
      </c>
      <c r="W748" s="105">
        <f t="shared" si="222"/>
        <v>61495.770781801264</v>
      </c>
      <c r="X748" s="112">
        <f t="shared" si="227"/>
        <v>739.67126395847663</v>
      </c>
      <c r="Y748" s="32">
        <f t="shared" si="223"/>
        <v>393.33755153513351</v>
      </c>
    </row>
    <row r="749" spans="1:25" x14ac:dyDescent="0.25">
      <c r="A749" s="4">
        <v>743</v>
      </c>
      <c r="C749" s="110">
        <f>IF(male=0,VLOOKUP(((A747:A1581/'Life tables'!$I$2)*2)+age,lifetable,13,1),IF(male=1,VLOOKUP(((A747:A1581/'Life tables'!$I$2)*2)+age,lifetable,10,1),"error"))</f>
        <v>7.7299415014675521E-4</v>
      </c>
      <c r="F749" s="101">
        <f t="shared" si="210"/>
        <v>127.32071516483693</v>
      </c>
      <c r="G749" s="101">
        <f t="shared" si="211"/>
        <v>12.789632305883588</v>
      </c>
      <c r="H749" s="101">
        <f t="shared" si="212"/>
        <v>0.29267502260889405</v>
      </c>
      <c r="I749" s="101">
        <f t="shared" si="213"/>
        <v>0.29267502260889405</v>
      </c>
      <c r="J749" s="101">
        <f t="shared" si="214"/>
        <v>0.10875695113063766</v>
      </c>
      <c r="K749" s="101">
        <f t="shared" si="215"/>
        <v>2.2942537565313829E-2</v>
      </c>
      <c r="L749" s="101">
        <f t="shared" si="224"/>
        <v>113.8140333250396</v>
      </c>
      <c r="M749" s="101">
        <f t="shared" si="216"/>
        <v>612.35054879363963</v>
      </c>
      <c r="N749" s="101">
        <f t="shared" si="217"/>
        <v>58.970684584358757</v>
      </c>
      <c r="O749" s="101">
        <f t="shared" si="218"/>
        <v>1.4076241284124011</v>
      </c>
      <c r="P749" s="101">
        <f t="shared" si="219"/>
        <v>1.4076241284124011</v>
      </c>
      <c r="Q749" s="101">
        <f t="shared" si="220"/>
        <v>0.52110355670423381</v>
      </c>
      <c r="R749" s="101">
        <f t="shared" si="221"/>
        <v>1.6400027880720966E-2</v>
      </c>
      <c r="S749" s="101">
        <f t="shared" si="209"/>
        <v>550.02711236787115</v>
      </c>
      <c r="T749" s="101">
        <f t="shared" si="225"/>
        <v>221.42957923951232</v>
      </c>
      <c r="U749" s="101">
        <f t="shared" si="225"/>
        <v>39.568359875296309</v>
      </c>
      <c r="V749" s="33">
        <f t="shared" si="226"/>
        <v>1000.0000000000044</v>
      </c>
      <c r="W749" s="105">
        <f t="shared" si="222"/>
        <v>61369.517828154021</v>
      </c>
      <c r="X749" s="112">
        <f t="shared" si="227"/>
        <v>739.00206088519576</v>
      </c>
      <c r="Y749" s="32">
        <f t="shared" si="223"/>
        <v>392.8686701856106</v>
      </c>
    </row>
    <row r="750" spans="1:25" x14ac:dyDescent="0.25">
      <c r="A750" s="4">
        <v>744</v>
      </c>
      <c r="C750" s="110">
        <f>IF(male=0,VLOOKUP(((A748:A1582/'Life tables'!$I$2)*2)+age,lifetable,13,1),IF(male=1,VLOOKUP(((A748:A1582/'Life tables'!$I$2)*2)+age,lifetable,10,1),"error"))</f>
        <v>7.7299415014675521E-4</v>
      </c>
      <c r="F750" s="101">
        <f t="shared" si="210"/>
        <v>127.20549503185377</v>
      </c>
      <c r="G750" s="101">
        <f t="shared" si="211"/>
        <v>12.778058202382978</v>
      </c>
      <c r="H750" s="101">
        <f t="shared" si="212"/>
        <v>0.29241016346965515</v>
      </c>
      <c r="I750" s="101">
        <f t="shared" si="213"/>
        <v>0.29241016346965515</v>
      </c>
      <c r="J750" s="101">
        <f t="shared" si="214"/>
        <v>0.10865853045843291</v>
      </c>
      <c r="K750" s="101">
        <f t="shared" si="215"/>
        <v>2.2921775490377133E-2</v>
      </c>
      <c r="L750" s="101">
        <f t="shared" si="224"/>
        <v>113.71103619658267</v>
      </c>
      <c r="M750" s="101">
        <f t="shared" si="216"/>
        <v>611.79656585334192</v>
      </c>
      <c r="N750" s="101">
        <f t="shared" si="217"/>
        <v>58.91733482693342</v>
      </c>
      <c r="O750" s="101">
        <f t="shared" si="218"/>
        <v>1.4063506752326365</v>
      </c>
      <c r="P750" s="101">
        <f t="shared" si="219"/>
        <v>1.4063506752326365</v>
      </c>
      <c r="Q750" s="101">
        <f t="shared" si="220"/>
        <v>0.52063212333798403</v>
      </c>
      <c r="R750" s="101">
        <f t="shared" si="221"/>
        <v>1.6385191059419466E-2</v>
      </c>
      <c r="S750" s="101">
        <f t="shared" si="209"/>
        <v>549.52951236154581</v>
      </c>
      <c r="T750" s="101">
        <f t="shared" si="225"/>
        <v>222.05886989330872</v>
      </c>
      <c r="U750" s="101">
        <f t="shared" si="225"/>
        <v>39.607666841846104</v>
      </c>
      <c r="V750" s="33">
        <f t="shared" si="226"/>
        <v>1000.0000000000043</v>
      </c>
      <c r="W750" s="105">
        <f t="shared" si="222"/>
        <v>61243.524043893958</v>
      </c>
      <c r="X750" s="112">
        <f t="shared" si="227"/>
        <v>738.33346326484946</v>
      </c>
      <c r="Y750" s="32">
        <f t="shared" si="223"/>
        <v>392.40034777218659</v>
      </c>
    </row>
    <row r="751" spans="1:25" x14ac:dyDescent="0.25">
      <c r="A751" s="4">
        <v>745</v>
      </c>
      <c r="C751" s="110">
        <f>IF(male=0,VLOOKUP(((A749:A1583/'Life tables'!$I$2)*2)+age,lifetable,13,1),IF(male=1,VLOOKUP(((A749:A1583/'Life tables'!$I$2)*2)+age,lifetable,10,1),"error"))</f>
        <v>7.7299415014675521E-4</v>
      </c>
      <c r="F751" s="101">
        <f t="shared" si="210"/>
        <v>127.09038007176416</v>
      </c>
      <c r="G751" s="101">
        <f t="shared" si="211"/>
        <v>12.766494663719639</v>
      </c>
      <c r="H751" s="101">
        <f t="shared" si="212"/>
        <v>0.29214554609373772</v>
      </c>
      <c r="I751" s="101">
        <f t="shared" si="213"/>
        <v>0.29214554609373772</v>
      </c>
      <c r="J751" s="101">
        <f t="shared" si="214"/>
        <v>0.10856019962458027</v>
      </c>
      <c r="K751" s="101">
        <f t="shared" si="215"/>
        <v>2.2901032367054538E-2</v>
      </c>
      <c r="L751" s="101">
        <f t="shared" si="224"/>
        <v>113.60813308386541</v>
      </c>
      <c r="M751" s="101">
        <f t="shared" si="216"/>
        <v>611.24308319308511</v>
      </c>
      <c r="N751" s="101">
        <f t="shared" si="217"/>
        <v>58.864033247559945</v>
      </c>
      <c r="O751" s="101">
        <f t="shared" si="218"/>
        <v>1.4050783720579758</v>
      </c>
      <c r="P751" s="101">
        <f t="shared" si="219"/>
        <v>1.4050783720579758</v>
      </c>
      <c r="Q751" s="101">
        <f t="shared" si="220"/>
        <v>0.52016111570452617</v>
      </c>
      <c r="R751" s="101">
        <f t="shared" si="221"/>
        <v>1.6370367636663351E-2</v>
      </c>
      <c r="S751" s="101">
        <f t="shared" si="209"/>
        <v>549.03236171806805</v>
      </c>
      <c r="T751" s="101">
        <f t="shared" si="225"/>
        <v>222.68759120863783</v>
      </c>
      <c r="U751" s="101">
        <f t="shared" si="225"/>
        <v>39.646938241849824</v>
      </c>
      <c r="V751" s="33">
        <f t="shared" si="226"/>
        <v>1000.0000000000041</v>
      </c>
      <c r="W751" s="105">
        <f t="shared" si="222"/>
        <v>61117.788898067076</v>
      </c>
      <c r="X751" s="112">
        <f t="shared" si="227"/>
        <v>737.66547054951639</v>
      </c>
      <c r="Y751" s="32">
        <f t="shared" si="223"/>
        <v>391.93258362850662</v>
      </c>
    </row>
    <row r="752" spans="1:25" x14ac:dyDescent="0.25">
      <c r="A752" s="4">
        <v>746</v>
      </c>
      <c r="C752" s="110">
        <f>IF(male=0,VLOOKUP(((A750:A1584/'Life tables'!$I$2)*2)+age,lifetable,13,1),IF(male=1,VLOOKUP(((A750:A1584/'Life tables'!$I$2)*2)+age,lifetable,10,1),"error"))</f>
        <v>7.7299415014675521E-4</v>
      </c>
      <c r="F752" s="101">
        <f t="shared" si="210"/>
        <v>126.97537015984868</v>
      </c>
      <c r="G752" s="101">
        <f t="shared" si="211"/>
        <v>12.754941677365245</v>
      </c>
      <c r="H752" s="101">
        <f t="shared" si="212"/>
        <v>0.29188117019444643</v>
      </c>
      <c r="I752" s="101">
        <f t="shared" si="213"/>
        <v>0.29188117019444643</v>
      </c>
      <c r="J752" s="101">
        <f t="shared" si="214"/>
        <v>0.10846195852254487</v>
      </c>
      <c r="K752" s="101">
        <f t="shared" si="215"/>
        <v>2.2880308172872243E-2</v>
      </c>
      <c r="L752" s="101">
        <f t="shared" si="224"/>
        <v>113.50532387539913</v>
      </c>
      <c r="M752" s="101">
        <f t="shared" si="216"/>
        <v>610.69010038966792</v>
      </c>
      <c r="N752" s="101">
        <f t="shared" si="217"/>
        <v>58.810779805483122</v>
      </c>
      <c r="O752" s="101">
        <f t="shared" si="218"/>
        <v>1.4038072179155967</v>
      </c>
      <c r="P752" s="101">
        <f t="shared" si="219"/>
        <v>1.4038072179155967</v>
      </c>
      <c r="Q752" s="101">
        <f t="shared" si="220"/>
        <v>0.51969053344372051</v>
      </c>
      <c r="R752" s="101">
        <f t="shared" si="221"/>
        <v>1.6355557601118405E-2</v>
      </c>
      <c r="S752" s="101">
        <f t="shared" si="209"/>
        <v>548.53566005730875</v>
      </c>
      <c r="T752" s="101">
        <f t="shared" si="225"/>
        <v>223.31574370060409</v>
      </c>
      <c r="U752" s="101">
        <f t="shared" si="225"/>
        <v>39.686174107623813</v>
      </c>
      <c r="V752" s="33">
        <f t="shared" si="226"/>
        <v>1000.0000000000043</v>
      </c>
      <c r="W752" s="105">
        <f t="shared" si="222"/>
        <v>60992.311860772264</v>
      </c>
      <c r="X752" s="112">
        <f t="shared" si="227"/>
        <v>736.99808219177635</v>
      </c>
      <c r="Y752" s="32">
        <f t="shared" si="223"/>
        <v>391.46537708901189</v>
      </c>
    </row>
    <row r="753" spans="1:25" x14ac:dyDescent="0.25">
      <c r="A753" s="4">
        <v>747</v>
      </c>
      <c r="C753" s="110">
        <f>IF(male=0,VLOOKUP(((A751:A1585/'Life tables'!$I$2)*2)+age,lifetable,13,1),IF(male=1,VLOOKUP(((A751:A1585/'Life tables'!$I$2)*2)+age,lifetable,10,1),"error"))</f>
        <v>7.7299415014675521E-4</v>
      </c>
      <c r="F753" s="101">
        <f t="shared" si="210"/>
        <v>126.86046517244095</v>
      </c>
      <c r="G753" s="101">
        <f t="shared" si="211"/>
        <v>12.74339923089725</v>
      </c>
      <c r="H753" s="101">
        <f t="shared" si="212"/>
        <v>0.29161703548750667</v>
      </c>
      <c r="I753" s="101">
        <f t="shared" si="213"/>
        <v>0.29161703548750667</v>
      </c>
      <c r="J753" s="101">
        <f t="shared" si="214"/>
        <v>0.10836380704669124</v>
      </c>
      <c r="K753" s="101">
        <f t="shared" si="215"/>
        <v>2.2859602885546212E-2</v>
      </c>
      <c r="L753" s="101">
        <f t="shared" si="224"/>
        <v>113.40260846063646</v>
      </c>
      <c r="M753" s="101">
        <f t="shared" si="216"/>
        <v>610.13761701933549</v>
      </c>
      <c r="N753" s="101">
        <f t="shared" si="217"/>
        <v>58.757574459894457</v>
      </c>
      <c r="O753" s="101">
        <f t="shared" si="218"/>
        <v>1.4025372118314043</v>
      </c>
      <c r="P753" s="101">
        <f t="shared" si="219"/>
        <v>1.4025372118314043</v>
      </c>
      <c r="Q753" s="101">
        <f t="shared" si="220"/>
        <v>0.51922037619495598</v>
      </c>
      <c r="R753" s="101">
        <f t="shared" si="221"/>
        <v>1.6340760941435589E-2</v>
      </c>
      <c r="S753" s="101">
        <f t="shared" si="209"/>
        <v>548.03940699864188</v>
      </c>
      <c r="T753" s="101">
        <f t="shared" si="225"/>
        <v>223.94332788384574</v>
      </c>
      <c r="U753" s="101">
        <f t="shared" si="225"/>
        <v>39.725374471450792</v>
      </c>
      <c r="V753" s="33">
        <f t="shared" si="226"/>
        <v>1000.0000000000044</v>
      </c>
      <c r="W753" s="105">
        <f t="shared" si="222"/>
        <v>60867.092403160073</v>
      </c>
      <c r="X753" s="112">
        <f t="shared" si="227"/>
        <v>736.33129764470789</v>
      </c>
      <c r="Y753" s="32">
        <f t="shared" si="223"/>
        <v>390.99872748893938</v>
      </c>
    </row>
    <row r="754" spans="1:25" x14ac:dyDescent="0.25">
      <c r="A754" s="4">
        <v>748</v>
      </c>
      <c r="C754" s="110">
        <f>IF(male=0,VLOOKUP(((A752:A1586/'Life tables'!$I$2)*2)+age,lifetable,13,1),IF(male=1,VLOOKUP(((A752:A1586/'Life tables'!$I$2)*2)+age,lifetable,10,1),"error"))</f>
        <v>7.7299415014675521E-4</v>
      </c>
      <c r="F754" s="101">
        <f t="shared" si="210"/>
        <v>126.74566498689686</v>
      </c>
      <c r="G754" s="101">
        <f t="shared" si="211"/>
        <v>12.731867311995794</v>
      </c>
      <c r="H754" s="101">
        <f t="shared" si="212"/>
        <v>0.29135314169099347</v>
      </c>
      <c r="I754" s="101">
        <f t="shared" si="213"/>
        <v>0.29135314169099347</v>
      </c>
      <c r="J754" s="101">
        <f t="shared" si="214"/>
        <v>0.10826574509225717</v>
      </c>
      <c r="K754" s="101">
        <f t="shared" si="215"/>
        <v>2.2838916482976604E-2</v>
      </c>
      <c r="L754" s="101">
        <f t="shared" si="224"/>
        <v>113.29998672994384</v>
      </c>
      <c r="M754" s="101">
        <f t="shared" si="216"/>
        <v>609.58563265781095</v>
      </c>
      <c r="N754" s="101">
        <f t="shared" si="217"/>
        <v>58.704417169935148</v>
      </c>
      <c r="O754" s="101">
        <f t="shared" si="218"/>
        <v>1.4012683528301035</v>
      </c>
      <c r="P754" s="101">
        <f t="shared" si="219"/>
        <v>1.4012683528301035</v>
      </c>
      <c r="Q754" s="101">
        <f t="shared" si="220"/>
        <v>0.51875064359717826</v>
      </c>
      <c r="R754" s="101">
        <f t="shared" si="221"/>
        <v>1.6325977646251877E-2</v>
      </c>
      <c r="S754" s="101">
        <f t="shared" si="209"/>
        <v>547.54360216097211</v>
      </c>
      <c r="T754" s="101">
        <f t="shared" si="225"/>
        <v>224.57034427253518</v>
      </c>
      <c r="U754" s="101">
        <f t="shared" si="225"/>
        <v>39.764539365580021</v>
      </c>
      <c r="V754" s="33">
        <f t="shared" si="226"/>
        <v>1000.0000000000043</v>
      </c>
      <c r="W754" s="105">
        <f t="shared" si="222"/>
        <v>60742.129997432043</v>
      </c>
      <c r="X754" s="112">
        <f t="shared" si="227"/>
        <v>735.66511636188909</v>
      </c>
      <c r="Y754" s="32">
        <f t="shared" si="223"/>
        <v>390.53263416432037</v>
      </c>
    </row>
    <row r="755" spans="1:25" x14ac:dyDescent="0.25">
      <c r="A755" s="4">
        <v>749</v>
      </c>
      <c r="C755" s="110">
        <f>IF(male=0,VLOOKUP(((A753:A1587/'Life tables'!$I$2)*2)+age,lifetable,13,1),IF(male=1,VLOOKUP(((A753:A1587/'Life tables'!$I$2)*2)+age,lifetable,10,1),"error"))</f>
        <v>7.7299415014675521E-4</v>
      </c>
      <c r="F755" s="101">
        <f t="shared" si="210"/>
        <v>126.63096948156451</v>
      </c>
      <c r="G755" s="101">
        <f t="shared" si="211"/>
        <v>12.720345908440692</v>
      </c>
      <c r="H755" s="101">
        <f t="shared" si="212"/>
        <v>0.2910894885252629</v>
      </c>
      <c r="I755" s="101">
        <f t="shared" si="213"/>
        <v>0.2910894885252629</v>
      </c>
      <c r="J755" s="101">
        <f t="shared" si="214"/>
        <v>0.108167772555328</v>
      </c>
      <c r="K755" s="101">
        <f t="shared" si="215"/>
        <v>2.2818248943242369E-2</v>
      </c>
      <c r="L755" s="101">
        <f t="shared" si="224"/>
        <v>113.19745857457472</v>
      </c>
      <c r="M755" s="101">
        <f t="shared" si="216"/>
        <v>609.03414688032456</v>
      </c>
      <c r="N755" s="101">
        <f t="shared" si="217"/>
        <v>58.651307894698967</v>
      </c>
      <c r="O755" s="101">
        <f t="shared" si="218"/>
        <v>1.4000006399352667</v>
      </c>
      <c r="P755" s="101">
        <f t="shared" si="219"/>
        <v>1.4000006399352667</v>
      </c>
      <c r="Q755" s="101">
        <f t="shared" si="220"/>
        <v>0.51828133528891251</v>
      </c>
      <c r="R755" s="101">
        <f t="shared" si="221"/>
        <v>1.631120770419105E-2</v>
      </c>
      <c r="S755" s="101">
        <f t="shared" si="209"/>
        <v>547.04824516276199</v>
      </c>
      <c r="T755" s="101">
        <f t="shared" si="225"/>
        <v>225.19679338037943</v>
      </c>
      <c r="U755" s="101">
        <f t="shared" si="225"/>
        <v>39.803668822227451</v>
      </c>
      <c r="V755" s="33">
        <f t="shared" si="226"/>
        <v>1000.0000000000042</v>
      </c>
      <c r="W755" s="105">
        <f t="shared" si="222"/>
        <v>60617.424116839415</v>
      </c>
      <c r="X755" s="112">
        <f t="shared" si="227"/>
        <v>734.99953779739735</v>
      </c>
      <c r="Y755" s="32">
        <f t="shared" si="223"/>
        <v>390.06709645197986</v>
      </c>
    </row>
    <row r="756" spans="1:25" x14ac:dyDescent="0.25">
      <c r="A756" s="4">
        <v>750</v>
      </c>
      <c r="C756" s="110">
        <f>IF(male=0,VLOOKUP(((A754:A1588/'Life tables'!$I$2)*2)+age,lifetable,13,1),IF(male=1,VLOOKUP(((A754:A1588/'Life tables'!$I$2)*2)+age,lifetable,10,1),"error"))</f>
        <v>7.7299415014675521E-4</v>
      </c>
      <c r="F756" s="101">
        <f t="shared" si="210"/>
        <v>126.51637853575544</v>
      </c>
      <c r="G756" s="101">
        <f t="shared" si="211"/>
        <v>12.708835008108535</v>
      </c>
      <c r="H756" s="101">
        <f t="shared" si="212"/>
        <v>0.29082607571288571</v>
      </c>
      <c r="I756" s="101">
        <f t="shared" si="213"/>
        <v>0.29082607571288571</v>
      </c>
      <c r="J756" s="101">
        <f t="shared" si="214"/>
        <v>0.10806988933281203</v>
      </c>
      <c r="K756" s="101">
        <f t="shared" si="215"/>
        <v>2.2797600244596074E-2</v>
      </c>
      <c r="L756" s="101">
        <f t="shared" si="224"/>
        <v>113.09502388664372</v>
      </c>
      <c r="M756" s="101">
        <f t="shared" si="216"/>
        <v>608.48315926164196</v>
      </c>
      <c r="N756" s="101">
        <f t="shared" si="217"/>
        <v>58.598246593234911</v>
      </c>
      <c r="O756" s="101">
        <f t="shared" si="218"/>
        <v>1.3987340721693977</v>
      </c>
      <c r="P756" s="101">
        <f t="shared" si="219"/>
        <v>1.3987340721693977</v>
      </c>
      <c r="Q756" s="101">
        <f t="shared" si="220"/>
        <v>0.51781245090828909</v>
      </c>
      <c r="R756" s="101">
        <f t="shared" si="221"/>
        <v>1.6296451103864438E-2</v>
      </c>
      <c r="S756" s="101">
        <f t="shared" si="209"/>
        <v>546.55333562205612</v>
      </c>
      <c r="T756" s="101">
        <f t="shared" si="225"/>
        <v>225.82267572062054</v>
      </c>
      <c r="U756" s="101">
        <f t="shared" si="225"/>
        <v>39.842762873575914</v>
      </c>
      <c r="V756" s="33">
        <f t="shared" si="226"/>
        <v>1000.0000000000042</v>
      </c>
      <c r="W756" s="105">
        <f t="shared" si="222"/>
        <v>60492.974235682334</v>
      </c>
      <c r="X756" s="112">
        <f t="shared" si="227"/>
        <v>734.33456140580779</v>
      </c>
      <c r="Y756" s="32">
        <f t="shared" si="223"/>
        <v>389.60211368953594</v>
      </c>
    </row>
    <row r="757" spans="1:25" x14ac:dyDescent="0.25">
      <c r="A757" s="4">
        <v>751</v>
      </c>
      <c r="C757" s="110">
        <f>IF(male=0,VLOOKUP(((A755:A1589/'Life tables'!$I$2)*2)+age,lifetable,13,1),IF(male=1,VLOOKUP(((A755:A1589/'Life tables'!$I$2)*2)+age,lifetable,10,1),"error"))</f>
        <v>7.7299415014675521E-4</v>
      </c>
      <c r="F757" s="101">
        <f t="shared" si="210"/>
        <v>126.40189202971659</v>
      </c>
      <c r="G757" s="101">
        <f t="shared" si="211"/>
        <v>12.697334598969876</v>
      </c>
      <c r="H757" s="101">
        <f t="shared" si="212"/>
        <v>0.29056290297858284</v>
      </c>
      <c r="I757" s="101">
        <f t="shared" si="213"/>
        <v>0.29056290297858284</v>
      </c>
      <c r="J757" s="101">
        <f t="shared" si="214"/>
        <v>0.10797209532241661</v>
      </c>
      <c r="K757" s="101">
        <f t="shared" si="215"/>
        <v>2.2776970365458837E-2</v>
      </c>
      <c r="L757" s="101">
        <f t="shared" si="224"/>
        <v>112.99268255910168</v>
      </c>
      <c r="M757" s="101">
        <f t="shared" si="216"/>
        <v>607.93266937609133</v>
      </c>
      <c r="N757" s="101">
        <f t="shared" si="217"/>
        <v>58.545233224549868</v>
      </c>
      <c r="O757" s="101">
        <f t="shared" si="218"/>
        <v>1.3974686485539956</v>
      </c>
      <c r="P757" s="101">
        <f t="shared" si="219"/>
        <v>1.3974686485539956</v>
      </c>
      <c r="Q757" s="101">
        <f t="shared" si="220"/>
        <v>0.51734399009306598</v>
      </c>
      <c r="R757" s="101">
        <f t="shared" si="221"/>
        <v>1.6281707833871673E-2</v>
      </c>
      <c r="S757" s="101">
        <f t="shared" si="209"/>
        <v>546.05887315650648</v>
      </c>
      <c r="T757" s="101">
        <f t="shared" si="225"/>
        <v>226.44799180603601</v>
      </c>
      <c r="U757" s="101">
        <f t="shared" si="225"/>
        <v>39.881821551775246</v>
      </c>
      <c r="V757" s="33">
        <f t="shared" si="226"/>
        <v>1000.0000000000044</v>
      </c>
      <c r="W757" s="105">
        <f t="shared" si="222"/>
        <v>60368.779829308631</v>
      </c>
      <c r="X757" s="112">
        <f t="shared" si="227"/>
        <v>733.67018664219302</v>
      </c>
      <c r="Y757" s="32">
        <f t="shared" si="223"/>
        <v>389.13768521539731</v>
      </c>
    </row>
    <row r="758" spans="1:25" x14ac:dyDescent="0.25">
      <c r="A758" s="4">
        <v>752</v>
      </c>
      <c r="C758" s="110">
        <f>IF(male=0,VLOOKUP(((A756:A1590/'Life tables'!$I$2)*2)+age,lifetable,13,1),IF(male=1,VLOOKUP(((A756:A1590/'Life tables'!$I$2)*2)+age,lifetable,10,1),"error"))</f>
        <v>7.7299415014675521E-4</v>
      </c>
      <c r="F758" s="101">
        <f t="shared" si="210"/>
        <v>126.28750984460318</v>
      </c>
      <c r="G758" s="101">
        <f t="shared" si="211"/>
        <v>12.68584466908651</v>
      </c>
      <c r="H758" s="101">
        <f t="shared" si="212"/>
        <v>0.29029997004916297</v>
      </c>
      <c r="I758" s="101">
        <f t="shared" si="213"/>
        <v>0.29029997004916297</v>
      </c>
      <c r="J758" s="101">
        <f t="shared" si="214"/>
        <v>0.10787439042262487</v>
      </c>
      <c r="K758" s="101">
        <f t="shared" si="215"/>
        <v>2.2756359284415426E-2</v>
      </c>
      <c r="L758" s="101">
        <f t="shared" si="224"/>
        <v>112.8904344857113</v>
      </c>
      <c r="M758" s="101">
        <f t="shared" si="216"/>
        <v>607.38267679758985</v>
      </c>
      <c r="N758" s="101">
        <f t="shared" si="217"/>
        <v>58.492267747611137</v>
      </c>
      <c r="O758" s="101">
        <f t="shared" si="218"/>
        <v>1.3962043681096135</v>
      </c>
      <c r="P758" s="101">
        <f t="shared" si="219"/>
        <v>1.3962043681096135</v>
      </c>
      <c r="Q758" s="101">
        <f t="shared" si="220"/>
        <v>0.51687595248065166</v>
      </c>
      <c r="R758" s="101">
        <f t="shared" si="221"/>
        <v>1.6266977882801351E-2</v>
      </c>
      <c r="S758" s="101">
        <f t="shared" si="209"/>
        <v>545.56485738339597</v>
      </c>
      <c r="T758" s="101">
        <f t="shared" si="225"/>
        <v>227.07274214893928</v>
      </c>
      <c r="U758" s="101">
        <f t="shared" si="225"/>
        <v>39.920844888942462</v>
      </c>
      <c r="V758" s="33">
        <f t="shared" si="226"/>
        <v>1000.0000000000042</v>
      </c>
      <c r="W758" s="105">
        <f t="shared" si="222"/>
        <v>60244.840374112668</v>
      </c>
      <c r="X758" s="112">
        <f t="shared" si="227"/>
        <v>733.00641296212245</v>
      </c>
      <c r="Y758" s="32">
        <f t="shared" si="223"/>
        <v>388.67381036876327</v>
      </c>
    </row>
    <row r="759" spans="1:25" x14ac:dyDescent="0.25">
      <c r="A759" s="4">
        <v>753</v>
      </c>
      <c r="C759" s="110">
        <f>IF(male=0,VLOOKUP(((A757:A1591/'Life tables'!$I$2)*2)+age,lifetable,13,1),IF(male=1,VLOOKUP(((A757:A1591/'Life tables'!$I$2)*2)+age,lifetable,10,1),"error"))</f>
        <v>7.7299415014675521E-4</v>
      </c>
      <c r="F759" s="101">
        <f t="shared" si="210"/>
        <v>126.1732318624524</v>
      </c>
      <c r="G759" s="101">
        <f t="shared" si="211"/>
        <v>12.674365206608824</v>
      </c>
      <c r="H759" s="101">
        <f t="shared" si="212"/>
        <v>0.29003727665346235</v>
      </c>
      <c r="I759" s="101">
        <f t="shared" si="213"/>
        <v>0.29003727665346235</v>
      </c>
      <c r="J759" s="101">
        <f t="shared" si="214"/>
        <v>0.10777677453267331</v>
      </c>
      <c r="K759" s="101">
        <f t="shared" si="215"/>
        <v>2.273576698020956E-2</v>
      </c>
      <c r="L759" s="101">
        <f t="shared" si="224"/>
        <v>112.78827956102376</v>
      </c>
      <c r="M759" s="101">
        <f t="shared" si="216"/>
        <v>606.83318109967001</v>
      </c>
      <c r="N759" s="101">
        <f t="shared" si="217"/>
        <v>58.439350121348973</v>
      </c>
      <c r="O759" s="101">
        <f t="shared" si="218"/>
        <v>1.3949412298559209</v>
      </c>
      <c r="P759" s="101">
        <f t="shared" si="219"/>
        <v>1.3949412298559209</v>
      </c>
      <c r="Q759" s="101">
        <f t="shared" si="220"/>
        <v>0.51640833770812655</v>
      </c>
      <c r="R759" s="101">
        <f t="shared" si="221"/>
        <v>1.6252261239231788E-2</v>
      </c>
      <c r="S759" s="101">
        <f t="shared" si="209"/>
        <v>545.07128791966181</v>
      </c>
      <c r="T759" s="101">
        <f t="shared" si="225"/>
        <v>227.69692726118009</v>
      </c>
      <c r="U759" s="101">
        <f t="shared" si="225"/>
        <v>39.959832917161904</v>
      </c>
      <c r="V759" s="33">
        <f t="shared" si="226"/>
        <v>1000.0000000000041</v>
      </c>
      <c r="W759" s="105">
        <f t="shared" si="222"/>
        <v>60121.155347534266</v>
      </c>
      <c r="X759" s="112">
        <f t="shared" si="227"/>
        <v>732.34323982166211</v>
      </c>
      <c r="Y759" s="32">
        <f t="shared" si="223"/>
        <v>388.21048848962351</v>
      </c>
    </row>
    <row r="760" spans="1:25" x14ac:dyDescent="0.25">
      <c r="A760" s="4">
        <v>754</v>
      </c>
      <c r="C760" s="110">
        <f>IF(male=0,VLOOKUP(((A758:A1592/'Life tables'!$I$2)*2)+age,lifetable,13,1),IF(male=1,VLOOKUP(((A758:A1592/'Life tables'!$I$2)*2)+age,lifetable,10,1),"error"))</f>
        <v>7.7299415014675521E-4</v>
      </c>
      <c r="F760" s="101">
        <f t="shared" si="210"/>
        <v>126.05905796615806</v>
      </c>
      <c r="G760" s="101">
        <f t="shared" si="211"/>
        <v>12.662896199773259</v>
      </c>
      <c r="H760" s="101">
        <f t="shared" si="212"/>
        <v>0.28977482252228642</v>
      </c>
      <c r="I760" s="101">
        <f t="shared" si="213"/>
        <v>0.28977482252228642</v>
      </c>
      <c r="J760" s="101">
        <f t="shared" si="214"/>
        <v>0.1076792475525303</v>
      </c>
      <c r="K760" s="101">
        <f t="shared" si="215"/>
        <v>2.2715193431739309E-2</v>
      </c>
      <c r="L760" s="101">
        <f t="shared" si="224"/>
        <v>112.68621768035597</v>
      </c>
      <c r="M760" s="101">
        <f t="shared" si="216"/>
        <v>606.28418185550402</v>
      </c>
      <c r="N760" s="101">
        <f t="shared" si="217"/>
        <v>58.386480304658932</v>
      </c>
      <c r="O760" s="101">
        <f t="shared" si="218"/>
        <v>1.3936792328117595</v>
      </c>
      <c r="P760" s="101">
        <f t="shared" si="219"/>
        <v>1.3936792328117595</v>
      </c>
      <c r="Q760" s="101">
        <f t="shared" si="220"/>
        <v>0.5159411454122651</v>
      </c>
      <c r="R760" s="101">
        <f t="shared" si="221"/>
        <v>1.6237557891731643E-2</v>
      </c>
      <c r="S760" s="101">
        <f t="shared" si="209"/>
        <v>544.57816438191753</v>
      </c>
      <c r="T760" s="101">
        <f t="shared" si="225"/>
        <v>228.32054765414489</v>
      </c>
      <c r="U760" s="101">
        <f t="shared" si="225"/>
        <v>39.998785668485375</v>
      </c>
      <c r="V760" s="33">
        <f t="shared" si="226"/>
        <v>1000.0000000000041</v>
      </c>
      <c r="W760" s="105">
        <f t="shared" si="222"/>
        <v>59997.724228057639</v>
      </c>
      <c r="X760" s="112">
        <f t="shared" si="227"/>
        <v>731.68066667737378</v>
      </c>
      <c r="Y760" s="32">
        <f t="shared" si="223"/>
        <v>387.74771891875571</v>
      </c>
    </row>
    <row r="761" spans="1:25" x14ac:dyDescent="0.25">
      <c r="A761" s="4">
        <v>755</v>
      </c>
      <c r="C761" s="110">
        <f>IF(male=0,VLOOKUP(((A759:A1593/'Life tables'!$I$2)*2)+age,lifetable,13,1),IF(male=1,VLOOKUP(((A759:A1593/'Life tables'!$I$2)*2)+age,lifetable,10,1),"error"))</f>
        <v>7.7299415014675521E-4</v>
      </c>
      <c r="F761" s="101">
        <f t="shared" si="210"/>
        <v>125.94498803944592</v>
      </c>
      <c r="G761" s="101">
        <f t="shared" si="211"/>
        <v>12.651437636899821</v>
      </c>
      <c r="H761" s="101">
        <f t="shared" si="212"/>
        <v>0.28951260738835277</v>
      </c>
      <c r="I761" s="101">
        <f t="shared" si="213"/>
        <v>0.28951260738835277</v>
      </c>
      <c r="J761" s="101">
        <f t="shared" si="214"/>
        <v>0.10758180938287465</v>
      </c>
      <c r="K761" s="101">
        <f t="shared" si="215"/>
        <v>2.2694638618052643E-2</v>
      </c>
      <c r="L761" s="101">
        <f t="shared" si="224"/>
        <v>112.58424873976847</v>
      </c>
      <c r="M761" s="101">
        <f t="shared" si="216"/>
        <v>605.73567863792789</v>
      </c>
      <c r="N761" s="101">
        <f t="shared" si="217"/>
        <v>58.333658256404206</v>
      </c>
      <c r="O761" s="101">
        <f t="shared" si="218"/>
        <v>1.3924183759951974</v>
      </c>
      <c r="P761" s="101">
        <f t="shared" si="219"/>
        <v>1.3924183759951974</v>
      </c>
      <c r="Q761" s="101">
        <f t="shared" si="220"/>
        <v>0.51547437522955575</v>
      </c>
      <c r="R761" s="101">
        <f t="shared" si="221"/>
        <v>1.6222867828860572E-2</v>
      </c>
      <c r="S761" s="101">
        <f t="shared" si="209"/>
        <v>544.08548638647483</v>
      </c>
      <c r="T761" s="101">
        <f t="shared" si="225"/>
        <v>228.94360383875733</v>
      </c>
      <c r="U761" s="101">
        <f t="shared" si="225"/>
        <v>40.03770317493229</v>
      </c>
      <c r="V761" s="33">
        <f t="shared" si="226"/>
        <v>1000.000000000004</v>
      </c>
      <c r="W761" s="105">
        <f t="shared" si="222"/>
        <v>59874.54649520995</v>
      </c>
      <c r="X761" s="112">
        <f t="shared" si="227"/>
        <v>731.01869298631436</v>
      </c>
      <c r="Y761" s="32">
        <f t="shared" si="223"/>
        <v>387.28550099772497</v>
      </c>
    </row>
    <row r="762" spans="1:25" x14ac:dyDescent="0.25">
      <c r="A762" s="4">
        <v>756</v>
      </c>
      <c r="C762" s="110">
        <f>IF(male=0,VLOOKUP(((A760:A1594/'Life tables'!$I$2)*2)+age,lifetable,13,1),IF(male=1,VLOOKUP(((A760:A1594/'Life tables'!$I$2)*2)+age,lifetable,10,1),"error"))</f>
        <v>7.7299415014675521E-4</v>
      </c>
      <c r="F762" s="101">
        <f t="shared" si="210"/>
        <v>125.83102196684985</v>
      </c>
      <c r="G762" s="101">
        <f t="shared" si="211"/>
        <v>12.639989506389696</v>
      </c>
      <c r="H762" s="101">
        <f t="shared" si="212"/>
        <v>0.28925063098623693</v>
      </c>
      <c r="I762" s="101">
        <f t="shared" si="213"/>
        <v>0.28925063098623693</v>
      </c>
      <c r="J762" s="101">
        <f t="shared" si="214"/>
        <v>0.10748445992507563</v>
      </c>
      <c r="K762" s="101">
        <f t="shared" si="215"/>
        <v>2.2674102518343169E-2</v>
      </c>
      <c r="L762" s="101">
        <f t="shared" si="224"/>
        <v>112.48237263604426</v>
      </c>
      <c r="M762" s="101">
        <f t="shared" si="216"/>
        <v>605.18767101946469</v>
      </c>
      <c r="N762" s="101">
        <f t="shared" si="217"/>
        <v>58.280883935417826</v>
      </c>
      <c r="O762" s="101">
        <f t="shared" si="218"/>
        <v>1.3911586584235838</v>
      </c>
      <c r="P762" s="101">
        <f t="shared" si="219"/>
        <v>1.3911586584235838</v>
      </c>
      <c r="Q762" s="101">
        <f t="shared" si="220"/>
        <v>0.51500802679622004</v>
      </c>
      <c r="R762" s="101">
        <f t="shared" si="221"/>
        <v>1.6208191039169848E-2</v>
      </c>
      <c r="S762" s="101">
        <f t="shared" si="209"/>
        <v>543.59325354936436</v>
      </c>
      <c r="T762" s="101">
        <f t="shared" si="225"/>
        <v>229.56609632547861</v>
      </c>
      <c r="U762" s="101">
        <f t="shared" si="225"/>
        <v>40.076585468489803</v>
      </c>
      <c r="V762" s="33">
        <f t="shared" si="226"/>
        <v>1000.0000000000043</v>
      </c>
      <c r="W762" s="105">
        <f t="shared" si="222"/>
        <v>59751.621629560323</v>
      </c>
      <c r="X762" s="112">
        <f t="shared" si="227"/>
        <v>730.35731820603576</v>
      </c>
      <c r="Y762" s="32">
        <f t="shared" si="223"/>
        <v>386.82383406888283</v>
      </c>
    </row>
    <row r="763" spans="1:25" x14ac:dyDescent="0.25">
      <c r="A763" s="4">
        <v>757</v>
      </c>
      <c r="C763" s="110">
        <f>IF(male=0,VLOOKUP(((A761:A1595/'Life tables'!$I$2)*2)+age,lifetable,13,1),IF(male=1,VLOOKUP(((A761:A1595/'Life tables'!$I$2)*2)+age,lifetable,10,1),"error"))</f>
        <v>8.3784722123148025E-4</v>
      </c>
      <c r="F763" s="101">
        <f t="shared" si="210"/>
        <v>125.71715963368875</v>
      </c>
      <c r="G763" s="101">
        <f t="shared" si="211"/>
        <v>12.628551796722931</v>
      </c>
      <c r="H763" s="101">
        <f t="shared" si="212"/>
        <v>0.28898889305231878</v>
      </c>
      <c r="I763" s="101">
        <f t="shared" si="213"/>
        <v>0.28898889305231878</v>
      </c>
      <c r="J763" s="101">
        <f t="shared" si="214"/>
        <v>0.11639682697328396</v>
      </c>
      <c r="K763" s="101">
        <f t="shared" si="215"/>
        <v>2.2653585111945942E-2</v>
      </c>
      <c r="L763" s="101">
        <f t="shared" si="224"/>
        <v>112.37157963877596</v>
      </c>
      <c r="M763" s="101">
        <f t="shared" si="216"/>
        <v>604.64015857234699</v>
      </c>
      <c r="N763" s="101">
        <f t="shared" si="217"/>
        <v>58.228157300504876</v>
      </c>
      <c r="O763" s="101">
        <f t="shared" si="218"/>
        <v>1.3899000791135998</v>
      </c>
      <c r="P763" s="101">
        <f t="shared" si="219"/>
        <v>1.3899000791135998</v>
      </c>
      <c r="Q763" s="101">
        <f t="shared" si="220"/>
        <v>0.55771142433460952</v>
      </c>
      <c r="R763" s="101">
        <f t="shared" si="221"/>
        <v>1.6193527511202965E-2</v>
      </c>
      <c r="S763" s="101">
        <f t="shared" si="209"/>
        <v>543.05829616176914</v>
      </c>
      <c r="T763" s="101">
        <f t="shared" si="225"/>
        <v>230.24020457678651</v>
      </c>
      <c r="U763" s="101">
        <f t="shared" si="225"/>
        <v>40.115432581112955</v>
      </c>
      <c r="V763" s="33">
        <f t="shared" si="226"/>
        <v>1000.0000000000042</v>
      </c>
      <c r="W763" s="105">
        <f t="shared" si="222"/>
        <v>59625.258637761151</v>
      </c>
      <c r="X763" s="112">
        <f t="shared" si="227"/>
        <v>729.64436284210478</v>
      </c>
      <c r="Y763" s="32">
        <f t="shared" si="223"/>
        <v>386.33463986828019</v>
      </c>
    </row>
    <row r="764" spans="1:25" x14ac:dyDescent="0.25">
      <c r="A764" s="4">
        <v>758</v>
      </c>
      <c r="C764" s="110">
        <f>IF(male=0,VLOOKUP(((A762:A1596/'Life tables'!$I$2)*2)+age,lifetable,13,1),IF(male=1,VLOOKUP(((A762:A1596/'Life tables'!$I$2)*2)+age,lifetable,10,1),"error"))</f>
        <v>8.3784722123148025E-4</v>
      </c>
      <c r="F764" s="101">
        <f t="shared" si="210"/>
        <v>125.59439103318154</v>
      </c>
      <c r="G764" s="101">
        <f t="shared" si="211"/>
        <v>12.616219433861456</v>
      </c>
      <c r="H764" s="101">
        <f t="shared" si="212"/>
        <v>0.2887066820791665</v>
      </c>
      <c r="I764" s="101">
        <f t="shared" si="213"/>
        <v>0.2887066820791665</v>
      </c>
      <c r="J764" s="101">
        <f t="shared" si="214"/>
        <v>0.1162831601071805</v>
      </c>
      <c r="K764" s="101">
        <f t="shared" si="215"/>
        <v>2.2631462842012642E-2</v>
      </c>
      <c r="L764" s="101">
        <f t="shared" si="224"/>
        <v>112.26184361221256</v>
      </c>
      <c r="M764" s="101">
        <f t="shared" si="216"/>
        <v>604.04997180892303</v>
      </c>
      <c r="N764" s="101">
        <f t="shared" si="217"/>
        <v>58.171321036472285</v>
      </c>
      <c r="O764" s="101">
        <f t="shared" si="218"/>
        <v>1.3885434033825144</v>
      </c>
      <c r="P764" s="101">
        <f t="shared" si="219"/>
        <v>1.3885434033825144</v>
      </c>
      <c r="Q764" s="101">
        <f t="shared" si="220"/>
        <v>0.55716704451499943</v>
      </c>
      <c r="R764" s="101">
        <f t="shared" si="221"/>
        <v>1.6177721075830199E-2</v>
      </c>
      <c r="S764" s="101">
        <f t="shared" si="209"/>
        <v>542.5282192000949</v>
      </c>
      <c r="T764" s="101">
        <f t="shared" si="225"/>
        <v>230.9136547814087</v>
      </c>
      <c r="U764" s="101">
        <f t="shared" si="225"/>
        <v>40.154241765030797</v>
      </c>
      <c r="V764" s="33">
        <f t="shared" si="226"/>
        <v>1000.0000000000041</v>
      </c>
      <c r="W764" s="105">
        <f t="shared" si="222"/>
        <v>59498.591591056123</v>
      </c>
      <c r="X764" s="112">
        <f t="shared" si="227"/>
        <v>728.93210345356465</v>
      </c>
      <c r="Y764" s="32">
        <f t="shared" si="223"/>
        <v>385.84651344942768</v>
      </c>
    </row>
    <row r="765" spans="1:25" x14ac:dyDescent="0.25">
      <c r="A765" s="4">
        <v>759</v>
      </c>
      <c r="C765" s="110">
        <f>IF(male=0,VLOOKUP(((A763:A1597/'Life tables'!$I$2)*2)+age,lifetable,13,1),IF(male=1,VLOOKUP(((A763:A1597/'Life tables'!$I$2)*2)+age,lifetable,10,1),"error"))</f>
        <v>8.3784722123148025E-4</v>
      </c>
      <c r="F765" s="101">
        <f t="shared" si="210"/>
        <v>125.47174377068741</v>
      </c>
      <c r="G765" s="101">
        <f t="shared" si="211"/>
        <v>12.603899259657343</v>
      </c>
      <c r="H765" s="101">
        <f t="shared" si="212"/>
        <v>0.28842475002846357</v>
      </c>
      <c r="I765" s="101">
        <f t="shared" si="213"/>
        <v>0.28842475002846357</v>
      </c>
      <c r="J765" s="101">
        <f t="shared" si="214"/>
        <v>0.11616960558341562</v>
      </c>
      <c r="K765" s="101">
        <f t="shared" si="215"/>
        <v>2.2609362436564782E-2</v>
      </c>
      <c r="L765" s="101">
        <f t="shared" si="224"/>
        <v>112.15221604295316</v>
      </c>
      <c r="M765" s="101">
        <f t="shared" si="216"/>
        <v>603.4603596828772</v>
      </c>
      <c r="N765" s="101">
        <f t="shared" si="217"/>
        <v>58.114540111264233</v>
      </c>
      <c r="O765" s="101">
        <f t="shared" si="218"/>
        <v>1.3871880485834345</v>
      </c>
      <c r="P765" s="101">
        <f t="shared" si="219"/>
        <v>1.3871880485834345</v>
      </c>
      <c r="Q765" s="101">
        <f t="shared" si="220"/>
        <v>0.55662319473267874</v>
      </c>
      <c r="R765" s="101">
        <f t="shared" si="221"/>
        <v>1.6161930030447757E-2</v>
      </c>
      <c r="S765" s="101">
        <f t="shared" si="209"/>
        <v>541.99865834968296</v>
      </c>
      <c r="T765" s="101">
        <f t="shared" si="225"/>
        <v>231.5864475817248</v>
      </c>
      <c r="U765" s="101">
        <f t="shared" si="225"/>
        <v>40.193013057497808</v>
      </c>
      <c r="V765" s="33">
        <f t="shared" si="226"/>
        <v>1000.0000000000041</v>
      </c>
      <c r="W765" s="105">
        <f t="shared" si="222"/>
        <v>59372.193584698274</v>
      </c>
      <c r="X765" s="112">
        <f t="shared" si="227"/>
        <v>728.22053936078146</v>
      </c>
      <c r="Y765" s="32">
        <f t="shared" si="223"/>
        <v>385.35900377225329</v>
      </c>
    </row>
    <row r="766" spans="1:25" x14ac:dyDescent="0.25">
      <c r="A766" s="4">
        <v>760</v>
      </c>
      <c r="C766" s="110">
        <f>IF(male=0,VLOOKUP(((A764:A1598/'Life tables'!$I$2)*2)+age,lifetable,13,1),IF(male=1,VLOOKUP(((A764:A1598/'Life tables'!$I$2)*2)+age,lifetable,10,1),"error"))</f>
        <v>8.3784722123148025E-4</v>
      </c>
      <c r="F766" s="101">
        <f t="shared" si="210"/>
        <v>125.34921768012707</v>
      </c>
      <c r="G766" s="101">
        <f t="shared" si="211"/>
        <v>12.591591257427577</v>
      </c>
      <c r="H766" s="101">
        <f t="shared" si="212"/>
        <v>0.28814309651843967</v>
      </c>
      <c r="I766" s="101">
        <f t="shared" si="213"/>
        <v>0.28814309651843967</v>
      </c>
      <c r="J766" s="101">
        <f t="shared" si="214"/>
        <v>0.11605616324822271</v>
      </c>
      <c r="K766" s="101">
        <f t="shared" si="215"/>
        <v>2.2587283865675725E-2</v>
      </c>
      <c r="L766" s="101">
        <f t="shared" si="224"/>
        <v>112.04269678254872</v>
      </c>
      <c r="M766" s="101">
        <f t="shared" si="216"/>
        <v>602.87132168065432</v>
      </c>
      <c r="N766" s="101">
        <f t="shared" si="217"/>
        <v>58.057814475424244</v>
      </c>
      <c r="O766" s="101">
        <f t="shared" si="218"/>
        <v>1.3858340135358393</v>
      </c>
      <c r="P766" s="101">
        <f t="shared" si="219"/>
        <v>1.3858340135358393</v>
      </c>
      <c r="Q766" s="101">
        <f t="shared" si="220"/>
        <v>0.55607987451395113</v>
      </c>
      <c r="R766" s="101">
        <f t="shared" si="221"/>
        <v>1.6146154361301561E-2</v>
      </c>
      <c r="S766" s="101">
        <f t="shared" si="209"/>
        <v>541.46961314928319</v>
      </c>
      <c r="T766" s="101">
        <f t="shared" si="225"/>
        <v>232.25858361948698</v>
      </c>
      <c r="U766" s="101">
        <f t="shared" si="225"/>
        <v>40.231746495724785</v>
      </c>
      <c r="V766" s="33">
        <f t="shared" si="226"/>
        <v>1000.0000000000041</v>
      </c>
      <c r="W766" s="105">
        <f t="shared" si="222"/>
        <v>59246.064048873428</v>
      </c>
      <c r="X766" s="112">
        <f t="shared" si="227"/>
        <v>727.50966988479229</v>
      </c>
      <c r="Y766" s="32">
        <f t="shared" si="223"/>
        <v>384.87211005740517</v>
      </c>
    </row>
    <row r="767" spans="1:25" x14ac:dyDescent="0.25">
      <c r="A767" s="4">
        <v>761</v>
      </c>
      <c r="C767" s="110">
        <f>IF(male=0,VLOOKUP(((A765:A1599/'Life tables'!$I$2)*2)+age,lifetable,13,1),IF(male=1,VLOOKUP(((A765:A1599/'Life tables'!$I$2)*2)+age,lifetable,10,1),"error"))</f>
        <v>8.3784722123148025E-4</v>
      </c>
      <c r="F767" s="101">
        <f t="shared" si="210"/>
        <v>125.22681259710137</v>
      </c>
      <c r="G767" s="101">
        <f t="shared" si="211"/>
        <v>12.579295410657922</v>
      </c>
      <c r="H767" s="101">
        <f t="shared" si="212"/>
        <v>0.2878617211711868</v>
      </c>
      <c r="I767" s="101">
        <f t="shared" si="213"/>
        <v>0.2878617211711868</v>
      </c>
      <c r="J767" s="101">
        <f t="shared" si="214"/>
        <v>0.11594283294939076</v>
      </c>
      <c r="K767" s="101">
        <f t="shared" si="215"/>
        <v>2.2565227099721603E-2</v>
      </c>
      <c r="L767" s="101">
        <f t="shared" si="224"/>
        <v>111.93328568405197</v>
      </c>
      <c r="M767" s="101">
        <f t="shared" si="216"/>
        <v>602.28285728769083</v>
      </c>
      <c r="N767" s="101">
        <f t="shared" si="217"/>
        <v>58.001144079398728</v>
      </c>
      <c r="O767" s="101">
        <f t="shared" si="218"/>
        <v>1.3844812970568898</v>
      </c>
      <c r="P767" s="101">
        <f t="shared" si="219"/>
        <v>1.3844812970568898</v>
      </c>
      <c r="Q767" s="101">
        <f t="shared" si="220"/>
        <v>0.55553708338419105</v>
      </c>
      <c r="R767" s="101">
        <f t="shared" si="221"/>
        <v>1.6130394054610527E-2</v>
      </c>
      <c r="S767" s="101">
        <f t="shared" si="209"/>
        <v>540.94108313673951</v>
      </c>
      <c r="T767" s="101">
        <f t="shared" si="225"/>
        <v>232.93006353582058</v>
      </c>
      <c r="U767" s="101">
        <f t="shared" si="225"/>
        <v>40.270442116879117</v>
      </c>
      <c r="V767" s="33">
        <f t="shared" si="226"/>
        <v>1000.0000000000041</v>
      </c>
      <c r="W767" s="105">
        <f t="shared" si="222"/>
        <v>59120.202414920575</v>
      </c>
      <c r="X767" s="112">
        <f t="shared" si="227"/>
        <v>726.79949434730429</v>
      </c>
      <c r="Y767" s="32">
        <f t="shared" si="223"/>
        <v>384.38583152652092</v>
      </c>
    </row>
    <row r="768" spans="1:25" x14ac:dyDescent="0.25">
      <c r="A768" s="4">
        <v>762</v>
      </c>
      <c r="C768" s="110">
        <f>IF(male=0,VLOOKUP(((A766:A1600/'Life tables'!$I$2)*2)+age,lifetable,13,1),IF(male=1,VLOOKUP(((A766:A1600/'Life tables'!$I$2)*2)+age,lifetable,10,1),"error"))</f>
        <v>8.3784722123148025E-4</v>
      </c>
      <c r="F768" s="101">
        <f t="shared" si="210"/>
        <v>125.10452835884128</v>
      </c>
      <c r="G768" s="101">
        <f t="shared" si="211"/>
        <v>12.567011702997885</v>
      </c>
      <c r="H768" s="101">
        <f t="shared" si="212"/>
        <v>0.28758062361254405</v>
      </c>
      <c r="I768" s="101">
        <f t="shared" si="213"/>
        <v>0.28758062361254405</v>
      </c>
      <c r="J768" s="101">
        <f t="shared" si="214"/>
        <v>0.11582961453621793</v>
      </c>
      <c r="K768" s="101">
        <f t="shared" si="215"/>
        <v>2.2543192109372268E-2</v>
      </c>
      <c r="L768" s="101">
        <f t="shared" si="224"/>
        <v>111.82398260197272</v>
      </c>
      <c r="M768" s="101">
        <f t="shared" si="216"/>
        <v>601.69496598846297</v>
      </c>
      <c r="N768" s="101">
        <f t="shared" si="217"/>
        <v>57.944528873541636</v>
      </c>
      <c r="O768" s="101">
        <f t="shared" si="218"/>
        <v>1.3831298979615396</v>
      </c>
      <c r="P768" s="101">
        <f t="shared" si="219"/>
        <v>1.3831298979615396</v>
      </c>
      <c r="Q768" s="101">
        <f t="shared" si="220"/>
        <v>0.55499482086788621</v>
      </c>
      <c r="R768" s="101">
        <f t="shared" si="221"/>
        <v>1.6114649096567842E-2</v>
      </c>
      <c r="S768" s="101">
        <f t="shared" si="209"/>
        <v>540.41306784903384</v>
      </c>
      <c r="T768" s="101">
        <f t="shared" si="225"/>
        <v>233.60088797122469</v>
      </c>
      <c r="U768" s="101">
        <f t="shared" si="225"/>
        <v>40.309099958085056</v>
      </c>
      <c r="V768" s="33">
        <f t="shared" si="226"/>
        <v>1000.000000000004</v>
      </c>
      <c r="W768" s="105">
        <f t="shared" si="222"/>
        <v>58994.608115331335</v>
      </c>
      <c r="X768" s="112">
        <f t="shared" si="227"/>
        <v>726.09001207069423</v>
      </c>
      <c r="Y768" s="32">
        <f t="shared" si="223"/>
        <v>383.90016740222359</v>
      </c>
    </row>
    <row r="769" spans="1:25" x14ac:dyDescent="0.25">
      <c r="A769" s="4">
        <v>763</v>
      </c>
      <c r="C769" s="110">
        <f>IF(male=0,VLOOKUP(((A767:A1601/'Life tables'!$I$2)*2)+age,lifetable,13,1),IF(male=1,VLOOKUP(((A767:A1601/'Life tables'!$I$2)*2)+age,lifetable,10,1),"error"))</f>
        <v>8.3784722123148025E-4</v>
      </c>
      <c r="F769" s="101">
        <f t="shared" si="210"/>
        <v>124.98236480415949</v>
      </c>
      <c r="G769" s="101">
        <f t="shared" si="211"/>
        <v>12.554740118255866</v>
      </c>
      <c r="H769" s="101">
        <f t="shared" si="212"/>
        <v>0.28729980347198653</v>
      </c>
      <c r="I769" s="101">
        <f t="shared" si="213"/>
        <v>0.28729980347198653</v>
      </c>
      <c r="J769" s="101">
        <f t="shared" si="214"/>
        <v>0.11571650785946695</v>
      </c>
      <c r="K769" s="101">
        <f t="shared" si="215"/>
        <v>2.2521178865582591E-2</v>
      </c>
      <c r="L769" s="101">
        <f t="shared" si="224"/>
        <v>111.7147873922346</v>
      </c>
      <c r="M769" s="101">
        <f t="shared" si="216"/>
        <v>601.10764726653485</v>
      </c>
      <c r="N769" s="101">
        <f t="shared" si="217"/>
        <v>57.887968808119069</v>
      </c>
      <c r="O769" s="101">
        <f t="shared" si="218"/>
        <v>1.3817798150626461</v>
      </c>
      <c r="P769" s="101">
        <f t="shared" si="219"/>
        <v>1.3817798150626461</v>
      </c>
      <c r="Q769" s="101">
        <f t="shared" si="220"/>
        <v>0.55445308648868419</v>
      </c>
      <c r="R769" s="101">
        <f t="shared" si="221"/>
        <v>1.6098919473342278E-2</v>
      </c>
      <c r="S769" s="101">
        <f t="shared" si="209"/>
        <v>539.88556682232843</v>
      </c>
      <c r="T769" s="101">
        <f t="shared" si="225"/>
        <v>234.27105756557285</v>
      </c>
      <c r="U769" s="101">
        <f t="shared" si="225"/>
        <v>40.347720056423981</v>
      </c>
      <c r="V769" s="33">
        <f t="shared" si="226"/>
        <v>1000.0000000000041</v>
      </c>
      <c r="W769" s="105">
        <f t="shared" si="222"/>
        <v>58869.280583749322</v>
      </c>
      <c r="X769" s="112">
        <f t="shared" si="227"/>
        <v>725.38122237800724</v>
      </c>
      <c r="Y769" s="32">
        <f t="shared" si="223"/>
        <v>383.41511690812285</v>
      </c>
    </row>
    <row r="770" spans="1:25" x14ac:dyDescent="0.25">
      <c r="A770" s="4">
        <v>764</v>
      </c>
      <c r="C770" s="110">
        <f>IF(male=0,VLOOKUP(((A768:A1602/'Life tables'!$I$2)*2)+age,lifetable,13,1),IF(male=1,VLOOKUP(((A768:A1602/'Life tables'!$I$2)*2)+age,lifetable,10,1),"error"))</f>
        <v>8.3784722123148025E-4</v>
      </c>
      <c r="F770" s="101">
        <f t="shared" si="210"/>
        <v>124.8603217734034</v>
      </c>
      <c r="G770" s="101">
        <f t="shared" si="211"/>
        <v>12.542480640394427</v>
      </c>
      <c r="H770" s="101">
        <f t="shared" si="212"/>
        <v>0.28701926038251713</v>
      </c>
      <c r="I770" s="101">
        <f t="shared" si="213"/>
        <v>0.28701926038251713</v>
      </c>
      <c r="J770" s="101">
        <f t="shared" si="214"/>
        <v>0.11560351277132146</v>
      </c>
      <c r="K770" s="101">
        <f t="shared" si="215"/>
        <v>2.2499187339584004E-2</v>
      </c>
      <c r="L770" s="101">
        <f t="shared" si="224"/>
        <v>111.60569991213303</v>
      </c>
      <c r="M770" s="101">
        <f t="shared" si="216"/>
        <v>600.52090060460364</v>
      </c>
      <c r="N770" s="101">
        <f t="shared" si="217"/>
        <v>57.831463833313649</v>
      </c>
      <c r="O770" s="101">
        <f t="shared" si="218"/>
        <v>1.3804310471710735</v>
      </c>
      <c r="P770" s="101">
        <f t="shared" si="219"/>
        <v>1.3804310471710735</v>
      </c>
      <c r="Q770" s="101">
        <f t="shared" si="220"/>
        <v>0.55391187976943157</v>
      </c>
      <c r="R770" s="101">
        <f t="shared" si="221"/>
        <v>1.6083205171079386E-2</v>
      </c>
      <c r="S770" s="101">
        <f t="shared" si="209"/>
        <v>539.35857959200735</v>
      </c>
      <c r="T770" s="101">
        <f t="shared" si="225"/>
        <v>234.94057295811359</v>
      </c>
      <c r="U770" s="101">
        <f t="shared" si="225"/>
        <v>40.386302448934643</v>
      </c>
      <c r="V770" s="33">
        <f t="shared" si="226"/>
        <v>1000.0000000000039</v>
      </c>
      <c r="W770" s="105">
        <f t="shared" si="222"/>
        <v>58744.219254969554</v>
      </c>
      <c r="X770" s="112">
        <f t="shared" si="227"/>
        <v>724.67312459295567</v>
      </c>
      <c r="Y770" s="32">
        <f t="shared" si="223"/>
        <v>382.93067926881167</v>
      </c>
    </row>
    <row r="771" spans="1:25" x14ac:dyDescent="0.25">
      <c r="A771" s="4">
        <v>765</v>
      </c>
      <c r="C771" s="110">
        <f>IF(male=0,VLOOKUP(((A769:A1603/'Life tables'!$I$2)*2)+age,lifetable,13,1),IF(male=1,VLOOKUP(((A769:A1603/'Life tables'!$I$2)*2)+age,lifetable,10,1),"error"))</f>
        <v>8.3784722123148025E-4</v>
      </c>
      <c r="F771" s="101">
        <f t="shared" si="210"/>
        <v>124.73839910840994</v>
      </c>
      <c r="G771" s="101">
        <f t="shared" si="211"/>
        <v>12.530233253525754</v>
      </c>
      <c r="H771" s="101">
        <f t="shared" si="212"/>
        <v>0.28673899398056285</v>
      </c>
      <c r="I771" s="101">
        <f t="shared" si="213"/>
        <v>0.28673899398056285</v>
      </c>
      <c r="J771" s="101">
        <f t="shared" si="214"/>
        <v>0.11549062912534412</v>
      </c>
      <c r="K771" s="101">
        <f t="shared" si="215"/>
        <v>2.2477217502876332E-2</v>
      </c>
      <c r="L771" s="101">
        <f t="shared" si="224"/>
        <v>111.49672002029483</v>
      </c>
      <c r="M771" s="101">
        <f t="shared" si="216"/>
        <v>599.93472548454565</v>
      </c>
      <c r="N771" s="101">
        <f t="shared" si="217"/>
        <v>57.775013899228938</v>
      </c>
      <c r="O771" s="101">
        <f t="shared" si="218"/>
        <v>1.3790835930957988</v>
      </c>
      <c r="P771" s="101">
        <f t="shared" si="219"/>
        <v>1.3790835930957988</v>
      </c>
      <c r="Q771" s="101">
        <f t="shared" si="220"/>
        <v>0.55337120023221908</v>
      </c>
      <c r="R771" s="101">
        <f t="shared" si="221"/>
        <v>1.6067506175902725E-2</v>
      </c>
      <c r="S771" s="101">
        <f t="shared" ref="S771:S834" si="228">M771-SUM(N771:R771)</f>
        <v>538.83210569271705</v>
      </c>
      <c r="T771" s="101">
        <f t="shared" si="225"/>
        <v>235.60943478747114</v>
      </c>
      <c r="U771" s="101">
        <f t="shared" si="225"/>
        <v>40.424847172613426</v>
      </c>
      <c r="V771" s="33">
        <f t="shared" si="226"/>
        <v>1000.0000000000039</v>
      </c>
      <c r="W771" s="105">
        <f t="shared" si="222"/>
        <v>58619.423564937497</v>
      </c>
      <c r="X771" s="112">
        <f t="shared" si="227"/>
        <v>723.96571803991924</v>
      </c>
      <c r="Y771" s="32">
        <f t="shared" si="223"/>
        <v>382.44685370986662</v>
      </c>
    </row>
    <row r="772" spans="1:25" x14ac:dyDescent="0.25">
      <c r="A772" s="4">
        <v>766</v>
      </c>
      <c r="C772" s="110">
        <f>IF(male=0,VLOOKUP(((A770:A1604/'Life tables'!$I$2)*2)+age,lifetable,13,1),IF(male=1,VLOOKUP(((A770:A1604/'Life tables'!$I$2)*2)+age,lifetable,10,1),"error"))</f>
        <v>8.3784722123148025E-4</v>
      </c>
      <c r="F772" s="101">
        <f t="shared" si="210"/>
        <v>124.61659665246137</v>
      </c>
      <c r="G772" s="101">
        <f t="shared" si="211"/>
        <v>12.517997941907224</v>
      </c>
      <c r="H772" s="101">
        <f t="shared" si="212"/>
        <v>0.28645900390587298</v>
      </c>
      <c r="I772" s="101">
        <f t="shared" si="213"/>
        <v>0.28645900390587298</v>
      </c>
      <c r="J772" s="101">
        <f t="shared" si="214"/>
        <v>0.11537785677643586</v>
      </c>
      <c r="K772" s="101">
        <f t="shared" si="215"/>
        <v>2.2455269327219841E-2</v>
      </c>
      <c r="L772" s="101">
        <f t="shared" si="224"/>
        <v>111.38784757663875</v>
      </c>
      <c r="M772" s="101">
        <f t="shared" si="216"/>
        <v>599.3491213874579</v>
      </c>
      <c r="N772" s="101">
        <f t="shared" si="217"/>
        <v>57.718618955893454</v>
      </c>
      <c r="O772" s="101">
        <f t="shared" si="218"/>
        <v>1.377737451644008</v>
      </c>
      <c r="P772" s="101">
        <f t="shared" si="219"/>
        <v>1.377737451644008</v>
      </c>
      <c r="Q772" s="101">
        <f t="shared" si="220"/>
        <v>0.55283104739841771</v>
      </c>
      <c r="R772" s="101">
        <f t="shared" si="221"/>
        <v>1.6051822473914991E-2</v>
      </c>
      <c r="S772" s="101">
        <f t="shared" si="228"/>
        <v>538.30614465840404</v>
      </c>
      <c r="T772" s="101">
        <f t="shared" si="225"/>
        <v>236.27764369164601</v>
      </c>
      <c r="U772" s="101">
        <f t="shared" si="225"/>
        <v>40.463354264414562</v>
      </c>
      <c r="V772" s="33">
        <f t="shared" si="226"/>
        <v>1000.0000000000038</v>
      </c>
      <c r="W772" s="105">
        <f t="shared" si="222"/>
        <v>58494.892950748508</v>
      </c>
      <c r="X772" s="112">
        <f t="shared" si="227"/>
        <v>723.25900204394327</v>
      </c>
      <c r="Y772" s="32">
        <f t="shared" si="223"/>
        <v>381.96363945784526</v>
      </c>
    </row>
    <row r="773" spans="1:25" x14ac:dyDescent="0.25">
      <c r="A773" s="4">
        <v>767</v>
      </c>
      <c r="C773" s="110">
        <f>IF(male=0,VLOOKUP(((A771:A1605/'Life tables'!$I$2)*2)+age,lifetable,13,1),IF(male=1,VLOOKUP(((A771:A1605/'Life tables'!$I$2)*2)+age,lifetable,10,1),"error"))</f>
        <v>8.3784722123148025E-4</v>
      </c>
      <c r="F773" s="101">
        <f t="shared" si="210"/>
        <v>124.49491425024294</v>
      </c>
      <c r="G773" s="101">
        <f t="shared" si="211"/>
        <v>12.505774689937146</v>
      </c>
      <c r="H773" s="101">
        <f t="shared" si="212"/>
        <v>0.2861792898014221</v>
      </c>
      <c r="I773" s="101">
        <f t="shared" si="213"/>
        <v>0.2861792898014221</v>
      </c>
      <c r="J773" s="101">
        <f t="shared" si="214"/>
        <v>0.11526519558079651</v>
      </c>
      <c r="K773" s="101">
        <f t="shared" si="215"/>
        <v>2.2433342784627622E-2</v>
      </c>
      <c r="L773" s="101">
        <f t="shared" si="224"/>
        <v>111.27908244233753</v>
      </c>
      <c r="M773" s="101">
        <f t="shared" si="216"/>
        <v>598.76408779370013</v>
      </c>
      <c r="N773" s="101">
        <f t="shared" si="217"/>
        <v>57.66227895326471</v>
      </c>
      <c r="O773" s="101">
        <f t="shared" si="218"/>
        <v>1.3763926216211926</v>
      </c>
      <c r="P773" s="101">
        <f t="shared" si="219"/>
        <v>1.3763926216211926</v>
      </c>
      <c r="Q773" s="101">
        <f t="shared" si="220"/>
        <v>0.55229142078871862</v>
      </c>
      <c r="R773" s="101">
        <f t="shared" si="221"/>
        <v>1.6036154051199136E-2</v>
      </c>
      <c r="S773" s="101">
        <f t="shared" si="228"/>
        <v>537.78069602235314</v>
      </c>
      <c r="T773" s="101">
        <f t="shared" si="225"/>
        <v>236.94520030801553</v>
      </c>
      <c r="U773" s="101">
        <f t="shared" si="225"/>
        <v>40.501823761250385</v>
      </c>
      <c r="V773" s="33">
        <f t="shared" si="226"/>
        <v>1000.0000000000036</v>
      </c>
      <c r="W773" s="105">
        <f t="shared" si="222"/>
        <v>58370.626850646826</v>
      </c>
      <c r="X773" s="112">
        <f t="shared" si="227"/>
        <v>722.55297593073772</v>
      </c>
      <c r="Y773" s="32">
        <f t="shared" si="223"/>
        <v>381.48103574028539</v>
      </c>
    </row>
    <row r="774" spans="1:25" x14ac:dyDescent="0.25">
      <c r="A774" s="4">
        <v>768</v>
      </c>
      <c r="C774" s="110">
        <f>IF(male=0,VLOOKUP(((A772:A1606/'Life tables'!$I$2)*2)+age,lifetable,13,1),IF(male=1,VLOOKUP(((A772:A1606/'Life tables'!$I$2)*2)+age,lifetable,10,1),"error"))</f>
        <v>8.3784722123148025E-4</v>
      </c>
      <c r="F774" s="101">
        <f t="shared" si="210"/>
        <v>124.37335174780152</v>
      </c>
      <c r="G774" s="101">
        <f t="shared" si="211"/>
        <v>12.493563482150606</v>
      </c>
      <c r="H774" s="101">
        <f t="shared" si="212"/>
        <v>0.28589985131331452</v>
      </c>
      <c r="I774" s="101">
        <f t="shared" si="213"/>
        <v>0.28589985131331452</v>
      </c>
      <c r="J774" s="101">
        <f t="shared" si="214"/>
        <v>0.11515264539588665</v>
      </c>
      <c r="K774" s="101">
        <f t="shared" si="215"/>
        <v>2.2411437847358107E-2</v>
      </c>
      <c r="L774" s="101">
        <f t="shared" si="224"/>
        <v>111.17042447978105</v>
      </c>
      <c r="M774" s="101">
        <f t="shared" si="216"/>
        <v>598.17962418293632</v>
      </c>
      <c r="N774" s="101">
        <f t="shared" si="217"/>
        <v>57.605993841233236</v>
      </c>
      <c r="O774" s="101">
        <f t="shared" si="218"/>
        <v>1.3750491018312438</v>
      </c>
      <c r="P774" s="101">
        <f t="shared" si="219"/>
        <v>1.3750491018312438</v>
      </c>
      <c r="Q774" s="101">
        <f t="shared" si="220"/>
        <v>0.55175231992317175</v>
      </c>
      <c r="R774" s="101">
        <f t="shared" si="221"/>
        <v>1.6020500893819466E-2</v>
      </c>
      <c r="S774" s="101">
        <f t="shared" si="228"/>
        <v>537.25575931722358</v>
      </c>
      <c r="T774" s="101">
        <f t="shared" si="225"/>
        <v>237.61210527333458</v>
      </c>
      <c r="U774" s="101">
        <f t="shared" si="225"/>
        <v>40.540255699991562</v>
      </c>
      <c r="V774" s="33">
        <f t="shared" si="226"/>
        <v>1000.0000000000038</v>
      </c>
      <c r="W774" s="105">
        <f t="shared" si="222"/>
        <v>58246.624704024944</v>
      </c>
      <c r="X774" s="112">
        <f t="shared" si="227"/>
        <v>721.8476390266776</v>
      </c>
      <c r="Y774" s="32">
        <f t="shared" si="223"/>
        <v>380.99904178570375</v>
      </c>
    </row>
    <row r="775" spans="1:25" x14ac:dyDescent="0.25">
      <c r="A775" s="4">
        <v>769</v>
      </c>
      <c r="C775" s="110">
        <f>IF(male=0,VLOOKUP(((A773:A1607/'Life tables'!$I$2)*2)+age,lifetable,13,1),IF(male=1,VLOOKUP(((A773:A1607/'Life tables'!$I$2)*2)+age,lifetable,10,1),"error"))</f>
        <v>8.3784722123148025E-4</v>
      </c>
      <c r="F775" s="101">
        <f t="shared" ref="F775:F839" si="229">E774*(1-pCAUC)+(L774+G774+H774+I774 )*(1-pCAUC)+(S774+N774+O774+P774)*(pUAUC)</f>
        <v>124.25190899250585</v>
      </c>
      <c r="G775" s="101">
        <f t="shared" ref="G775:G838" si="230">F775*(rrOSEX)</f>
        <v>12.481364303215472</v>
      </c>
      <c r="H775" s="101">
        <f t="shared" ref="H775:H839" si="231">F775*rrEREX</f>
        <v>0.28562068809069335</v>
      </c>
      <c r="I775" s="101">
        <f t="shared" ref="I775:I839" si="232">F775*rrHOEX</f>
        <v>0.28562068809069335</v>
      </c>
      <c r="J775" s="101">
        <f t="shared" ref="J775:J838" si="233">F775*mr + G775*mr + H775*mr+I775*mr</f>
        <v>0.11504020608039069</v>
      </c>
      <c r="K775" s="101">
        <f t="shared" ref="K775:K839" si="234">F775*amr + I775*amrHOEX</f>
        <v>2.2389554487907921E-2</v>
      </c>
      <c r="L775" s="101">
        <f t="shared" si="224"/>
        <v>111.06187355254069</v>
      </c>
      <c r="M775" s="101">
        <f t="shared" ref="M775:M839" si="235">E774*pCAUC+(L774+G774+H774+I774)*pCAUC+(S774+N774+O774+P774)*(1-pUAUC)</f>
        <v>597.59573003417165</v>
      </c>
      <c r="N775" s="101">
        <f t="shared" ref="N775:N838" si="236">M775*rrOSEXc</f>
        <v>57.549763569626087</v>
      </c>
      <c r="O775" s="101">
        <f t="shared" ref="O775:O839" si="237">M775*rrEREXc</f>
        <v>1.3737068910765395</v>
      </c>
      <c r="P775" s="101">
        <f t="shared" ref="P775:P839" si="238">M775*rrHOEXc</f>
        <v>1.3737068910765395</v>
      </c>
      <c r="Q775" s="101">
        <f t="shared" ref="Q775:Q838" si="239">M775*mr + N775*mr + O775*mr+P775*mr</f>
        <v>0.5512137443212185</v>
      </c>
      <c r="R775" s="101">
        <f t="shared" ref="R775:R839" si="240">M775*amrc + P775*amrHOEX</f>
        <v>1.6004862987822659E-2</v>
      </c>
      <c r="S775" s="101">
        <f t="shared" si="228"/>
        <v>536.7313340750834</v>
      </c>
      <c r="T775" s="101">
        <f t="shared" si="225"/>
        <v>238.27835922373617</v>
      </c>
      <c r="U775" s="101">
        <f t="shared" si="225"/>
        <v>40.578650117467291</v>
      </c>
      <c r="V775" s="33">
        <f t="shared" si="226"/>
        <v>1000.0000000000036</v>
      </c>
      <c r="W775" s="105">
        <f t="shared" ref="W775:W839" si="241">(cNES*L775+(cNES+cOSEX)*G775+(cNES+cEREX)*H775+(cNES+cHOEX)*I775 +(cNES+ cNES)*S775 +(cNES+ cOSEX)*N775 + (cNES+cEREX)*O775 + (cNES+cHOEX)*P775)/(1+cDR)^A$5:A$65536</f>
        <v>58122.885951422184</v>
      </c>
      <c r="X775" s="112">
        <f t="shared" si="227"/>
        <v>721.14299065880016</v>
      </c>
      <c r="Y775" s="32">
        <f t="shared" ref="Y775:Y839" si="242">(uNES*L775+ uOCEX*G775+uEREX*H775+uHOEX*I775+uNES*S775+ uOCEX*N775+uEREX*O775+uHOEX*P775)/(1+oDR)^A$5:A$65536</f>
        <v>380.51765682359434</v>
      </c>
    </row>
    <row r="776" spans="1:25" x14ac:dyDescent="0.25">
      <c r="A776" s="4">
        <v>770</v>
      </c>
      <c r="C776" s="110">
        <f>IF(male=0,VLOOKUP(((A774:A1608/'Life tables'!$I$2)*2)+age,lifetable,13,1),IF(male=1,VLOOKUP(((A774:A1608/'Life tables'!$I$2)*2)+age,lifetable,10,1),"error"))</f>
        <v>8.3784722123148025E-4</v>
      </c>
      <c r="F776" s="101">
        <f t="shared" si="229"/>
        <v>124.13058583300774</v>
      </c>
      <c r="G776" s="101">
        <f t="shared" si="230"/>
        <v>12.469177137928503</v>
      </c>
      <c r="H776" s="101">
        <f t="shared" si="231"/>
        <v>0.28534179978565111</v>
      </c>
      <c r="I776" s="101">
        <f t="shared" si="232"/>
        <v>0.28534179978565111</v>
      </c>
      <c r="J776" s="101">
        <f t="shared" si="233"/>
        <v>0.11492787749418097</v>
      </c>
      <c r="K776" s="101">
        <f t="shared" si="234"/>
        <v>2.2367692679004916E-2</v>
      </c>
      <c r="L776" s="101">
        <f t="shared" ref="L776:L839" si="243">F776-SUM(G776:K776)</f>
        <v>110.95342952533476</v>
      </c>
      <c r="M776" s="101">
        <f t="shared" si="235"/>
        <v>597.01240482579226</v>
      </c>
      <c r="N776" s="101">
        <f t="shared" si="236"/>
        <v>57.493588088210721</v>
      </c>
      <c r="O776" s="101">
        <f t="shared" si="237"/>
        <v>1.3723659881580337</v>
      </c>
      <c r="P776" s="101">
        <f t="shared" si="238"/>
        <v>1.3723659881580337</v>
      </c>
      <c r="Q776" s="101">
        <f t="shared" si="239"/>
        <v>0.55067569350173007</v>
      </c>
      <c r="R776" s="101">
        <f t="shared" si="240"/>
        <v>1.5989240319238793E-2</v>
      </c>
      <c r="S776" s="101">
        <f t="shared" si="228"/>
        <v>536.20741982744448</v>
      </c>
      <c r="T776" s="101">
        <f t="shared" ref="T776:U839" si="244">J776+Q776+T775</f>
        <v>238.94396279473207</v>
      </c>
      <c r="U776" s="101">
        <f t="shared" si="244"/>
        <v>40.617007050465531</v>
      </c>
      <c r="V776" s="33">
        <f t="shared" ref="V776:V839" si="245">SUM(G776:I776,L776,N776,O776,P776,S776,T776,U776)</f>
        <v>1000.0000000000034</v>
      </c>
      <c r="W776" s="105">
        <f t="shared" si="241"/>
        <v>57999.410034524204</v>
      </c>
      <c r="X776" s="112">
        <f t="shared" ref="X776:X839" si="246">(L776+G776+H776+I776+N776+O776+P776+S776)</f>
        <v>720.43903015480578</v>
      </c>
      <c r="Y776" s="32">
        <f t="shared" si="242"/>
        <v>380.03688008442765</v>
      </c>
    </row>
    <row r="777" spans="1:25" x14ac:dyDescent="0.25">
      <c r="A777" s="4">
        <v>771</v>
      </c>
      <c r="C777" s="110">
        <f>IF(male=0,VLOOKUP(((A775:A1609/'Life tables'!$I$2)*2)+age,lifetable,13,1),IF(male=1,VLOOKUP(((A775:A1609/'Life tables'!$I$2)*2)+age,lifetable,10,1),"error"))</f>
        <v>8.3784722123148025E-4</v>
      </c>
      <c r="F777" s="101">
        <f t="shared" si="229"/>
        <v>124.0093821192049</v>
      </c>
      <c r="G777" s="101">
        <f t="shared" si="230"/>
        <v>12.457001971211611</v>
      </c>
      <c r="H777" s="101">
        <f t="shared" si="231"/>
        <v>0.28506318605314412</v>
      </c>
      <c r="I777" s="101">
        <f t="shared" si="232"/>
        <v>0.28506318605314412</v>
      </c>
      <c r="J777" s="101">
        <f t="shared" si="233"/>
        <v>0.11481565949828339</v>
      </c>
      <c r="K777" s="101">
        <f t="shared" si="234"/>
        <v>2.2345852393601418E-2</v>
      </c>
      <c r="L777" s="101">
        <f t="shared" si="243"/>
        <v>110.84509226399511</v>
      </c>
      <c r="M777" s="101">
        <f t="shared" si="235"/>
        <v>596.42964803560074</v>
      </c>
      <c r="N777" s="101">
        <f t="shared" si="236"/>
        <v>57.437467346698391</v>
      </c>
      <c r="O777" s="101">
        <f t="shared" si="237"/>
        <v>1.3710263918753394</v>
      </c>
      <c r="P777" s="101">
        <f t="shared" si="238"/>
        <v>1.3710263918753394</v>
      </c>
      <c r="Q777" s="101">
        <f t="shared" si="239"/>
        <v>0.55013816698303852</v>
      </c>
      <c r="R777" s="101">
        <f t="shared" si="240"/>
        <v>1.5973632874082343E-2</v>
      </c>
      <c r="S777" s="101">
        <f t="shared" si="228"/>
        <v>535.68401610529452</v>
      </c>
      <c r="T777" s="101">
        <f t="shared" si="244"/>
        <v>239.60891662121338</v>
      </c>
      <c r="U777" s="101">
        <f t="shared" si="244"/>
        <v>40.655326535733217</v>
      </c>
      <c r="V777" s="33">
        <f t="shared" si="245"/>
        <v>1000.0000000000033</v>
      </c>
      <c r="W777" s="105">
        <f t="shared" si="241"/>
        <v>57876.196396161635</v>
      </c>
      <c r="X777" s="112">
        <f t="shared" si="246"/>
        <v>719.73575684305661</v>
      </c>
      <c r="Y777" s="32">
        <f t="shared" si="242"/>
        <v>379.5567107996485</v>
      </c>
    </row>
    <row r="778" spans="1:25" x14ac:dyDescent="0.25">
      <c r="A778" s="4">
        <v>772</v>
      </c>
      <c r="C778" s="110">
        <f>IF(male=0,VLOOKUP(((A776:A1610/'Life tables'!$I$2)*2)+age,lifetable,13,1),IF(male=1,VLOOKUP(((A776:A1610/'Life tables'!$I$2)*2)+age,lifetable,10,1),"error"))</f>
        <v>8.3784722123148025E-4</v>
      </c>
      <c r="F778" s="101">
        <f t="shared" si="229"/>
        <v>123.88829770220453</v>
      </c>
      <c r="G778" s="101">
        <f t="shared" si="230"/>
        <v>12.4448387881082</v>
      </c>
      <c r="H778" s="101">
        <f t="shared" si="231"/>
        <v>0.28478484655090924</v>
      </c>
      <c r="I778" s="101">
        <f t="shared" si="232"/>
        <v>0.28478484655090924</v>
      </c>
      <c r="J778" s="101">
        <f t="shared" si="233"/>
        <v>0.11470355195484366</v>
      </c>
      <c r="K778" s="101">
        <f t="shared" si="234"/>
        <v>2.2324033604867718E-2</v>
      </c>
      <c r="L778" s="101">
        <f t="shared" si="243"/>
        <v>110.73686163543479</v>
      </c>
      <c r="M778" s="101">
        <f t="shared" si="235"/>
        <v>595.84745914085227</v>
      </c>
      <c r="N778" s="101">
        <f t="shared" si="236"/>
        <v>57.381401294747654</v>
      </c>
      <c r="O778" s="101">
        <f t="shared" si="237"/>
        <v>1.3696881010268114</v>
      </c>
      <c r="P778" s="101">
        <f t="shared" si="238"/>
        <v>1.3696881010268114</v>
      </c>
      <c r="Q778" s="101">
        <f t="shared" si="239"/>
        <v>0.54960116428297223</v>
      </c>
      <c r="R778" s="101">
        <f t="shared" si="240"/>
        <v>1.5958040638353103E-2</v>
      </c>
      <c r="S778" s="101">
        <f t="shared" si="228"/>
        <v>535.16112243912971</v>
      </c>
      <c r="T778" s="101">
        <f t="shared" si="244"/>
        <v>240.27322133745119</v>
      </c>
      <c r="U778" s="101">
        <f t="shared" si="244"/>
        <v>40.693608609976437</v>
      </c>
      <c r="V778" s="33">
        <f t="shared" si="245"/>
        <v>1000.0000000000034</v>
      </c>
      <c r="W778" s="105">
        <f t="shared" si="241"/>
        <v>57753.244480309266</v>
      </c>
      <c r="X778" s="112">
        <f t="shared" si="246"/>
        <v>719.03317005257577</v>
      </c>
      <c r="Y778" s="32">
        <f t="shared" si="242"/>
        <v>379.0771482016761</v>
      </c>
    </row>
    <row r="779" spans="1:25" x14ac:dyDescent="0.25">
      <c r="A779" s="4">
        <v>773</v>
      </c>
      <c r="C779" s="110">
        <f>IF(male=0,VLOOKUP(((A777:A1611/'Life tables'!$I$2)*2)+age,lifetable,13,1),IF(male=1,VLOOKUP(((A777:A1611/'Life tables'!$I$2)*2)+age,lifetable,10,1),"error"))</f>
        <v>8.3784722123148025E-4</v>
      </c>
      <c r="F779" s="101">
        <f t="shared" si="229"/>
        <v>123.76733243428828</v>
      </c>
      <c r="G779" s="101">
        <f t="shared" si="230"/>
        <v>12.432687573779656</v>
      </c>
      <c r="H779" s="101">
        <f t="shared" si="231"/>
        <v>0.28450678093938292</v>
      </c>
      <c r="I779" s="101">
        <f t="shared" si="232"/>
        <v>0.28450678093938292</v>
      </c>
      <c r="J779" s="101">
        <f t="shared" si="233"/>
        <v>0.11459155472709488</v>
      </c>
      <c r="K779" s="101">
        <f t="shared" si="234"/>
        <v>2.2302236286185727E-2</v>
      </c>
      <c r="L779" s="101">
        <f t="shared" si="243"/>
        <v>110.62873750761658</v>
      </c>
      <c r="M779" s="101">
        <f t="shared" si="235"/>
        <v>595.26583761828749</v>
      </c>
      <c r="N779" s="101">
        <f t="shared" si="236"/>
        <v>57.325389881967489</v>
      </c>
      <c r="O779" s="101">
        <f t="shared" si="237"/>
        <v>1.3683511144096212</v>
      </c>
      <c r="P779" s="101">
        <f t="shared" si="238"/>
        <v>1.3683511144096212</v>
      </c>
      <c r="Q779" s="101">
        <f t="shared" si="239"/>
        <v>0.54906468491888349</v>
      </c>
      <c r="R779" s="101">
        <f t="shared" si="240"/>
        <v>1.5942463598037089E-2</v>
      </c>
      <c r="S779" s="101">
        <f t="shared" si="228"/>
        <v>534.6387383589838</v>
      </c>
      <c r="T779" s="101">
        <f t="shared" si="244"/>
        <v>240.93687757709716</v>
      </c>
      <c r="U779" s="101">
        <f t="shared" si="244"/>
        <v>40.731853309860661</v>
      </c>
      <c r="V779" s="33">
        <f t="shared" si="245"/>
        <v>1000.0000000000033</v>
      </c>
      <c r="W779" s="105">
        <f t="shared" si="241"/>
        <v>57630.553732084569</v>
      </c>
      <c r="X779" s="112">
        <f t="shared" si="246"/>
        <v>718.33126911304555</v>
      </c>
      <c r="Y779" s="32">
        <f t="shared" si="242"/>
        <v>378.59819152390071</v>
      </c>
    </row>
    <row r="780" spans="1:25" x14ac:dyDescent="0.25">
      <c r="A780" s="4">
        <v>774</v>
      </c>
      <c r="C780" s="110">
        <f>IF(male=0,VLOOKUP(((A778:A1612/'Life tables'!$I$2)*2)+age,lifetable,13,1),IF(male=1,VLOOKUP(((A778:A1612/'Life tables'!$I$2)*2)+age,lifetable,10,1),"error"))</f>
        <v>8.3784722123148025E-4</v>
      </c>
      <c r="F780" s="101">
        <f t="shared" si="229"/>
        <v>123.6464861688785</v>
      </c>
      <c r="G780" s="101">
        <f t="shared" si="230"/>
        <v>12.420548313501945</v>
      </c>
      <c r="H780" s="101">
        <f t="shared" si="231"/>
        <v>0.28422898888162379</v>
      </c>
      <c r="I780" s="101">
        <f t="shared" si="232"/>
        <v>0.28422898888162379</v>
      </c>
      <c r="J780" s="101">
        <f t="shared" si="233"/>
        <v>0.11447966767932627</v>
      </c>
      <c r="K780" s="101">
        <f t="shared" si="234"/>
        <v>2.2280460411142913E-2</v>
      </c>
      <c r="L780" s="101">
        <f t="shared" si="243"/>
        <v>110.52071974952284</v>
      </c>
      <c r="M780" s="101">
        <f t="shared" si="235"/>
        <v>594.68478294416695</v>
      </c>
      <c r="N780" s="101">
        <f t="shared" si="236"/>
        <v>57.269433057920651</v>
      </c>
      <c r="O780" s="101">
        <f t="shared" si="237"/>
        <v>1.3670154308198372</v>
      </c>
      <c r="P780" s="101">
        <f t="shared" si="238"/>
        <v>1.3670154308198372</v>
      </c>
      <c r="Q780" s="101">
        <f t="shared" si="239"/>
        <v>0.5485287284076833</v>
      </c>
      <c r="R780" s="101">
        <f t="shared" si="240"/>
        <v>1.5926901739107473E-2</v>
      </c>
      <c r="S780" s="101">
        <f t="shared" si="228"/>
        <v>534.11686339445987</v>
      </c>
      <c r="T780" s="101">
        <f t="shared" si="244"/>
        <v>241.59988597318417</v>
      </c>
      <c r="U780" s="101">
        <f t="shared" si="244"/>
        <v>40.770060672010914</v>
      </c>
      <c r="V780" s="33">
        <f t="shared" si="245"/>
        <v>1000.0000000000034</v>
      </c>
      <c r="W780" s="105">
        <f t="shared" si="241"/>
        <v>57508.123597746897</v>
      </c>
      <c r="X780" s="112">
        <f t="shared" si="246"/>
        <v>717.63005335480818</v>
      </c>
      <c r="Y780" s="32">
        <f t="shared" si="242"/>
        <v>378.11984000068463</v>
      </c>
    </row>
    <row r="781" spans="1:25" x14ac:dyDescent="0.25">
      <c r="A781" s="4">
        <v>775</v>
      </c>
      <c r="C781" s="110">
        <f>IF(male=0,VLOOKUP(((A779:A1613/'Life tables'!$I$2)*2)+age,lifetable,13,1),IF(male=1,VLOOKUP(((A779:A1613/'Life tables'!$I$2)*2)+age,lifetable,10,1),"error"))</f>
        <v>8.3784722123148025E-4</v>
      </c>
      <c r="F781" s="101">
        <f t="shared" si="229"/>
        <v>123.52575876050514</v>
      </c>
      <c r="G781" s="101">
        <f t="shared" si="230"/>
        <v>12.408420992662295</v>
      </c>
      <c r="H781" s="101">
        <f t="shared" si="231"/>
        <v>0.28395147004323651</v>
      </c>
      <c r="I781" s="101">
        <f t="shared" si="232"/>
        <v>0.28395147004323651</v>
      </c>
      <c r="J781" s="101">
        <f t="shared" si="233"/>
        <v>0.11436789067685253</v>
      </c>
      <c r="K781" s="101">
        <f t="shared" si="234"/>
        <v>2.225870595352631E-2</v>
      </c>
      <c r="L781" s="101">
        <f t="shared" si="243"/>
        <v>110.41280823112599</v>
      </c>
      <c r="M781" s="101">
        <f t="shared" si="235"/>
        <v>594.10429459430304</v>
      </c>
      <c r="N781" s="101">
        <f t="shared" si="236"/>
        <v>57.213530772126738</v>
      </c>
      <c r="O781" s="101">
        <f t="shared" si="237"/>
        <v>1.3656810490524973</v>
      </c>
      <c r="P781" s="101">
        <f t="shared" si="238"/>
        <v>1.3656810490524973</v>
      </c>
      <c r="Q781" s="101">
        <f t="shared" si="239"/>
        <v>0.54799329426586807</v>
      </c>
      <c r="R781" s="101">
        <f t="shared" si="240"/>
        <v>1.5911355047525409E-2</v>
      </c>
      <c r="S781" s="101">
        <f t="shared" si="228"/>
        <v>533.59549707475787</v>
      </c>
      <c r="T781" s="101">
        <f t="shared" si="244"/>
        <v>242.26224715812688</v>
      </c>
      <c r="U781" s="101">
        <f t="shared" si="244"/>
        <v>40.808230733011968</v>
      </c>
      <c r="V781" s="33">
        <f t="shared" si="245"/>
        <v>1000.0000000000033</v>
      </c>
      <c r="W781" s="105">
        <f t="shared" si="241"/>
        <v>57385.953524696008</v>
      </c>
      <c r="X781" s="112">
        <f t="shared" si="246"/>
        <v>716.92952210886438</v>
      </c>
      <c r="Y781" s="32">
        <f t="shared" si="242"/>
        <v>377.64209286735888</v>
      </c>
    </row>
    <row r="782" spans="1:25" x14ac:dyDescent="0.25">
      <c r="A782" s="4">
        <v>776</v>
      </c>
      <c r="C782" s="110">
        <f>IF(male=0,VLOOKUP(((A780:A1614/'Life tables'!$I$2)*2)+age,lifetable,13,1),IF(male=1,VLOOKUP(((A780:A1614/'Life tables'!$I$2)*2)+age,lifetable,10,1),"error"))</f>
        <v>8.3784722123148025E-4</v>
      </c>
      <c r="F782" s="101">
        <f t="shared" si="229"/>
        <v>123.40515006477405</v>
      </c>
      <c r="G782" s="101">
        <f t="shared" si="230"/>
        <v>12.396305596756015</v>
      </c>
      <c r="H782" s="101">
        <f t="shared" si="231"/>
        <v>0.28367422409229892</v>
      </c>
      <c r="I782" s="101">
        <f t="shared" si="232"/>
        <v>0.28367422409229892</v>
      </c>
      <c r="J782" s="101">
        <f t="shared" si="233"/>
        <v>0.1142562235859845</v>
      </c>
      <c r="K782" s="101">
        <f t="shared" si="234"/>
        <v>2.2236972887316846E-2</v>
      </c>
      <c r="L782" s="101">
        <f t="shared" si="243"/>
        <v>110.30500282336014</v>
      </c>
      <c r="M782" s="101">
        <f t="shared" si="235"/>
        <v>593.52437204409023</v>
      </c>
      <c r="N782" s="101">
        <f t="shared" si="236"/>
        <v>57.157682974065111</v>
      </c>
      <c r="O782" s="101">
        <f t="shared" si="237"/>
        <v>1.3643479679016792</v>
      </c>
      <c r="P782" s="101">
        <f t="shared" si="238"/>
        <v>1.3643479679016792</v>
      </c>
      <c r="Q782" s="101">
        <f t="shared" si="239"/>
        <v>0.5474583820095491</v>
      </c>
      <c r="R782" s="101">
        <f t="shared" si="240"/>
        <v>1.5895823509240868E-2</v>
      </c>
      <c r="S782" s="101">
        <f t="shared" si="228"/>
        <v>533.07463892870294</v>
      </c>
      <c r="T782" s="101">
        <f t="shared" si="244"/>
        <v>242.92396176372242</v>
      </c>
      <c r="U782" s="101">
        <f t="shared" si="244"/>
        <v>40.846363529408528</v>
      </c>
      <c r="V782" s="33">
        <f t="shared" si="245"/>
        <v>1000.0000000000032</v>
      </c>
      <c r="W782" s="105">
        <f t="shared" si="241"/>
        <v>57264.042961471059</v>
      </c>
      <c r="X782" s="112">
        <f t="shared" si="246"/>
        <v>716.22967470687217</v>
      </c>
      <c r="Y782" s="32">
        <f t="shared" si="242"/>
        <v>377.16494936022343</v>
      </c>
    </row>
    <row r="783" spans="1:25" x14ac:dyDescent="0.25">
      <c r="A783" s="4">
        <v>777</v>
      </c>
      <c r="C783" s="110">
        <f>IF(male=0,VLOOKUP(((A781:A1615/'Life tables'!$I$2)*2)+age,lifetable,13,1),IF(male=1,VLOOKUP(((A781:A1615/'Life tables'!$I$2)*2)+age,lifetable,10,1),"error"))</f>
        <v>8.3784722123148025E-4</v>
      </c>
      <c r="F783" s="101">
        <f t="shared" si="229"/>
        <v>123.28465993833612</v>
      </c>
      <c r="G783" s="101">
        <f t="shared" si="230"/>
        <v>12.384202111383383</v>
      </c>
      <c r="H783" s="101">
        <f t="shared" si="231"/>
        <v>0.28339725069929123</v>
      </c>
      <c r="I783" s="101">
        <f t="shared" si="232"/>
        <v>0.28339725069929123</v>
      </c>
      <c r="J783" s="101">
        <f t="shared" si="233"/>
        <v>0.11414466627400061</v>
      </c>
      <c r="K783" s="101">
        <f t="shared" si="234"/>
        <v>2.2215261186683738E-2</v>
      </c>
      <c r="L783" s="101">
        <f t="shared" si="243"/>
        <v>110.19730339809347</v>
      </c>
      <c r="M783" s="101">
        <f t="shared" si="235"/>
        <v>592.94501476853611</v>
      </c>
      <c r="N783" s="101">
        <f t="shared" si="236"/>
        <v>57.101889613177846</v>
      </c>
      <c r="O783" s="101">
        <f t="shared" si="237"/>
        <v>1.3630161861605705</v>
      </c>
      <c r="P783" s="101">
        <f t="shared" si="238"/>
        <v>1.3630161861605705</v>
      </c>
      <c r="Q783" s="101">
        <f t="shared" si="239"/>
        <v>0.54692399115448098</v>
      </c>
      <c r="R783" s="101">
        <f t="shared" si="240"/>
        <v>1.5880307110193451E-2</v>
      </c>
      <c r="S783" s="101">
        <f t="shared" si="228"/>
        <v>532.55428848477243</v>
      </c>
      <c r="T783" s="101">
        <f t="shared" si="244"/>
        <v>243.58503042115089</v>
      </c>
      <c r="U783" s="101">
        <f t="shared" si="244"/>
        <v>40.884459097705403</v>
      </c>
      <c r="V783" s="33">
        <f t="shared" si="245"/>
        <v>1000.0000000000032</v>
      </c>
      <c r="W783" s="105">
        <f t="shared" si="241"/>
        <v>57142.391357749133</v>
      </c>
      <c r="X783" s="112">
        <f t="shared" si="246"/>
        <v>715.53051048114685</v>
      </c>
      <c r="Y783" s="32">
        <f t="shared" si="242"/>
        <v>376.68840871654515</v>
      </c>
    </row>
    <row r="784" spans="1:25" x14ac:dyDescent="0.25">
      <c r="A784" s="4">
        <v>778</v>
      </c>
      <c r="C784" s="110">
        <f>IF(male=0,VLOOKUP(((A782:A1616/'Life tables'!$I$2)*2)+age,lifetable,13,1),IF(male=1,VLOOKUP(((A782:A1616/'Life tables'!$I$2)*2)+age,lifetable,10,1),"error"))</f>
        <v>8.3784722123148025E-4</v>
      </c>
      <c r="F784" s="101">
        <f t="shared" si="229"/>
        <v>123.16428823885749</v>
      </c>
      <c r="G784" s="101">
        <f t="shared" si="230"/>
        <v>12.372110522246668</v>
      </c>
      <c r="H784" s="101">
        <f t="shared" si="231"/>
        <v>0.28312054953702737</v>
      </c>
      <c r="I784" s="101">
        <f t="shared" si="232"/>
        <v>0.28312054953702737</v>
      </c>
      <c r="J784" s="101">
        <f t="shared" si="233"/>
        <v>0.11403321860911922</v>
      </c>
      <c r="K784" s="101">
        <f t="shared" si="234"/>
        <v>2.219357082597917E-2</v>
      </c>
      <c r="L784" s="101">
        <f t="shared" si="243"/>
        <v>110.08970982810168</v>
      </c>
      <c r="M784" s="101">
        <f t="shared" si="235"/>
        <v>592.3662222422895</v>
      </c>
      <c r="N784" s="101">
        <f t="shared" si="236"/>
        <v>57.046150638872504</v>
      </c>
      <c r="O784" s="101">
        <f t="shared" si="237"/>
        <v>1.3616857026215345</v>
      </c>
      <c r="P784" s="101">
        <f t="shared" si="238"/>
        <v>1.3616857026215345</v>
      </c>
      <c r="Q784" s="101">
        <f t="shared" si="239"/>
        <v>0.54639012121608777</v>
      </c>
      <c r="R784" s="101">
        <f t="shared" si="240"/>
        <v>1.5864805836313157E-2</v>
      </c>
      <c r="S784" s="101">
        <f t="shared" si="228"/>
        <v>532.03444527112151</v>
      </c>
      <c r="T784" s="101">
        <f t="shared" si="244"/>
        <v>244.24545376097609</v>
      </c>
      <c r="U784" s="101">
        <f t="shared" si="244"/>
        <v>40.922517474367694</v>
      </c>
      <c r="V784" s="33">
        <f t="shared" si="245"/>
        <v>1000.0000000000033</v>
      </c>
      <c r="W784" s="105">
        <f t="shared" si="241"/>
        <v>57020.998164344011</v>
      </c>
      <c r="X784" s="112">
        <f t="shared" si="246"/>
        <v>714.83202876465953</v>
      </c>
      <c r="Y784" s="32">
        <f t="shared" si="242"/>
        <v>376.21247017455624</v>
      </c>
    </row>
    <row r="785" spans="1:25" x14ac:dyDescent="0.25">
      <c r="A785" s="4">
        <v>779</v>
      </c>
      <c r="C785" s="110">
        <f>IF(male=0,VLOOKUP(((A783:A1617/'Life tables'!$I$2)*2)+age,lifetable,13,1),IF(male=1,VLOOKUP(((A783:A1617/'Life tables'!$I$2)*2)+age,lifetable,10,1),"error"))</f>
        <v>8.3784722123148025E-4</v>
      </c>
      <c r="F785" s="101">
        <f t="shared" si="229"/>
        <v>123.04403482499062</v>
      </c>
      <c r="G785" s="101">
        <f t="shared" si="230"/>
        <v>12.360030815147212</v>
      </c>
      <c r="H785" s="101">
        <f t="shared" si="231"/>
        <v>0.28284412028058847</v>
      </c>
      <c r="I785" s="101">
        <f t="shared" si="232"/>
        <v>0.28284412028058847</v>
      </c>
      <c r="J785" s="101">
        <f t="shared" si="233"/>
        <v>0.11392188046047194</v>
      </c>
      <c r="K785" s="101">
        <f t="shared" si="234"/>
        <v>2.2171901779733032E-2</v>
      </c>
      <c r="L785" s="101">
        <f t="shared" si="243"/>
        <v>109.98222198704202</v>
      </c>
      <c r="M785" s="101">
        <f t="shared" si="235"/>
        <v>591.78799393966892</v>
      </c>
      <c r="N785" s="101">
        <f t="shared" si="236"/>
        <v>56.990466000524805</v>
      </c>
      <c r="O785" s="101">
        <f t="shared" si="237"/>
        <v>1.3603565160761757</v>
      </c>
      <c r="P785" s="101">
        <f t="shared" si="238"/>
        <v>1.3603565160761757</v>
      </c>
      <c r="Q785" s="101">
        <f t="shared" si="239"/>
        <v>0.54585677170948765</v>
      </c>
      <c r="R785" s="101">
        <f t="shared" si="240"/>
        <v>1.5849319673521142E-2</v>
      </c>
      <c r="S785" s="101">
        <f t="shared" si="228"/>
        <v>531.51510881560876</v>
      </c>
      <c r="T785" s="101">
        <f t="shared" si="244"/>
        <v>244.90523241314605</v>
      </c>
      <c r="U785" s="101">
        <f t="shared" si="244"/>
        <v>40.960538695820951</v>
      </c>
      <c r="V785" s="33">
        <f t="shared" si="245"/>
        <v>1000.0000000000033</v>
      </c>
      <c r="W785" s="105">
        <f t="shared" si="241"/>
        <v>56899.862833204825</v>
      </c>
      <c r="X785" s="112">
        <f t="shared" si="246"/>
        <v>714.13422889103629</v>
      </c>
      <c r="Y785" s="32">
        <f t="shared" si="242"/>
        <v>375.73713297345381</v>
      </c>
    </row>
    <row r="786" spans="1:25" x14ac:dyDescent="0.25">
      <c r="A786" s="4">
        <v>780</v>
      </c>
      <c r="C786" s="110">
        <f>IF(male=0,VLOOKUP(((A784:A1618/'Life tables'!$I$2)*2)+age,lifetable,13,1),IF(male=1,VLOOKUP(((A784:A1618/'Life tables'!$I$2)*2)+age,lifetable,10,1),"error"))</f>
        <v>8.3784722123148025E-4</v>
      </c>
      <c r="F786" s="101">
        <f t="shared" si="229"/>
        <v>122.92389955634631</v>
      </c>
      <c r="G786" s="101">
        <f t="shared" si="230"/>
        <v>12.347962975982627</v>
      </c>
      <c r="H786" s="101">
        <f t="shared" si="231"/>
        <v>0.28256796260725875</v>
      </c>
      <c r="I786" s="101">
        <f t="shared" si="232"/>
        <v>0.28256796260725875</v>
      </c>
      <c r="J786" s="101">
        <f t="shared" si="233"/>
        <v>0.11381065169807764</v>
      </c>
      <c r="K786" s="101">
        <f t="shared" si="234"/>
        <v>2.2150254022647923E-2</v>
      </c>
      <c r="L786" s="101">
        <f t="shared" si="243"/>
        <v>109.87483974942845</v>
      </c>
      <c r="M786" s="101">
        <f t="shared" si="235"/>
        <v>591.21032933468996</v>
      </c>
      <c r="N786" s="101">
        <f t="shared" si="236"/>
        <v>56.934835647481322</v>
      </c>
      <c r="O786" s="101">
        <f t="shared" si="237"/>
        <v>1.3590286253154014</v>
      </c>
      <c r="P786" s="101">
        <f t="shared" si="238"/>
        <v>1.3590286253154014</v>
      </c>
      <c r="Q786" s="101">
        <f t="shared" si="239"/>
        <v>0.54532394214952062</v>
      </c>
      <c r="R786" s="101">
        <f t="shared" si="240"/>
        <v>1.5833848607730436E-2</v>
      </c>
      <c r="S786" s="101">
        <f t="shared" si="228"/>
        <v>530.99627864582055</v>
      </c>
      <c r="T786" s="101">
        <f t="shared" si="244"/>
        <v>245.56436700699365</v>
      </c>
      <c r="U786" s="101">
        <f t="shared" si="244"/>
        <v>40.998522798451326</v>
      </c>
      <c r="V786" s="33">
        <f t="shared" si="245"/>
        <v>1000.0000000000032</v>
      </c>
      <c r="W786" s="105">
        <f t="shared" si="241"/>
        <v>56778.98481741469</v>
      </c>
      <c r="X786" s="112">
        <f t="shared" si="246"/>
        <v>713.43711019455827</v>
      </c>
      <c r="Y786" s="32">
        <f t="shared" si="242"/>
        <v>375.26239635339778</v>
      </c>
    </row>
    <row r="787" spans="1:25" x14ac:dyDescent="0.25">
      <c r="A787" s="4">
        <v>781</v>
      </c>
      <c r="C787" s="110">
        <f>IF(male=0,VLOOKUP(((A785:A1619/'Life tables'!$I$2)*2)+age,lifetable,13,1),IF(male=1,VLOOKUP(((A785:A1619/'Life tables'!$I$2)*2)+age,lifetable,10,1),"error"))</f>
        <v>8.3784722123148025E-4</v>
      </c>
      <c r="F787" s="101">
        <f t="shared" si="229"/>
        <v>122.80388229346674</v>
      </c>
      <c r="G787" s="101">
        <f t="shared" si="230"/>
        <v>12.335906990744082</v>
      </c>
      <c r="H787" s="101">
        <f t="shared" si="231"/>
        <v>0.28229207619646329</v>
      </c>
      <c r="I787" s="101">
        <f t="shared" si="232"/>
        <v>0.28229207619646329</v>
      </c>
      <c r="J787" s="101">
        <f t="shared" si="233"/>
        <v>0.11369953219281756</v>
      </c>
      <c r="K787" s="101">
        <f t="shared" si="234"/>
        <v>2.2128627529594252E-2</v>
      </c>
      <c r="L787" s="101">
        <f t="shared" si="243"/>
        <v>109.76756299060732</v>
      </c>
      <c r="M787" s="101">
        <f t="shared" si="235"/>
        <v>590.63322790109169</v>
      </c>
      <c r="N787" s="101">
        <f t="shared" si="236"/>
        <v>56.879259529061976</v>
      </c>
      <c r="O787" s="101">
        <f t="shared" si="237"/>
        <v>1.3577020291294835</v>
      </c>
      <c r="P787" s="101">
        <f t="shared" si="238"/>
        <v>1.3577020291294835</v>
      </c>
      <c r="Q787" s="101">
        <f t="shared" si="239"/>
        <v>0.54479163205077086</v>
      </c>
      <c r="R787" s="101">
        <f t="shared" si="240"/>
        <v>1.5818392624846675E-2</v>
      </c>
      <c r="S787" s="101">
        <f t="shared" si="228"/>
        <v>530.47795428909512</v>
      </c>
      <c r="T787" s="101">
        <f t="shared" si="244"/>
        <v>246.22285817123725</v>
      </c>
      <c r="U787" s="101">
        <f t="shared" si="244"/>
        <v>41.036469818605767</v>
      </c>
      <c r="V787" s="33">
        <f t="shared" si="245"/>
        <v>1000.0000000000033</v>
      </c>
      <c r="W787" s="105">
        <f t="shared" si="241"/>
        <v>56658.363571189249</v>
      </c>
      <c r="X787" s="112">
        <f t="shared" si="246"/>
        <v>712.74067201016044</v>
      </c>
      <c r="Y787" s="32">
        <f t="shared" si="242"/>
        <v>374.78825955551031</v>
      </c>
    </row>
    <row r="788" spans="1:25" x14ac:dyDescent="0.25">
      <c r="A788" s="4">
        <v>782</v>
      </c>
      <c r="C788" s="110">
        <f>IF(male=0,VLOOKUP(((A786:A1620/'Life tables'!$I$2)*2)+age,lifetable,13,1),IF(male=1,VLOOKUP(((A786:A1620/'Life tables'!$I$2)*2)+age,lifetable,10,1),"error"))</f>
        <v>8.3784722123148025E-4</v>
      </c>
      <c r="F788" s="101">
        <f t="shared" si="229"/>
        <v>122.68398289779908</v>
      </c>
      <c r="G788" s="101">
        <f t="shared" si="230"/>
        <v>12.323862845513656</v>
      </c>
      <c r="H788" s="101">
        <f t="shared" si="231"/>
        <v>0.2820164607297076</v>
      </c>
      <c r="I788" s="101">
        <f t="shared" si="232"/>
        <v>0.2820164607297076</v>
      </c>
      <c r="J788" s="101">
        <f t="shared" si="233"/>
        <v>0.11358852181641076</v>
      </c>
      <c r="K788" s="101">
        <f t="shared" si="234"/>
        <v>2.2107022275605518E-2</v>
      </c>
      <c r="L788" s="101">
        <f t="shared" si="243"/>
        <v>109.66039158673399</v>
      </c>
      <c r="M788" s="101">
        <f t="shared" si="235"/>
        <v>590.05668911236125</v>
      </c>
      <c r="N788" s="101">
        <f t="shared" si="236"/>
        <v>56.823737594562452</v>
      </c>
      <c r="O788" s="101">
        <f t="shared" si="237"/>
        <v>1.3563767263081152</v>
      </c>
      <c r="P788" s="101">
        <f t="shared" si="238"/>
        <v>1.3563767263081152</v>
      </c>
      <c r="Q788" s="101">
        <f t="shared" si="239"/>
        <v>0.54425984092759083</v>
      </c>
      <c r="R788" s="101">
        <f t="shared" si="240"/>
        <v>1.5802951710768745E-2</v>
      </c>
      <c r="S788" s="101">
        <f t="shared" si="228"/>
        <v>529.96013527254422</v>
      </c>
      <c r="T788" s="101">
        <f t="shared" si="244"/>
        <v>246.88070653398125</v>
      </c>
      <c r="U788" s="101">
        <f t="shared" si="244"/>
        <v>41.07437979259214</v>
      </c>
      <c r="V788" s="33">
        <f t="shared" si="245"/>
        <v>1000.0000000000033</v>
      </c>
      <c r="W788" s="105">
        <f t="shared" si="241"/>
        <v>56537.998549875309</v>
      </c>
      <c r="X788" s="112">
        <f t="shared" si="246"/>
        <v>712.04491367342996</v>
      </c>
      <c r="Y788" s="32">
        <f t="shared" si="242"/>
        <v>374.31472182187389</v>
      </c>
    </row>
    <row r="789" spans="1:25" x14ac:dyDescent="0.25">
      <c r="A789" s="4">
        <v>783</v>
      </c>
      <c r="C789" s="110">
        <f>IF(male=0,VLOOKUP(((A787:A1621/'Life tables'!$I$2)*2)+age,lifetable,13,1),IF(male=1,VLOOKUP(((A787:A1621/'Life tables'!$I$2)*2)+age,lifetable,10,1),"error"))</f>
        <v>9.128120834711595E-4</v>
      </c>
      <c r="F789" s="101">
        <f t="shared" si="229"/>
        <v>122.56420123167021</v>
      </c>
      <c r="G789" s="101">
        <f t="shared" si="230"/>
        <v>12.311830526461796</v>
      </c>
      <c r="H789" s="101">
        <f t="shared" si="231"/>
        <v>0.28174111589051931</v>
      </c>
      <c r="I789" s="101">
        <f t="shared" si="232"/>
        <v>0.28174111589051931</v>
      </c>
      <c r="J789" s="101">
        <f t="shared" si="233"/>
        <v>0.12363082494945379</v>
      </c>
      <c r="K789" s="101">
        <f t="shared" si="234"/>
        <v>2.2085438235873729E-2</v>
      </c>
      <c r="L789" s="101">
        <f t="shared" si="243"/>
        <v>109.54317221024205</v>
      </c>
      <c r="M789" s="101">
        <f t="shared" si="235"/>
        <v>589.48071244175981</v>
      </c>
      <c r="N789" s="101">
        <f t="shared" si="236"/>
        <v>56.768269793256643</v>
      </c>
      <c r="O789" s="101">
        <f t="shared" si="237"/>
        <v>1.3550527156404699</v>
      </c>
      <c r="P789" s="101">
        <f t="shared" si="238"/>
        <v>1.3550527156404699</v>
      </c>
      <c r="Q789" s="101">
        <f t="shared" si="239"/>
        <v>0.5923776969002158</v>
      </c>
      <c r="R789" s="101">
        <f t="shared" si="240"/>
        <v>1.5787525851389476E-2</v>
      </c>
      <c r="S789" s="101">
        <f t="shared" si="228"/>
        <v>529.39417199447064</v>
      </c>
      <c r="T789" s="101">
        <f t="shared" si="244"/>
        <v>247.59671505583091</v>
      </c>
      <c r="U789" s="101">
        <f t="shared" si="244"/>
        <v>41.112252756679403</v>
      </c>
      <c r="V789" s="33">
        <f t="shared" si="245"/>
        <v>1000.0000000000034</v>
      </c>
      <c r="W789" s="105">
        <f t="shared" si="241"/>
        <v>56413.852792433623</v>
      </c>
      <c r="X789" s="112">
        <f t="shared" si="246"/>
        <v>711.2910321874931</v>
      </c>
      <c r="Y789" s="32">
        <f t="shared" si="242"/>
        <v>373.81037647848575</v>
      </c>
    </row>
    <row r="790" spans="1:25" x14ac:dyDescent="0.25">
      <c r="A790" s="4">
        <v>784</v>
      </c>
      <c r="C790" s="110">
        <f>IF(male=0,VLOOKUP(((A788:A1622/'Life tables'!$I$2)*2)+age,lifetable,13,1),IF(male=1,VLOOKUP(((A788:A1622/'Life tables'!$I$2)*2)+age,lifetable,10,1),"error"))</f>
        <v>9.128120834711595E-4</v>
      </c>
      <c r="F790" s="101">
        <f t="shared" si="229"/>
        <v>122.43438365304321</v>
      </c>
      <c r="G790" s="101">
        <f t="shared" si="230"/>
        <v>12.29879007899549</v>
      </c>
      <c r="H790" s="101">
        <f t="shared" si="231"/>
        <v>0.28144270127110332</v>
      </c>
      <c r="I790" s="101">
        <f t="shared" si="232"/>
        <v>0.28144270127110332</v>
      </c>
      <c r="J790" s="101">
        <f t="shared" si="233"/>
        <v>0.12349987762407399</v>
      </c>
      <c r="K790" s="101">
        <f t="shared" si="234"/>
        <v>2.2062045776363649E-2</v>
      </c>
      <c r="L790" s="101">
        <f t="shared" si="243"/>
        <v>109.42714624810507</v>
      </c>
      <c r="M790" s="101">
        <f t="shared" si="235"/>
        <v>588.85664853444985</v>
      </c>
      <c r="N790" s="101">
        <f t="shared" si="236"/>
        <v>56.708171086868681</v>
      </c>
      <c r="O790" s="101">
        <f t="shared" si="237"/>
        <v>1.3536181657485307</v>
      </c>
      <c r="P790" s="101">
        <f t="shared" si="238"/>
        <v>1.3536181657485307</v>
      </c>
      <c r="Q790" s="101">
        <f t="shared" si="239"/>
        <v>0.59175056605042164</v>
      </c>
      <c r="R790" s="101">
        <f t="shared" si="240"/>
        <v>1.5770812115279666E-2</v>
      </c>
      <c r="S790" s="101">
        <f t="shared" si="228"/>
        <v>528.83371973791839</v>
      </c>
      <c r="T790" s="101">
        <f t="shared" si="244"/>
        <v>248.31196549950542</v>
      </c>
      <c r="U790" s="101">
        <f t="shared" si="244"/>
        <v>41.150085614571047</v>
      </c>
      <c r="V790" s="33">
        <f t="shared" si="245"/>
        <v>1000.0000000000033</v>
      </c>
      <c r="W790" s="105">
        <f t="shared" si="241"/>
        <v>56289.354800851273</v>
      </c>
      <c r="X790" s="112">
        <f t="shared" si="246"/>
        <v>710.53794888592688</v>
      </c>
      <c r="Y790" s="32">
        <f t="shared" si="242"/>
        <v>373.30721304047682</v>
      </c>
    </row>
    <row r="791" spans="1:25" x14ac:dyDescent="0.25">
      <c r="A791" s="4">
        <v>785</v>
      </c>
      <c r="C791" s="110">
        <f>IF(male=0,VLOOKUP(((A789:A1623/'Life tables'!$I$2)*2)+age,lifetable,13,1),IF(male=1,VLOOKUP(((A789:A1623/'Life tables'!$I$2)*2)+age,lifetable,10,1),"error"))</f>
        <v>9.128120834711595E-4</v>
      </c>
      <c r="F791" s="101">
        <f t="shared" si="229"/>
        <v>122.30470518399</v>
      </c>
      <c r="G791" s="101">
        <f t="shared" si="230"/>
        <v>12.285763605377012</v>
      </c>
      <c r="H791" s="101">
        <f t="shared" si="231"/>
        <v>0.28114460642602723</v>
      </c>
      <c r="I791" s="101">
        <f t="shared" si="232"/>
        <v>0.28114460642602723</v>
      </c>
      <c r="J791" s="101">
        <f t="shared" si="233"/>
        <v>0.123369070618879</v>
      </c>
      <c r="K791" s="101">
        <f t="shared" si="234"/>
        <v>2.2038678383682779E-2</v>
      </c>
      <c r="L791" s="101">
        <f t="shared" si="243"/>
        <v>109.31124461675837</v>
      </c>
      <c r="M791" s="101">
        <f t="shared" si="235"/>
        <v>588.233243701937</v>
      </c>
      <c r="N791" s="101">
        <f t="shared" si="236"/>
        <v>56.648135850811641</v>
      </c>
      <c r="O791" s="101">
        <f t="shared" si="237"/>
        <v>1.3521851308868118</v>
      </c>
      <c r="P791" s="101">
        <f t="shared" si="238"/>
        <v>1.3521851308868118</v>
      </c>
      <c r="Q791" s="101">
        <f t="shared" si="239"/>
        <v>0.59112409751442696</v>
      </c>
      <c r="R791" s="101">
        <f t="shared" si="240"/>
        <v>1.5754116030570788E-2</v>
      </c>
      <c r="S791" s="101">
        <f t="shared" si="228"/>
        <v>528.27385937580675</v>
      </c>
      <c r="T791" s="101">
        <f t="shared" si="244"/>
        <v>249.02645866763874</v>
      </c>
      <c r="U791" s="101">
        <f t="shared" si="244"/>
        <v>41.187878408985299</v>
      </c>
      <c r="V791" s="33">
        <f t="shared" si="245"/>
        <v>1000.0000000000035</v>
      </c>
      <c r="W791" s="105">
        <f t="shared" si="241"/>
        <v>56165.131506886246</v>
      </c>
      <c r="X791" s="112">
        <f t="shared" si="246"/>
        <v>709.7856629233795</v>
      </c>
      <c r="Y791" s="32">
        <f t="shared" si="242"/>
        <v>372.80472688384577</v>
      </c>
    </row>
    <row r="792" spans="1:25" x14ac:dyDescent="0.25">
      <c r="A792" s="4">
        <v>786</v>
      </c>
      <c r="C792" s="110">
        <f>IF(male=0,VLOOKUP(((A790:A1624/'Life tables'!$I$2)*2)+age,lifetable,13,1),IF(male=1,VLOOKUP(((A790:A1624/'Life tables'!$I$2)*2)+age,lifetable,10,1),"error"))</f>
        <v>9.128120834711595E-4</v>
      </c>
      <c r="F792" s="101">
        <f t="shared" si="229"/>
        <v>122.17516562404613</v>
      </c>
      <c r="G792" s="101">
        <f t="shared" si="230"/>
        <v>12.272751085469288</v>
      </c>
      <c r="H792" s="101">
        <f t="shared" si="231"/>
        <v>0.28084683089447898</v>
      </c>
      <c r="I792" s="101">
        <f t="shared" si="232"/>
        <v>0.28084683089447898</v>
      </c>
      <c r="J792" s="101">
        <f t="shared" si="233"/>
        <v>0.1232384037316598</v>
      </c>
      <c r="K792" s="101">
        <f t="shared" si="234"/>
        <v>2.2015336021708465E-2</v>
      </c>
      <c r="L792" s="101">
        <f t="shared" si="243"/>
        <v>109.19546713703451</v>
      </c>
      <c r="M792" s="101">
        <f t="shared" si="235"/>
        <v>587.61049729933325</v>
      </c>
      <c r="N792" s="101">
        <f t="shared" si="236"/>
        <v>56.588164022981431</v>
      </c>
      <c r="O792" s="101">
        <f t="shared" si="237"/>
        <v>1.3507536095728945</v>
      </c>
      <c r="P792" s="101">
        <f t="shared" si="238"/>
        <v>1.3507536095728945</v>
      </c>
      <c r="Q792" s="101">
        <f t="shared" si="239"/>
        <v>0.59049829064417481</v>
      </c>
      <c r="R792" s="101">
        <f t="shared" si="240"/>
        <v>1.5737437579991392E-2</v>
      </c>
      <c r="S792" s="101">
        <f t="shared" si="228"/>
        <v>527.7145903289819</v>
      </c>
      <c r="T792" s="101">
        <f t="shared" si="244"/>
        <v>249.74019536201456</v>
      </c>
      <c r="U792" s="101">
        <f t="shared" si="244"/>
        <v>41.225631182587001</v>
      </c>
      <c r="V792" s="33">
        <f t="shared" si="245"/>
        <v>1000.0000000000035</v>
      </c>
      <c r="W792" s="105">
        <f t="shared" si="241"/>
        <v>56041.182306191746</v>
      </c>
      <c r="X792" s="112">
        <f t="shared" si="246"/>
        <v>709.03417345540186</v>
      </c>
      <c r="Y792" s="32">
        <f t="shared" si="242"/>
        <v>372.30291709682263</v>
      </c>
    </row>
    <row r="793" spans="1:25" x14ac:dyDescent="0.25">
      <c r="A793" s="4">
        <v>787</v>
      </c>
      <c r="C793" s="110">
        <f>IF(male=0,VLOOKUP(((A791:A1625/'Life tables'!$I$2)*2)+age,lifetable,13,1),IF(male=1,VLOOKUP(((A791:A1625/'Life tables'!$I$2)*2)+age,lifetable,10,1),"error"))</f>
        <v>9.128120834711595E-4</v>
      </c>
      <c r="F793" s="101">
        <f t="shared" si="229"/>
        <v>122.04576477465854</v>
      </c>
      <c r="G793" s="101">
        <f t="shared" si="230"/>
        <v>12.259752499327247</v>
      </c>
      <c r="H793" s="101">
        <f t="shared" si="231"/>
        <v>0.28054937422004</v>
      </c>
      <c r="I793" s="101">
        <f t="shared" si="232"/>
        <v>0.28054937422004</v>
      </c>
      <c r="J793" s="101">
        <f t="shared" si="233"/>
        <v>0.12310787676213542</v>
      </c>
      <c r="K793" s="101">
        <f t="shared" si="234"/>
        <v>2.1992018654662458E-2</v>
      </c>
      <c r="L793" s="101">
        <f t="shared" si="243"/>
        <v>109.07981363147441</v>
      </c>
      <c r="M793" s="101">
        <f t="shared" si="235"/>
        <v>586.98840868074331</v>
      </c>
      <c r="N793" s="101">
        <f t="shared" si="236"/>
        <v>56.528255541176918</v>
      </c>
      <c r="O793" s="101">
        <f t="shared" si="237"/>
        <v>1.3493236003220446</v>
      </c>
      <c r="P793" s="101">
        <f t="shared" si="238"/>
        <v>1.3493236003220446</v>
      </c>
      <c r="Q793" s="101">
        <f t="shared" si="239"/>
        <v>0.58987314479059516</v>
      </c>
      <c r="R793" s="101">
        <f t="shared" si="240"/>
        <v>1.5720776746243056E-2</v>
      </c>
      <c r="S793" s="101">
        <f t="shared" si="228"/>
        <v>527.1559120173855</v>
      </c>
      <c r="T793" s="101">
        <f t="shared" si="244"/>
        <v>250.4531763835673</v>
      </c>
      <c r="U793" s="101">
        <f t="shared" si="244"/>
        <v>41.263343977987908</v>
      </c>
      <c r="V793" s="33">
        <f t="shared" si="245"/>
        <v>1000.0000000000034</v>
      </c>
      <c r="W793" s="105">
        <f t="shared" si="241"/>
        <v>55917.506595692459</v>
      </c>
      <c r="X793" s="112">
        <f t="shared" si="246"/>
        <v>708.28347963844817</v>
      </c>
      <c r="Y793" s="32">
        <f t="shared" si="242"/>
        <v>371.80178276886937</v>
      </c>
    </row>
    <row r="794" spans="1:25" x14ac:dyDescent="0.25">
      <c r="A794" s="4">
        <v>788</v>
      </c>
      <c r="C794" s="110">
        <f>IF(male=0,VLOOKUP(((A792:A1626/'Life tables'!$I$2)*2)+age,lifetable,13,1),IF(male=1,VLOOKUP(((A792:A1626/'Life tables'!$I$2)*2)+age,lifetable,10,1),"error"))</f>
        <v>9.128120834711595E-4</v>
      </c>
      <c r="F794" s="101">
        <f t="shared" si="229"/>
        <v>121.91650243912923</v>
      </c>
      <c r="G794" s="101">
        <f t="shared" si="230"/>
        <v>12.246767827192166</v>
      </c>
      <c r="H794" s="101">
        <f t="shared" si="231"/>
        <v>0.28025223595055621</v>
      </c>
      <c r="I794" s="101">
        <f t="shared" si="232"/>
        <v>0.28025223595055621</v>
      </c>
      <c r="J794" s="101">
        <f t="shared" si="233"/>
        <v>0.12297748951189605</v>
      </c>
      <c r="K794" s="101">
        <f t="shared" si="234"/>
        <v>2.1968726247100799E-2</v>
      </c>
      <c r="L794" s="101">
        <f t="shared" si="243"/>
        <v>108.96428392427696</v>
      </c>
      <c r="M794" s="101">
        <f t="shared" si="235"/>
        <v>586.36697719931897</v>
      </c>
      <c r="N794" s="101">
        <f t="shared" si="236"/>
        <v>56.468410343105226</v>
      </c>
      <c r="O794" s="101">
        <f t="shared" si="237"/>
        <v>1.3478951016473373</v>
      </c>
      <c r="P794" s="101">
        <f t="shared" si="238"/>
        <v>1.3478951016473373</v>
      </c>
      <c r="Q794" s="101">
        <f t="shared" si="239"/>
        <v>0.5892486593036611</v>
      </c>
      <c r="R794" s="101">
        <f t="shared" si="240"/>
        <v>1.5704133512001828E-2</v>
      </c>
      <c r="S794" s="101">
        <f t="shared" si="228"/>
        <v>526.5978238601034</v>
      </c>
      <c r="T794" s="101">
        <f t="shared" si="244"/>
        <v>251.16540253238284</v>
      </c>
      <c r="U794" s="101">
        <f t="shared" si="244"/>
        <v>41.301016837747014</v>
      </c>
      <c r="V794" s="33">
        <f t="shared" si="245"/>
        <v>1000.0000000000034</v>
      </c>
      <c r="W794" s="105">
        <f t="shared" si="241"/>
        <v>55794.103773583789</v>
      </c>
      <c r="X794" s="112">
        <f t="shared" si="246"/>
        <v>707.53358062987354</v>
      </c>
      <c r="Y794" s="32">
        <f t="shared" si="242"/>
        <v>371.30132299067662</v>
      </c>
    </row>
    <row r="795" spans="1:25" x14ac:dyDescent="0.25">
      <c r="A795" s="4">
        <v>789</v>
      </c>
      <c r="C795" s="110">
        <f>IF(male=0,VLOOKUP(((A793:A1627/'Life tables'!$I$2)*2)+age,lifetable,13,1),IF(male=1,VLOOKUP(((A793:A1627/'Life tables'!$I$2)*2)+age,lifetable,10,1),"error"))</f>
        <v>9.128120834711595E-4</v>
      </c>
      <c r="F795" s="101">
        <f t="shared" si="229"/>
        <v>121.78737842256071</v>
      </c>
      <c r="G795" s="101">
        <f t="shared" si="230"/>
        <v>12.23379704948618</v>
      </c>
      <c r="H795" s="101">
        <f t="shared" si="231"/>
        <v>0.27995541563801224</v>
      </c>
      <c r="I795" s="101">
        <f t="shared" si="232"/>
        <v>0.27995541563801224</v>
      </c>
      <c r="J795" s="101">
        <f t="shared" si="233"/>
        <v>0.12284724178434811</v>
      </c>
      <c r="K795" s="101">
        <f t="shared" si="234"/>
        <v>2.1945458763903962E-2</v>
      </c>
      <c r="L795" s="101">
        <f t="shared" si="243"/>
        <v>108.84887784125026</v>
      </c>
      <c r="M795" s="101">
        <f t="shared" si="235"/>
        <v>585.74620220731276</v>
      </c>
      <c r="N795" s="101">
        <f t="shared" si="236"/>
        <v>56.408628366386864</v>
      </c>
      <c r="O795" s="101">
        <f t="shared" si="237"/>
        <v>1.346468112059781</v>
      </c>
      <c r="P795" s="101">
        <f t="shared" si="238"/>
        <v>1.346468112059781</v>
      </c>
      <c r="Q795" s="101">
        <f t="shared" si="239"/>
        <v>0.58862483353244166</v>
      </c>
      <c r="R795" s="101">
        <f t="shared" si="240"/>
        <v>1.568750785991968E-2</v>
      </c>
      <c r="S795" s="101">
        <f t="shared" si="228"/>
        <v>526.04032527541392</v>
      </c>
      <c r="T795" s="101">
        <f t="shared" si="244"/>
        <v>251.87687460769962</v>
      </c>
      <c r="U795" s="101">
        <f t="shared" si="244"/>
        <v>41.338649804370839</v>
      </c>
      <c r="V795" s="33">
        <f t="shared" si="245"/>
        <v>1000.0000000000032</v>
      </c>
      <c r="W795" s="105">
        <f t="shared" si="241"/>
        <v>55670.973239331011</v>
      </c>
      <c r="X795" s="112">
        <f t="shared" si="246"/>
        <v>706.78447558793277</v>
      </c>
      <c r="Y795" s="32">
        <f t="shared" si="242"/>
        <v>370.80153685416337</v>
      </c>
    </row>
    <row r="796" spans="1:25" x14ac:dyDescent="0.25">
      <c r="A796" s="4">
        <v>790</v>
      </c>
      <c r="C796" s="110">
        <f>IF(male=0,VLOOKUP(((A794:A1628/'Life tables'!$I$2)*2)+age,lifetable,13,1),IF(male=1,VLOOKUP(((A794:A1628/'Life tables'!$I$2)*2)+age,lifetable,10,1),"error"))</f>
        <v>9.128120834711595E-4</v>
      </c>
      <c r="F796" s="101">
        <f t="shared" si="229"/>
        <v>121.6583925318033</v>
      </c>
      <c r="G796" s="101">
        <f t="shared" si="230"/>
        <v>12.220840146807001</v>
      </c>
      <c r="H796" s="101">
        <f t="shared" si="231"/>
        <v>0.27965891283841066</v>
      </c>
      <c r="I796" s="101">
        <f t="shared" si="232"/>
        <v>0.27965891283841066</v>
      </c>
      <c r="J796" s="101">
        <f t="shared" si="233"/>
        <v>0.12271713338466103</v>
      </c>
      <c r="K796" s="101">
        <f t="shared" si="234"/>
        <v>2.1922216170267364E-2</v>
      </c>
      <c r="L796" s="101">
        <f t="shared" si="243"/>
        <v>108.73359520976454</v>
      </c>
      <c r="M796" s="101">
        <f t="shared" si="235"/>
        <v>585.12608305612969</v>
      </c>
      <c r="N796" s="101">
        <f t="shared" si="236"/>
        <v>56.348909548560734</v>
      </c>
      <c r="O796" s="101">
        <f t="shared" si="237"/>
        <v>1.3450426300684355</v>
      </c>
      <c r="P796" s="101">
        <f t="shared" si="238"/>
        <v>1.3450426300684355</v>
      </c>
      <c r="Q796" s="101">
        <f t="shared" si="239"/>
        <v>0.58800166682515476</v>
      </c>
      <c r="R796" s="101">
        <f t="shared" si="240"/>
        <v>1.5670899772625878E-2</v>
      </c>
      <c r="S796" s="101">
        <f t="shared" si="228"/>
        <v>525.48341568083436</v>
      </c>
      <c r="T796" s="101">
        <f t="shared" si="244"/>
        <v>252.58759340790942</v>
      </c>
      <c r="U796" s="101">
        <f t="shared" si="244"/>
        <v>41.376242920313729</v>
      </c>
      <c r="V796" s="33">
        <f t="shared" si="245"/>
        <v>1000.0000000000035</v>
      </c>
      <c r="W796" s="105">
        <f t="shared" si="241"/>
        <v>55548.114393668497</v>
      </c>
      <c r="X796" s="112">
        <f t="shared" si="246"/>
        <v>706.03616367178029</v>
      </c>
      <c r="Y796" s="32">
        <f t="shared" si="242"/>
        <v>370.30242345247461</v>
      </c>
    </row>
    <row r="797" spans="1:25" x14ac:dyDescent="0.25">
      <c r="A797" s="4">
        <v>791</v>
      </c>
      <c r="C797" s="110">
        <f>IF(male=0,VLOOKUP(((A795:A1629/'Life tables'!$I$2)*2)+age,lifetable,13,1),IF(male=1,VLOOKUP(((A795:A1629/'Life tables'!$I$2)*2)+age,lifetable,10,1),"error"))</f>
        <v>9.128120834711595E-4</v>
      </c>
      <c r="F797" s="101">
        <f t="shared" si="229"/>
        <v>121.52954457540395</v>
      </c>
      <c r="G797" s="101">
        <f t="shared" si="230"/>
        <v>12.207897099922771</v>
      </c>
      <c r="H797" s="101">
        <f t="shared" si="231"/>
        <v>0.27936272711165389</v>
      </c>
      <c r="I797" s="101">
        <f t="shared" si="232"/>
        <v>0.27936272711165389</v>
      </c>
      <c r="J797" s="101">
        <f t="shared" si="233"/>
        <v>0.12258716411971562</v>
      </c>
      <c r="K797" s="101">
        <f t="shared" si="234"/>
        <v>2.189899843169215E-2</v>
      </c>
      <c r="L797" s="101">
        <f t="shared" si="243"/>
        <v>108.61843585870646</v>
      </c>
      <c r="M797" s="101">
        <f t="shared" si="235"/>
        <v>584.50661909637643</v>
      </c>
      <c r="N797" s="101">
        <f t="shared" si="236"/>
        <v>56.289253827088856</v>
      </c>
      <c r="O797" s="101">
        <f t="shared" si="237"/>
        <v>1.3436186541805255</v>
      </c>
      <c r="P797" s="101">
        <f t="shared" si="238"/>
        <v>1.3436186541805255</v>
      </c>
      <c r="Q797" s="101">
        <f t="shared" si="239"/>
        <v>0.58737915852921518</v>
      </c>
      <c r="R797" s="101">
        <f t="shared" si="240"/>
        <v>1.5654309232728317E-2</v>
      </c>
      <c r="S797" s="101">
        <f t="shared" si="228"/>
        <v>524.92709449316453</v>
      </c>
      <c r="T797" s="101">
        <f t="shared" si="244"/>
        <v>253.29755973055836</v>
      </c>
      <c r="U797" s="101">
        <f t="shared" si="244"/>
        <v>41.413796227978146</v>
      </c>
      <c r="V797" s="33">
        <f t="shared" si="245"/>
        <v>1000.0000000000035</v>
      </c>
      <c r="W797" s="105">
        <f t="shared" si="241"/>
        <v>55425.526638598618</v>
      </c>
      <c r="X797" s="112">
        <f t="shared" si="246"/>
        <v>705.28864404146702</v>
      </c>
      <c r="Y797" s="32">
        <f t="shared" si="242"/>
        <v>369.80398187997861</v>
      </c>
    </row>
    <row r="798" spans="1:25" x14ac:dyDescent="0.25">
      <c r="A798" s="4">
        <v>792</v>
      </c>
      <c r="C798" s="110">
        <f>IF(male=0,VLOOKUP(((A796:A1630/'Life tables'!$I$2)*2)+age,lifetable,13,1),IF(male=1,VLOOKUP(((A796:A1630/'Life tables'!$I$2)*2)+age,lifetable,10,1),"error"))</f>
        <v>9.128120834711595E-4</v>
      </c>
      <c r="F798" s="101">
        <f t="shared" si="229"/>
        <v>121.40083436355681</v>
      </c>
      <c r="G798" s="101">
        <f t="shared" si="230"/>
        <v>12.194967889767094</v>
      </c>
      <c r="H798" s="101">
        <f t="shared" si="231"/>
        <v>0.27906685802143094</v>
      </c>
      <c r="I798" s="101">
        <f t="shared" si="232"/>
        <v>0.27906685802143094</v>
      </c>
      <c r="J798" s="101">
        <f t="shared" si="233"/>
        <v>0.12245733379805421</v>
      </c>
      <c r="K798" s="101">
        <f t="shared" si="234"/>
        <v>2.1875805513976294E-2</v>
      </c>
      <c r="L798" s="101">
        <f t="shared" si="243"/>
        <v>108.50339961843483</v>
      </c>
      <c r="M798" s="101">
        <f t="shared" si="235"/>
        <v>583.88780967791024</v>
      </c>
      <c r="N798" s="101">
        <f t="shared" si="236"/>
        <v>56.229661139361063</v>
      </c>
      <c r="O798" s="101">
        <f t="shared" si="237"/>
        <v>1.3421961829015532</v>
      </c>
      <c r="P798" s="101">
        <f t="shared" si="238"/>
        <v>1.3421961829015532</v>
      </c>
      <c r="Q798" s="101">
        <f t="shared" si="239"/>
        <v>0.58675730799128534</v>
      </c>
      <c r="R798" s="101">
        <f t="shared" si="240"/>
        <v>1.5637736222814808E-2</v>
      </c>
      <c r="S798" s="101">
        <f t="shared" si="228"/>
        <v>524.37136112853193</v>
      </c>
      <c r="T798" s="101">
        <f t="shared" si="244"/>
        <v>254.00677437234771</v>
      </c>
      <c r="U798" s="101">
        <f t="shared" si="244"/>
        <v>41.451309769714939</v>
      </c>
      <c r="V798" s="33">
        <f t="shared" si="245"/>
        <v>1000.0000000000036</v>
      </c>
      <c r="W798" s="105">
        <f t="shared" si="241"/>
        <v>55303.209377390929</v>
      </c>
      <c r="X798" s="112">
        <f t="shared" si="246"/>
        <v>704.54191585794092</v>
      </c>
      <c r="Y798" s="32">
        <f t="shared" si="242"/>
        <v>369.30621123226632</v>
      </c>
    </row>
    <row r="799" spans="1:25" x14ac:dyDescent="0.25">
      <c r="A799" s="4">
        <v>793</v>
      </c>
      <c r="C799" s="110">
        <f>IF(male=0,VLOOKUP(((A797:A1631/'Life tables'!$I$2)*2)+age,lifetable,13,1),IF(male=1,VLOOKUP(((A797:A1631/'Life tables'!$I$2)*2)+age,lifetable,10,1),"error"))</f>
        <v>9.128120834711595E-4</v>
      </c>
      <c r="F799" s="101">
        <f t="shared" si="229"/>
        <v>121.27226170805531</v>
      </c>
      <c r="G799" s="101">
        <f t="shared" si="230"/>
        <v>12.182052497434226</v>
      </c>
      <c r="H799" s="101">
        <f t="shared" si="231"/>
        <v>0.27877130513510706</v>
      </c>
      <c r="I799" s="101">
        <f t="shared" si="232"/>
        <v>0.27877130513510706</v>
      </c>
      <c r="J799" s="101">
        <f t="shared" si="233"/>
        <v>0.12232764222983236</v>
      </c>
      <c r="K799" s="101">
        <f t="shared" si="234"/>
        <v>2.1852637383205926E-2</v>
      </c>
      <c r="L799" s="101">
        <f t="shared" si="243"/>
        <v>108.38848632073783</v>
      </c>
      <c r="M799" s="101">
        <f t="shared" si="235"/>
        <v>583.26965414988558</v>
      </c>
      <c r="N799" s="101">
        <f t="shared" si="236"/>
        <v>56.170131422699534</v>
      </c>
      <c r="O799" s="101">
        <f t="shared" si="237"/>
        <v>1.3407752147354053</v>
      </c>
      <c r="P799" s="101">
        <f t="shared" si="238"/>
        <v>1.3407752147354053</v>
      </c>
      <c r="Q799" s="101">
        <f t="shared" si="239"/>
        <v>0.58613611455732129</v>
      </c>
      <c r="R799" s="101">
        <f t="shared" si="240"/>
        <v>1.5621180725454355E-2</v>
      </c>
      <c r="S799" s="101">
        <f t="shared" si="228"/>
        <v>523.8162150024325</v>
      </c>
      <c r="T799" s="101">
        <f t="shared" si="244"/>
        <v>254.71523812913486</v>
      </c>
      <c r="U799" s="101">
        <f t="shared" si="244"/>
        <v>41.488783587823598</v>
      </c>
      <c r="V799" s="33">
        <f t="shared" si="245"/>
        <v>1000.0000000000035</v>
      </c>
      <c r="W799" s="105">
        <f t="shared" si="241"/>
        <v>55181.162014580928</v>
      </c>
      <c r="X799" s="112">
        <f t="shared" si="246"/>
        <v>703.79597828304509</v>
      </c>
      <c r="Y799" s="32">
        <f t="shared" si="242"/>
        <v>368.80911060615</v>
      </c>
    </row>
    <row r="800" spans="1:25" x14ac:dyDescent="0.25">
      <c r="A800" s="4">
        <v>794</v>
      </c>
      <c r="C800" s="110">
        <f>IF(male=0,VLOOKUP(((A798:A1632/'Life tables'!$I$2)*2)+age,lifetable,13,1),IF(male=1,VLOOKUP(((A798:A1632/'Life tables'!$I$2)*2)+age,lifetable,10,1),"error"))</f>
        <v>9.128120834711595E-4</v>
      </c>
      <c r="F800" s="101">
        <f t="shared" si="229"/>
        <v>121.14382642224582</v>
      </c>
      <c r="G800" s="101">
        <f t="shared" si="230"/>
        <v>12.169150904174419</v>
      </c>
      <c r="H800" s="101">
        <f t="shared" si="231"/>
        <v>0.27847606802361735</v>
      </c>
      <c r="I800" s="101">
        <f t="shared" si="232"/>
        <v>0.27847606802361735</v>
      </c>
      <c r="J800" s="101">
        <f t="shared" si="233"/>
        <v>0.12219808922677208</v>
      </c>
      <c r="K800" s="101">
        <f t="shared" si="234"/>
        <v>2.1829494005747036E-2</v>
      </c>
      <c r="L800" s="101">
        <f t="shared" si="243"/>
        <v>108.27369579879165</v>
      </c>
      <c r="M800" s="101">
        <f t="shared" si="235"/>
        <v>582.65215186079945</v>
      </c>
      <c r="N800" s="101">
        <f t="shared" si="236"/>
        <v>56.110664614363102</v>
      </c>
      <c r="O800" s="101">
        <f t="shared" si="237"/>
        <v>1.3393557481844567</v>
      </c>
      <c r="P800" s="101">
        <f t="shared" si="238"/>
        <v>1.3393557481844567</v>
      </c>
      <c r="Q800" s="101">
        <f t="shared" si="239"/>
        <v>0.58551557757261763</v>
      </c>
      <c r="R800" s="101">
        <f t="shared" si="240"/>
        <v>1.5604642723198338E-2</v>
      </c>
      <c r="S800" s="101">
        <f t="shared" si="228"/>
        <v>523.26165552977159</v>
      </c>
      <c r="T800" s="101">
        <f t="shared" si="244"/>
        <v>255.42295179593424</v>
      </c>
      <c r="U800" s="101">
        <f t="shared" si="244"/>
        <v>41.526217724552545</v>
      </c>
      <c r="V800" s="33">
        <f t="shared" si="245"/>
        <v>1000.0000000000038</v>
      </c>
      <c r="W800" s="105">
        <f t="shared" si="241"/>
        <v>55059.383955969075</v>
      </c>
      <c r="X800" s="112">
        <f t="shared" si="246"/>
        <v>703.05083047951689</v>
      </c>
      <c r="Y800" s="32">
        <f t="shared" si="242"/>
        <v>368.31267909965999</v>
      </c>
    </row>
    <row r="801" spans="1:25" x14ac:dyDescent="0.25">
      <c r="A801" s="4">
        <v>795</v>
      </c>
      <c r="C801" s="110">
        <f>IF(male=0,VLOOKUP(((A799:A1633/'Life tables'!$I$2)*2)+age,lifetable,13,1),IF(male=1,VLOOKUP(((A799:A1633/'Life tables'!$I$2)*2)+age,lifetable,10,1),"error"))</f>
        <v>9.128120834711595E-4</v>
      </c>
      <c r="F801" s="101">
        <f t="shared" si="229"/>
        <v>121.0155283209828</v>
      </c>
      <c r="G801" s="101">
        <f t="shared" si="230"/>
        <v>12.156263091389416</v>
      </c>
      <c r="H801" s="101">
        <f t="shared" si="231"/>
        <v>0.27818114626136348</v>
      </c>
      <c r="I801" s="101">
        <f t="shared" si="232"/>
        <v>0.27818114626136348</v>
      </c>
      <c r="J801" s="101">
        <f t="shared" si="233"/>
        <v>0.12206867460211661</v>
      </c>
      <c r="K801" s="101">
        <f t="shared" si="234"/>
        <v>2.1806375348237338E-2</v>
      </c>
      <c r="L801" s="101">
        <f t="shared" si="243"/>
        <v>108.1590278871203</v>
      </c>
      <c r="M801" s="101">
        <f t="shared" si="235"/>
        <v>582.03530215853402</v>
      </c>
      <c r="N801" s="101">
        <f t="shared" si="236"/>
        <v>56.051260651551424</v>
      </c>
      <c r="O801" s="101">
        <f t="shared" si="237"/>
        <v>1.3379377817496696</v>
      </c>
      <c r="P801" s="101">
        <f t="shared" si="238"/>
        <v>1.3379377817496696</v>
      </c>
      <c r="Q801" s="101">
        <f t="shared" si="239"/>
        <v>0.58489569638185235</v>
      </c>
      <c r="R801" s="101">
        <f t="shared" si="240"/>
        <v>1.5588122198581683E-2</v>
      </c>
      <c r="S801" s="101">
        <f t="shared" si="228"/>
        <v>522.70768212490282</v>
      </c>
      <c r="T801" s="101">
        <f t="shared" si="244"/>
        <v>256.12991616691824</v>
      </c>
      <c r="U801" s="101">
        <f t="shared" si="244"/>
        <v>41.563612222099366</v>
      </c>
      <c r="V801" s="33">
        <f t="shared" si="245"/>
        <v>1000.0000000000035</v>
      </c>
      <c r="W801" s="105">
        <f t="shared" si="241"/>
        <v>54937.874608619582</v>
      </c>
      <c r="X801" s="112">
        <f t="shared" si="246"/>
        <v>702.30647161098602</v>
      </c>
      <c r="Y801" s="32">
        <f t="shared" si="242"/>
        <v>367.81691581204404</v>
      </c>
    </row>
    <row r="802" spans="1:25" x14ac:dyDescent="0.25">
      <c r="A802" s="4">
        <v>796</v>
      </c>
      <c r="C802" s="110">
        <f>IF(male=0,VLOOKUP(((A800:A1634/'Life tables'!$I$2)*2)+age,lifetable,13,1),IF(male=1,VLOOKUP(((A800:A1634/'Life tables'!$I$2)*2)+age,lifetable,10,1),"error"))</f>
        <v>9.128120834711595E-4</v>
      </c>
      <c r="F802" s="101">
        <f t="shared" si="229"/>
        <v>120.88736722058519</v>
      </c>
      <c r="G802" s="101">
        <f t="shared" si="230"/>
        <v>12.143389040628072</v>
      </c>
      <c r="H802" s="101">
        <f t="shared" si="231"/>
        <v>0.27788653942611369</v>
      </c>
      <c r="I802" s="101">
        <f t="shared" si="232"/>
        <v>0.27788653942611369</v>
      </c>
      <c r="J802" s="101">
        <f t="shared" si="233"/>
        <v>0.12193939817058637</v>
      </c>
      <c r="K802" s="101">
        <f t="shared" si="234"/>
        <v>2.1783281377578463E-2</v>
      </c>
      <c r="L802" s="101">
        <f t="shared" si="243"/>
        <v>108.04448242155672</v>
      </c>
      <c r="M802" s="101">
        <f t="shared" si="235"/>
        <v>581.41910439040089</v>
      </c>
      <c r="N802" s="101">
        <f t="shared" si="236"/>
        <v>55.991919471409176</v>
      </c>
      <c r="O802" s="101">
        <f t="shared" si="237"/>
        <v>1.3365213139306944</v>
      </c>
      <c r="P802" s="101">
        <f t="shared" si="238"/>
        <v>1.3365213139306944</v>
      </c>
      <c r="Q802" s="101">
        <f t="shared" si="239"/>
        <v>0.58427647032912922</v>
      </c>
      <c r="R802" s="101">
        <f t="shared" si="240"/>
        <v>1.557161913412403E-2</v>
      </c>
      <c r="S802" s="101">
        <f t="shared" si="228"/>
        <v>522.15429420166708</v>
      </c>
      <c r="T802" s="101">
        <f t="shared" si="244"/>
        <v>256.83613203541796</v>
      </c>
      <c r="U802" s="101">
        <f t="shared" si="244"/>
        <v>41.600967122611067</v>
      </c>
      <c r="V802" s="33">
        <f t="shared" si="245"/>
        <v>1000.0000000000036</v>
      </c>
      <c r="W802" s="105">
        <f t="shared" si="241"/>
        <v>54816.633380859261</v>
      </c>
      <c r="X802" s="112">
        <f t="shared" si="246"/>
        <v>701.56290084197462</v>
      </c>
      <c r="Y802" s="32">
        <f t="shared" si="242"/>
        <v>367.32181984376518</v>
      </c>
    </row>
    <row r="803" spans="1:25" x14ac:dyDescent="0.25">
      <c r="A803" s="4">
        <v>797</v>
      </c>
      <c r="C803" s="110">
        <f>IF(male=0,VLOOKUP(((A801:A1635/'Life tables'!$I$2)*2)+age,lifetable,13,1),IF(male=1,VLOOKUP(((A801:A1635/'Life tables'!$I$2)*2)+age,lifetable,10,1),"error"))</f>
        <v>9.128120834711595E-4</v>
      </c>
      <c r="F803" s="101">
        <f t="shared" si="229"/>
        <v>120.75934293879452</v>
      </c>
      <c r="G803" s="101">
        <f t="shared" si="230"/>
        <v>12.130528733582139</v>
      </c>
      <c r="H803" s="101">
        <f t="shared" si="231"/>
        <v>0.27759224709890629</v>
      </c>
      <c r="I803" s="101">
        <f t="shared" si="232"/>
        <v>0.27759224709890629</v>
      </c>
      <c r="J803" s="101">
        <f t="shared" si="233"/>
        <v>0.12181025974833673</v>
      </c>
      <c r="K803" s="101">
        <f t="shared" si="234"/>
        <v>2.1760212060928361E-2</v>
      </c>
      <c r="L803" s="101">
        <f t="shared" si="243"/>
        <v>107.93005923920531</v>
      </c>
      <c r="M803" s="101">
        <f t="shared" si="235"/>
        <v>580.80355790318026</v>
      </c>
      <c r="N803" s="101">
        <f t="shared" si="236"/>
        <v>55.932641011029894</v>
      </c>
      <c r="O803" s="101">
        <f t="shared" si="237"/>
        <v>1.3351063432259596</v>
      </c>
      <c r="P803" s="101">
        <f t="shared" si="238"/>
        <v>1.3351063432259596</v>
      </c>
      <c r="Q803" s="101">
        <f t="shared" si="239"/>
        <v>0.5836578987580181</v>
      </c>
      <c r="R803" s="101">
        <f t="shared" si="240"/>
        <v>1.5555133512330784E-2</v>
      </c>
      <c r="S803" s="101">
        <f t="shared" si="228"/>
        <v>521.60149117342814</v>
      </c>
      <c r="T803" s="101">
        <f t="shared" si="244"/>
        <v>257.5416001939243</v>
      </c>
      <c r="U803" s="101">
        <f t="shared" si="244"/>
        <v>41.638282468184329</v>
      </c>
      <c r="V803" s="33">
        <f t="shared" si="245"/>
        <v>1000.0000000000039</v>
      </c>
      <c r="W803" s="105">
        <f t="shared" si="241"/>
        <v>54695.659682276113</v>
      </c>
      <c r="X803" s="112">
        <f t="shared" si="246"/>
        <v>700.82011733789523</v>
      </c>
      <c r="Y803" s="32">
        <f t="shared" si="242"/>
        <v>366.8273902965002</v>
      </c>
    </row>
    <row r="804" spans="1:25" x14ac:dyDescent="0.25">
      <c r="A804" s="4">
        <v>798</v>
      </c>
      <c r="C804" s="110">
        <f>IF(male=0,VLOOKUP(((A802:A1636/'Life tables'!$I$2)*2)+age,lifetable,13,1),IF(male=1,VLOOKUP(((A802:A1636/'Life tables'!$I$2)*2)+age,lifetable,10,1),"error"))</f>
        <v>9.128120834711595E-4</v>
      </c>
      <c r="F804" s="101">
        <f t="shared" si="229"/>
        <v>120.63145529473398</v>
      </c>
      <c r="G804" s="101">
        <f t="shared" si="230"/>
        <v>12.117682152082166</v>
      </c>
      <c r="H804" s="101">
        <f t="shared" si="231"/>
        <v>0.27729826886395564</v>
      </c>
      <c r="I804" s="101">
        <f t="shared" si="232"/>
        <v>0.27729826886395564</v>
      </c>
      <c r="J804" s="101">
        <f t="shared" si="233"/>
        <v>0.12168125915291686</v>
      </c>
      <c r="K804" s="101">
        <f t="shared" si="234"/>
        <v>2.173716736569397E-2</v>
      </c>
      <c r="L804" s="101">
        <f t="shared" si="243"/>
        <v>107.81575817840529</v>
      </c>
      <c r="M804" s="101">
        <f t="shared" si="235"/>
        <v>580.18866204316134</v>
      </c>
      <c r="N804" s="101">
        <f t="shared" si="236"/>
        <v>55.873425207459796</v>
      </c>
      <c r="O804" s="101">
        <f t="shared" si="237"/>
        <v>1.3336928681327656</v>
      </c>
      <c r="P804" s="101">
        <f t="shared" si="238"/>
        <v>1.3336928681327656</v>
      </c>
      <c r="Q804" s="101">
        <f t="shared" si="239"/>
        <v>0.5830399810115956</v>
      </c>
      <c r="R804" s="101">
        <f t="shared" si="240"/>
        <v>1.5538665315694207E-2</v>
      </c>
      <c r="S804" s="101">
        <f t="shared" si="228"/>
        <v>521.04927245310876</v>
      </c>
      <c r="T804" s="101">
        <f t="shared" si="244"/>
        <v>258.24632143408883</v>
      </c>
      <c r="U804" s="101">
        <f t="shared" si="244"/>
        <v>41.675558300865717</v>
      </c>
      <c r="V804" s="33">
        <f t="shared" si="245"/>
        <v>1000.000000000004</v>
      </c>
      <c r="W804" s="105">
        <f t="shared" si="241"/>
        <v>54574.952923718156</v>
      </c>
      <c r="X804" s="112">
        <f t="shared" si="246"/>
        <v>700.07812026504951</v>
      </c>
      <c r="Y804" s="32">
        <f t="shared" si="242"/>
        <v>366.33362627313807</v>
      </c>
    </row>
    <row r="805" spans="1:25" x14ac:dyDescent="0.25">
      <c r="A805" s="4">
        <v>799</v>
      </c>
      <c r="C805" s="110">
        <f>IF(male=0,VLOOKUP(((A803:A1637/'Life tables'!$I$2)*2)+age,lifetable,13,1),IF(male=1,VLOOKUP(((A803:A1637/'Life tables'!$I$2)*2)+age,lifetable,10,1),"error"))</f>
        <v>9.128120834711595E-4</v>
      </c>
      <c r="F805" s="101">
        <f t="shared" si="229"/>
        <v>120.50370410886914</v>
      </c>
      <c r="G805" s="101">
        <f t="shared" si="230"/>
        <v>12.104849278093541</v>
      </c>
      <c r="H805" s="101">
        <f t="shared" si="231"/>
        <v>0.27700460430856183</v>
      </c>
      <c r="I805" s="101">
        <f t="shared" si="232"/>
        <v>0.27700460430856183</v>
      </c>
      <c r="J805" s="101">
        <f t="shared" si="233"/>
        <v>0.1215523962032299</v>
      </c>
      <c r="K805" s="101">
        <f t="shared" si="234"/>
        <v>2.1714147259524107E-2</v>
      </c>
      <c r="L805" s="101">
        <f t="shared" si="243"/>
        <v>107.70157907869573</v>
      </c>
      <c r="M805" s="101">
        <f t="shared" si="235"/>
        <v>579.57441615618029</v>
      </c>
      <c r="N805" s="101">
        <f t="shared" si="236"/>
        <v>55.814271997701496</v>
      </c>
      <c r="O805" s="101">
        <f t="shared" si="237"/>
        <v>1.3322808871473708</v>
      </c>
      <c r="P805" s="101">
        <f t="shared" si="238"/>
        <v>1.3322808871473708</v>
      </c>
      <c r="Q805" s="101">
        <f t="shared" si="239"/>
        <v>0.58242271643248322</v>
      </c>
      <c r="R805" s="101">
        <f t="shared" si="240"/>
        <v>1.552221452669442E-2</v>
      </c>
      <c r="S805" s="101">
        <f t="shared" si="228"/>
        <v>520.49763745322491</v>
      </c>
      <c r="T805" s="101">
        <f t="shared" si="244"/>
        <v>258.95029654672453</v>
      </c>
      <c r="U805" s="101">
        <f t="shared" si="244"/>
        <v>41.712794662651937</v>
      </c>
      <c r="V805" s="33">
        <f t="shared" si="245"/>
        <v>1000.0000000000041</v>
      </c>
      <c r="W805" s="105">
        <f t="shared" si="241"/>
        <v>54454.512517291936</v>
      </c>
      <c r="X805" s="112">
        <f t="shared" si="246"/>
        <v>699.33690879062749</v>
      </c>
      <c r="Y805" s="32">
        <f t="shared" si="242"/>
        <v>365.84052687777728</v>
      </c>
    </row>
    <row r="806" spans="1:25" x14ac:dyDescent="0.25">
      <c r="A806" s="4">
        <v>800</v>
      </c>
      <c r="C806" s="110">
        <f>IF(male=0,VLOOKUP(((A804:A1638/'Life tables'!$I$2)*2)+age,lifetable,13,1),IF(male=1,VLOOKUP(((A804:A1638/'Life tables'!$I$2)*2)+age,lifetable,10,1),"error"))</f>
        <v>9.128120834711595E-4</v>
      </c>
      <c r="F806" s="101">
        <f t="shared" si="229"/>
        <v>120.37608920296964</v>
      </c>
      <c r="G806" s="101">
        <f t="shared" si="230"/>
        <v>12.092030093712653</v>
      </c>
      <c r="H806" s="101">
        <f t="shared" si="231"/>
        <v>0.27671125302302263</v>
      </c>
      <c r="I806" s="101">
        <f t="shared" si="232"/>
        <v>0.27671125302302263</v>
      </c>
      <c r="J806" s="101">
        <f t="shared" si="233"/>
        <v>0.12142367071949439</v>
      </c>
      <c r="K806" s="101">
        <f t="shared" si="234"/>
        <v>2.1691151710302576E-2</v>
      </c>
      <c r="L806" s="101">
        <f t="shared" si="243"/>
        <v>107.58752178078115</v>
      </c>
      <c r="M806" s="101">
        <f t="shared" si="235"/>
        <v>578.96081958765774</v>
      </c>
      <c r="N806" s="101">
        <f t="shared" si="236"/>
        <v>55.755181318717582</v>
      </c>
      <c r="O806" s="101">
        <f t="shared" si="237"/>
        <v>1.3308703987650792</v>
      </c>
      <c r="P806" s="101">
        <f t="shared" si="238"/>
        <v>1.3308703987650792</v>
      </c>
      <c r="Q806" s="101">
        <f t="shared" si="239"/>
        <v>0.58180610436288449</v>
      </c>
      <c r="R806" s="101">
        <f t="shared" si="240"/>
        <v>1.5505781127800423E-2</v>
      </c>
      <c r="S806" s="101">
        <f t="shared" si="228"/>
        <v>519.94658558591937</v>
      </c>
      <c r="T806" s="101">
        <f t="shared" si="244"/>
        <v>259.65352632180691</v>
      </c>
      <c r="U806" s="101">
        <f t="shared" si="244"/>
        <v>41.749991595490037</v>
      </c>
      <c r="V806" s="33">
        <f t="shared" si="245"/>
        <v>1000.000000000004</v>
      </c>
      <c r="W806" s="105">
        <f t="shared" si="241"/>
        <v>54334.337876361344</v>
      </c>
      <c r="X806" s="112">
        <f t="shared" si="246"/>
        <v>698.59648208270698</v>
      </c>
      <c r="Y806" s="32">
        <f t="shared" si="242"/>
        <v>365.34809121572539</v>
      </c>
    </row>
    <row r="807" spans="1:25" x14ac:dyDescent="0.25">
      <c r="A807" s="4">
        <v>801</v>
      </c>
      <c r="C807" s="110">
        <f>IF(male=0,VLOOKUP(((A805:A1639/'Life tables'!$I$2)*2)+age,lifetable,13,1),IF(male=1,VLOOKUP(((A805:A1639/'Life tables'!$I$2)*2)+age,lifetable,10,1),"error"))</f>
        <v>9.128120834711595E-4</v>
      </c>
      <c r="F807" s="101">
        <f t="shared" si="229"/>
        <v>120.24861040007229</v>
      </c>
      <c r="G807" s="101">
        <f t="shared" si="230"/>
        <v>12.07922458116318</v>
      </c>
      <c r="H807" s="101">
        <f t="shared" si="231"/>
        <v>0.27641821460054888</v>
      </c>
      <c r="I807" s="101">
        <f t="shared" si="232"/>
        <v>0.27641821460054888</v>
      </c>
      <c r="J807" s="101">
        <f t="shared" si="233"/>
        <v>0.12129508252320713</v>
      </c>
      <c r="K807" s="101">
        <f t="shared" si="234"/>
        <v>2.1668180686141528E-2</v>
      </c>
      <c r="L807" s="101">
        <f t="shared" si="243"/>
        <v>107.47358612649867</v>
      </c>
      <c r="M807" s="101">
        <f t="shared" si="235"/>
        <v>578.34787168263472</v>
      </c>
      <c r="N807" s="101">
        <f t="shared" si="236"/>
        <v>55.696153107434093</v>
      </c>
      <c r="O807" s="101">
        <f t="shared" si="237"/>
        <v>1.3294614014803212</v>
      </c>
      <c r="P807" s="101">
        <f t="shared" si="238"/>
        <v>1.3294614014803212</v>
      </c>
      <c r="Q807" s="101">
        <f t="shared" si="239"/>
        <v>0.58119014414462178</v>
      </c>
      <c r="R807" s="101">
        <f t="shared" si="240"/>
        <v>1.5489365101471041E-2</v>
      </c>
      <c r="S807" s="101">
        <f t="shared" si="228"/>
        <v>519.39611626299393</v>
      </c>
      <c r="T807" s="101">
        <f t="shared" si="244"/>
        <v>260.35601154847473</v>
      </c>
      <c r="U807" s="101">
        <f t="shared" si="244"/>
        <v>41.787149141277652</v>
      </c>
      <c r="V807" s="33">
        <f t="shared" si="245"/>
        <v>1000.000000000004</v>
      </c>
      <c r="W807" s="105">
        <f t="shared" si="241"/>
        <v>54214.428415545888</v>
      </c>
      <c r="X807" s="112">
        <f t="shared" si="246"/>
        <v>697.85683931025164</v>
      </c>
      <c r="Y807" s="32">
        <f t="shared" si="242"/>
        <v>364.85631839349657</v>
      </c>
    </row>
    <row r="808" spans="1:25" x14ac:dyDescent="0.25">
      <c r="A808" s="4">
        <v>802</v>
      </c>
      <c r="C808" s="110">
        <f>IF(male=0,VLOOKUP(((A806:A1640/'Life tables'!$I$2)*2)+age,lifetable,13,1),IF(male=1,VLOOKUP(((A806:A1640/'Life tables'!$I$2)*2)+age,lifetable,10,1),"error"))</f>
        <v>9.128120834711595E-4</v>
      </c>
      <c r="F808" s="101">
        <f t="shared" si="229"/>
        <v>120.12126752444527</v>
      </c>
      <c r="G808" s="101">
        <f t="shared" si="230"/>
        <v>12.066432722792491</v>
      </c>
      <c r="H808" s="101">
        <f t="shared" si="231"/>
        <v>0.27612548863718178</v>
      </c>
      <c r="I808" s="101">
        <f t="shared" si="232"/>
        <v>0.27612548863718178</v>
      </c>
      <c r="J808" s="101">
        <f t="shared" si="233"/>
        <v>0.12116663143710701</v>
      </c>
      <c r="K808" s="101">
        <f t="shared" si="234"/>
        <v>2.1645234155374986E-2</v>
      </c>
      <c r="L808" s="101">
        <f t="shared" si="243"/>
        <v>107.35977195878594</v>
      </c>
      <c r="M808" s="101">
        <f t="shared" si="235"/>
        <v>577.73557178580631</v>
      </c>
      <c r="N808" s="101">
        <f t="shared" si="236"/>
        <v>55.637187300743726</v>
      </c>
      <c r="O808" s="101">
        <f t="shared" si="237"/>
        <v>1.3280538937867328</v>
      </c>
      <c r="P808" s="101">
        <f t="shared" si="238"/>
        <v>1.3280538937867328</v>
      </c>
      <c r="Q808" s="101">
        <f t="shared" si="239"/>
        <v>0.58057483511916941</v>
      </c>
      <c r="R808" s="101">
        <f t="shared" si="240"/>
        <v>1.5472966430155841E-2</v>
      </c>
      <c r="S808" s="101">
        <f t="shared" si="228"/>
        <v>518.84622889593982</v>
      </c>
      <c r="T808" s="101">
        <f t="shared" si="244"/>
        <v>261.05775301503098</v>
      </c>
      <c r="U808" s="101">
        <f t="shared" si="244"/>
        <v>41.824267341863184</v>
      </c>
      <c r="V808" s="33">
        <f t="shared" si="245"/>
        <v>1000.000000000004</v>
      </c>
      <c r="W808" s="105">
        <f t="shared" si="241"/>
        <v>54094.78355071944</v>
      </c>
      <c r="X808" s="112">
        <f t="shared" si="246"/>
        <v>697.11797964310983</v>
      </c>
      <c r="Y808" s="32">
        <f t="shared" si="242"/>
        <v>364.36520751881022</v>
      </c>
    </row>
    <row r="809" spans="1:25" x14ac:dyDescent="0.25">
      <c r="A809" s="4">
        <v>803</v>
      </c>
      <c r="C809" s="110">
        <f>IF(male=0,VLOOKUP(((A807:A1641/'Life tables'!$I$2)*2)+age,lifetable,13,1),IF(male=1,VLOOKUP(((A807:A1641/'Life tables'!$I$2)*2)+age,lifetable,10,1),"error"))</f>
        <v>9.128120834711595E-4</v>
      </c>
      <c r="F809" s="101">
        <f t="shared" si="229"/>
        <v>119.99406040155338</v>
      </c>
      <c r="G809" s="101">
        <f t="shared" si="230"/>
        <v>12.053654501068161</v>
      </c>
      <c r="H809" s="101">
        <f t="shared" si="231"/>
        <v>0.2758330747317132</v>
      </c>
      <c r="I809" s="101">
        <f t="shared" si="232"/>
        <v>0.2758330747317132</v>
      </c>
      <c r="J809" s="101">
        <f t="shared" si="233"/>
        <v>0.12103831728513986</v>
      </c>
      <c r="K809" s="101">
        <f t="shared" si="234"/>
        <v>2.1622312086552607E-2</v>
      </c>
      <c r="L809" s="101">
        <f t="shared" si="243"/>
        <v>107.2460791216501</v>
      </c>
      <c r="M809" s="101">
        <f t="shared" si="235"/>
        <v>577.12391924155645</v>
      </c>
      <c r="N809" s="101">
        <f t="shared" si="236"/>
        <v>55.578283835509247</v>
      </c>
      <c r="O809" s="101">
        <f t="shared" si="237"/>
        <v>1.3266478741772345</v>
      </c>
      <c r="P809" s="101">
        <f t="shared" si="238"/>
        <v>1.3266478741772345</v>
      </c>
      <c r="Q809" s="101">
        <f t="shared" si="239"/>
        <v>0.57996017662768962</v>
      </c>
      <c r="R809" s="101">
        <f t="shared" si="240"/>
        <v>1.5456585096296056E-2</v>
      </c>
      <c r="S809" s="101">
        <f t="shared" si="228"/>
        <v>518.29692289596881</v>
      </c>
      <c r="T809" s="101">
        <f t="shared" si="244"/>
        <v>261.75875150894382</v>
      </c>
      <c r="U809" s="101">
        <f t="shared" si="244"/>
        <v>41.861346239046036</v>
      </c>
      <c r="V809" s="33">
        <f t="shared" si="245"/>
        <v>1000.0000000000041</v>
      </c>
      <c r="W809" s="105">
        <f t="shared" si="241"/>
        <v>53975.402699008533</v>
      </c>
      <c r="X809" s="112">
        <f t="shared" si="246"/>
        <v>696.37990225201418</v>
      </c>
      <c r="Y809" s="32">
        <f t="shared" si="242"/>
        <v>363.87475770058876</v>
      </c>
    </row>
    <row r="810" spans="1:25" x14ac:dyDescent="0.25">
      <c r="A810" s="4">
        <v>804</v>
      </c>
      <c r="C810" s="110">
        <f>IF(male=0,VLOOKUP(((A808:A1642/'Life tables'!$I$2)*2)+age,lifetable,13,1),IF(male=1,VLOOKUP(((A808:A1642/'Life tables'!$I$2)*2)+age,lifetable,10,1),"error"))</f>
        <v>9.128120834711595E-4</v>
      </c>
      <c r="F810" s="101">
        <f t="shared" si="229"/>
        <v>119.8669888580246</v>
      </c>
      <c r="G810" s="101">
        <f t="shared" si="230"/>
        <v>12.040889898574605</v>
      </c>
      <c r="H810" s="101">
        <f t="shared" si="231"/>
        <v>0.2755409724856091</v>
      </c>
      <c r="I810" s="101">
        <f t="shared" si="232"/>
        <v>0.2755409724856091</v>
      </c>
      <c r="J810" s="101">
        <f t="shared" si="233"/>
        <v>0.12091013989242493</v>
      </c>
      <c r="K810" s="101">
        <f t="shared" si="234"/>
        <v>2.1599414448433649E-2</v>
      </c>
      <c r="L810" s="101">
        <f t="shared" si="243"/>
        <v>107.13250746013792</v>
      </c>
      <c r="M810" s="101">
        <f t="shared" si="235"/>
        <v>576.51291339398949</v>
      </c>
      <c r="N810" s="101">
        <f t="shared" si="236"/>
        <v>55.519442648566489</v>
      </c>
      <c r="O810" s="101">
        <f t="shared" si="237"/>
        <v>1.3252433411441038</v>
      </c>
      <c r="P810" s="101">
        <f t="shared" si="238"/>
        <v>1.3252433411441038</v>
      </c>
      <c r="Q810" s="101">
        <f t="shared" si="239"/>
        <v>0.5793461680110632</v>
      </c>
      <c r="R810" s="101">
        <f t="shared" si="240"/>
        <v>1.5440221082325426E-2</v>
      </c>
      <c r="S810" s="101">
        <f t="shared" si="228"/>
        <v>517.74819767404142</v>
      </c>
      <c r="T810" s="101">
        <f t="shared" si="244"/>
        <v>262.4590078168473</v>
      </c>
      <c r="U810" s="101">
        <f t="shared" si="244"/>
        <v>41.898385874576796</v>
      </c>
      <c r="V810" s="33">
        <f t="shared" si="245"/>
        <v>1000.000000000004</v>
      </c>
      <c r="W810" s="105">
        <f t="shared" si="241"/>
        <v>53856.285278790994</v>
      </c>
      <c r="X810" s="112">
        <f t="shared" si="246"/>
        <v>695.64260630857984</v>
      </c>
      <c r="Y810" s="32">
        <f t="shared" si="242"/>
        <v>363.38496804895669</v>
      </c>
    </row>
    <row r="811" spans="1:25" x14ac:dyDescent="0.25">
      <c r="A811" s="4">
        <v>805</v>
      </c>
      <c r="C811" s="110">
        <f>IF(male=0,VLOOKUP(((A809:A1643/'Life tables'!$I$2)*2)+age,lifetable,13,1),IF(male=1,VLOOKUP(((A809:A1643/'Life tables'!$I$2)*2)+age,lifetable,10,1),"error"))</f>
        <v>9.128120834711595E-4</v>
      </c>
      <c r="F811" s="101">
        <f t="shared" si="229"/>
        <v>119.74005272161757</v>
      </c>
      <c r="G811" s="101">
        <f t="shared" si="230"/>
        <v>12.028138898009823</v>
      </c>
      <c r="H811" s="101">
        <f t="shared" si="231"/>
        <v>0.27524918150293426</v>
      </c>
      <c r="I811" s="101">
        <f t="shared" si="232"/>
        <v>0.27524918150293426</v>
      </c>
      <c r="J811" s="101">
        <f t="shared" si="233"/>
        <v>0.12078209908522192</v>
      </c>
      <c r="K811" s="101">
        <f t="shared" si="234"/>
        <v>2.1576541209981103E-2</v>
      </c>
      <c r="L811" s="101">
        <f t="shared" si="243"/>
        <v>107.01905682030667</v>
      </c>
      <c r="M811" s="101">
        <f t="shared" si="235"/>
        <v>575.90255358696231</v>
      </c>
      <c r="N811" s="101">
        <f t="shared" si="236"/>
        <v>55.460663676727435</v>
      </c>
      <c r="O811" s="101">
        <f t="shared" si="237"/>
        <v>1.3238402931790498</v>
      </c>
      <c r="P811" s="101">
        <f t="shared" si="238"/>
        <v>1.3238402931790498</v>
      </c>
      <c r="Q811" s="101">
        <f t="shared" si="239"/>
        <v>0.5787328086099226</v>
      </c>
      <c r="R811" s="101">
        <f t="shared" si="240"/>
        <v>1.5423874370671069E-2</v>
      </c>
      <c r="S811" s="101">
        <f t="shared" si="228"/>
        <v>517.20005264089616</v>
      </c>
      <c r="T811" s="101">
        <f t="shared" si="244"/>
        <v>263.15852272454242</v>
      </c>
      <c r="U811" s="101">
        <f t="shared" si="244"/>
        <v>41.935386290157446</v>
      </c>
      <c r="V811" s="33">
        <f t="shared" si="245"/>
        <v>1000.0000000000039</v>
      </c>
      <c r="W811" s="105">
        <f t="shared" si="241"/>
        <v>53737.430709694148</v>
      </c>
      <c r="X811" s="112">
        <f t="shared" si="246"/>
        <v>694.90609098530399</v>
      </c>
      <c r="Y811" s="32">
        <f t="shared" si="242"/>
        <v>362.8958376752384</v>
      </c>
    </row>
    <row r="812" spans="1:25" x14ac:dyDescent="0.25">
      <c r="A812" s="4">
        <v>806</v>
      </c>
      <c r="C812" s="110">
        <f>IF(male=0,VLOOKUP(((A810:A1644/'Life tables'!$I$2)*2)+age,lifetable,13,1),IF(male=1,VLOOKUP(((A810:A1644/'Life tables'!$I$2)*2)+age,lifetable,10,1),"error"))</f>
        <v>9.128120834711595E-4</v>
      </c>
      <c r="F812" s="101">
        <f t="shared" si="229"/>
        <v>119.61325182119008</v>
      </c>
      <c r="G812" s="101">
        <f t="shared" si="230"/>
        <v>12.015401482182218</v>
      </c>
      <c r="H812" s="101">
        <f t="shared" si="231"/>
        <v>0.27495770139028014</v>
      </c>
      <c r="I812" s="101">
        <f t="shared" si="232"/>
        <v>0.27495770139028014</v>
      </c>
      <c r="J812" s="101">
        <f t="shared" si="233"/>
        <v>0.12065419469089918</v>
      </c>
      <c r="K812" s="101">
        <f t="shared" si="234"/>
        <v>2.155369234035602E-2</v>
      </c>
      <c r="L812" s="101">
        <f t="shared" si="243"/>
        <v>106.90572704919605</v>
      </c>
      <c r="M812" s="101">
        <f t="shared" si="235"/>
        <v>575.29283916411407</v>
      </c>
      <c r="N812" s="101">
        <f t="shared" si="236"/>
        <v>55.40194685678312</v>
      </c>
      <c r="O812" s="101">
        <f t="shared" si="237"/>
        <v>1.3224387287732811</v>
      </c>
      <c r="P812" s="101">
        <f t="shared" si="238"/>
        <v>1.3224387287732811</v>
      </c>
      <c r="Q812" s="101">
        <f t="shared" si="239"/>
        <v>0.57812009776468121</v>
      </c>
      <c r="R812" s="101">
        <f t="shared" si="240"/>
        <v>1.5407544943754268E-2</v>
      </c>
      <c r="S812" s="101">
        <f t="shared" si="228"/>
        <v>516.65248720707598</v>
      </c>
      <c r="T812" s="101">
        <f t="shared" si="244"/>
        <v>263.85729701699802</v>
      </c>
      <c r="U812" s="101">
        <f t="shared" si="244"/>
        <v>41.972347527441556</v>
      </c>
      <c r="V812" s="33">
        <f t="shared" si="245"/>
        <v>1000.0000000000041</v>
      </c>
      <c r="W812" s="105">
        <f t="shared" si="241"/>
        <v>53618.838412593344</v>
      </c>
      <c r="X812" s="112">
        <f t="shared" si="246"/>
        <v>694.1703554555645</v>
      </c>
      <c r="Y812" s="32">
        <f t="shared" si="242"/>
        <v>362.40736569195644</v>
      </c>
    </row>
    <row r="813" spans="1:25" x14ac:dyDescent="0.25">
      <c r="A813" s="4">
        <v>807</v>
      </c>
      <c r="C813" s="110">
        <f>IF(male=0,VLOOKUP(((A811:A1645/'Life tables'!$I$2)*2)+age,lifetable,13,1),IF(male=1,VLOOKUP(((A811:A1645/'Life tables'!$I$2)*2)+age,lifetable,10,1),"error"))</f>
        <v>9.128120834711595E-4</v>
      </c>
      <c r="F813" s="101">
        <f t="shared" si="229"/>
        <v>119.48658598666866</v>
      </c>
      <c r="G813" s="101">
        <f t="shared" si="230"/>
        <v>12.002677634007554</v>
      </c>
      <c r="H813" s="101">
        <f t="shared" si="231"/>
        <v>0.27466653175669514</v>
      </c>
      <c r="I813" s="101">
        <f t="shared" si="232"/>
        <v>0.27466653175669514</v>
      </c>
      <c r="J813" s="101">
        <f t="shared" si="233"/>
        <v>0.12052642653790324</v>
      </c>
      <c r="K813" s="101">
        <f t="shared" si="234"/>
        <v>2.1530867808912044E-2</v>
      </c>
      <c r="L813" s="101">
        <f t="shared" si="243"/>
        <v>106.7925179948009</v>
      </c>
      <c r="M813" s="101">
        <f t="shared" si="235"/>
        <v>574.68376946889578</v>
      </c>
      <c r="N813" s="101">
        <f t="shared" si="236"/>
        <v>55.343292125506451</v>
      </c>
      <c r="O813" s="101">
        <f t="shared" si="237"/>
        <v>1.321038646417573</v>
      </c>
      <c r="P813" s="101">
        <f t="shared" si="238"/>
        <v>1.321038646417573</v>
      </c>
      <c r="Q813" s="101">
        <f t="shared" si="239"/>
        <v>0.57750803481556345</v>
      </c>
      <c r="R813" s="101">
        <f t="shared" si="240"/>
        <v>1.5391232783991267E-2</v>
      </c>
      <c r="S813" s="101">
        <f t="shared" si="228"/>
        <v>516.10550078295466</v>
      </c>
      <c r="T813" s="101">
        <f t="shared" si="244"/>
        <v>264.55533147835149</v>
      </c>
      <c r="U813" s="101">
        <f t="shared" si="244"/>
        <v>42.00926962803446</v>
      </c>
      <c r="V813" s="33">
        <f t="shared" si="245"/>
        <v>1000.0000000000041</v>
      </c>
      <c r="W813" s="105">
        <f t="shared" si="241"/>
        <v>53500.507809610121</v>
      </c>
      <c r="X813" s="112">
        <f t="shared" si="246"/>
        <v>693.43539889361818</v>
      </c>
      <c r="Y813" s="32">
        <f t="shared" si="242"/>
        <v>361.91955121283024</v>
      </c>
    </row>
    <row r="814" spans="1:25" x14ac:dyDescent="0.25">
      <c r="A814" s="4">
        <v>808</v>
      </c>
      <c r="C814" s="110">
        <f>IF(male=0,VLOOKUP(((A812:A1646/'Life tables'!$I$2)*2)+age,lifetable,13,1),IF(male=1,VLOOKUP(((A812:A1646/'Life tables'!$I$2)*2)+age,lifetable,10,1),"error"))</f>
        <v>9.128120834711595E-4</v>
      </c>
      <c r="F814" s="101">
        <f t="shared" si="229"/>
        <v>119.36005504901911</v>
      </c>
      <c r="G814" s="101">
        <f t="shared" si="230"/>
        <v>11.989967336505996</v>
      </c>
      <c r="H814" s="101">
        <f t="shared" si="231"/>
        <v>0.27437567221361636</v>
      </c>
      <c r="I814" s="101">
        <f t="shared" si="232"/>
        <v>0.27437567221361636</v>
      </c>
      <c r="J814" s="101">
        <f t="shared" si="233"/>
        <v>0.12039879445572882</v>
      </c>
      <c r="K814" s="101">
        <f t="shared" si="234"/>
        <v>2.1508067585190079E-2</v>
      </c>
      <c r="L814" s="101">
        <f t="shared" si="243"/>
        <v>106.67942950604495</v>
      </c>
      <c r="M814" s="101">
        <f t="shared" si="235"/>
        <v>574.07534384459905</v>
      </c>
      <c r="N814" s="101">
        <f t="shared" si="236"/>
        <v>55.284699419654999</v>
      </c>
      <c r="O814" s="101">
        <f t="shared" si="237"/>
        <v>1.3196400446023355</v>
      </c>
      <c r="P814" s="101">
        <f t="shared" si="238"/>
        <v>1.3196400446023355</v>
      </c>
      <c r="Q814" s="101">
        <f t="shared" si="239"/>
        <v>0.57689661910263368</v>
      </c>
      <c r="R814" s="101">
        <f t="shared" si="240"/>
        <v>1.5374937873794048E-2</v>
      </c>
      <c r="S814" s="101">
        <f t="shared" si="228"/>
        <v>515.55909277876299</v>
      </c>
      <c r="T814" s="101">
        <f t="shared" si="244"/>
        <v>265.25262689190987</v>
      </c>
      <c r="U814" s="101">
        <f t="shared" si="244"/>
        <v>42.046152633493442</v>
      </c>
      <c r="V814" s="33">
        <f t="shared" si="245"/>
        <v>1000.0000000000041</v>
      </c>
      <c r="W814" s="105">
        <f t="shared" si="241"/>
        <v>53382.438324110713</v>
      </c>
      <c r="X814" s="112">
        <f t="shared" si="246"/>
        <v>692.70122047460086</v>
      </c>
      <c r="Y814" s="32">
        <f t="shared" si="242"/>
        <v>361.43239335277372</v>
      </c>
    </row>
    <row r="815" spans="1:25" x14ac:dyDescent="0.25">
      <c r="A815" s="4">
        <v>809</v>
      </c>
      <c r="C815" s="110">
        <f>IF(male=0,VLOOKUP(((A813:A1647/'Life tables'!$I$2)*2)+age,lifetable,13,1),IF(male=1,VLOOKUP(((A813:A1647/'Life tables'!$I$2)*2)+age,lifetable,10,1),"error"))</f>
        <v>9.9786705819526755E-4</v>
      </c>
      <c r="F815" s="101">
        <f t="shared" si="229"/>
        <v>119.2336588402179</v>
      </c>
      <c r="G815" s="101">
        <f t="shared" si="230"/>
        <v>11.977270572799224</v>
      </c>
      <c r="H815" s="101">
        <f t="shared" si="231"/>
        <v>0.27408512237480437</v>
      </c>
      <c r="I815" s="101">
        <f t="shared" si="232"/>
        <v>0.27408512237480437</v>
      </c>
      <c r="J815" s="101">
        <f t="shared" si="233"/>
        <v>0.13147806516595278</v>
      </c>
      <c r="K815" s="101">
        <f t="shared" si="234"/>
        <v>2.1485291638913148E-2</v>
      </c>
      <c r="L815" s="101">
        <f t="shared" si="243"/>
        <v>106.5552546658642</v>
      </c>
      <c r="M815" s="101">
        <f t="shared" si="235"/>
        <v>573.46756163438306</v>
      </c>
      <c r="N815" s="101">
        <f t="shared" si="236"/>
        <v>55.226168675973554</v>
      </c>
      <c r="O815" s="101">
        <f t="shared" si="237"/>
        <v>1.3182429218176737</v>
      </c>
      <c r="P815" s="101">
        <f t="shared" si="238"/>
        <v>1.3182429218176737</v>
      </c>
      <c r="Q815" s="101">
        <f t="shared" si="239"/>
        <v>0.62998362554336629</v>
      </c>
      <c r="R815" s="101">
        <f t="shared" si="240"/>
        <v>1.5358660195571035E-2</v>
      </c>
      <c r="S815" s="101">
        <f t="shared" si="228"/>
        <v>514.95956482903523</v>
      </c>
      <c r="T815" s="101">
        <f t="shared" si="244"/>
        <v>266.01408858261919</v>
      </c>
      <c r="U815" s="101">
        <f t="shared" si="244"/>
        <v>42.082996585327926</v>
      </c>
      <c r="V815" s="33">
        <f t="shared" si="245"/>
        <v>1000.0000000000043</v>
      </c>
      <c r="W815" s="105">
        <f t="shared" si="241"/>
        <v>53260.305325070723</v>
      </c>
      <c r="X815" s="112">
        <f t="shared" si="246"/>
        <v>691.90291483205715</v>
      </c>
      <c r="Y815" s="32">
        <f t="shared" si="242"/>
        <v>360.91148443454688</v>
      </c>
    </row>
    <row r="816" spans="1:25" x14ac:dyDescent="0.25">
      <c r="A816" s="4">
        <v>810</v>
      </c>
      <c r="C816" s="110">
        <f>IF(male=0,VLOOKUP(((A814:A1648/'Life tables'!$I$2)*2)+age,lifetable,13,1),IF(male=1,VLOOKUP(((A814:A1648/'Life tables'!$I$2)*2)+age,lifetable,10,1),"error"))</f>
        <v>9.9786705819526755E-4</v>
      </c>
      <c r="F816" s="101">
        <f t="shared" si="229"/>
        <v>119.0961900917675</v>
      </c>
      <c r="G816" s="101">
        <f t="shared" si="230"/>
        <v>11.963461549311141</v>
      </c>
      <c r="H816" s="101">
        <f t="shared" si="231"/>
        <v>0.27376911983736457</v>
      </c>
      <c r="I816" s="101">
        <f t="shared" si="232"/>
        <v>0.27376911983736457</v>
      </c>
      <c r="J816" s="101">
        <f t="shared" si="233"/>
        <v>0.13132647940365333</v>
      </c>
      <c r="K816" s="101">
        <f t="shared" si="234"/>
        <v>2.1460520477980718E-2</v>
      </c>
      <c r="L816" s="101">
        <f t="shared" si="243"/>
        <v>106.43240330289998</v>
      </c>
      <c r="M816" s="101">
        <f t="shared" si="235"/>
        <v>572.80672474028984</v>
      </c>
      <c r="N816" s="101">
        <f t="shared" si="236"/>
        <v>55.162528651285001</v>
      </c>
      <c r="O816" s="101">
        <f t="shared" si="237"/>
        <v>1.3167238410249753</v>
      </c>
      <c r="P816" s="101">
        <f t="shared" si="238"/>
        <v>1.3167238410249753</v>
      </c>
      <c r="Q816" s="101">
        <f t="shared" si="239"/>
        <v>0.62925766221032764</v>
      </c>
      <c r="R816" s="101">
        <f t="shared" si="240"/>
        <v>1.5340961601997324E-2</v>
      </c>
      <c r="S816" s="101">
        <f t="shared" si="228"/>
        <v>514.36614978314253</v>
      </c>
      <c r="T816" s="101">
        <f t="shared" si="244"/>
        <v>266.7746727242332</v>
      </c>
      <c r="U816" s="101">
        <f t="shared" si="244"/>
        <v>42.119798067407906</v>
      </c>
      <c r="V816" s="33">
        <f t="shared" si="245"/>
        <v>1000.0000000000044</v>
      </c>
      <c r="W816" s="105">
        <f t="shared" si="241"/>
        <v>53137.782401121061</v>
      </c>
      <c r="X816" s="112">
        <f t="shared" si="246"/>
        <v>691.10552920836335</v>
      </c>
      <c r="Y816" s="32">
        <f t="shared" si="242"/>
        <v>360.39187662213203</v>
      </c>
    </row>
    <row r="817" spans="1:25" x14ac:dyDescent="0.25">
      <c r="A817" s="4">
        <v>811</v>
      </c>
      <c r="C817" s="110">
        <f>IF(male=0,VLOOKUP(((A815:A1649/'Life tables'!$I$2)*2)+age,lifetable,13,1),IF(male=1,VLOOKUP(((A815:A1649/'Life tables'!$I$2)*2)+age,lifetable,10,1),"error"))</f>
        <v>9.9786705819526755E-4</v>
      </c>
      <c r="F817" s="101">
        <f t="shared" si="229"/>
        <v>118.95888161519868</v>
      </c>
      <c r="G817" s="101">
        <f t="shared" si="230"/>
        <v>11.949668625468995</v>
      </c>
      <c r="H817" s="101">
        <f t="shared" si="231"/>
        <v>0.27345348572054279</v>
      </c>
      <c r="I817" s="101">
        <f t="shared" si="232"/>
        <v>0.27345348572054279</v>
      </c>
      <c r="J817" s="101">
        <f t="shared" si="233"/>
        <v>0.13117507037196083</v>
      </c>
      <c r="K817" s="101">
        <f t="shared" si="234"/>
        <v>2.1435778197216447E-2</v>
      </c>
      <c r="L817" s="101">
        <f t="shared" si="243"/>
        <v>106.30969516971942</v>
      </c>
      <c r="M817" s="101">
        <f t="shared" si="235"/>
        <v>572.14664759316474</v>
      </c>
      <c r="N817" s="101">
        <f t="shared" si="236"/>
        <v>55.09896179187556</v>
      </c>
      <c r="O817" s="101">
        <f t="shared" si="237"/>
        <v>1.3152065066799055</v>
      </c>
      <c r="P817" s="101">
        <f t="shared" si="238"/>
        <v>1.3152065066799055</v>
      </c>
      <c r="Q817" s="101">
        <f t="shared" si="239"/>
        <v>0.62853253349842786</v>
      </c>
      <c r="R817" s="101">
        <f t="shared" si="240"/>
        <v>1.532328335603575E-2</v>
      </c>
      <c r="S817" s="101">
        <f t="shared" si="228"/>
        <v>513.77341697107488</v>
      </c>
      <c r="T817" s="101">
        <f t="shared" si="244"/>
        <v>267.53438032810357</v>
      </c>
      <c r="U817" s="101">
        <f t="shared" si="244"/>
        <v>42.156557128961161</v>
      </c>
      <c r="V817" s="33">
        <f t="shared" si="245"/>
        <v>1000.0000000000044</v>
      </c>
      <c r="W817" s="105">
        <f t="shared" si="241"/>
        <v>53015.541278584635</v>
      </c>
      <c r="X817" s="112">
        <f t="shared" si="246"/>
        <v>690.30906254293973</v>
      </c>
      <c r="Y817" s="32">
        <f t="shared" si="242"/>
        <v>359.87301689819964</v>
      </c>
    </row>
    <row r="818" spans="1:25" x14ac:dyDescent="0.25">
      <c r="A818" s="4">
        <v>812</v>
      </c>
      <c r="C818" s="110">
        <f>IF(male=0,VLOOKUP(((A816:A1650/'Life tables'!$I$2)*2)+age,lifetable,13,1),IF(male=1,VLOOKUP(((A816:A1650/'Life tables'!$I$2)*2)+age,lifetable,10,1),"error"))</f>
        <v>9.9786705819526755E-4</v>
      </c>
      <c r="F818" s="101">
        <f t="shared" si="229"/>
        <v>118.82173316666962</v>
      </c>
      <c r="G818" s="101">
        <f t="shared" si="230"/>
        <v>11.935891776778362</v>
      </c>
      <c r="H818" s="101">
        <f t="shared" si="231"/>
        <v>0.27313821946381422</v>
      </c>
      <c r="I818" s="101">
        <f t="shared" si="232"/>
        <v>0.27313821946381422</v>
      </c>
      <c r="J818" s="101">
        <f t="shared" si="233"/>
        <v>0.13102383780199267</v>
      </c>
      <c r="K818" s="101">
        <f t="shared" si="234"/>
        <v>2.1411064752681289E-2</v>
      </c>
      <c r="L818" s="101">
        <f t="shared" si="243"/>
        <v>106.18713004840896</v>
      </c>
      <c r="M818" s="101">
        <f t="shared" si="235"/>
        <v>571.48732937627017</v>
      </c>
      <c r="N818" s="101">
        <f t="shared" si="236"/>
        <v>55.035468019091638</v>
      </c>
      <c r="O818" s="101">
        <f t="shared" si="237"/>
        <v>1.3136909169050111</v>
      </c>
      <c r="P818" s="101">
        <f t="shared" si="238"/>
        <v>1.3136909169050111</v>
      </c>
      <c r="Q818" s="101">
        <f t="shared" si="239"/>
        <v>0.62780823851043888</v>
      </c>
      <c r="R818" s="101">
        <f t="shared" si="240"/>
        <v>1.5305625435812374E-2</v>
      </c>
      <c r="S818" s="101">
        <f t="shared" si="228"/>
        <v>513.18136565942223</v>
      </c>
      <c r="T818" s="101">
        <f t="shared" si="244"/>
        <v>268.29321240441601</v>
      </c>
      <c r="U818" s="101">
        <f t="shared" si="244"/>
        <v>42.193273819149653</v>
      </c>
      <c r="V818" s="33">
        <f t="shared" si="245"/>
        <v>1000.0000000000045</v>
      </c>
      <c r="W818" s="105">
        <f t="shared" si="241"/>
        <v>52893.581311212161</v>
      </c>
      <c r="X818" s="112">
        <f t="shared" si="246"/>
        <v>689.51351377643891</v>
      </c>
      <c r="Y818" s="32">
        <f t="shared" si="242"/>
        <v>359.35490418558442</v>
      </c>
    </row>
    <row r="819" spans="1:25" x14ac:dyDescent="0.25">
      <c r="A819" s="4">
        <v>813</v>
      </c>
      <c r="C819" s="110">
        <f>IF(male=0,VLOOKUP(((A817:A1651/'Life tables'!$I$2)*2)+age,lifetable,13,1),IF(male=1,VLOOKUP(((A817:A1651/'Life tables'!$I$2)*2)+age,lifetable,10,1),"error"))</f>
        <v>9.9786705819526755E-4</v>
      </c>
      <c r="F819" s="101">
        <f t="shared" si="229"/>
        <v>118.68474450451428</v>
      </c>
      <c r="G819" s="101">
        <f t="shared" si="230"/>
        <v>11.922130978963384</v>
      </c>
      <c r="H819" s="101">
        <f t="shared" si="231"/>
        <v>0.27282332051165575</v>
      </c>
      <c r="I819" s="101">
        <f t="shared" si="232"/>
        <v>0.27282332051165575</v>
      </c>
      <c r="J819" s="101">
        <f t="shared" si="233"/>
        <v>0.13087278142726555</v>
      </c>
      <c r="K819" s="101">
        <f t="shared" si="234"/>
        <v>2.1386380100828276E-2</v>
      </c>
      <c r="L819" s="101">
        <f t="shared" si="243"/>
        <v>106.0647077229995</v>
      </c>
      <c r="M819" s="101">
        <f t="shared" si="235"/>
        <v>570.82876927192456</v>
      </c>
      <c r="N819" s="101">
        <f t="shared" si="236"/>
        <v>54.97204725418873</v>
      </c>
      <c r="O819" s="101">
        <f t="shared" si="237"/>
        <v>1.3121770698206687</v>
      </c>
      <c r="P819" s="101">
        <f t="shared" si="238"/>
        <v>1.3121770698206687</v>
      </c>
      <c r="Q819" s="101">
        <f t="shared" si="239"/>
        <v>0.62708477634809556</v>
      </c>
      <c r="R819" s="101">
        <f t="shared" si="240"/>
        <v>1.5287987819427975E-2</v>
      </c>
      <c r="S819" s="101">
        <f t="shared" si="228"/>
        <v>512.58999511392699</v>
      </c>
      <c r="T819" s="101">
        <f t="shared" si="244"/>
        <v>269.05116996219135</v>
      </c>
      <c r="U819" s="101">
        <f t="shared" si="244"/>
        <v>42.229948187069908</v>
      </c>
      <c r="V819" s="33">
        <f t="shared" si="245"/>
        <v>1000.0000000000045</v>
      </c>
      <c r="W819" s="105">
        <f t="shared" si="241"/>
        <v>52771.901854173462</v>
      </c>
      <c r="X819" s="112">
        <f t="shared" si="246"/>
        <v>688.71888185074329</v>
      </c>
      <c r="Y819" s="32">
        <f t="shared" si="242"/>
        <v>358.8375374086757</v>
      </c>
    </row>
    <row r="820" spans="1:25" x14ac:dyDescent="0.25">
      <c r="A820" s="4">
        <v>814</v>
      </c>
      <c r="C820" s="110">
        <f>IF(male=0,VLOOKUP(((A818:A1652/'Life tables'!$I$2)*2)+age,lifetable,13,1),IF(male=1,VLOOKUP(((A818:A1652/'Life tables'!$I$2)*2)+age,lifetable,10,1),"error"))</f>
        <v>9.9786705819526755E-4</v>
      </c>
      <c r="F820" s="101">
        <f t="shared" si="229"/>
        <v>118.54791538917918</v>
      </c>
      <c r="G820" s="101">
        <f t="shared" si="230"/>
        <v>11.908386207960413</v>
      </c>
      <c r="H820" s="101">
        <f t="shared" si="231"/>
        <v>0.27250878831340025</v>
      </c>
      <c r="I820" s="101">
        <f t="shared" si="232"/>
        <v>0.27250878831340025</v>
      </c>
      <c r="J820" s="101">
        <f t="shared" si="233"/>
        <v>0.13072190098362557</v>
      </c>
      <c r="K820" s="101">
        <f t="shared" si="234"/>
        <v>2.1361724198491094E-2</v>
      </c>
      <c r="L820" s="101">
        <f t="shared" si="243"/>
        <v>105.94242797940986</v>
      </c>
      <c r="M820" s="101">
        <f t="shared" si="235"/>
        <v>570.17096646156415</v>
      </c>
      <c r="N820" s="101">
        <f t="shared" si="236"/>
        <v>54.908699418337378</v>
      </c>
      <c r="O820" s="101">
        <f t="shared" si="237"/>
        <v>1.3106649635452274</v>
      </c>
      <c r="P820" s="101">
        <f t="shared" si="238"/>
        <v>1.3106649635452274</v>
      </c>
      <c r="Q820" s="101">
        <f t="shared" si="239"/>
        <v>0.6263621461121629</v>
      </c>
      <c r="R820" s="101">
        <f t="shared" si="240"/>
        <v>1.5270370484959704E-2</v>
      </c>
      <c r="S820" s="101">
        <f t="shared" si="228"/>
        <v>511.99930459953919</v>
      </c>
      <c r="T820" s="101">
        <f t="shared" si="244"/>
        <v>269.80825400928717</v>
      </c>
      <c r="U820" s="101">
        <f t="shared" si="244"/>
        <v>42.266580281753356</v>
      </c>
      <c r="V820" s="33">
        <f t="shared" si="245"/>
        <v>1000.0000000000047</v>
      </c>
      <c r="W820" s="105">
        <f t="shared" si="241"/>
        <v>52650.502264056871</v>
      </c>
      <c r="X820" s="112">
        <f t="shared" si="246"/>
        <v>687.92516570896419</v>
      </c>
      <c r="Y820" s="32">
        <f t="shared" si="242"/>
        <v>358.32091549341618</v>
      </c>
    </row>
    <row r="821" spans="1:25" x14ac:dyDescent="0.25">
      <c r="A821" s="4">
        <v>815</v>
      </c>
      <c r="C821" s="110">
        <f>IF(male=0,VLOOKUP(((A819:A1653/'Life tables'!$I$2)*2)+age,lifetable,13,1),IF(male=1,VLOOKUP(((A819:A1653/'Life tables'!$I$2)*2)+age,lifetable,10,1),"error"))</f>
        <v>9.9786705819526755E-4</v>
      </c>
      <c r="F821" s="101">
        <f t="shared" si="229"/>
        <v>118.41124558316217</v>
      </c>
      <c r="G821" s="101">
        <f t="shared" si="230"/>
        <v>11.89465743991186</v>
      </c>
      <c r="H821" s="101">
        <f t="shared" si="231"/>
        <v>0.27219462232309621</v>
      </c>
      <c r="I821" s="101">
        <f t="shared" si="232"/>
        <v>0.27219462232309621</v>
      </c>
      <c r="J821" s="101">
        <f t="shared" si="233"/>
        <v>0.13057119620918095</v>
      </c>
      <c r="K821" s="101">
        <f t="shared" si="234"/>
        <v>2.1337097002873083E-2</v>
      </c>
      <c r="L821" s="101">
        <f t="shared" si="243"/>
        <v>105.82029060539206</v>
      </c>
      <c r="M821" s="101">
        <f t="shared" si="235"/>
        <v>569.51392012580209</v>
      </c>
      <c r="N821" s="101">
        <f t="shared" si="236"/>
        <v>54.845424432628839</v>
      </c>
      <c r="O821" s="101">
        <f t="shared" si="237"/>
        <v>1.3091545961951438</v>
      </c>
      <c r="P821" s="101">
        <f t="shared" si="238"/>
        <v>1.3091545961951438</v>
      </c>
      <c r="Q821" s="101">
        <f t="shared" si="239"/>
        <v>0.62564034690250303</v>
      </c>
      <c r="R821" s="101">
        <f t="shared" si="240"/>
        <v>1.5252773410462666E-2</v>
      </c>
      <c r="S821" s="101">
        <f t="shared" si="228"/>
        <v>511.40929338046999</v>
      </c>
      <c r="T821" s="101">
        <f t="shared" si="244"/>
        <v>270.56446555239887</v>
      </c>
      <c r="U821" s="101">
        <f t="shared" si="244"/>
        <v>42.303170152166693</v>
      </c>
      <c r="V821" s="33">
        <f t="shared" si="245"/>
        <v>1000.0000000000049</v>
      </c>
      <c r="W821" s="105">
        <f t="shared" si="241"/>
        <v>52529.381898867759</v>
      </c>
      <c r="X821" s="112">
        <f t="shared" si="246"/>
        <v>687.13236429543929</v>
      </c>
      <c r="Y821" s="32">
        <f t="shared" si="242"/>
        <v>357.80503736729861</v>
      </c>
    </row>
    <row r="822" spans="1:25" x14ac:dyDescent="0.25">
      <c r="A822" s="4">
        <v>816</v>
      </c>
      <c r="C822" s="110">
        <f>IF(male=0,VLOOKUP(((A820:A1654/'Life tables'!$I$2)*2)+age,lifetable,13,1),IF(male=1,VLOOKUP(((A820:A1654/'Life tables'!$I$2)*2)+age,lifetable,10,1),"error"))</f>
        <v>9.9786705819526755E-4</v>
      </c>
      <c r="F822" s="101">
        <f t="shared" si="229"/>
        <v>118.27473485095321</v>
      </c>
      <c r="G822" s="101">
        <f t="shared" si="230"/>
        <v>11.880944651160247</v>
      </c>
      <c r="H822" s="101">
        <f t="shared" si="231"/>
        <v>0.2718808219993713</v>
      </c>
      <c r="I822" s="101">
        <f t="shared" si="232"/>
        <v>0.2718808219993713</v>
      </c>
      <c r="J822" s="101">
        <f t="shared" si="233"/>
        <v>0.13042066684423648</v>
      </c>
      <c r="K822" s="101">
        <f t="shared" si="234"/>
        <v>2.1312498471536549E-2</v>
      </c>
      <c r="L822" s="101">
        <f t="shared" si="243"/>
        <v>105.69829539047845</v>
      </c>
      <c r="M822" s="101">
        <f t="shared" si="235"/>
        <v>568.85762944448607</v>
      </c>
      <c r="N822" s="101">
        <f t="shared" si="236"/>
        <v>54.782222218080676</v>
      </c>
      <c r="O822" s="101">
        <f t="shared" si="237"/>
        <v>1.3076459658851154</v>
      </c>
      <c r="P822" s="101">
        <f t="shared" si="238"/>
        <v>1.3076459658851154</v>
      </c>
      <c r="Q822" s="101">
        <f t="shared" si="239"/>
        <v>0.62491937781813578</v>
      </c>
      <c r="R822" s="101">
        <f t="shared" si="240"/>
        <v>1.5235196573971469E-2</v>
      </c>
      <c r="S822" s="101">
        <f t="shared" si="228"/>
        <v>510.81996072024305</v>
      </c>
      <c r="T822" s="101">
        <f t="shared" si="244"/>
        <v>271.31980559706125</v>
      </c>
      <c r="U822" s="101">
        <f t="shared" si="244"/>
        <v>42.339717847212199</v>
      </c>
      <c r="V822" s="33">
        <f t="shared" si="245"/>
        <v>1000.0000000000049</v>
      </c>
      <c r="W822" s="105">
        <f t="shared" si="241"/>
        <v>52408.540118027609</v>
      </c>
      <c r="X822" s="112">
        <f t="shared" si="246"/>
        <v>686.34047655573136</v>
      </c>
      <c r="Y822" s="32">
        <f t="shared" si="242"/>
        <v>357.28990195936342</v>
      </c>
    </row>
    <row r="823" spans="1:25" x14ac:dyDescent="0.25">
      <c r="A823" s="4">
        <v>817</v>
      </c>
      <c r="C823" s="110">
        <f>IF(male=0,VLOOKUP(((A821:A1655/'Life tables'!$I$2)*2)+age,lifetable,13,1),IF(male=1,VLOOKUP(((A821:A1655/'Life tables'!$I$2)*2)+age,lifetable,10,1),"error"))</f>
        <v>9.9786705819526755E-4</v>
      </c>
      <c r="F823" s="101">
        <f t="shared" si="229"/>
        <v>118.13838295897706</v>
      </c>
      <c r="G823" s="101">
        <f t="shared" si="230"/>
        <v>11.867247818242456</v>
      </c>
      <c r="H823" s="101">
        <f t="shared" si="231"/>
        <v>0.27156738680530079</v>
      </c>
      <c r="I823" s="101">
        <f t="shared" si="232"/>
        <v>0.27156738680530079</v>
      </c>
      <c r="J823" s="101">
        <f t="shared" si="233"/>
        <v>0.13027031263123054</v>
      </c>
      <c r="K823" s="101">
        <f t="shared" si="234"/>
        <v>2.1287928562392425E-2</v>
      </c>
      <c r="L823" s="101">
        <f t="shared" si="243"/>
        <v>105.57644212593038</v>
      </c>
      <c r="M823" s="101">
        <f t="shared" si="235"/>
        <v>568.20209359675448</v>
      </c>
      <c r="N823" s="101">
        <f t="shared" si="236"/>
        <v>54.719092695642132</v>
      </c>
      <c r="O823" s="101">
        <f t="shared" si="237"/>
        <v>1.3061390707282088</v>
      </c>
      <c r="P823" s="101">
        <f t="shared" si="238"/>
        <v>1.3061390707282088</v>
      </c>
      <c r="Q823" s="101">
        <f t="shared" si="239"/>
        <v>0.62419923795730303</v>
      </c>
      <c r="R823" s="101">
        <f t="shared" si="240"/>
        <v>1.5217639953501725E-2</v>
      </c>
      <c r="S823" s="101">
        <f t="shared" si="228"/>
        <v>510.23130588174513</v>
      </c>
      <c r="T823" s="101">
        <f t="shared" si="244"/>
        <v>272.07427514764976</v>
      </c>
      <c r="U823" s="101">
        <f t="shared" si="244"/>
        <v>42.376223415728091</v>
      </c>
      <c r="V823" s="33">
        <f t="shared" si="245"/>
        <v>1000.0000000000049</v>
      </c>
      <c r="W823" s="105">
        <f t="shared" si="241"/>
        <v>52287.976282372627</v>
      </c>
      <c r="X823" s="112">
        <f t="shared" si="246"/>
        <v>685.54950143662722</v>
      </c>
      <c r="Y823" s="32">
        <f t="shared" si="242"/>
        <v>356.77550820019786</v>
      </c>
    </row>
    <row r="824" spans="1:25" x14ac:dyDescent="0.25">
      <c r="A824" s="4">
        <v>818</v>
      </c>
      <c r="C824" s="110">
        <f>IF(male=0,VLOOKUP(((A822:A1656/'Life tables'!$I$2)*2)+age,lifetable,13,1),IF(male=1,VLOOKUP(((A822:A1656/'Life tables'!$I$2)*2)+age,lifetable,10,1),"error"))</f>
        <v>9.9786705819526755E-4</v>
      </c>
      <c r="F824" s="101">
        <f t="shared" si="229"/>
        <v>118.00218967553769</v>
      </c>
      <c r="G824" s="101">
        <f t="shared" si="230"/>
        <v>11.853566917884134</v>
      </c>
      <c r="H824" s="101">
        <f t="shared" si="231"/>
        <v>0.27125431620827978</v>
      </c>
      <c r="I824" s="101">
        <f t="shared" si="232"/>
        <v>0.27125431620827978</v>
      </c>
      <c r="J824" s="101">
        <f t="shared" si="233"/>
        <v>0.13012013331467359</v>
      </c>
      <c r="K824" s="101">
        <f t="shared" si="234"/>
        <v>2.1263387233690291E-2</v>
      </c>
      <c r="L824" s="101">
        <f t="shared" si="243"/>
        <v>105.45473060468863</v>
      </c>
      <c r="M824" s="101">
        <f t="shared" si="235"/>
        <v>567.54731176108942</v>
      </c>
      <c r="N824" s="101">
        <f t="shared" si="236"/>
        <v>54.656035786199269</v>
      </c>
      <c r="O824" s="101">
        <f t="shared" si="237"/>
        <v>1.3046339088359822</v>
      </c>
      <c r="P824" s="101">
        <f t="shared" si="238"/>
        <v>1.3046339088359822</v>
      </c>
      <c r="Q824" s="101">
        <f t="shared" si="239"/>
        <v>0.62347992641752459</v>
      </c>
      <c r="R824" s="101">
        <f t="shared" si="240"/>
        <v>1.5200103527051465E-2</v>
      </c>
      <c r="S824" s="101">
        <f t="shared" si="228"/>
        <v>509.64332812727361</v>
      </c>
      <c r="T824" s="101">
        <f t="shared" si="244"/>
        <v>272.82787520738196</v>
      </c>
      <c r="U824" s="101">
        <f t="shared" si="244"/>
        <v>42.412686906488837</v>
      </c>
      <c r="V824" s="33">
        <f t="shared" si="245"/>
        <v>1000.0000000000051</v>
      </c>
      <c r="W824" s="105">
        <f t="shared" si="241"/>
        <v>52167.68975415254</v>
      </c>
      <c r="X824" s="112">
        <f t="shared" si="246"/>
        <v>684.75943788613426</v>
      </c>
      <c r="Y824" s="32">
        <f t="shared" si="242"/>
        <v>356.26185502193147</v>
      </c>
    </row>
    <row r="825" spans="1:25" x14ac:dyDescent="0.25">
      <c r="A825" s="4">
        <v>819</v>
      </c>
      <c r="C825" s="110">
        <f>IF(male=0,VLOOKUP(((A823:A1657/'Life tables'!$I$2)*2)+age,lifetable,13,1),IF(male=1,VLOOKUP(((A823:A1657/'Life tables'!$I$2)*2)+age,lifetable,10,1),"error"))</f>
        <v>9.9786705819526755E-4</v>
      </c>
      <c r="F825" s="101">
        <f t="shared" si="229"/>
        <v>117.86615477076454</v>
      </c>
      <c r="G825" s="101">
        <f t="shared" si="230"/>
        <v>11.839901926994301</v>
      </c>
      <c r="H825" s="101">
        <f t="shared" si="231"/>
        <v>0.27094160967989961</v>
      </c>
      <c r="I825" s="101">
        <f t="shared" si="232"/>
        <v>0.27094160967989961</v>
      </c>
      <c r="J825" s="101">
        <f t="shared" si="233"/>
        <v>0.12997012864108912</v>
      </c>
      <c r="K825" s="101">
        <f t="shared" si="234"/>
        <v>2.1238874444008651E-2</v>
      </c>
      <c r="L825" s="101">
        <f t="shared" si="243"/>
        <v>105.33316062132533</v>
      </c>
      <c r="M825" s="101">
        <f t="shared" si="235"/>
        <v>566.89328311536974</v>
      </c>
      <c r="N825" s="101">
        <f t="shared" si="236"/>
        <v>54.593051410580017</v>
      </c>
      <c r="O825" s="101">
        <f t="shared" si="237"/>
        <v>1.3031304783186066</v>
      </c>
      <c r="P825" s="101">
        <f t="shared" si="238"/>
        <v>1.3031304783186066</v>
      </c>
      <c r="Q825" s="101">
        <f t="shared" si="239"/>
        <v>0.622761442295658</v>
      </c>
      <c r="R825" s="101">
        <f t="shared" si="240"/>
        <v>1.5182587272602563E-2</v>
      </c>
      <c r="S825" s="101">
        <f t="shared" si="228"/>
        <v>509.05602671858423</v>
      </c>
      <c r="T825" s="101">
        <f t="shared" si="244"/>
        <v>273.58060677831872</v>
      </c>
      <c r="U825" s="101">
        <f t="shared" si="244"/>
        <v>42.449108368205451</v>
      </c>
      <c r="V825" s="33">
        <f t="shared" si="245"/>
        <v>1000.000000000005</v>
      </c>
      <c r="W825" s="105">
        <f t="shared" si="241"/>
        <v>52047.679897029157</v>
      </c>
      <c r="X825" s="112">
        <f t="shared" si="246"/>
        <v>683.97028485348085</v>
      </c>
      <c r="Y825" s="32">
        <f t="shared" si="242"/>
        <v>355.7489413582357</v>
      </c>
    </row>
    <row r="826" spans="1:25" x14ac:dyDescent="0.25">
      <c r="A826" s="4">
        <v>820</v>
      </c>
      <c r="C826" s="110">
        <f>IF(male=0,VLOOKUP(((A824:A1658/'Life tables'!$I$2)*2)+age,lifetable,13,1),IF(male=1,VLOOKUP(((A824:A1658/'Life tables'!$I$2)*2)+age,lifetable,10,1),"error"))</f>
        <v>9.9786705819526755E-4</v>
      </c>
      <c r="F826" s="101">
        <f t="shared" si="229"/>
        <v>117.73027801656046</v>
      </c>
      <c r="G826" s="101">
        <f t="shared" si="230"/>
        <v>11.826252822660122</v>
      </c>
      <c r="H826" s="101">
        <f t="shared" si="231"/>
        <v>0.2706292666958281</v>
      </c>
      <c r="I826" s="101">
        <f t="shared" si="232"/>
        <v>0.2706292666958281</v>
      </c>
      <c r="J826" s="101">
        <f t="shared" si="233"/>
        <v>0.12982029835895614</v>
      </c>
      <c r="K826" s="101">
        <f t="shared" si="234"/>
        <v>2.121439015224557E-2</v>
      </c>
      <c r="L826" s="101">
        <f t="shared" si="243"/>
        <v>105.21173197199748</v>
      </c>
      <c r="M826" s="101">
        <f t="shared" si="235"/>
        <v>566.24000683692054</v>
      </c>
      <c r="N826" s="101">
        <f t="shared" si="236"/>
        <v>54.530139489559019</v>
      </c>
      <c r="O826" s="101">
        <f t="shared" si="237"/>
        <v>1.3016287772849813</v>
      </c>
      <c r="P826" s="101">
        <f t="shared" si="238"/>
        <v>1.3016287772849813</v>
      </c>
      <c r="Q826" s="101">
        <f t="shared" si="239"/>
        <v>0.62204378468795329</v>
      </c>
      <c r="R826" s="101">
        <f t="shared" si="240"/>
        <v>1.5165091168122072E-2</v>
      </c>
      <c r="S826" s="101">
        <f t="shared" si="228"/>
        <v>508.46940091693546</v>
      </c>
      <c r="T826" s="101">
        <f t="shared" si="244"/>
        <v>274.33247086136561</v>
      </c>
      <c r="U826" s="101">
        <f t="shared" si="244"/>
        <v>42.485487849525818</v>
      </c>
      <c r="V826" s="33">
        <f t="shared" si="245"/>
        <v>1000.0000000000051</v>
      </c>
      <c r="W826" s="105">
        <f t="shared" si="241"/>
        <v>51927.94607607503</v>
      </c>
      <c r="X826" s="112">
        <f t="shared" si="246"/>
        <v>683.18204128911373</v>
      </c>
      <c r="Y826" s="32">
        <f t="shared" si="242"/>
        <v>355.23676614431952</v>
      </c>
    </row>
    <row r="827" spans="1:25" x14ac:dyDescent="0.25">
      <c r="A827" s="4">
        <v>821</v>
      </c>
      <c r="C827" s="110">
        <f>IF(male=0,VLOOKUP(((A825:A1659/'Life tables'!$I$2)*2)+age,lifetable,13,1),IF(male=1,VLOOKUP(((A825:A1659/'Life tables'!$I$2)*2)+age,lifetable,10,1),"error"))</f>
        <v>9.9786705819526755E-4</v>
      </c>
      <c r="F827" s="101">
        <f t="shared" si="229"/>
        <v>117.59455918655148</v>
      </c>
      <c r="G827" s="101">
        <f t="shared" si="230"/>
        <v>11.812619582141858</v>
      </c>
      <c r="H827" s="101">
        <f t="shared" si="231"/>
        <v>0.27031728673569433</v>
      </c>
      <c r="I827" s="101">
        <f t="shared" si="232"/>
        <v>0.27031728673569433</v>
      </c>
      <c r="J827" s="101">
        <f t="shared" si="233"/>
        <v>0.12967064221865365</v>
      </c>
      <c r="K827" s="101">
        <f t="shared" si="234"/>
        <v>2.1189934317609623E-2</v>
      </c>
      <c r="L827" s="101">
        <f t="shared" si="243"/>
        <v>105.09044445440196</v>
      </c>
      <c r="M827" s="101">
        <f t="shared" si="235"/>
        <v>565.58748210256238</v>
      </c>
      <c r="N827" s="101">
        <f t="shared" si="236"/>
        <v>54.467299943862301</v>
      </c>
      <c r="O827" s="101">
        <f t="shared" si="237"/>
        <v>1.3001288038428442</v>
      </c>
      <c r="P827" s="101">
        <f t="shared" si="238"/>
        <v>1.3001288038428442</v>
      </c>
      <c r="Q827" s="101">
        <f t="shared" si="239"/>
        <v>0.62132695269010485</v>
      </c>
      <c r="R827" s="101">
        <f t="shared" si="240"/>
        <v>1.5147615191563518E-2</v>
      </c>
      <c r="S827" s="101">
        <f t="shared" si="228"/>
        <v>507.88344998313272</v>
      </c>
      <c r="T827" s="101">
        <f t="shared" si="244"/>
        <v>275.08346845627437</v>
      </c>
      <c r="U827" s="101">
        <f t="shared" si="244"/>
        <v>42.521825399034988</v>
      </c>
      <c r="V827" s="33">
        <f t="shared" si="245"/>
        <v>1000.0000000000053</v>
      </c>
      <c r="W827" s="105">
        <f t="shared" si="241"/>
        <v>51808.487657771875</v>
      </c>
      <c r="X827" s="112">
        <f t="shared" si="246"/>
        <v>682.39470614469587</v>
      </c>
      <c r="Y827" s="32">
        <f t="shared" si="242"/>
        <v>354.72532831692939</v>
      </c>
    </row>
    <row r="828" spans="1:25" x14ac:dyDescent="0.25">
      <c r="A828" s="4">
        <v>822</v>
      </c>
      <c r="C828" s="110">
        <f>IF(male=0,VLOOKUP(((A826:A1660/'Life tables'!$I$2)*2)+age,lifetable,13,1),IF(male=1,VLOOKUP(((A826:A1660/'Life tables'!$I$2)*2)+age,lifetable,10,1),"error"))</f>
        <v>9.9786705819526755E-4</v>
      </c>
      <c r="F828" s="101">
        <f t="shared" si="229"/>
        <v>117.45899805603779</v>
      </c>
      <c r="G828" s="101">
        <f t="shared" si="230"/>
        <v>11.799002182867943</v>
      </c>
      <c r="H828" s="101">
        <f t="shared" si="231"/>
        <v>0.27000566928297565</v>
      </c>
      <c r="I828" s="101">
        <f t="shared" si="232"/>
        <v>0.27000566928297565</v>
      </c>
      <c r="J828" s="101">
        <f t="shared" si="233"/>
        <v>0.12952115997240696</v>
      </c>
      <c r="K828" s="101">
        <f t="shared" si="234"/>
        <v>2.1165506899611067E-2</v>
      </c>
      <c r="L828" s="101">
        <f t="shared" si="243"/>
        <v>104.96929786773187</v>
      </c>
      <c r="M828" s="101">
        <f t="shared" si="235"/>
        <v>564.9357080886582</v>
      </c>
      <c r="N828" s="101">
        <f t="shared" si="236"/>
        <v>54.404532694171834</v>
      </c>
      <c r="O828" s="101">
        <f t="shared" si="237"/>
        <v>1.2986305560988827</v>
      </c>
      <c r="P828" s="101">
        <f t="shared" si="238"/>
        <v>1.2986305560988827</v>
      </c>
      <c r="Q828" s="101">
        <f t="shared" si="239"/>
        <v>0.62061094539730488</v>
      </c>
      <c r="R828" s="101">
        <f t="shared" si="240"/>
        <v>1.5130159320868187E-2</v>
      </c>
      <c r="S828" s="101">
        <f t="shared" si="228"/>
        <v>507.29817317757045</v>
      </c>
      <c r="T828" s="101">
        <f t="shared" si="244"/>
        <v>275.83360056164406</v>
      </c>
      <c r="U828" s="101">
        <f t="shared" si="244"/>
        <v>42.55812106525547</v>
      </c>
      <c r="V828" s="33">
        <f t="shared" si="245"/>
        <v>1000.0000000000053</v>
      </c>
      <c r="W828" s="105">
        <f t="shared" si="241"/>
        <v>51689.304010009058</v>
      </c>
      <c r="X828" s="112">
        <f t="shared" si="246"/>
        <v>681.6082783731058</v>
      </c>
      <c r="Y828" s="32">
        <f t="shared" si="242"/>
        <v>354.21462681434542</v>
      </c>
    </row>
    <row r="829" spans="1:25" x14ac:dyDescent="0.25">
      <c r="A829" s="4">
        <v>823</v>
      </c>
      <c r="C829" s="110">
        <f>IF(male=0,VLOOKUP(((A827:A1661/'Life tables'!$I$2)*2)+age,lifetable,13,1),IF(male=1,VLOOKUP(((A827:A1661/'Life tables'!$I$2)*2)+age,lifetable,10,1),"error"))</f>
        <v>9.9786705819526755E-4</v>
      </c>
      <c r="F829" s="101">
        <f t="shared" si="229"/>
        <v>117.32359440194672</v>
      </c>
      <c r="G829" s="101">
        <f t="shared" si="230"/>
        <v>11.78540060243026</v>
      </c>
      <c r="H829" s="101">
        <f t="shared" si="231"/>
        <v>0.26969441382488996</v>
      </c>
      <c r="I829" s="101">
        <f t="shared" si="232"/>
        <v>0.26969441382488996</v>
      </c>
      <c r="J829" s="101">
        <f t="shared" si="233"/>
        <v>0.12937185137423546</v>
      </c>
      <c r="K829" s="101">
        <f t="shared" si="234"/>
        <v>2.114110785805335E-2</v>
      </c>
      <c r="L829" s="101">
        <f t="shared" si="243"/>
        <v>104.84829201263439</v>
      </c>
      <c r="M829" s="101">
        <f t="shared" si="235"/>
        <v>564.28468397115898</v>
      </c>
      <c r="N829" s="101">
        <f t="shared" si="236"/>
        <v>54.341837661129915</v>
      </c>
      <c r="O829" s="101">
        <f t="shared" si="237"/>
        <v>1.2971340321588363</v>
      </c>
      <c r="P829" s="101">
        <f t="shared" si="238"/>
        <v>1.2971340321588363</v>
      </c>
      <c r="Q829" s="101">
        <f t="shared" si="239"/>
        <v>0.61989576190429374</v>
      </c>
      <c r="R829" s="101">
        <f t="shared" si="240"/>
        <v>1.5112723533966317E-2</v>
      </c>
      <c r="S829" s="101">
        <f t="shared" si="228"/>
        <v>506.71356976027312</v>
      </c>
      <c r="T829" s="101">
        <f t="shared" si="244"/>
        <v>276.58286817492257</v>
      </c>
      <c r="U829" s="101">
        <f t="shared" si="244"/>
        <v>42.594374896647487</v>
      </c>
      <c r="V829" s="33">
        <f t="shared" si="245"/>
        <v>1000.0000000000053</v>
      </c>
      <c r="W829" s="105">
        <f t="shared" si="241"/>
        <v>51570.394502082054</v>
      </c>
      <c r="X829" s="112">
        <f t="shared" si="246"/>
        <v>680.82275692843518</v>
      </c>
      <c r="Y829" s="32">
        <f t="shared" si="242"/>
        <v>353.70466057637913</v>
      </c>
    </row>
    <row r="830" spans="1:25" x14ac:dyDescent="0.25">
      <c r="A830" s="4">
        <v>824</v>
      </c>
      <c r="C830" s="110">
        <f>IF(male=0,VLOOKUP(((A828:A1662/'Life tables'!$I$2)*2)+age,lifetable,13,1),IF(male=1,VLOOKUP(((A828:A1662/'Life tables'!$I$2)*2)+age,lifetable,10,1),"error"))</f>
        <v>9.9786705819526755E-4</v>
      </c>
      <c r="F830" s="101">
        <f t="shared" si="229"/>
        <v>117.18834800278698</v>
      </c>
      <c r="G830" s="101">
        <f t="shared" si="230"/>
        <v>11.771814818579546</v>
      </c>
      <c r="H830" s="101">
        <f t="shared" si="231"/>
        <v>0.26938351985229014</v>
      </c>
      <c r="I830" s="101">
        <f t="shared" si="232"/>
        <v>0.26938351985229014</v>
      </c>
      <c r="J830" s="101">
        <f t="shared" si="233"/>
        <v>0.1292227161799023</v>
      </c>
      <c r="K830" s="101">
        <f t="shared" si="234"/>
        <v>2.1116737153024881E-2</v>
      </c>
      <c r="L830" s="101">
        <f t="shared" si="243"/>
        <v>104.72742669116992</v>
      </c>
      <c r="M830" s="101">
        <f t="shared" si="235"/>
        <v>563.63440892564824</v>
      </c>
      <c r="N830" s="101">
        <f t="shared" si="236"/>
        <v>54.27921476534344</v>
      </c>
      <c r="O830" s="101">
        <f t="shared" si="237"/>
        <v>1.2956392301275999</v>
      </c>
      <c r="P830" s="101">
        <f t="shared" si="238"/>
        <v>1.2956392301275999</v>
      </c>
      <c r="Q830" s="101">
        <f t="shared" si="239"/>
        <v>0.61918140130540711</v>
      </c>
      <c r="R830" s="101">
        <f t="shared" si="240"/>
        <v>1.5095307808778312E-2</v>
      </c>
      <c r="S830" s="101">
        <f t="shared" si="228"/>
        <v>506.1296389909354</v>
      </c>
      <c r="T830" s="101">
        <f t="shared" si="244"/>
        <v>277.3312722924079</v>
      </c>
      <c r="U830" s="101">
        <f t="shared" si="244"/>
        <v>42.630586941609288</v>
      </c>
      <c r="V830" s="33">
        <f t="shared" si="245"/>
        <v>1000.0000000000053</v>
      </c>
      <c r="W830" s="105">
        <f t="shared" si="241"/>
        <v>51451.758504690843</v>
      </c>
      <c r="X830" s="112">
        <f t="shared" si="246"/>
        <v>680.03814076598803</v>
      </c>
      <c r="Y830" s="32">
        <f t="shared" si="242"/>
        <v>353.19542854437174</v>
      </c>
    </row>
    <row r="831" spans="1:25" x14ac:dyDescent="0.25">
      <c r="A831" s="4">
        <v>825</v>
      </c>
      <c r="C831" s="110">
        <f>IF(male=0,VLOOKUP(((A829:A1663/'Life tables'!$I$2)*2)+age,lifetable,13,1),IF(male=1,VLOOKUP(((A829:A1663/'Life tables'!$I$2)*2)+age,lifetable,10,1),"error"))</f>
        <v>9.9786705819526755E-4</v>
      </c>
      <c r="F831" s="101">
        <f t="shared" si="229"/>
        <v>117.05325863860433</v>
      </c>
      <c r="G831" s="101">
        <f t="shared" si="230"/>
        <v>11.758244809220937</v>
      </c>
      <c r="H831" s="101">
        <f t="shared" si="231"/>
        <v>0.26907298685956238</v>
      </c>
      <c r="I831" s="101">
        <f t="shared" si="232"/>
        <v>0.26907298685956238</v>
      </c>
      <c r="J831" s="101">
        <f t="shared" si="233"/>
        <v>0.1290737541468657</v>
      </c>
      <c r="K831" s="101">
        <f t="shared" si="234"/>
        <v>2.1092394744891042E-2</v>
      </c>
      <c r="L831" s="101">
        <f t="shared" si="243"/>
        <v>104.60670170677251</v>
      </c>
      <c r="M831" s="101">
        <f t="shared" si="235"/>
        <v>562.98488212738368</v>
      </c>
      <c r="N831" s="101">
        <f t="shared" si="236"/>
        <v>54.216663927387948</v>
      </c>
      <c r="O831" s="101">
        <f t="shared" si="237"/>
        <v>1.2941461481093199</v>
      </c>
      <c r="P831" s="101">
        <f t="shared" si="238"/>
        <v>1.2941461481093199</v>
      </c>
      <c r="Q831" s="101">
        <f t="shared" si="239"/>
        <v>0.61846786269462295</v>
      </c>
      <c r="R831" s="101">
        <f t="shared" si="240"/>
        <v>1.5077912123215853E-2</v>
      </c>
      <c r="S831" s="101">
        <f t="shared" si="228"/>
        <v>505.54638012895924</v>
      </c>
      <c r="T831" s="101">
        <f t="shared" si="244"/>
        <v>278.07881390924939</v>
      </c>
      <c r="U831" s="101">
        <f t="shared" si="244"/>
        <v>42.666757248477396</v>
      </c>
      <c r="V831" s="33">
        <f t="shared" si="245"/>
        <v>1000.0000000000053</v>
      </c>
      <c r="W831" s="105">
        <f t="shared" si="241"/>
        <v>51333.395389938021</v>
      </c>
      <c r="X831" s="112">
        <f t="shared" si="246"/>
        <v>679.25442884227846</v>
      </c>
      <c r="Y831" s="32">
        <f t="shared" si="242"/>
        <v>352.68692966119158</v>
      </c>
    </row>
    <row r="832" spans="1:25" x14ac:dyDescent="0.25">
      <c r="A832" s="4">
        <v>826</v>
      </c>
      <c r="C832" s="110">
        <f>IF(male=0,VLOOKUP(((A830:A1664/'Life tables'!$I$2)*2)+age,lifetable,13,1),IF(male=1,VLOOKUP(((A830:A1664/'Life tables'!$I$2)*2)+age,lifetable,10,1),"error"))</f>
        <v>9.9786705819526755E-4</v>
      </c>
      <c r="F832" s="101">
        <f t="shared" si="229"/>
        <v>116.91832609093889</v>
      </c>
      <c r="G832" s="101">
        <f t="shared" si="230"/>
        <v>11.744690552409679</v>
      </c>
      <c r="H832" s="101">
        <f t="shared" si="231"/>
        <v>0.26876281434452792</v>
      </c>
      <c r="I832" s="101">
        <f t="shared" si="232"/>
        <v>0.26876281434452792</v>
      </c>
      <c r="J832" s="101">
        <f t="shared" si="233"/>
        <v>0.12892496503423151</v>
      </c>
      <c r="K832" s="101">
        <f t="shared" si="234"/>
        <v>2.1068080594286484E-2</v>
      </c>
      <c r="L832" s="101">
        <f t="shared" si="243"/>
        <v>104.48611686421164</v>
      </c>
      <c r="M832" s="101">
        <f t="shared" si="235"/>
        <v>562.33610275133958</v>
      </c>
      <c r="N832" s="101">
        <f t="shared" si="236"/>
        <v>54.154185067811675</v>
      </c>
      <c r="O832" s="101">
        <f t="shared" si="237"/>
        <v>1.2926547842074909</v>
      </c>
      <c r="P832" s="101">
        <f t="shared" si="238"/>
        <v>1.2926547842074909</v>
      </c>
      <c r="Q832" s="101">
        <f t="shared" si="239"/>
        <v>0.61775514516560848</v>
      </c>
      <c r="R832" s="101">
        <f t="shared" si="240"/>
        <v>1.5060536455183023E-2</v>
      </c>
      <c r="S832" s="101">
        <f t="shared" si="228"/>
        <v>504.96379243349213</v>
      </c>
      <c r="T832" s="101">
        <f t="shared" si="244"/>
        <v>278.82549401944925</v>
      </c>
      <c r="U832" s="101">
        <f t="shared" si="244"/>
        <v>42.702885865526866</v>
      </c>
      <c r="V832" s="33">
        <f t="shared" si="245"/>
        <v>1000.0000000000052</v>
      </c>
      <c r="W832" s="105">
        <f t="shared" si="241"/>
        <v>51215.304531327325</v>
      </c>
      <c r="X832" s="112">
        <f t="shared" si="246"/>
        <v>678.47162011502917</v>
      </c>
      <c r="Y832" s="32">
        <f t="shared" si="242"/>
        <v>352.17916287123194</v>
      </c>
    </row>
    <row r="833" spans="1:25" x14ac:dyDescent="0.25">
      <c r="A833" s="4">
        <v>827</v>
      </c>
      <c r="C833" s="110">
        <f>IF(male=0,VLOOKUP(((A831:A1665/'Life tables'!$I$2)*2)+age,lifetable,13,1),IF(male=1,VLOOKUP(((A831:A1665/'Life tables'!$I$2)*2)+age,lifetable,10,1),"error"))</f>
        <v>9.9786705819526755E-4</v>
      </c>
      <c r="F833" s="101">
        <f t="shared" si="229"/>
        <v>116.78355014278351</v>
      </c>
      <c r="G833" s="101">
        <f t="shared" si="230"/>
        <v>11.731152026346953</v>
      </c>
      <c r="H833" s="101">
        <f t="shared" si="231"/>
        <v>0.26845300180834764</v>
      </c>
      <c r="I833" s="101">
        <f t="shared" si="232"/>
        <v>0.26845300180834764</v>
      </c>
      <c r="J833" s="101">
        <f t="shared" si="233"/>
        <v>0.12877634860270754</v>
      </c>
      <c r="K833" s="101">
        <f t="shared" si="234"/>
        <v>2.1043794662107637E-2</v>
      </c>
      <c r="L833" s="101">
        <f t="shared" si="243"/>
        <v>104.36567196955505</v>
      </c>
      <c r="M833" s="101">
        <f t="shared" si="235"/>
        <v>561.68806997224556</v>
      </c>
      <c r="N833" s="101">
        <f t="shared" si="236"/>
        <v>54.091778107139284</v>
      </c>
      <c r="O833" s="101">
        <f t="shared" si="237"/>
        <v>1.2911651365250452</v>
      </c>
      <c r="P833" s="101">
        <f t="shared" si="238"/>
        <v>1.2911651365250452</v>
      </c>
      <c r="Q833" s="101">
        <f t="shared" si="239"/>
        <v>0.61704324781176156</v>
      </c>
      <c r="R833" s="101">
        <f t="shared" si="240"/>
        <v>1.5043180782577355E-2</v>
      </c>
      <c r="S833" s="101">
        <f t="shared" si="228"/>
        <v>504.38187516346181</v>
      </c>
      <c r="T833" s="101">
        <f t="shared" si="244"/>
        <v>279.57131361586374</v>
      </c>
      <c r="U833" s="101">
        <f t="shared" si="244"/>
        <v>42.738972840971549</v>
      </c>
      <c r="V833" s="33">
        <f t="shared" si="245"/>
        <v>1000.0000000000051</v>
      </c>
      <c r="W833" s="105">
        <f t="shared" si="241"/>
        <v>51097.485303761605</v>
      </c>
      <c r="X833" s="112">
        <f t="shared" si="246"/>
        <v>677.68971354316989</v>
      </c>
      <c r="Y833" s="32">
        <f t="shared" si="242"/>
        <v>351.67212712040856</v>
      </c>
    </row>
    <row r="834" spans="1:25" x14ac:dyDescent="0.25">
      <c r="A834" s="4">
        <v>828</v>
      </c>
      <c r="C834" s="110">
        <f>IF(male=0,VLOOKUP(((A832:A1666/'Life tables'!$I$2)*2)+age,lifetable,13,1),IF(male=1,VLOOKUP(((A832:A1666/'Life tables'!$I$2)*2)+age,lifetable,10,1),"error"))</f>
        <v>9.9786705819526755E-4</v>
      </c>
      <c r="F834" s="101">
        <f t="shared" si="229"/>
        <v>116.64893057854371</v>
      </c>
      <c r="G834" s="101">
        <f t="shared" si="230"/>
        <v>11.71762920937584</v>
      </c>
      <c r="H834" s="101">
        <f t="shared" si="231"/>
        <v>0.26814354875542945</v>
      </c>
      <c r="I834" s="101">
        <f t="shared" si="232"/>
        <v>0.26814354875542945</v>
      </c>
      <c r="J834" s="101">
        <f t="shared" si="233"/>
        <v>0.12862790461455947</v>
      </c>
      <c r="K834" s="101">
        <f t="shared" si="234"/>
        <v>2.1019536909505483E-2</v>
      </c>
      <c r="L834" s="101">
        <f t="shared" si="243"/>
        <v>104.24536683013295</v>
      </c>
      <c r="M834" s="101">
        <f t="shared" si="235"/>
        <v>561.04078296462603</v>
      </c>
      <c r="N834" s="101">
        <f t="shared" si="236"/>
        <v>54.029442965875702</v>
      </c>
      <c r="O834" s="101">
        <f t="shared" si="237"/>
        <v>1.2896772031644428</v>
      </c>
      <c r="P834" s="101">
        <f t="shared" si="238"/>
        <v>1.2896772031644428</v>
      </c>
      <c r="Q834" s="101">
        <f t="shared" si="239"/>
        <v>0.61633216972625482</v>
      </c>
      <c r="R834" s="101">
        <f t="shared" si="240"/>
        <v>1.5025845083290888E-2</v>
      </c>
      <c r="S834" s="101">
        <f t="shared" si="228"/>
        <v>503.80062757761186</v>
      </c>
      <c r="T834" s="101">
        <f t="shared" si="244"/>
        <v>280.31627369020458</v>
      </c>
      <c r="U834" s="101">
        <f t="shared" si="244"/>
        <v>42.775018222964349</v>
      </c>
      <c r="V834" s="33">
        <f t="shared" si="245"/>
        <v>1000.0000000000051</v>
      </c>
      <c r="W834" s="105">
        <f t="shared" si="241"/>
        <v>50979.937083541292</v>
      </c>
      <c r="X834" s="112">
        <f t="shared" si="246"/>
        <v>676.9087080868361</v>
      </c>
      <c r="Y834" s="32">
        <f t="shared" si="242"/>
        <v>351.16582135615698</v>
      </c>
    </row>
    <row r="835" spans="1:25" x14ac:dyDescent="0.25">
      <c r="A835" s="4">
        <v>829</v>
      </c>
      <c r="C835" s="110">
        <f>IF(male=0,VLOOKUP(((A833:A1667/'Life tables'!$I$2)*2)+age,lifetable,13,1),IF(male=1,VLOOKUP(((A833:A1667/'Life tables'!$I$2)*2)+age,lifetable,10,1),"error"))</f>
        <v>9.9786705819526755E-4</v>
      </c>
      <c r="F835" s="101">
        <f t="shared" si="229"/>
        <v>116.51446718399875</v>
      </c>
      <c r="G835" s="101">
        <f t="shared" si="230"/>
        <v>11.704122079977418</v>
      </c>
      <c r="H835" s="101">
        <f t="shared" si="231"/>
        <v>0.26783445469333933</v>
      </c>
      <c r="I835" s="101">
        <f t="shared" si="232"/>
        <v>0.26783445469333933</v>
      </c>
      <c r="J835" s="101">
        <f t="shared" si="233"/>
        <v>0.12847963283356759</v>
      </c>
      <c r="K835" s="101">
        <f t="shared" si="234"/>
        <v>2.0995307297878549E-2</v>
      </c>
      <c r="L835" s="101">
        <f t="shared" si="243"/>
        <v>104.1252012545032</v>
      </c>
      <c r="M835" s="101">
        <f t="shared" si="235"/>
        <v>560.39424090283728</v>
      </c>
      <c r="N835" s="101">
        <f t="shared" si="236"/>
        <v>53.967179564509642</v>
      </c>
      <c r="O835" s="101">
        <f t="shared" si="237"/>
        <v>1.2881909822277584</v>
      </c>
      <c r="P835" s="101">
        <f t="shared" si="238"/>
        <v>1.2881909822277584</v>
      </c>
      <c r="Q835" s="101">
        <f t="shared" si="239"/>
        <v>0.61562191000207578</v>
      </c>
      <c r="R835" s="101">
        <f t="shared" si="240"/>
        <v>1.5008529335211161E-2</v>
      </c>
      <c r="S835" s="101">
        <f t="shared" ref="S835:S839" si="247">M835-SUM(N835:R835)</f>
        <v>503.22004893453482</v>
      </c>
      <c r="T835" s="101">
        <f t="shared" si="244"/>
        <v>281.06037523304025</v>
      </c>
      <c r="U835" s="101">
        <f t="shared" si="244"/>
        <v>42.811022059597441</v>
      </c>
      <c r="V835" s="33">
        <f t="shared" si="245"/>
        <v>1000.000000000005</v>
      </c>
      <c r="W835" s="105">
        <f t="shared" si="241"/>
        <v>50862.659248362135</v>
      </c>
      <c r="X835" s="112">
        <f t="shared" si="246"/>
        <v>676.12860270736724</v>
      </c>
      <c r="Y835" s="32">
        <f t="shared" si="242"/>
        <v>350.66024452743119</v>
      </c>
    </row>
    <row r="836" spans="1:25" x14ac:dyDescent="0.25">
      <c r="A836" s="4">
        <v>830</v>
      </c>
      <c r="C836" s="110">
        <f>IF(male=0,VLOOKUP(((A834:A1668/'Life tables'!$I$2)*2)+age,lifetable,13,1),IF(male=1,VLOOKUP(((A834:A1668/'Life tables'!$I$2)*2)+age,lifetable,10,1),"error"))</f>
        <v>9.9786705819526755E-4</v>
      </c>
      <c r="F836" s="101">
        <f t="shared" si="229"/>
        <v>116.38015974626397</v>
      </c>
      <c r="G836" s="101">
        <f t="shared" si="230"/>
        <v>11.690630616766979</v>
      </c>
      <c r="H836" s="101">
        <f t="shared" si="231"/>
        <v>0.26752571913271456</v>
      </c>
      <c r="I836" s="101">
        <f t="shared" si="232"/>
        <v>0.26752571913271456</v>
      </c>
      <c r="J836" s="101">
        <f t="shared" si="233"/>
        <v>0.12833153302498559</v>
      </c>
      <c r="K836" s="101">
        <f t="shared" si="234"/>
        <v>2.0971105788866115E-2</v>
      </c>
      <c r="L836" s="101">
        <f t="shared" si="243"/>
        <v>104.00517505241771</v>
      </c>
      <c r="M836" s="101">
        <f t="shared" si="235"/>
        <v>559.74844296110325</v>
      </c>
      <c r="N836" s="101">
        <f t="shared" si="236"/>
        <v>53.904987823517082</v>
      </c>
      <c r="O836" s="101">
        <f t="shared" si="237"/>
        <v>1.2867064718167613</v>
      </c>
      <c r="P836" s="101">
        <f t="shared" si="238"/>
        <v>1.2867064718167613</v>
      </c>
      <c r="Q836" s="101">
        <f t="shared" si="239"/>
        <v>0.61491246773206742</v>
      </c>
      <c r="R836" s="101">
        <f t="shared" si="240"/>
        <v>1.4991233516222158E-2</v>
      </c>
      <c r="S836" s="101">
        <f t="shared" si="247"/>
        <v>502.64013849270435</v>
      </c>
      <c r="T836" s="101">
        <f t="shared" si="244"/>
        <v>281.80361923379729</v>
      </c>
      <c r="U836" s="101">
        <f t="shared" si="244"/>
        <v>42.846984398902528</v>
      </c>
      <c r="V836" s="33">
        <f t="shared" si="245"/>
        <v>1000.000000000005</v>
      </c>
      <c r="W836" s="105">
        <f t="shared" si="241"/>
        <v>50745.651177313732</v>
      </c>
      <c r="X836" s="112">
        <f t="shared" si="246"/>
        <v>675.34939636730508</v>
      </c>
      <c r="Y836" s="32">
        <f t="shared" si="242"/>
        <v>350.15539558470107</v>
      </c>
    </row>
    <row r="837" spans="1:25" x14ac:dyDescent="0.25">
      <c r="A837" s="4">
        <v>831</v>
      </c>
      <c r="C837" s="110">
        <f>IF(male=0,VLOOKUP(((A835:A1669/'Life tables'!$I$2)*2)+age,lifetable,13,1),IF(male=1,VLOOKUP(((A835:A1669/'Life tables'!$I$2)*2)+age,lifetable,10,1),"error"))</f>
        <v>9.9786705819526755E-4</v>
      </c>
      <c r="F837" s="101">
        <f t="shared" si="229"/>
        <v>116.24600805375448</v>
      </c>
      <c r="G837" s="101">
        <f t="shared" si="230"/>
        <v>11.677154798490378</v>
      </c>
      <c r="H837" s="101">
        <f t="shared" si="231"/>
        <v>0.26721734158717997</v>
      </c>
      <c r="I837" s="101">
        <f t="shared" si="232"/>
        <v>0.26721734158717997</v>
      </c>
      <c r="J837" s="101">
        <f t="shared" si="233"/>
        <v>0.12818360495550044</v>
      </c>
      <c r="K837" s="101">
        <f t="shared" si="234"/>
        <v>2.0946932344341678E-2</v>
      </c>
      <c r="L837" s="101">
        <f t="shared" si="243"/>
        <v>103.88528803478989</v>
      </c>
      <c r="M837" s="101">
        <f t="shared" si="235"/>
        <v>559.10338831355045</v>
      </c>
      <c r="N837" s="101">
        <f t="shared" si="236"/>
        <v>53.842867663364615</v>
      </c>
      <c r="O837" s="101">
        <f t="shared" si="237"/>
        <v>1.2852236700329978</v>
      </c>
      <c r="P837" s="101">
        <f t="shared" si="238"/>
        <v>1.2852236700329978</v>
      </c>
      <c r="Q837" s="101">
        <f t="shared" si="239"/>
        <v>0.61420384200896516</v>
      </c>
      <c r="R837" s="101">
        <f t="shared" si="240"/>
        <v>1.4973957604205267E-2</v>
      </c>
      <c r="S837" s="101">
        <f t="shared" si="247"/>
        <v>502.06089551050667</v>
      </c>
      <c r="T837" s="101">
        <f t="shared" si="244"/>
        <v>282.54600668076176</v>
      </c>
      <c r="U837" s="101">
        <f t="shared" si="244"/>
        <v>42.882905288851077</v>
      </c>
      <c r="V837" s="33">
        <f t="shared" si="245"/>
        <v>1000.0000000000048</v>
      </c>
      <c r="W837" s="105">
        <f t="shared" si="241"/>
        <v>50628.912250877132</v>
      </c>
      <c r="X837" s="112">
        <f t="shared" si="246"/>
        <v>674.57108803039193</v>
      </c>
      <c r="Y837" s="32">
        <f t="shared" si="242"/>
        <v>349.65127347994951</v>
      </c>
    </row>
    <row r="838" spans="1:25" x14ac:dyDescent="0.25">
      <c r="A838" s="4">
        <v>832</v>
      </c>
      <c r="C838" s="110">
        <f>IF(male=0,VLOOKUP(((A836:A1670/'Life tables'!$I$2)*2)+age,lifetable,13,1),IF(male=1,VLOOKUP(((A836:A1670/'Life tables'!$I$2)*2)+age,lifetable,10,1),"error"))</f>
        <v>9.9786705819526755E-4</v>
      </c>
      <c r="F838" s="101">
        <f t="shared" si="229"/>
        <v>116.11201189614972</v>
      </c>
      <c r="G838" s="101">
        <f t="shared" si="230"/>
        <v>11.663694604020472</v>
      </c>
      <c r="H838" s="101">
        <f t="shared" si="231"/>
        <v>0.26690932157326708</v>
      </c>
      <c r="I838" s="101">
        <f t="shared" si="232"/>
        <v>0.26690932157326708</v>
      </c>
      <c r="J838" s="101">
        <f t="shared" si="233"/>
        <v>0.12803584839319321</v>
      </c>
      <c r="K838" s="101">
        <f t="shared" si="234"/>
        <v>2.0922786926406547E-2</v>
      </c>
      <c r="L838" s="101">
        <f t="shared" si="243"/>
        <v>103.76554001366311</v>
      </c>
      <c r="M838" s="101">
        <f t="shared" si="235"/>
        <v>558.4590761342422</v>
      </c>
      <c r="N838" s="101">
        <f t="shared" si="236"/>
        <v>53.78081900451275</v>
      </c>
      <c r="O838" s="101">
        <f t="shared" si="237"/>
        <v>1.2837425749778679</v>
      </c>
      <c r="P838" s="101">
        <f t="shared" si="238"/>
        <v>1.2837425749778679</v>
      </c>
      <c r="Q838" s="101">
        <f t="shared" si="239"/>
        <v>0.61349603192543478</v>
      </c>
      <c r="R838" s="101">
        <f t="shared" si="240"/>
        <v>1.4956701577040172E-2</v>
      </c>
      <c r="S838" s="101">
        <f t="shared" si="247"/>
        <v>501.48231924627123</v>
      </c>
      <c r="T838" s="101">
        <f t="shared" si="244"/>
        <v>283.2875385610804</v>
      </c>
      <c r="U838" s="101">
        <f t="shared" si="244"/>
        <v>42.918784777354524</v>
      </c>
      <c r="V838" s="33">
        <f t="shared" si="245"/>
        <v>1000.0000000000048</v>
      </c>
      <c r="W838" s="105">
        <f t="shared" si="241"/>
        <v>50512.441850923373</v>
      </c>
      <c r="X838" s="112">
        <f t="shared" si="246"/>
        <v>673.79367666156986</v>
      </c>
      <c r="Y838" s="32">
        <f t="shared" si="242"/>
        <v>349.14787716667047</v>
      </c>
    </row>
    <row r="839" spans="1:25" x14ac:dyDescent="0.25">
      <c r="A839" s="4">
        <v>833</v>
      </c>
      <c r="C839" s="110">
        <f>IF(male=0,VLOOKUP(((A837:A1671/'Life tables'!$I$2)*2)+age,lifetable,13,1),IF(male=1,VLOOKUP(((A837:A1671/'Life tables'!$I$2)*2)+age,lifetable,10,1),"error"))</f>
        <v>9.9786705819526755E-4</v>
      </c>
      <c r="F839" s="101">
        <f t="shared" si="229"/>
        <v>115.97817106435943</v>
      </c>
      <c r="G839" s="101">
        <f t="shared" ref="G839" si="248">F839*(rrOSEX)</f>
        <v>11.650250012353709</v>
      </c>
      <c r="H839" s="101">
        <f t="shared" si="231"/>
        <v>0.26660165861033519</v>
      </c>
      <c r="I839" s="101">
        <f t="shared" si="232"/>
        <v>0.26660165861033519</v>
      </c>
      <c r="J839" s="101">
        <f t="shared" ref="J839:J902" si="249">F839*mr + G839*mr + H839*mr+I839*mr</f>
        <v>0.12788826310750157</v>
      </c>
      <c r="K839" s="101">
        <f t="shared" si="234"/>
        <v>2.0898669497383733E-2</v>
      </c>
      <c r="L839" s="101">
        <f t="shared" si="243"/>
        <v>103.64593080218016</v>
      </c>
      <c r="M839" s="101">
        <f t="shared" si="235"/>
        <v>557.8155055972104</v>
      </c>
      <c r="N839" s="101">
        <f t="shared" ref="N839" si="250">M839*rrOSEXc</f>
        <v>53.718841767418972</v>
      </c>
      <c r="O839" s="101">
        <f t="shared" si="237"/>
        <v>1.2822631847527004</v>
      </c>
      <c r="P839" s="101">
        <f t="shared" si="238"/>
        <v>1.2822631847527004</v>
      </c>
      <c r="Q839" s="101">
        <f t="shared" ref="Q839:Q902" si="251">M839*mr + N839*mr + O839*mr+P839*mr</f>
        <v>0.6127890365741081</v>
      </c>
      <c r="R839" s="101">
        <f t="shared" si="240"/>
        <v>1.4939465412605725E-2</v>
      </c>
      <c r="S839" s="101">
        <f t="shared" si="247"/>
        <v>500.90440895829931</v>
      </c>
      <c r="T839" s="101">
        <f t="shared" si="244"/>
        <v>284.02821586076203</v>
      </c>
      <c r="U839" s="101">
        <f t="shared" si="244"/>
        <v>42.954622912264512</v>
      </c>
      <c r="V839" s="33">
        <f t="shared" si="245"/>
        <v>1000.0000000000048</v>
      </c>
      <c r="W839" s="105">
        <f t="shared" si="241"/>
        <v>50396.239360710875</v>
      </c>
      <c r="X839" s="112">
        <f t="shared" si="246"/>
        <v>673.01716122697826</v>
      </c>
      <c r="Y839" s="32">
        <f t="shared" si="242"/>
        <v>348.64520559986755</v>
      </c>
    </row>
    <row r="840" spans="1:25" x14ac:dyDescent="0.25">
      <c r="W840" s="106" t="s">
        <v>107</v>
      </c>
      <c r="X840" s="103" t="s">
        <v>108</v>
      </c>
      <c r="Y840" s="103" t="s">
        <v>109</v>
      </c>
    </row>
    <row r="841" spans="1:25" x14ac:dyDescent="0.25">
      <c r="W841" s="107">
        <f>SUM(W779:W839)/1000</f>
        <v>3293.2216600262072</v>
      </c>
      <c r="X841" s="31">
        <f>SUM(X780:X839)/1000</f>
        <v>41.744841446109199</v>
      </c>
      <c r="Y841" s="11">
        <f>SUM(Y780:Y839)/1000</f>
        <v>21.811831150834614</v>
      </c>
    </row>
  </sheetData>
  <pageMargins left="0.75" right="0.75" top="1" bottom="1" header="0.5" footer="0.5"/>
  <headerFooter alignWithMargins="0">
    <oddHeader>&amp;A</oddHeader>
    <oddFoote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A841"/>
  <sheetViews>
    <sheetView tabSelected="1" workbookViewId="0">
      <selection activeCell="C7" sqref="C7"/>
    </sheetView>
  </sheetViews>
  <sheetFormatPr defaultRowHeight="15" x14ac:dyDescent="0.25"/>
  <cols>
    <col min="1" max="1" width="9.140625" style="4"/>
    <col min="2" max="2" width="4.7109375" style="29" customWidth="1"/>
    <col min="3" max="3" width="10" style="29" bestFit="1" customWidth="1"/>
    <col min="4" max="4" width="9.140625" style="4"/>
    <col min="5" max="5" width="16" style="4" bestFit="1" customWidth="1"/>
    <col min="6" max="6" width="12.5703125" style="4" bestFit="1" customWidth="1"/>
    <col min="7" max="8" width="7" style="4" bestFit="1" customWidth="1"/>
    <col min="9" max="9" width="6.85546875" style="4" bestFit="1" customWidth="1"/>
    <col min="10" max="10" width="12.7109375" style="4" bestFit="1" customWidth="1"/>
    <col min="11" max="11" width="11.140625" style="4" bestFit="1" customWidth="1"/>
    <col min="12" max="12" width="8.42578125" style="4" bestFit="1" customWidth="1"/>
    <col min="13" max="13" width="10.42578125" style="4" bestFit="1" customWidth="1"/>
    <col min="14" max="14" width="8" style="4" bestFit="1" customWidth="1"/>
    <col min="15" max="15" width="6" style="4" bestFit="1" customWidth="1"/>
    <col min="16" max="16" width="6.140625" style="4" bestFit="1" customWidth="1"/>
    <col min="17" max="17" width="11.42578125" style="4" bestFit="1" customWidth="1"/>
    <col min="18" max="18" width="9.85546875" style="4" bestFit="1" customWidth="1"/>
    <col min="19" max="19" width="8.42578125" style="4" bestFit="1" customWidth="1"/>
    <col min="20" max="20" width="9.5703125" style="4" bestFit="1" customWidth="1"/>
    <col min="21" max="21" width="13.7109375" style="4" bestFit="1" customWidth="1"/>
    <col min="22" max="23" width="12.7109375" style="4" customWidth="1"/>
    <col min="24" max="24" width="9.85546875" style="4" bestFit="1" customWidth="1"/>
    <col min="25" max="25" width="8" style="4" bestFit="1" customWidth="1"/>
    <col min="26" max="27" width="4.7109375" style="4" customWidth="1"/>
    <col min="28" max="16384" width="9.140625" style="4"/>
  </cols>
  <sheetData>
    <row r="1" spans="1:27" ht="15.75" x14ac:dyDescent="0.25">
      <c r="A1" s="41" t="s">
        <v>22</v>
      </c>
      <c r="M1" s="36"/>
    </row>
    <row r="2" spans="1:27" ht="15.75" x14ac:dyDescent="0.25">
      <c r="A2" s="41"/>
      <c r="F2" s="108"/>
      <c r="I2" s="108"/>
      <c r="J2" s="108"/>
      <c r="K2" s="108"/>
      <c r="M2" s="102"/>
      <c r="N2" s="102"/>
      <c r="O2" s="102"/>
      <c r="P2" s="102"/>
      <c r="Q2" s="102"/>
      <c r="R2" s="111"/>
      <c r="S2" s="111"/>
      <c r="T2" s="108"/>
    </row>
    <row r="3" spans="1:27" x14ac:dyDescent="0.25">
      <c r="B3" s="40"/>
      <c r="E3" s="39" t="s">
        <v>172</v>
      </c>
      <c r="F3" s="39"/>
      <c r="G3" s="39"/>
      <c r="H3" s="39"/>
      <c r="I3" s="39"/>
      <c r="J3" s="39"/>
      <c r="K3" s="39"/>
      <c r="L3" s="39"/>
      <c r="M3" s="38"/>
      <c r="N3" s="38"/>
      <c r="O3" s="38"/>
      <c r="P3" s="38"/>
      <c r="Q3" s="38"/>
      <c r="R3" s="38"/>
      <c r="S3" s="38"/>
      <c r="T3" s="38"/>
      <c r="U3" s="39"/>
      <c r="V3" s="39"/>
      <c r="W3" s="38"/>
      <c r="X3" s="38"/>
      <c r="Y3" s="38"/>
    </row>
    <row r="4" spans="1:27" ht="12.75" x14ac:dyDescent="0.2">
      <c r="A4" s="23" t="s">
        <v>21</v>
      </c>
      <c r="B4" s="37"/>
      <c r="C4" s="37" t="s">
        <v>20</v>
      </c>
      <c r="E4" s="23" t="s">
        <v>172</v>
      </c>
      <c r="F4" s="23" t="s">
        <v>135</v>
      </c>
      <c r="G4" s="23" t="s">
        <v>148</v>
      </c>
      <c r="H4" s="23" t="s">
        <v>149</v>
      </c>
      <c r="I4" s="23" t="s">
        <v>150</v>
      </c>
      <c r="J4" s="23" t="s">
        <v>166</v>
      </c>
      <c r="K4" s="23" t="s">
        <v>167</v>
      </c>
      <c r="L4" s="23" t="s">
        <v>154</v>
      </c>
      <c r="M4" s="23" t="s">
        <v>134</v>
      </c>
      <c r="N4" s="23" t="s">
        <v>151</v>
      </c>
      <c r="O4" s="23" t="s">
        <v>152</v>
      </c>
      <c r="P4" s="23" t="s">
        <v>153</v>
      </c>
      <c r="Q4" s="23" t="s">
        <v>170</v>
      </c>
      <c r="R4" s="23" t="s">
        <v>169</v>
      </c>
      <c r="S4" s="23" t="s">
        <v>168</v>
      </c>
      <c r="T4" s="23" t="s">
        <v>52</v>
      </c>
      <c r="U4" s="23" t="s">
        <v>53</v>
      </c>
      <c r="V4" s="23" t="s">
        <v>19</v>
      </c>
      <c r="W4" s="23" t="s">
        <v>11</v>
      </c>
      <c r="X4" s="23" t="s">
        <v>18</v>
      </c>
      <c r="Y4" s="23" t="s">
        <v>10</v>
      </c>
    </row>
    <row r="5" spans="1:27" ht="12.75" x14ac:dyDescent="0.2">
      <c r="B5" s="4"/>
      <c r="C5" s="36"/>
    </row>
    <row r="6" spans="1:27" x14ac:dyDescent="0.25">
      <c r="A6" s="4">
        <v>0</v>
      </c>
      <c r="E6" s="34">
        <v>1000</v>
      </c>
      <c r="F6" s="34"/>
      <c r="G6" s="34"/>
      <c r="H6" s="34"/>
      <c r="I6" s="34"/>
      <c r="J6" s="34"/>
      <c r="K6" s="34"/>
      <c r="L6" s="34"/>
      <c r="M6" s="34"/>
      <c r="N6" s="34"/>
      <c r="O6" s="34"/>
      <c r="P6" s="34"/>
      <c r="Q6" s="34"/>
      <c r="R6" s="34"/>
      <c r="S6" s="34"/>
      <c r="T6" s="34">
        <f>S6+J6</f>
        <v>0</v>
      </c>
      <c r="U6" s="34">
        <f>K6+R6</f>
        <v>0</v>
      </c>
      <c r="V6" s="33">
        <f>SUM(F6,M6)</f>
        <v>0</v>
      </c>
      <c r="W6" s="105">
        <f>(cNES)*E6</f>
        <v>92438.280187714918</v>
      </c>
      <c r="X6" s="30"/>
      <c r="Y6" s="35"/>
      <c r="Z6" s="30"/>
      <c r="AA6" s="30"/>
    </row>
    <row r="7" spans="1:27" x14ac:dyDescent="0.25">
      <c r="A7" s="4">
        <v>1</v>
      </c>
      <c r="C7" s="110">
        <f>IF(male=0,VLOOKUP(((A5:A839/'Life tables'!$I$2)*2)+age,lifetable,13,1),IF(male=1,VLOOKUP(((A5:A839/'Life tables'!$I$2)*2)+age,lifetable,10,1),"error"))</f>
        <v>8.0321853324738512E-5</v>
      </c>
      <c r="E7" s="100"/>
      <c r="F7" s="101">
        <f t="shared" ref="F7:F70" si="0">E6*(1-pCAPH)+(L6+G6+H6+I6)*(1-pCAPH)+(S6+N6+O6+P6)*(pUAPH)</f>
        <v>962.58233628111759</v>
      </c>
      <c r="G7" s="101">
        <f t="shared" ref="G7:G70" si="1">F7*(rrOSEX)</f>
        <v>96.693410253274479</v>
      </c>
      <c r="H7" s="101">
        <f t="shared" ref="H7:H70" si="2">F7*rrEREX</f>
        <v>2.2127099008928899</v>
      </c>
      <c r="I7" s="101">
        <f t="shared" ref="I7:I70" si="3">F7*rrHOEX</f>
        <v>2.2127099008928899</v>
      </c>
      <c r="J7" s="101">
        <f t="shared" ref="J7:J70" si="4">F7*mr + G7*mr + H7*mr+I7*mr</f>
        <v>8.543844906380775E-2</v>
      </c>
      <c r="K7" s="101">
        <f t="shared" ref="K7:K70" si="5">F7*amr + I7*amrHOEX</f>
        <v>0.17345238267979984</v>
      </c>
      <c r="L7" s="101">
        <f>F7-SUM(G7:K7)</f>
        <v>861.20461539431369</v>
      </c>
      <c r="M7" s="101">
        <f t="shared" ref="M7:M70" si="6">E6*pCAPH+(L6+G6+H6+I6)*pCAPH+(S6+N6+O6+P6)*(1-pUAPH)</f>
        <v>37.417663718882444</v>
      </c>
      <c r="N7" s="101">
        <f t="shared" ref="N7:N70" si="7">M7*rrOSEXc</f>
        <v>3.6034020862671263</v>
      </c>
      <c r="O7" s="101">
        <f t="shared" ref="O7:O70" si="8">M7*rrEREXc</f>
        <v>8.6012834287946177E-2</v>
      </c>
      <c r="P7" s="101">
        <f t="shared" ref="P7:P70" si="9">M7*rrHOEXc</f>
        <v>8.6012834287946177E-2</v>
      </c>
      <c r="Q7" s="101">
        <f t="shared" ref="Q7:Q70" si="10">M7*mr + N7*mr + O7*mr+P7*mr</f>
        <v>3.3087054513451135E-3</v>
      </c>
      <c r="R7" s="101">
        <f t="shared" ref="R7:R70" si="11">M7*amrc + P7*amrHOEX</f>
        <v>1.0021232600020285E-3</v>
      </c>
      <c r="S7" s="101">
        <f>M7-SUM(N7:R7)</f>
        <v>33.637925135328082</v>
      </c>
      <c r="T7" s="101">
        <f>J7+Q7+T6</f>
        <v>8.874715451515286E-2</v>
      </c>
      <c r="U7" s="101">
        <f>K7+R7+U6</f>
        <v>0.17445450593980188</v>
      </c>
      <c r="V7" s="33">
        <f>SUM(G7:I7,L7,N7,O7,P7,S7,T7,U7)</f>
        <v>1000.0000000000001</v>
      </c>
      <c r="W7" s="105">
        <f>IF(A7=1,((cPH1_+cPHr+(cNES*L7+(cNES+cOSEX)*G7+(cNES+cEREX)*H7+(cNES+cHOEX)*I7 + (cNES+cNES)*S7 +(cNES+ cOSEX)*N7 + (cNES+cEREX)*O7 + (cNES+cHOEX)*P7)))/(1+cDR)^A$5:A$65536,(cPHr+(cNES*L7+(cNES+cOSEX)*G7+(cNES+cEREX)*H7+(cNES+cHOEX)*I7 + (cNES+cNES)*S7 +(cNES+ cOSEX)*N7 + (cNES+cEREX)*O7 + (cNES+cHOEX)*P7))/(1+cDR)^A$5:A$65536)</f>
        <v>129786.29277610232</v>
      </c>
      <c r="X7" s="112">
        <f>(L7+G7+H7+I7+N7+O7+P7+S7)</f>
        <v>999.7367983395452</v>
      </c>
      <c r="Y7" s="32">
        <f>(uNES*L7+ uOCEX*G7+uEREX*'PH + UC'!H7+uHOEX*I7+uNES*S7+ uOCEX*N7+uEREX*O7+uHOEX*P7)/(1+oDR)^A$5:A$65536</f>
        <v>657.61177055900941</v>
      </c>
      <c r="Z7" s="30"/>
      <c r="AA7" s="30"/>
    </row>
    <row r="8" spans="1:27" x14ac:dyDescent="0.25">
      <c r="A8" s="4">
        <v>2</v>
      </c>
      <c r="C8" s="110">
        <f>IF(male=0,VLOOKUP(((A6:A840/'Life tables'!$I$2)*2)+age,lifetable,13,1),IF(male=1,VLOOKUP(((A6:A840/'Life tables'!$I$2)*2)+age,lifetable,10,1),"error"))</f>
        <v>8.0321853324738512E-5</v>
      </c>
      <c r="E8" s="100"/>
      <c r="F8" s="101">
        <f t="shared" si="0"/>
        <v>926.58198597323155</v>
      </c>
      <c r="G8" s="101">
        <f t="shared" si="1"/>
        <v>93.077099720265267</v>
      </c>
      <c r="H8" s="101">
        <f t="shared" si="2"/>
        <v>2.1299550771656777</v>
      </c>
      <c r="I8" s="101">
        <f t="shared" si="3"/>
        <v>2.1299550771656777</v>
      </c>
      <c r="J8" s="101">
        <f t="shared" si="4"/>
        <v>8.2243071400902784E-2</v>
      </c>
      <c r="K8" s="101">
        <f t="shared" si="5"/>
        <v>0.16696530484463515</v>
      </c>
      <c r="L8" s="101">
        <f t="shared" ref="L8:L71" si="12">F8-SUM(G8:K8)</f>
        <v>828.99576772238936</v>
      </c>
      <c r="M8" s="101">
        <f t="shared" si="6"/>
        <v>73.154812366313593</v>
      </c>
      <c r="N8" s="101">
        <f t="shared" si="7"/>
        <v>7.0449669301033451</v>
      </c>
      <c r="O8" s="101">
        <f t="shared" si="8"/>
        <v>0.16816263037433321</v>
      </c>
      <c r="P8" s="101">
        <f t="shared" si="9"/>
        <v>0.16816263037433321</v>
      </c>
      <c r="Q8" s="101">
        <f t="shared" si="10"/>
        <v>6.468809177586461E-3</v>
      </c>
      <c r="R8" s="101">
        <f t="shared" si="11"/>
        <v>1.9592388130948882E-3</v>
      </c>
      <c r="S8" s="101">
        <f t="shared" ref="S8:S71" si="13">M8-SUM(N8:R8)</f>
        <v>65.765092127470894</v>
      </c>
      <c r="T8" s="101">
        <f t="shared" ref="T8:T71" si="14">J8+Q8+T7</f>
        <v>0.17745903509364211</v>
      </c>
      <c r="U8" s="101">
        <f t="shared" ref="U8:U71" si="15">K8+R8+U7</f>
        <v>0.34337904959753196</v>
      </c>
      <c r="V8" s="33">
        <f t="shared" ref="V8:V71" si="16">SUM(G8:I8,L8,N8,O8,P8,S8,T8,U8)</f>
        <v>1000.0000000000001</v>
      </c>
      <c r="W8" s="105">
        <f>IF(A8=1,((cPH1_+cPHr+(cNES*L8+(cNES+cOSEX)*G8+(cNES+cEREX)*H8+(cNES+cHOEX)*I8 + (cNES+cNES)*S8 +(cNES+ cOSEX)*N8 + (cNES+cEREX)*O8 + (cNES+cHOEX)*P8)))/(1+cDR)^A$5:A$65536,(cPHr+(cNES*L8+(cNES+cOSEX)*G8+(cNES+cEREX)*H8+(cNES+cHOEX)*I8 + (cNES+cNES)*S8 +(cNES+ cOSEX)*N8 + (cNES+cEREX)*O8 + (cNES+cHOEX)*P8))/(1+cDR)^A$5:A$65536)</f>
        <v>132449.78316851228</v>
      </c>
      <c r="X8" s="112">
        <f t="shared" ref="X8:X71" si="17">(L8+G8+H8+I8+N8+O8+P8+S8)</f>
        <v>999.47916191530896</v>
      </c>
      <c r="Y8" s="32">
        <f>(uNES*L8+ uOCEX*G8+uEREX*'PH + UC'!H8+uHOEX*I8+uNES*S8+ uOCEX*N8+uEREX*O8+uHOEX*P8)/(1+oDR)^A$5:A$65536</f>
        <v>657.2676705035899</v>
      </c>
      <c r="Z8" s="30"/>
      <c r="AA8" s="30"/>
    </row>
    <row r="9" spans="1:27" x14ac:dyDescent="0.25">
      <c r="A9" s="4">
        <v>3</v>
      </c>
      <c r="C9" s="110">
        <f>IF(male=0,VLOOKUP(((A7:A841/'Life tables'!$I$2)*2)+age,lifetable,13,1),IF(male=1,VLOOKUP(((A7:A841/'Life tables'!$I$2)*2)+age,lifetable,10,1),"error"))</f>
        <v>8.0321853324738512E-5</v>
      </c>
      <c r="E9" s="100"/>
      <c r="F9" s="101">
        <f t="shared" si="0"/>
        <v>892.19247417434929</v>
      </c>
      <c r="G9" s="101">
        <f t="shared" si="1"/>
        <v>89.622601286784729</v>
      </c>
      <c r="H9" s="101">
        <f t="shared" si="2"/>
        <v>2.0509031245418177</v>
      </c>
      <c r="I9" s="101">
        <f t="shared" si="3"/>
        <v>2.0509031245418177</v>
      </c>
      <c r="J9" s="101">
        <f t="shared" si="4"/>
        <v>7.9190671163111667E-2</v>
      </c>
      <c r="K9" s="101">
        <f t="shared" si="5"/>
        <v>0.16076849181796313</v>
      </c>
      <c r="L9" s="101">
        <f t="shared" si="12"/>
        <v>798.22810747549988</v>
      </c>
      <c r="M9" s="101">
        <f t="shared" si="6"/>
        <v>107.28668774095962</v>
      </c>
      <c r="N9" s="101">
        <f t="shared" si="7"/>
        <v>10.331940479741158</v>
      </c>
      <c r="O9" s="101">
        <f t="shared" si="8"/>
        <v>0.24662234829239096</v>
      </c>
      <c r="P9" s="101">
        <f t="shared" si="9"/>
        <v>0.24662234829239096</v>
      </c>
      <c r="Q9" s="101">
        <f t="shared" si="10"/>
        <v>9.4869645323723672E-3</v>
      </c>
      <c r="R9" s="101">
        <f t="shared" si="11"/>
        <v>2.8733617919478507E-3</v>
      </c>
      <c r="S9" s="101">
        <f t="shared" si="13"/>
        <v>96.449142238309364</v>
      </c>
      <c r="T9" s="101">
        <f t="shared" si="14"/>
        <v>0.26613667078912617</v>
      </c>
      <c r="U9" s="101">
        <f t="shared" si="15"/>
        <v>0.50702090320744297</v>
      </c>
      <c r="V9" s="33">
        <f t="shared" si="16"/>
        <v>1000.0000000000002</v>
      </c>
      <c r="W9" s="105">
        <f>IF(A9=1,((cPH1_+cPHr+(cNES*L9+(cNES+cOSEX)*G9+(cNES+cEREX)*H9+(cNES+cHOEX)*I9 + (cNES+cNES)*S9 +(cNES+ cOSEX)*N9 + (cNES+cEREX)*O9 + (cNES+cHOEX)*P9)))/(1+cDR)^A$5:A$65536,(cPHr+(cNES*L9+(cNES+cOSEX)*G9+(cNES+cEREX)*H9+(cNES+cHOEX)*I9 + (cNES+cNES)*S9 +(cNES+ cOSEX)*N9 + (cNES+cEREX)*O9 + (cNES+cHOEX)*P9))/(1+cDR)^A$5:A$65536)</f>
        <v>135075.17198831352</v>
      </c>
      <c r="X9" s="112">
        <f t="shared" si="17"/>
        <v>999.2268424260036</v>
      </c>
      <c r="Y9" s="32">
        <f>(uNES*L9+ uOCEX*G9+uEREX*'PH + UC'!H9+uHOEX*I9+uNES*S9+ uOCEX*N9+uEREX*O9+uHOEX*P9)/(1+oDR)^A$5:A$65536</f>
        <v>656.92656092860977</v>
      </c>
      <c r="Z9" s="30"/>
      <c r="AA9" s="30"/>
    </row>
    <row r="10" spans="1:27" x14ac:dyDescent="0.25">
      <c r="A10" s="4">
        <v>4</v>
      </c>
      <c r="C10" s="110">
        <f>IF(male=0,VLOOKUP(((A8:A842/'Life tables'!$I$2)*2)+age,lifetable,13,1),IF(male=1,VLOOKUP(((A8:A842/'Life tables'!$I$2)*2)+age,lifetable,10,1),"error"))</f>
        <v>8.0321853324738512E-5</v>
      </c>
      <c r="E10" s="100"/>
      <c r="F10" s="101">
        <f t="shared" si="0"/>
        <v>859.34167955732414</v>
      </c>
      <c r="G10" s="101">
        <f t="shared" si="1"/>
        <v>86.322670214579389</v>
      </c>
      <c r="H10" s="101">
        <f t="shared" si="2"/>
        <v>1.9753882560869056</v>
      </c>
      <c r="I10" s="101">
        <f t="shared" si="3"/>
        <v>1.9753882560869056</v>
      </c>
      <c r="J10" s="101">
        <f t="shared" si="4"/>
        <v>7.6274846888342698E-2</v>
      </c>
      <c r="K10" s="101">
        <f t="shared" si="5"/>
        <v>0.15484894770783347</v>
      </c>
      <c r="L10" s="101">
        <f t="shared" si="12"/>
        <v>768.83710903597478</v>
      </c>
      <c r="M10" s="101">
        <f t="shared" si="6"/>
        <v>139.88516286867949</v>
      </c>
      <c r="N10" s="101">
        <f t="shared" si="7"/>
        <v>13.471244263292858</v>
      </c>
      <c r="O10" s="101">
        <f t="shared" si="8"/>
        <v>0.3215572042007076</v>
      </c>
      <c r="P10" s="101">
        <f t="shared" si="9"/>
        <v>0.3215572042007076</v>
      </c>
      <c r="Q10" s="101">
        <f t="shared" si="10"/>
        <v>1.2369526981245811E-2</v>
      </c>
      <c r="R10" s="101">
        <f t="shared" si="11"/>
        <v>3.7464171064516328E-3</v>
      </c>
      <c r="S10" s="101">
        <f t="shared" si="13"/>
        <v>125.75468825289751</v>
      </c>
      <c r="T10" s="101">
        <f t="shared" si="14"/>
        <v>0.35478104465871468</v>
      </c>
      <c r="U10" s="101">
        <f t="shared" si="15"/>
        <v>0.66561626802172813</v>
      </c>
      <c r="V10" s="33">
        <f t="shared" si="16"/>
        <v>1000.0000000000002</v>
      </c>
      <c r="W10" s="105">
        <f>IF(A10=1,((cPH1_+cPHr+(cNES*L10+(cNES+cOSEX)*G10+(cNES+cEREX)*H10+(cNES+cHOEX)*I10 + (cNES+cNES)*S10 +(cNES+ cOSEX)*N10 + (cNES+cEREX)*O10 + (cNES+cHOEX)*P10)))/(1+cDR)^A$5:A$65536,(cPHr+(cNES*L10+(cNES+cOSEX)*G10+(cNES+cEREX)*H10+(cNES+cHOEX)*I10 + (cNES+cNES)*S10 +(cNES+ cOSEX)*N10 + (cNES+cEREX)*O10 + (cNES+cHOEX)*P10))/(1+cDR)^A$5:A$65536)</f>
        <v>137568.91816442137</v>
      </c>
      <c r="X10" s="112">
        <f t="shared" si="17"/>
        <v>998.97960268731993</v>
      </c>
      <c r="Y10" s="32">
        <f>(uNES*L10+ uOCEX*G10+uEREX*'PH + UC'!H10+uHOEX*I10+uNES*S10+ uOCEX*N10+uEREX*O10+uHOEX*P10)/(1+oDR)^A$5:A$65536</f>
        <v>656.58831246618752</v>
      </c>
      <c r="Z10" s="30"/>
      <c r="AA10" s="30"/>
    </row>
    <row r="11" spans="1:27" x14ac:dyDescent="0.25">
      <c r="A11" s="4">
        <v>5</v>
      </c>
      <c r="C11" s="110">
        <f>IF(male=0,VLOOKUP(((A9:A843/'Life tables'!$I$2)*2)+age,lifetable,13,1),IF(male=1,VLOOKUP(((A9:A843/'Life tables'!$I$2)*2)+age,lifetable,10,1),"error"))</f>
        <v>8.0321853324738512E-5</v>
      </c>
      <c r="E11" s="100"/>
      <c r="F11" s="101">
        <f t="shared" si="0"/>
        <v>827.9607098559992</v>
      </c>
      <c r="G11" s="101">
        <f t="shared" si="1"/>
        <v>83.170386131330204</v>
      </c>
      <c r="H11" s="101">
        <f t="shared" si="2"/>
        <v>1.9032521075824489</v>
      </c>
      <c r="I11" s="101">
        <f t="shared" si="3"/>
        <v>1.9032521075824489</v>
      </c>
      <c r="J11" s="101">
        <f t="shared" si="4"/>
        <v>7.3489483724752988E-2</v>
      </c>
      <c r="K11" s="101">
        <f t="shared" si="5"/>
        <v>0.14919425848246645</v>
      </c>
      <c r="L11" s="101">
        <f t="shared" si="12"/>
        <v>740.76113576729688</v>
      </c>
      <c r="M11" s="101">
        <f t="shared" si="6"/>
        <v>171.01889283132061</v>
      </c>
      <c r="N11" s="101">
        <f t="shared" si="7"/>
        <v>16.469489913890335</v>
      </c>
      <c r="O11" s="101">
        <f t="shared" si="8"/>
        <v>0.39312501709681158</v>
      </c>
      <c r="P11" s="101">
        <f t="shared" si="9"/>
        <v>0.39312501709681158</v>
      </c>
      <c r="Q11" s="101">
        <f t="shared" si="10"/>
        <v>1.512256743887634E-2</v>
      </c>
      <c r="R11" s="101">
        <f t="shared" si="11"/>
        <v>4.5802434832288687E-3</v>
      </c>
      <c r="S11" s="101">
        <f t="shared" si="13"/>
        <v>153.74345007231454</v>
      </c>
      <c r="T11" s="101">
        <f t="shared" si="14"/>
        <v>0.44339309582234399</v>
      </c>
      <c r="U11" s="101">
        <f t="shared" si="15"/>
        <v>0.81939076998742344</v>
      </c>
      <c r="V11" s="33">
        <f t="shared" si="16"/>
        <v>1000.0000000000003</v>
      </c>
      <c r="W11" s="105">
        <f>IF(A11=1,((cPH1_+cPHr+(cNES*L11+(cNES+cOSEX)*G11+(cNES+cEREX)*H11+(cNES+cHOEX)*I11 + (cNES+cNES)*S11 +(cNES+ cOSEX)*N11 + (cNES+cEREX)*O11 + (cNES+cHOEX)*P11)))/(1+cDR)^A$5:A$65536,(cPHr+(cNES*L11+(cNES+cOSEX)*G11+(cNES+cEREX)*H11+(cNES+cHOEX)*I11 + (cNES+cNES)*S11 +(cNES+ cOSEX)*N11 + (cNES+cEREX)*O11 + (cNES+cHOEX)*P11))/(1+cDR)^A$5:A$65536)</f>
        <v>139937.07466867485</v>
      </c>
      <c r="X11" s="112">
        <f t="shared" si="17"/>
        <v>998.7372161341907</v>
      </c>
      <c r="Y11" s="32">
        <f>(uNES*L11+ uOCEX*G11+uEREX*'PH + UC'!H11+uHOEX*I11+uNES*S11+ uOCEX*N11+uEREX*O11+uHOEX*P11)/(1+oDR)^A$5:A$65536</f>
        <v>656.25280157383713</v>
      </c>
      <c r="Z11" s="30"/>
      <c r="AA11" s="30"/>
    </row>
    <row r="12" spans="1:27" x14ac:dyDescent="0.25">
      <c r="A12" s="4">
        <v>6</v>
      </c>
      <c r="C12" s="110">
        <f>IF(male=0,VLOOKUP(((A10:A844/'Life tables'!$I$2)*2)+age,lifetable,13,1),IF(male=1,VLOOKUP(((A10:A844/'Life tables'!$I$2)*2)+age,lifetable,10,1),"error"))</f>
        <v>8.0321853324738512E-5</v>
      </c>
      <c r="E12" s="100"/>
      <c r="F12" s="101">
        <f t="shared" si="0"/>
        <v>797.98375729167662</v>
      </c>
      <c r="G12" s="101">
        <f t="shared" si="1"/>
        <v>80.159138507938863</v>
      </c>
      <c r="H12" s="101">
        <f t="shared" si="2"/>
        <v>1.8343434051914032</v>
      </c>
      <c r="I12" s="101">
        <f t="shared" si="3"/>
        <v>1.8343434051914032</v>
      </c>
      <c r="J12" s="101">
        <f t="shared" si="4"/>
        <v>7.0828740598455842E-2</v>
      </c>
      <c r="K12" s="101">
        <f t="shared" si="5"/>
        <v>0.14379256591884709</v>
      </c>
      <c r="L12" s="101">
        <f t="shared" si="12"/>
        <v>713.94131066683769</v>
      </c>
      <c r="M12" s="101">
        <f t="shared" si="6"/>
        <v>200.75345884251402</v>
      </c>
      <c r="N12" s="101">
        <f t="shared" si="7"/>
        <v>19.332993044496323</v>
      </c>
      <c r="O12" s="101">
        <f t="shared" si="8"/>
        <v>0.46147654000747718</v>
      </c>
      <c r="P12" s="101">
        <f t="shared" si="9"/>
        <v>0.46147654000747718</v>
      </c>
      <c r="Q12" s="101">
        <f t="shared" si="10"/>
        <v>1.7751885009149145E-2</v>
      </c>
      <c r="R12" s="101">
        <f t="shared" si="11"/>
        <v>5.376597324285106E-3</v>
      </c>
      <c r="S12" s="101">
        <f t="shared" si="13"/>
        <v>180.47438423566931</v>
      </c>
      <c r="T12" s="101">
        <f t="shared" si="14"/>
        <v>0.53197372142994892</v>
      </c>
      <c r="U12" s="101">
        <f t="shared" si="15"/>
        <v>0.96855993323055567</v>
      </c>
      <c r="V12" s="33">
        <f t="shared" si="16"/>
        <v>1000.0000000000003</v>
      </c>
      <c r="W12" s="105">
        <f>IF(A12=1,((cPH1_+cPHr+(cNES*L12+(cNES+cOSEX)*G12+(cNES+cEREX)*H12+(cNES+cHOEX)*I12 + (cNES+cNES)*S12 +(cNES+ cOSEX)*N12 + (cNES+cEREX)*O12 + (cNES+cHOEX)*P12)))/(1+cDR)^A$5:A$65536,(cPHr+(cNES*L12+(cNES+cOSEX)*G12+(cNES+cEREX)*H12+(cNES+cHOEX)*I12 + (cNES+cNES)*S12 +(cNES+ cOSEX)*N12 + (cNES+cEREX)*O12 + (cNES+cHOEX)*P12))/(1+cDR)^A$5:A$65536)</f>
        <v>142185.41680128814</v>
      </c>
      <c r="X12" s="112">
        <f t="shared" si="17"/>
        <v>998.49946634533978</v>
      </c>
      <c r="Y12" s="32">
        <f>(uNES*L12+ uOCEX*G12+uEREX*'PH + UC'!H12+uHOEX*I12+uNES*S12+ uOCEX*N12+uEREX*O12+uHOEX*P12)/(1+oDR)^A$5:A$65536</f>
        <v>655.91991027204881</v>
      </c>
      <c r="Z12" s="30"/>
      <c r="AA12" s="30"/>
    </row>
    <row r="13" spans="1:27" x14ac:dyDescent="0.25">
      <c r="A13" s="4">
        <v>7</v>
      </c>
      <c r="C13" s="110">
        <f>IF(male=0,VLOOKUP(((A11:A845/'Life tables'!$I$2)*2)+age,lifetable,13,1),IF(male=1,VLOOKUP(((A11:A845/'Life tables'!$I$2)*2)+age,lifetable,10,1),"error"))</f>
        <v>8.0321853324738512E-5</v>
      </c>
      <c r="E13" s="100"/>
      <c r="F13" s="101">
        <f t="shared" si="0"/>
        <v>769.34796047252223</v>
      </c>
      <c r="G13" s="101">
        <f t="shared" si="1"/>
        <v>77.282612786034008</v>
      </c>
      <c r="H13" s="101">
        <f t="shared" si="2"/>
        <v>1.7685176480031939</v>
      </c>
      <c r="I13" s="101">
        <f t="shared" si="3"/>
        <v>1.7685176480031939</v>
      </c>
      <c r="J13" s="101">
        <f t="shared" si="4"/>
        <v>6.8287037955763283E-2</v>
      </c>
      <c r="K13" s="101">
        <f t="shared" si="5"/>
        <v>0.13863254271770828</v>
      </c>
      <c r="L13" s="101">
        <f t="shared" si="12"/>
        <v>688.32139280980834</v>
      </c>
      <c r="M13" s="101">
        <f t="shared" si="6"/>
        <v>229.15150587281772</v>
      </c>
      <c r="N13" s="101">
        <f t="shared" si="7"/>
        <v>22.067786501503868</v>
      </c>
      <c r="O13" s="101">
        <f t="shared" si="8"/>
        <v>0.52675577635077098</v>
      </c>
      <c r="P13" s="101">
        <f t="shared" si="9"/>
        <v>0.52675577635077098</v>
      </c>
      <c r="Q13" s="101">
        <f t="shared" si="10"/>
        <v>2.0263019154846868E-2</v>
      </c>
      <c r="R13" s="101">
        <f t="shared" si="11"/>
        <v>6.1371563928978709E-3</v>
      </c>
      <c r="S13" s="101">
        <f t="shared" si="13"/>
        <v>206.00380764306456</v>
      </c>
      <c r="T13" s="101">
        <f t="shared" si="14"/>
        <v>0.62052377854055907</v>
      </c>
      <c r="U13" s="101">
        <f t="shared" si="15"/>
        <v>1.1133296323411619</v>
      </c>
      <c r="V13" s="33">
        <f t="shared" si="16"/>
        <v>1000.0000000000005</v>
      </c>
      <c r="W13" s="105">
        <f>IF(A13=1,((cPH1_+cPHr+(cNES*L13+(cNES+cOSEX)*G13+(cNES+cEREX)*H13+(cNES+cHOEX)*I13 + (cNES+cNES)*S13 +(cNES+ cOSEX)*N13 + (cNES+cEREX)*O13 + (cNES+cHOEX)*P13)))/(1+cDR)^A$5:A$65536,(cPHr+(cNES*L13+(cNES+cOSEX)*G13+(cNES+cEREX)*H13+(cNES+cHOEX)*I13 + (cNES+cNES)*S13 +(cNES+ cOSEX)*N13 + (cNES+cEREX)*O13 + (cNES+cHOEX)*P13))/(1+cDR)^A$5:A$65536)</f>
        <v>144319.45492781658</v>
      </c>
      <c r="X13" s="112">
        <f t="shared" si="17"/>
        <v>998.26614658911888</v>
      </c>
      <c r="Y13" s="32">
        <f>(uNES*L13+ uOCEX*G13+uEREX*'PH + UC'!H13+uHOEX*I13+uNES*S13+ uOCEX*N13+uEREX*O13+uHOEX*P13)/(1+oDR)^A$5:A$65536</f>
        <v>655.58952589369358</v>
      </c>
      <c r="Z13" s="30"/>
      <c r="AA13" s="30"/>
    </row>
    <row r="14" spans="1:27" x14ac:dyDescent="0.25">
      <c r="A14" s="4">
        <v>8</v>
      </c>
      <c r="C14" s="110">
        <f>IF(male=0,VLOOKUP(((A12:A846/'Life tables'!$I$2)*2)+age,lifetable,13,1),IF(male=1,VLOOKUP(((A12:A846/'Life tables'!$I$2)*2)+age,lifetable,10,1),"error"))</f>
        <v>8.0321853324738512E-5</v>
      </c>
      <c r="E14" s="100"/>
      <c r="F14" s="101">
        <f t="shared" si="0"/>
        <v>741.99327247609722</v>
      </c>
      <c r="G14" s="101">
        <f t="shared" si="1"/>
        <v>74.534777126585354</v>
      </c>
      <c r="H14" s="101">
        <f t="shared" si="2"/>
        <v>1.7056368047920334</v>
      </c>
      <c r="I14" s="101">
        <f t="shared" si="3"/>
        <v>1.7056368047920334</v>
      </c>
      <c r="J14" s="101">
        <f t="shared" si="4"/>
        <v>6.5859046054241033E-2</v>
      </c>
      <c r="K14" s="101">
        <f t="shared" si="5"/>
        <v>0.13370336873268227</v>
      </c>
      <c r="L14" s="101">
        <f t="shared" si="12"/>
        <v>663.84765932514085</v>
      </c>
      <c r="M14" s="101">
        <f t="shared" si="6"/>
        <v>256.27287411302166</v>
      </c>
      <c r="N14" s="101">
        <f t="shared" si="7"/>
        <v>24.679633024937445</v>
      </c>
      <c r="O14" s="101">
        <f t="shared" si="8"/>
        <v>0.58910028213373922</v>
      </c>
      <c r="P14" s="101">
        <f t="shared" si="9"/>
        <v>0.58910028213373922</v>
      </c>
      <c r="Q14" s="101">
        <f t="shared" si="10"/>
        <v>2.2661261322462916E-2</v>
      </c>
      <c r="R14" s="101">
        <f t="shared" si="11"/>
        <v>6.8635233344788082E-3</v>
      </c>
      <c r="S14" s="101">
        <f t="shared" si="13"/>
        <v>230.38551573915979</v>
      </c>
      <c r="T14" s="101">
        <f t="shared" si="14"/>
        <v>0.70904408591726298</v>
      </c>
      <c r="U14" s="101">
        <f t="shared" si="15"/>
        <v>1.2538965244083229</v>
      </c>
      <c r="V14" s="33">
        <f t="shared" si="16"/>
        <v>1000.0000000000006</v>
      </c>
      <c r="W14" s="105">
        <f>IF(A14=1,((cPH1_+cPHr+(cNES*L14+(cNES+cOSEX)*G14+(cNES+cEREX)*H14+(cNES+cHOEX)*I14 + (cNES+cNES)*S14 +(cNES+ cOSEX)*N14 + (cNES+cEREX)*O14 + (cNES+cHOEX)*P14)))/(1+cDR)^A$5:A$65536,(cPHr+(cNES*L14+(cNES+cOSEX)*G14+(cNES+cEREX)*H14+(cNES+cHOEX)*I14 + (cNES+cNES)*S14 +(cNES+ cOSEX)*N14 + (cNES+cEREX)*O14 + (cNES+cHOEX)*P14))/(1+cDR)^A$5:A$65536)</f>
        <v>146344.44663187355</v>
      </c>
      <c r="X14" s="112">
        <f t="shared" si="17"/>
        <v>998.03705938967482</v>
      </c>
      <c r="Y14" s="32">
        <f>(uNES*L14+ uOCEX*G14+uEREX*'PH + UC'!H14+uHOEX*I14+uNES*S14+ uOCEX*N14+uEREX*O14+uHOEX*P14)/(1+oDR)^A$5:A$65536</f>
        <v>655.26154084471534</v>
      </c>
      <c r="Z14" s="30"/>
      <c r="AA14" s="30"/>
    </row>
    <row r="15" spans="1:27" x14ac:dyDescent="0.25">
      <c r="A15" s="4">
        <v>9</v>
      </c>
      <c r="C15" s="110">
        <f>IF(male=0,VLOOKUP(((A13:A847/'Life tables'!$I$2)*2)+age,lifetable,13,1),IF(male=1,VLOOKUP(((A13:A847/'Life tables'!$I$2)*2)+age,lifetable,10,1),"error"))</f>
        <v>8.0321853324738512E-5</v>
      </c>
      <c r="E15" s="100"/>
      <c r="F15" s="101">
        <f t="shared" si="0"/>
        <v>715.86233483817921</v>
      </c>
      <c r="G15" s="101">
        <f t="shared" si="1"/>
        <v>71.909869751817126</v>
      </c>
      <c r="H15" s="101">
        <f t="shared" si="2"/>
        <v>1.6455690243521588</v>
      </c>
      <c r="I15" s="101">
        <f t="shared" si="3"/>
        <v>1.6455690243521588</v>
      </c>
      <c r="J15" s="101">
        <f t="shared" si="4"/>
        <v>6.353967377800307E-2</v>
      </c>
      <c r="K15" s="101">
        <f t="shared" si="5"/>
        <v>0.12899470826373466</v>
      </c>
      <c r="L15" s="101">
        <f t="shared" si="12"/>
        <v>640.46879265561597</v>
      </c>
      <c r="M15" s="101">
        <f t="shared" si="6"/>
        <v>282.17472455149573</v>
      </c>
      <c r="N15" s="101">
        <f t="shared" si="7"/>
        <v>27.174037341823649</v>
      </c>
      <c r="O15" s="101">
        <f t="shared" si="8"/>
        <v>0.64864145461991318</v>
      </c>
      <c r="P15" s="101">
        <f t="shared" si="9"/>
        <v>0.64864145461991318</v>
      </c>
      <c r="Q15" s="101">
        <f t="shared" si="10"/>
        <v>2.495166604654131E-2</v>
      </c>
      <c r="R15" s="101">
        <f t="shared" si="11"/>
        <v>7.557229039797597E-3</v>
      </c>
      <c r="S15" s="101">
        <f t="shared" si="13"/>
        <v>253.6708954053459</v>
      </c>
      <c r="T15" s="101">
        <f t="shared" si="14"/>
        <v>0.79753542574180736</v>
      </c>
      <c r="U15" s="101">
        <f t="shared" si="15"/>
        <v>1.3904484617118551</v>
      </c>
      <c r="V15" s="33">
        <f t="shared" si="16"/>
        <v>1000.0000000000005</v>
      </c>
      <c r="W15" s="105">
        <f>IF(A15=1,((cPH1_+cPHr+(cNES*L15+(cNES+cOSEX)*G15+(cNES+cEREX)*H15+(cNES+cHOEX)*I15 + (cNES+cNES)*S15 +(cNES+ cOSEX)*N15 + (cNES+cEREX)*O15 + (cNES+cHOEX)*P15)))/(1+cDR)^A$5:A$65536,(cPHr+(cNES*L15+(cNES+cOSEX)*G15+(cNES+cEREX)*H15+(cNES+cHOEX)*I15 + (cNES+cNES)*S15 +(cNES+ cOSEX)*N15 + (cNES+cEREX)*O15 + (cNES+cHOEX)*P15))/(1+cDR)^A$5:A$65536)</f>
        <v>148265.40831039369</v>
      </c>
      <c r="X15" s="112">
        <f t="shared" si="17"/>
        <v>997.81201611254687</v>
      </c>
      <c r="Y15" s="32">
        <f>(uNES*L15+ uOCEX*G15+uEREX*'PH + UC'!H15+uHOEX*I15+uNES*S15+ uOCEX*N15+uEREX*O15+uHOEX*P15)/(1+oDR)^A$5:A$65536</f>
        <v>654.93585237560342</v>
      </c>
      <c r="Z15" s="30"/>
      <c r="AA15" s="30"/>
    </row>
    <row r="16" spans="1:27" x14ac:dyDescent="0.25">
      <c r="A16" s="4">
        <v>10</v>
      </c>
      <c r="C16" s="110">
        <f>IF(male=0,VLOOKUP(((A14:A848/'Life tables'!$I$2)*2)+age,lifetable,13,1),IF(male=1,VLOOKUP(((A14:A848/'Life tables'!$I$2)*2)+age,lifetable,10,1),"error"))</f>
        <v>8.0321853324738512E-5</v>
      </c>
      <c r="E16" s="100"/>
      <c r="F16" s="101">
        <f t="shared" si="0"/>
        <v>690.90035718343643</v>
      </c>
      <c r="G16" s="101">
        <f t="shared" si="1"/>
        <v>69.402386853857308</v>
      </c>
      <c r="H16" s="101">
        <f t="shared" si="2"/>
        <v>1.5881883588021255</v>
      </c>
      <c r="I16" s="101">
        <f t="shared" si="3"/>
        <v>1.5881883588021255</v>
      </c>
      <c r="J16" s="101">
        <f t="shared" si="4"/>
        <v>6.1324057953775241E-2</v>
      </c>
      <c r="K16" s="101">
        <f t="shared" si="5"/>
        <v>0.12449668836723139</v>
      </c>
      <c r="L16" s="101">
        <f t="shared" si="12"/>
        <v>618.13577286565385</v>
      </c>
      <c r="M16" s="101">
        <f t="shared" si="6"/>
        <v>306.91165892911039</v>
      </c>
      <c r="N16" s="101">
        <f t="shared" si="7"/>
        <v>29.556257718109929</v>
      </c>
      <c r="O16" s="101">
        <f t="shared" si="8"/>
        <v>0.70550480807241245</v>
      </c>
      <c r="P16" s="101">
        <f t="shared" si="9"/>
        <v>0.70550480807241245</v>
      </c>
      <c r="Q16" s="101">
        <f t="shared" si="10"/>
        <v>2.7139061556846152E-2</v>
      </c>
      <c r="R16" s="101">
        <f t="shared" si="11"/>
        <v>8.2197358576255024E-3</v>
      </c>
      <c r="S16" s="101">
        <f t="shared" si="13"/>
        <v>275.90903279744117</v>
      </c>
      <c r="T16" s="101">
        <f t="shared" si="14"/>
        <v>0.88599854525242872</v>
      </c>
      <c r="U16" s="101">
        <f t="shared" si="15"/>
        <v>1.523164885936712</v>
      </c>
      <c r="V16" s="33">
        <f t="shared" si="16"/>
        <v>1000.0000000000003</v>
      </c>
      <c r="W16" s="105">
        <f>IF(A16=1,((cPH1_+cPHr+(cNES*L16+(cNES+cOSEX)*G16+(cNES+cEREX)*H16+(cNES+cHOEX)*I16 + (cNES+cNES)*S16 +(cNES+ cOSEX)*N16 + (cNES+cEREX)*O16 + (cNES+cHOEX)*P16)))/(1+cDR)^A$5:A$65536,(cPHr+(cNES*L16+(cNES+cOSEX)*G16+(cNES+cEREX)*H16+(cNES+cHOEX)*I16 + (cNES+cNES)*S16 +(cNES+ cOSEX)*N16 + (cNES+cEREX)*O16 + (cNES+cHOEX)*P16))/(1+cDR)^A$5:A$65536)</f>
        <v>150087.12623701725</v>
      </c>
      <c r="X16" s="112">
        <f t="shared" si="17"/>
        <v>997.59083656881126</v>
      </c>
      <c r="Y16" s="32">
        <f>(uNES*L16+ uOCEX*G16+uEREX*'PH + UC'!H16+uHOEX*I16+uNES*S16+ uOCEX*N16+uEREX*O16+uHOEX*P16)/(1+oDR)^A$5:A$65536</f>
        <v>654.61236236316051</v>
      </c>
      <c r="Z16" s="30"/>
      <c r="AA16" s="30"/>
    </row>
    <row r="17" spans="1:27" x14ac:dyDescent="0.25">
      <c r="A17" s="4">
        <v>11</v>
      </c>
      <c r="C17" s="110">
        <f>IF(male=0,VLOOKUP(((A15:A849/'Life tables'!$I$2)*2)+age,lifetable,13,1),IF(male=1,VLOOKUP(((A15:A849/'Life tables'!$I$2)*2)+age,lifetable,10,1),"error"))</f>
        <v>8.0321853324738512E-5</v>
      </c>
      <c r="E17" s="100"/>
      <c r="F17" s="101">
        <f t="shared" si="0"/>
        <v>667.05500224535058</v>
      </c>
      <c r="G17" s="101">
        <f t="shared" si="1"/>
        <v>67.007071044748258</v>
      </c>
      <c r="H17" s="101">
        <f t="shared" si="2"/>
        <v>1.5333744992774909</v>
      </c>
      <c r="I17" s="101">
        <f t="shared" si="3"/>
        <v>1.5333744992774909</v>
      </c>
      <c r="J17" s="101">
        <f t="shared" si="4"/>
        <v>5.9207553145306492E-2</v>
      </c>
      <c r="K17" s="101">
        <f t="shared" si="5"/>
        <v>0.12019987813712074</v>
      </c>
      <c r="L17" s="101">
        <f t="shared" si="12"/>
        <v>596.80177477076495</v>
      </c>
      <c r="M17" s="101">
        <f t="shared" si="6"/>
        <v>330.53583432346079</v>
      </c>
      <c r="N17" s="101">
        <f t="shared" si="7"/>
        <v>31.831316993373662</v>
      </c>
      <c r="O17" s="101">
        <f t="shared" si="8"/>
        <v>0.75981023715130547</v>
      </c>
      <c r="P17" s="101">
        <f t="shared" si="9"/>
        <v>0.75981023715130547</v>
      </c>
      <c r="Q17" s="101">
        <f t="shared" si="10"/>
        <v>2.9228059910620306E-2</v>
      </c>
      <c r="R17" s="101">
        <f t="shared" si="11"/>
        <v>8.8524406635404462E-3</v>
      </c>
      <c r="S17" s="101">
        <f t="shared" si="13"/>
        <v>297.14681635521038</v>
      </c>
      <c r="T17" s="101">
        <f t="shared" si="14"/>
        <v>0.97443415830835556</v>
      </c>
      <c r="U17" s="101">
        <f t="shared" si="15"/>
        <v>1.6522172047373731</v>
      </c>
      <c r="V17" s="33">
        <f t="shared" si="16"/>
        <v>1000.0000000000006</v>
      </c>
      <c r="W17" s="105">
        <f>IF(A17=1,((cPH1_+cPHr+(cNES*L17+(cNES+cOSEX)*G17+(cNES+cEREX)*H17+(cNES+cHOEX)*I17 + (cNES+cNES)*S17 +(cNES+ cOSEX)*N17 + (cNES+cEREX)*O17 + (cNES+cHOEX)*P17)))/(1+cDR)^A$5:A$65536,(cPHr+(cNES*L17+(cNES+cOSEX)*G17+(cNES+cEREX)*H17+(cNES+cHOEX)*I17 + (cNES+cNES)*S17 +(cNES+ cOSEX)*N17 + (cNES+cEREX)*O17 + (cNES+cHOEX)*P17))/(1+cDR)^A$5:A$65536)</f>
        <v>151814.16711798974</v>
      </c>
      <c r="X17" s="112">
        <f t="shared" si="17"/>
        <v>997.3733486369548</v>
      </c>
      <c r="Y17" s="32">
        <f>(uNES*L17+ uOCEX*G17+uEREX*'PH + UC'!H17+uHOEX*I17+uNES*S17+ uOCEX*N17+uEREX*O17+uHOEX*P17)/(1+oDR)^A$5:A$65536</f>
        <v>654.29097710209908</v>
      </c>
      <c r="Z17" s="30"/>
      <c r="AA17" s="30"/>
    </row>
    <row r="18" spans="1:27" x14ac:dyDescent="0.25">
      <c r="A18" s="4">
        <v>12</v>
      </c>
      <c r="C18" s="110">
        <f>IF(male=0,VLOOKUP(((A16:A850/'Life tables'!$I$2)*2)+age,lifetable,13,1),IF(male=1,VLOOKUP(((A16:A850/'Life tables'!$I$2)*2)+age,lifetable,10,1),"error"))</f>
        <v>8.0321853324738512E-5</v>
      </c>
      <c r="E18" s="100"/>
      <c r="F18" s="101">
        <f t="shared" si="0"/>
        <v>644.27627603410042</v>
      </c>
      <c r="G18" s="101">
        <f t="shared" si="1"/>
        <v>64.718900323580797</v>
      </c>
      <c r="H18" s="101">
        <f t="shared" si="2"/>
        <v>1.4810125234572307</v>
      </c>
      <c r="I18" s="101">
        <f t="shared" si="3"/>
        <v>1.4810125234572307</v>
      </c>
      <c r="J18" s="101">
        <f t="shared" si="4"/>
        <v>5.7185721904711252E-2</v>
      </c>
      <c r="K18" s="101">
        <f t="shared" si="5"/>
        <v>0.1160952689137511</v>
      </c>
      <c r="L18" s="101">
        <f t="shared" si="12"/>
        <v>576.42206967278673</v>
      </c>
      <c r="M18" s="101">
        <f t="shared" si="6"/>
        <v>353.09707260285438</v>
      </c>
      <c r="N18" s="101">
        <f t="shared" si="7"/>
        <v>34.00401312147828</v>
      </c>
      <c r="O18" s="101">
        <f t="shared" si="8"/>
        <v>0.81167226851797958</v>
      </c>
      <c r="P18" s="101">
        <f t="shared" si="9"/>
        <v>0.81167226851797958</v>
      </c>
      <c r="Q18" s="101">
        <f t="shared" si="10"/>
        <v>3.1223066671196193E-2</v>
      </c>
      <c r="R18" s="101">
        <f t="shared" si="11"/>
        <v>9.456677791333622E-3</v>
      </c>
      <c r="S18" s="101">
        <f t="shared" si="13"/>
        <v>317.4290351998776</v>
      </c>
      <c r="T18" s="101">
        <f t="shared" si="14"/>
        <v>1.0628429468842631</v>
      </c>
      <c r="U18" s="101">
        <f t="shared" si="15"/>
        <v>1.7777691514424578</v>
      </c>
      <c r="V18" s="33">
        <f t="shared" si="16"/>
        <v>1000.0000000000007</v>
      </c>
      <c r="W18" s="105">
        <f>IF(A18=1,((cPH1_+cPHr+(cNES*L18+(cNES+cOSEX)*G18+(cNES+cEREX)*H18+(cNES+cHOEX)*I18 + (cNES+cNES)*S18 +(cNES+ cOSEX)*N18 + (cNES+cEREX)*O18 + (cNES+cHOEX)*P18)))/(1+cDR)^A$5:A$65536,(cPHr+(cNES*L18+(cNES+cOSEX)*G18+(cNES+cEREX)*H18+(cNES+cHOEX)*I18 + (cNES+cNES)*S18 +(cNES+ cOSEX)*N18 + (cNES+cEREX)*O18 + (cNES+cHOEX)*P18))/(1+cDR)^A$5:A$65536)</f>
        <v>153450.88816385763</v>
      </c>
      <c r="X18" s="112">
        <f t="shared" si="17"/>
        <v>997.15938790167388</v>
      </c>
      <c r="Y18" s="32">
        <f>(uNES*L18+ uOCEX*G18+uEREX*'PH + UC'!H18+uHOEX*I18+uNES*S18+ uOCEX*N18+uEREX*O18+uHOEX*P18)/(1+oDR)^A$5:A$65536</f>
        <v>653.97160710602827</v>
      </c>
      <c r="Z18" s="30"/>
      <c r="AA18" s="30"/>
    </row>
    <row r="19" spans="1:27" x14ac:dyDescent="0.25">
      <c r="A19" s="4">
        <v>13</v>
      </c>
      <c r="C19" s="110">
        <f>IF(male=0,VLOOKUP(((A17:A851/'Life tables'!$I$2)*2)+age,lifetable,13,1),IF(male=1,VLOOKUP(((A17:A851/'Life tables'!$I$2)*2)+age,lifetable,10,1),"error"))</f>
        <v>8.0321853324738512E-5</v>
      </c>
      <c r="E19" s="100"/>
      <c r="F19" s="101">
        <f t="shared" si="0"/>
        <v>622.51642292191696</v>
      </c>
      <c r="G19" s="101">
        <f t="shared" si="1"/>
        <v>62.533077537598494</v>
      </c>
      <c r="H19" s="101">
        <f t="shared" si="2"/>
        <v>1.430992654394059</v>
      </c>
      <c r="I19" s="101">
        <f t="shared" si="3"/>
        <v>1.430992654394059</v>
      </c>
      <c r="J19" s="101">
        <f t="shared" si="4"/>
        <v>5.5254325460284623E-2</v>
      </c>
      <c r="K19" s="101">
        <f t="shared" si="5"/>
        <v>0.11217425537879216</v>
      </c>
      <c r="L19" s="101">
        <f t="shared" si="12"/>
        <v>556.95393149469123</v>
      </c>
      <c r="M19" s="101">
        <f t="shared" si="6"/>
        <v>374.64296497975675</v>
      </c>
      <c r="N19" s="101">
        <f t="shared" si="7"/>
        <v>36.078929239296656</v>
      </c>
      <c r="O19" s="101">
        <f t="shared" si="8"/>
        <v>0.86120030117452462</v>
      </c>
      <c r="P19" s="101">
        <f t="shared" si="9"/>
        <v>0.86120030117452462</v>
      </c>
      <c r="Q19" s="101">
        <f t="shared" si="10"/>
        <v>3.3128290153269895E-2</v>
      </c>
      <c r="R19" s="101">
        <f t="shared" si="11"/>
        <v>1.0033721833169357E-2</v>
      </c>
      <c r="S19" s="101">
        <f t="shared" si="13"/>
        <v>336.79847312612458</v>
      </c>
      <c r="T19" s="101">
        <f t="shared" si="14"/>
        <v>1.1512255624978176</v>
      </c>
      <c r="U19" s="101">
        <f t="shared" si="15"/>
        <v>1.8999771286544194</v>
      </c>
      <c r="V19" s="33">
        <f t="shared" si="16"/>
        <v>1000.0000000000005</v>
      </c>
      <c r="W19" s="105">
        <f>IF(A19=1,((cPH1_+cPHr+(cNES*L19+(cNES+cOSEX)*G19+(cNES+cEREX)*H19+(cNES+cHOEX)*I19 + (cNES+cNES)*S19 +(cNES+ cOSEX)*N19 + (cNES+cEREX)*O19 + (cNES+cHOEX)*P19)))/(1+cDR)^A$5:A$65536,(cPHr+(cNES*L19+(cNES+cOSEX)*G19+(cNES+cEREX)*H19+(cNES+cHOEX)*I19 + (cNES+cNES)*S19 +(cNES+ cOSEX)*N19 + (cNES+cEREX)*O19 + (cNES+cHOEX)*P19))/(1+cDR)^A$5:A$65536)</f>
        <v>155001.44669916958</v>
      </c>
      <c r="X19" s="112">
        <f t="shared" si="17"/>
        <v>996.94879730884816</v>
      </c>
      <c r="Y19" s="32">
        <f>(uNES*L19+ uOCEX*G19+uEREX*'PH + UC'!H19+uHOEX*I19+uNES*S19+ uOCEX*N19+uEREX*O19+uHOEX*P19)/(1+oDR)^A$5:A$65536</f>
        <v>653.65416691740461</v>
      </c>
      <c r="Z19" s="30"/>
      <c r="AA19" s="30"/>
    </row>
    <row r="20" spans="1:27" x14ac:dyDescent="0.25">
      <c r="A20" s="4">
        <v>14</v>
      </c>
      <c r="C20" s="110">
        <f>IF(male=0,VLOOKUP(((A18:A852/'Life tables'!$I$2)*2)+age,lifetable,13,1),IF(male=1,VLOOKUP(((A18:A852/'Life tables'!$I$2)*2)+age,lifetable,10,1),"error"))</f>
        <v>8.0321853324738512E-5</v>
      </c>
      <c r="E20" s="100"/>
      <c r="F20" s="101">
        <f t="shared" si="0"/>
        <v>601.72982542574243</v>
      </c>
      <c r="G20" s="101">
        <f t="shared" si="1"/>
        <v>60.445020315156071</v>
      </c>
      <c r="H20" s="101">
        <f t="shared" si="2"/>
        <v>1.3832100301425496</v>
      </c>
      <c r="I20" s="101">
        <f t="shared" si="3"/>
        <v>1.3832100301425496</v>
      </c>
      <c r="J20" s="101">
        <f t="shared" si="4"/>
        <v>5.3409314821248638E-2</v>
      </c>
      <c r="K20" s="101">
        <f t="shared" si="5"/>
        <v>0.10842861749658561</v>
      </c>
      <c r="L20" s="101">
        <f t="shared" si="12"/>
        <v>538.35654711798338</v>
      </c>
      <c r="M20" s="101">
        <f t="shared" si="6"/>
        <v>395.2189718831055</v>
      </c>
      <c r="N20" s="101">
        <f t="shared" si="7"/>
        <v>38.06044328463129</v>
      </c>
      <c r="O20" s="101">
        <f t="shared" si="8"/>
        <v>0.90849883604249015</v>
      </c>
      <c r="P20" s="101">
        <f t="shared" si="9"/>
        <v>0.90849883604249015</v>
      </c>
      <c r="Q20" s="101">
        <f t="shared" si="10"/>
        <v>3.4947750254240038E-2</v>
      </c>
      <c r="R20" s="101">
        <f t="shared" si="11"/>
        <v>1.0584790314374466E-2</v>
      </c>
      <c r="S20" s="101">
        <f t="shared" si="13"/>
        <v>355.29599838582061</v>
      </c>
      <c r="T20" s="101">
        <f t="shared" si="14"/>
        <v>1.2395826275733062</v>
      </c>
      <c r="U20" s="101">
        <f t="shared" si="15"/>
        <v>2.0189905364653793</v>
      </c>
      <c r="V20" s="33">
        <f t="shared" si="16"/>
        <v>1000.0000000000001</v>
      </c>
      <c r="W20" s="105">
        <f>IF(A20=1,((cPH1_+cPHr+(cNES*L20+(cNES+cOSEX)*G20+(cNES+cEREX)*H20+(cNES+cHOEX)*I20 + (cNES+cNES)*S20 +(cNES+ cOSEX)*N20 + (cNES+cEREX)*O20 + (cNES+cHOEX)*P20)))/(1+cDR)^A$5:A$65536,(cPHr+(cNES*L20+(cNES+cOSEX)*G20+(cNES+cEREX)*H20+(cNES+cHOEX)*I20 + (cNES+cNES)*S20 +(cNES+ cOSEX)*N20 + (cNES+cEREX)*O20 + (cNES+cHOEX)*P20))/(1+cDR)^A$5:A$65536)</f>
        <v>156469.80933137625</v>
      </c>
      <c r="X20" s="112">
        <f t="shared" si="17"/>
        <v>996.74142683596142</v>
      </c>
      <c r="Y20" s="32">
        <f>(uNES*L20+ uOCEX*G20+uEREX*'PH + UC'!H20+uHOEX*I20+uNES*S20+ uOCEX*N20+uEREX*O20+uHOEX*P20)/(1+oDR)^A$5:A$65536</f>
        <v>653.33857492604454</v>
      </c>
      <c r="Z20" s="30"/>
      <c r="AA20" s="30"/>
    </row>
    <row r="21" spans="1:27" x14ac:dyDescent="0.25">
      <c r="A21" s="4">
        <v>15</v>
      </c>
      <c r="C21" s="110">
        <f>IF(male=0,VLOOKUP(((A19:A853/'Life tables'!$I$2)*2)+age,lifetable,13,1),IF(male=1,VLOOKUP(((A19:A853/'Life tables'!$I$2)*2)+age,lifetable,10,1),"error"))</f>
        <v>8.0321853324738512E-5</v>
      </c>
      <c r="E21" s="100"/>
      <c r="F21" s="101">
        <f t="shared" si="0"/>
        <v>581.87290847688314</v>
      </c>
      <c r="G21" s="101">
        <f t="shared" si="1"/>
        <v>58.450351449405645</v>
      </c>
      <c r="H21" s="101">
        <f t="shared" si="2"/>
        <v>1.337564483701609</v>
      </c>
      <c r="I21" s="101">
        <f t="shared" si="3"/>
        <v>1.337564483701609</v>
      </c>
      <c r="J21" s="101">
        <f t="shared" si="4"/>
        <v>5.1646822280762297E-2</v>
      </c>
      <c r="K21" s="101">
        <f t="shared" si="5"/>
        <v>0.10485050326402953</v>
      </c>
      <c r="L21" s="101">
        <f t="shared" si="12"/>
        <v>520.59093073452948</v>
      </c>
      <c r="M21" s="101">
        <f t="shared" si="6"/>
        <v>414.86851835907828</v>
      </c>
      <c r="N21" s="101">
        <f t="shared" si="7"/>
        <v>39.952737183514984</v>
      </c>
      <c r="O21" s="101">
        <f t="shared" si="8"/>
        <v>0.95366769526280126</v>
      </c>
      <c r="P21" s="101">
        <f t="shared" si="9"/>
        <v>0.95366769526280126</v>
      </c>
      <c r="Q21" s="101">
        <f t="shared" si="10"/>
        <v>3.668528689014447E-2</v>
      </c>
      <c r="R21" s="101">
        <f t="shared" si="11"/>
        <v>1.1111046248470272E-2</v>
      </c>
      <c r="S21" s="101">
        <f t="shared" si="13"/>
        <v>372.96064945189909</v>
      </c>
      <c r="T21" s="101">
        <f t="shared" si="14"/>
        <v>1.327914736744213</v>
      </c>
      <c r="U21" s="101">
        <f t="shared" si="15"/>
        <v>2.1349520859778792</v>
      </c>
      <c r="V21" s="33">
        <f t="shared" si="16"/>
        <v>999.99999999999989</v>
      </c>
      <c r="W21" s="105">
        <f>IF(A21=1,((cPH1_+cPHr+(cNES*L21+(cNES+cOSEX)*G21+(cNES+cEREX)*H21+(cNES+cHOEX)*I21 + (cNES+cNES)*S21 +(cNES+ cOSEX)*N21 + (cNES+cEREX)*O21 + (cNES+cHOEX)*P21)))/(1+cDR)^A$5:A$65536,(cPHr+(cNES*L21+(cNES+cOSEX)*G21+(cNES+cEREX)*H21+(cNES+cHOEX)*I21 + (cNES+cNES)*S21 +(cNES+ cOSEX)*N21 + (cNES+cEREX)*O21 + (cNES+cHOEX)*P21))/(1+cDR)^A$5:A$65536)</f>
        <v>157859.76069914707</v>
      </c>
      <c r="X21" s="112">
        <f t="shared" si="17"/>
        <v>996.53713317727784</v>
      </c>
      <c r="Y21" s="32">
        <f>(uNES*L21+ uOCEX*G21+uEREX*'PH + UC'!H21+uHOEX*I21+uNES*S21+ uOCEX*N21+uEREX*O21+uHOEX*P21)/(1+oDR)^A$5:A$65536</f>
        <v>653.02475319581094</v>
      </c>
      <c r="Z21" s="30"/>
      <c r="AA21" s="30"/>
    </row>
    <row r="22" spans="1:27" x14ac:dyDescent="0.25">
      <c r="A22" s="4">
        <v>16</v>
      </c>
      <c r="C22" s="110">
        <f>IF(male=0,VLOOKUP(((A20:A854/'Life tables'!$I$2)*2)+age,lifetable,13,1),IF(male=1,VLOOKUP(((A20:A854/'Life tables'!$I$2)*2)+age,lifetable,10,1),"error"))</f>
        <v>8.0321853324738512E-5</v>
      </c>
      <c r="E22" s="100"/>
      <c r="F22" s="101">
        <f t="shared" si="0"/>
        <v>562.9040479767599</v>
      </c>
      <c r="G22" s="101">
        <f t="shared" si="1"/>
        <v>56.544889712530505</v>
      </c>
      <c r="H22" s="101">
        <f t="shared" si="2"/>
        <v>1.293960332809502</v>
      </c>
      <c r="I22" s="101">
        <f t="shared" si="3"/>
        <v>1.293960332809502</v>
      </c>
      <c r="J22" s="101">
        <f t="shared" si="4"/>
        <v>4.9963153299364176E-2</v>
      </c>
      <c r="K22" s="101">
        <f t="shared" si="5"/>
        <v>0.10143241223279516</v>
      </c>
      <c r="L22" s="101">
        <f t="shared" si="12"/>
        <v>503.61984203307821</v>
      </c>
      <c r="M22" s="101">
        <f t="shared" si="6"/>
        <v>433.63308520051811</v>
      </c>
      <c r="N22" s="101">
        <f t="shared" si="7"/>
        <v>41.759805626171961</v>
      </c>
      <c r="O22" s="101">
        <f t="shared" si="8"/>
        <v>0.99680223167703941</v>
      </c>
      <c r="P22" s="101">
        <f t="shared" si="9"/>
        <v>0.99680223167703941</v>
      </c>
      <c r="Q22" s="101">
        <f t="shared" si="10"/>
        <v>3.8344568053897896E-2</v>
      </c>
      <c r="R22" s="101">
        <f t="shared" si="11"/>
        <v>1.1613600577809123E-2</v>
      </c>
      <c r="S22" s="101">
        <f t="shared" si="13"/>
        <v>389.82971694236039</v>
      </c>
      <c r="T22" s="101">
        <f t="shared" si="14"/>
        <v>1.4162224580974752</v>
      </c>
      <c r="U22" s="101">
        <f t="shared" si="15"/>
        <v>2.2479980987884836</v>
      </c>
      <c r="V22" s="33">
        <f t="shared" si="16"/>
        <v>1000.0000000000001</v>
      </c>
      <c r="W22" s="105">
        <f>IF(A22=1,((cPH1_+cPHr+(cNES*L22+(cNES+cOSEX)*G22+(cNES+cEREX)*H22+(cNES+cHOEX)*I22 + (cNES+cNES)*S22 +(cNES+ cOSEX)*N22 + (cNES+cEREX)*O22 + (cNES+cHOEX)*P22)))/(1+cDR)^A$5:A$65536,(cPHr+(cNES*L22+(cNES+cOSEX)*G22+(cNES+cEREX)*H22+(cNES+cHOEX)*I22 + (cNES+cNES)*S22 +(cNES+ cOSEX)*N22 + (cNES+cEREX)*O22 + (cNES+cHOEX)*P22))/(1+cDR)^A$5:A$65536)</f>
        <v>159174.91181939768</v>
      </c>
      <c r="X22" s="112">
        <f t="shared" si="17"/>
        <v>996.33577944311435</v>
      </c>
      <c r="Y22" s="32">
        <f>(uNES*L22+ uOCEX*G22+uEREX*'PH + UC'!H22+uHOEX*I22+uNES*S22+ uOCEX*N22+uEREX*O22+uHOEX*P22)/(1+oDR)^A$5:A$65536</f>
        <v>652.71262729910939</v>
      </c>
      <c r="Z22" s="30"/>
      <c r="AA22" s="30"/>
    </row>
    <row r="23" spans="1:27" x14ac:dyDescent="0.25">
      <c r="A23" s="4">
        <v>17</v>
      </c>
      <c r="C23" s="110">
        <f>IF(male=0,VLOOKUP(((A21:A855/'Life tables'!$I$2)*2)+age,lifetable,13,1),IF(male=1,VLOOKUP(((A21:A855/'Life tables'!$I$2)*2)+age,lifetable,10,1),"error"))</f>
        <v>8.0321853324738512E-5</v>
      </c>
      <c r="E23" s="100"/>
      <c r="F23" s="101">
        <f t="shared" si="0"/>
        <v>544.78348344685878</v>
      </c>
      <c r="G23" s="101">
        <f t="shared" si="1"/>
        <v>54.724641081249821</v>
      </c>
      <c r="H23" s="101">
        <f t="shared" si="2"/>
        <v>1.252306179150307</v>
      </c>
      <c r="I23" s="101">
        <f t="shared" si="3"/>
        <v>1.252306179150307</v>
      </c>
      <c r="J23" s="101">
        <f t="shared" si="4"/>
        <v>4.835477875181457E-2</v>
      </c>
      <c r="K23" s="101">
        <f t="shared" si="5"/>
        <v>9.8167179769297605E-2</v>
      </c>
      <c r="L23" s="101">
        <f t="shared" si="12"/>
        <v>487.40770804878724</v>
      </c>
      <c r="M23" s="101">
        <f t="shared" si="6"/>
        <v>451.55229599625545</v>
      </c>
      <c r="N23" s="101">
        <f t="shared" si="7"/>
        <v>43.485464450056135</v>
      </c>
      <c r="O23" s="101">
        <f t="shared" si="8"/>
        <v>1.0379935289296987</v>
      </c>
      <c r="P23" s="101">
        <f t="shared" si="9"/>
        <v>1.0379935289296987</v>
      </c>
      <c r="Q23" s="101">
        <f t="shared" si="10"/>
        <v>3.9929097512741117E-2</v>
      </c>
      <c r="R23" s="101">
        <f t="shared" si="11"/>
        <v>1.2093514504937232E-2</v>
      </c>
      <c r="S23" s="101">
        <f t="shared" si="13"/>
        <v>405.93882187632227</v>
      </c>
      <c r="T23" s="101">
        <f t="shared" si="14"/>
        <v>1.5045063343620309</v>
      </c>
      <c r="U23" s="101">
        <f t="shared" si="15"/>
        <v>2.3582587930627184</v>
      </c>
      <c r="V23" s="33">
        <f t="shared" si="16"/>
        <v>1000.0000000000005</v>
      </c>
      <c r="W23" s="105">
        <f>IF(A23=1,((cPH1_+cPHr+(cNES*L23+(cNES+cOSEX)*G23+(cNES+cEREX)*H23+(cNES+cHOEX)*I23 + (cNES+cNES)*S23 +(cNES+ cOSEX)*N23 + (cNES+cEREX)*O23 + (cNES+cHOEX)*P23)))/(1+cDR)^A$5:A$65536,(cPHr+(cNES*L23+(cNES+cOSEX)*G23+(cNES+cEREX)*H23+(cNES+cHOEX)*I23 + (cNES+cNES)*S23 +(cNES+ cOSEX)*N23 + (cNES+cEREX)*O23 + (cNES+cHOEX)*P23))/(1+cDR)^A$5:A$65536)</f>
        <v>160418.70805143434</v>
      </c>
      <c r="X23" s="112">
        <f t="shared" si="17"/>
        <v>996.13723487257562</v>
      </c>
      <c r="Y23" s="32">
        <f>(uNES*L23+ uOCEX*G23+uEREX*'PH + UC'!H23+uHOEX*I23+uNES*S23+ uOCEX*N23+uEREX*O23+uHOEX*P23)/(1+oDR)^A$5:A$65536</f>
        <v>652.40212615883752</v>
      </c>
      <c r="Z23" s="30"/>
      <c r="AA23" s="30"/>
    </row>
    <row r="24" spans="1:27" x14ac:dyDescent="0.25">
      <c r="A24" s="4">
        <v>18</v>
      </c>
      <c r="C24" s="110">
        <f>IF(male=0,VLOOKUP(((A22:A856/'Life tables'!$I$2)*2)+age,lifetable,13,1),IF(male=1,VLOOKUP(((A22:A856/'Life tables'!$I$2)*2)+age,lifetable,10,1),"error"))</f>
        <v>8.0321853324738512E-5</v>
      </c>
      <c r="E24" s="100"/>
      <c r="F24" s="101">
        <f t="shared" si="0"/>
        <v>527.47323458957135</v>
      </c>
      <c r="G24" s="101">
        <f t="shared" si="1"/>
        <v>52.985790355180455</v>
      </c>
      <c r="H24" s="101">
        <f t="shared" si="2"/>
        <v>1.2125147165504222</v>
      </c>
      <c r="I24" s="101">
        <f t="shared" si="3"/>
        <v>1.2125147165504222</v>
      </c>
      <c r="J24" s="101">
        <f t="shared" si="4"/>
        <v>4.6818327521066794E-2</v>
      </c>
      <c r="K24" s="101">
        <f t="shared" si="5"/>
        <v>9.5047962019388768E-2</v>
      </c>
      <c r="L24" s="101">
        <f t="shared" si="12"/>
        <v>471.92054851174959</v>
      </c>
      <c r="M24" s="101">
        <f t="shared" si="6"/>
        <v>468.6640002830041</v>
      </c>
      <c r="N24" s="101">
        <f t="shared" si="7"/>
        <v>45.133358647558907</v>
      </c>
      <c r="O24" s="101">
        <f t="shared" si="8"/>
        <v>1.0773285926113392</v>
      </c>
      <c r="P24" s="101">
        <f t="shared" si="9"/>
        <v>1.0773285926113392</v>
      </c>
      <c r="Q24" s="101">
        <f t="shared" si="10"/>
        <v>4.144222216105526E-2</v>
      </c>
      <c r="R24" s="101">
        <f t="shared" si="11"/>
        <v>1.2551801719576282E-2</v>
      </c>
      <c r="S24" s="101">
        <f t="shared" si="13"/>
        <v>421.32199042634187</v>
      </c>
      <c r="T24" s="101">
        <f t="shared" si="14"/>
        <v>1.5927668840441529</v>
      </c>
      <c r="U24" s="101">
        <f t="shared" si="15"/>
        <v>2.4658585568016833</v>
      </c>
      <c r="V24" s="33">
        <f t="shared" si="16"/>
        <v>1000.0000000000002</v>
      </c>
      <c r="W24" s="105">
        <f>IF(A24=1,((cPH1_+cPHr+(cNES*L24+(cNES+cOSEX)*G24+(cNES+cEREX)*H24+(cNES+cHOEX)*I24 + (cNES+cNES)*S24 +(cNES+ cOSEX)*N24 + (cNES+cEREX)*O24 + (cNES+cHOEX)*P24)))/(1+cDR)^A$5:A$65536,(cPHr+(cNES*L24+(cNES+cOSEX)*G24+(cNES+cEREX)*H24+(cNES+cHOEX)*I24 + (cNES+cNES)*S24 +(cNES+ cOSEX)*N24 + (cNES+cEREX)*O24 + (cNES+cHOEX)*P24))/(1+cDR)^A$5:A$65536)</f>
        <v>161594.43669577941</v>
      </c>
      <c r="X24" s="112">
        <f t="shared" si="17"/>
        <v>995.94137455915438</v>
      </c>
      <c r="Y24" s="32">
        <f>(uNES*L24+ uOCEX*G24+uEREX*'PH + UC'!H24+uHOEX*I24+uNES*S24+ uOCEX*N24+uEREX*O24+uHOEX*P24)/(1+oDR)^A$5:A$65536</f>
        <v>652.0931818974567</v>
      </c>
      <c r="Z24" s="30"/>
      <c r="AA24" s="30"/>
    </row>
    <row r="25" spans="1:27" x14ac:dyDescent="0.25">
      <c r="A25" s="4">
        <v>19</v>
      </c>
      <c r="C25" s="110">
        <f>IF(male=0,VLOOKUP(((A23:A857/'Life tables'!$I$2)*2)+age,lifetable,13,1),IF(male=1,VLOOKUP(((A23:A857/'Life tables'!$I$2)*2)+age,lifetable,10,1),"error"))</f>
        <v>8.0321853324738512E-5</v>
      </c>
      <c r="E25" s="100"/>
      <c r="F25" s="101">
        <f t="shared" si="0"/>
        <v>510.93702158482631</v>
      </c>
      <c r="G25" s="101">
        <f t="shared" si="1"/>
        <v>51.324693150466757</v>
      </c>
      <c r="H25" s="101">
        <f t="shared" si="2"/>
        <v>1.1745025477626216</v>
      </c>
      <c r="I25" s="101">
        <f t="shared" si="3"/>
        <v>1.1745025477626216</v>
      </c>
      <c r="J25" s="101">
        <f t="shared" si="4"/>
        <v>4.5350579423826018E-2</v>
      </c>
      <c r="K25" s="101">
        <f t="shared" si="5"/>
        <v>9.2068221546220505E-2</v>
      </c>
      <c r="L25" s="101">
        <f t="shared" si="12"/>
        <v>457.12590453786424</v>
      </c>
      <c r="M25" s="101">
        <f t="shared" si="6"/>
        <v>485.00435297432813</v>
      </c>
      <c r="N25" s="101">
        <f t="shared" si="7"/>
        <v>46.706970015190713</v>
      </c>
      <c r="O25" s="101">
        <f t="shared" si="8"/>
        <v>1.1148905328437591</v>
      </c>
      <c r="P25" s="101">
        <f t="shared" si="9"/>
        <v>1.1148905328437591</v>
      </c>
      <c r="Q25" s="101">
        <f t="shared" si="10"/>
        <v>4.2887139043971227E-2</v>
      </c>
      <c r="R25" s="101">
        <f t="shared" si="11"/>
        <v>1.2989430525897213E-2</v>
      </c>
      <c r="S25" s="101">
        <f t="shared" si="13"/>
        <v>436.01172532388</v>
      </c>
      <c r="T25" s="101">
        <f t="shared" si="14"/>
        <v>1.6810046025119501</v>
      </c>
      <c r="U25" s="101">
        <f t="shared" si="15"/>
        <v>2.5709162088738009</v>
      </c>
      <c r="V25" s="33">
        <f t="shared" si="16"/>
        <v>1000.0000000000002</v>
      </c>
      <c r="W25" s="105">
        <f>IF(A25=1,((cPH1_+cPHr+(cNES*L25+(cNES+cOSEX)*G25+(cNES+cEREX)*H25+(cNES+cHOEX)*I25 + (cNES+cNES)*S25 +(cNES+ cOSEX)*N25 + (cNES+cEREX)*O25 + (cNES+cHOEX)*P25)))/(1+cDR)^A$5:A$65536,(cPHr+(cNES*L25+(cNES+cOSEX)*G25+(cNES+cEREX)*H25+(cNES+cHOEX)*I25 + (cNES+cNES)*S25 +(cNES+ cOSEX)*N25 + (cNES+cEREX)*O25 + (cNES+cHOEX)*P25))/(1+cDR)^A$5:A$65536)</f>
        <v>162705.23424443419</v>
      </c>
      <c r="X25" s="112">
        <f t="shared" si="17"/>
        <v>995.74807918861461</v>
      </c>
      <c r="Y25" s="32">
        <f>(uNES*L25+ uOCEX*G25+uEREX*'PH + UC'!H25+uHOEX*I25+uNES*S25+ uOCEX*N25+uEREX*O25+uHOEX*P25)/(1+oDR)^A$5:A$65536</f>
        <v>651.78572969285938</v>
      </c>
      <c r="Z25" s="30"/>
      <c r="AA25" s="30"/>
    </row>
    <row r="26" spans="1:27" x14ac:dyDescent="0.25">
      <c r="A26" s="4">
        <v>20</v>
      </c>
      <c r="C26" s="110">
        <f>IF(male=0,VLOOKUP(((A24:A858/'Life tables'!$I$2)*2)+age,lifetable,13,1),IF(male=1,VLOOKUP(((A24:A858/'Life tables'!$I$2)*2)+age,lifetable,10,1),"error"))</f>
        <v>8.0321853324738512E-5</v>
      </c>
      <c r="E26" s="100"/>
      <c r="F26" s="101">
        <f t="shared" si="0"/>
        <v>495.1401889552489</v>
      </c>
      <c r="G26" s="101">
        <f t="shared" si="1"/>
        <v>49.73786825187652</v>
      </c>
      <c r="H26" s="101">
        <f t="shared" si="2"/>
        <v>1.1381900094531656</v>
      </c>
      <c r="I26" s="101">
        <f t="shared" si="3"/>
        <v>1.1381900094531656</v>
      </c>
      <c r="J26" s="101">
        <f t="shared" si="4"/>
        <v>4.3948458452849164E-2</v>
      </c>
      <c r="K26" s="101">
        <f t="shared" si="5"/>
        <v>8.9221713611138245E-2</v>
      </c>
      <c r="L26" s="101">
        <f t="shared" si="12"/>
        <v>442.99277051240205</v>
      </c>
      <c r="M26" s="101">
        <f t="shared" si="6"/>
        <v>500.60789023336554</v>
      </c>
      <c r="N26" s="101">
        <f t="shared" si="7"/>
        <v>48.209624460288751</v>
      </c>
      <c r="O26" s="101">
        <f t="shared" si="8"/>
        <v>1.1507587386903497</v>
      </c>
      <c r="P26" s="101">
        <f t="shared" si="9"/>
        <v>1.1507587386903497</v>
      </c>
      <c r="Q26" s="101">
        <f t="shared" si="10"/>
        <v>4.4266902066513729E-2</v>
      </c>
      <c r="R26" s="101">
        <f t="shared" si="11"/>
        <v>1.3407325874550392E-2</v>
      </c>
      <c r="S26" s="101">
        <f t="shared" si="13"/>
        <v>450.039074067755</v>
      </c>
      <c r="T26" s="101">
        <f t="shared" si="14"/>
        <v>1.769219963031313</v>
      </c>
      <c r="U26" s="101">
        <f t="shared" si="15"/>
        <v>2.6735452483594897</v>
      </c>
      <c r="V26" s="33">
        <f t="shared" si="16"/>
        <v>1000.0000000000001</v>
      </c>
      <c r="W26" s="105">
        <f>IF(A26=1,((cPH1_+cPHr+(cNES*L26+(cNES+cOSEX)*G26+(cNES+cEREX)*H26+(cNES+cHOEX)*I26 + (cNES+cNES)*S26 +(cNES+ cOSEX)*N26 + (cNES+cEREX)*O26 + (cNES+cHOEX)*P26)))/(1+cDR)^A$5:A$65536,(cPHr+(cNES*L26+(cNES+cOSEX)*G26+(cNES+cEREX)*H26+(cNES+cHOEX)*I26 + (cNES+cNES)*S26 +(cNES+ cOSEX)*N26 + (cNES+cEREX)*O26 + (cNES+cHOEX)*P26))/(1+cDR)^A$5:A$65536)</f>
        <v>163754.09329856854</v>
      </c>
      <c r="X26" s="112">
        <f t="shared" si="17"/>
        <v>995.55723478860943</v>
      </c>
      <c r="Y26" s="32">
        <f>(uNES*L26+ uOCEX*G26+uEREX*'PH + UC'!H26+uHOEX*I26+uNES*S26+ uOCEX*N26+uEREX*O26+uHOEX*P26)/(1+oDR)^A$5:A$65536</f>
        <v>651.47970764073216</v>
      </c>
      <c r="Z26" s="30"/>
      <c r="AA26" s="30"/>
    </row>
    <row r="27" spans="1:27" x14ac:dyDescent="0.25">
      <c r="A27" s="4">
        <v>21</v>
      </c>
      <c r="C27" s="110">
        <f>IF(male=0,VLOOKUP(((A25:A859/'Life tables'!$I$2)*2)+age,lifetable,13,1),IF(male=1,VLOOKUP(((A25:A859/'Life tables'!$I$2)*2)+age,lifetable,10,1),"error"))</f>
        <v>8.0321853324738512E-5</v>
      </c>
      <c r="E27" s="100"/>
      <c r="F27" s="101">
        <f t="shared" si="0"/>
        <v>480.04963284007755</v>
      </c>
      <c r="G27" s="101">
        <f t="shared" si="1"/>
        <v>48.221990307313668</v>
      </c>
      <c r="H27" s="101">
        <f t="shared" si="2"/>
        <v>1.1035010050246992</v>
      </c>
      <c r="I27" s="101">
        <f t="shared" si="3"/>
        <v>1.1035010050246992</v>
      </c>
      <c r="J27" s="101">
        <f t="shared" si="4"/>
        <v>4.2609026321804883E-2</v>
      </c>
      <c r="K27" s="101">
        <f t="shared" si="5"/>
        <v>8.6502473068815172E-2</v>
      </c>
      <c r="L27" s="101">
        <f t="shared" si="12"/>
        <v>429.49152902332389</v>
      </c>
      <c r="M27" s="101">
        <f t="shared" si="6"/>
        <v>515.50760194853183</v>
      </c>
      <c r="N27" s="101">
        <f t="shared" si="7"/>
        <v>49.644498980584224</v>
      </c>
      <c r="O27" s="101">
        <f t="shared" si="8"/>
        <v>1.1850090447576427</v>
      </c>
      <c r="P27" s="101">
        <f t="shared" si="9"/>
        <v>1.1850090447576427</v>
      </c>
      <c r="Q27" s="101">
        <f t="shared" si="10"/>
        <v>4.5584428402359295E-2</v>
      </c>
      <c r="R27" s="101">
        <f t="shared" si="11"/>
        <v>1.3806371303716453E-2</v>
      </c>
      <c r="S27" s="101">
        <f t="shared" si="13"/>
        <v>463.43369407872626</v>
      </c>
      <c r="T27" s="101">
        <f t="shared" si="14"/>
        <v>1.8574134177554771</v>
      </c>
      <c r="U27" s="101">
        <f t="shared" si="15"/>
        <v>2.7738540927320212</v>
      </c>
      <c r="V27" s="33">
        <f t="shared" si="16"/>
        <v>1000.0000000000001</v>
      </c>
      <c r="W27" s="105">
        <f>IF(A27=1,((cPH1_+cPHr+(cNES*L27+(cNES+cOSEX)*G27+(cNES+cEREX)*H27+(cNES+cHOEX)*I27 + (cNES+cNES)*S27 +(cNES+ cOSEX)*N27 + (cNES+cEREX)*O27 + (cNES+cHOEX)*P27)))/(1+cDR)^A$5:A$65536,(cPHr+(cNES*L27+(cNES+cOSEX)*G27+(cNES+cEREX)*H27+(cNES+cHOEX)*I27 + (cNES+cNES)*S27 +(cNES+ cOSEX)*N27 + (cNES+cEREX)*O27 + (cNES+cHOEX)*P27))/(1+cDR)^A$5:A$65536)</f>
        <v>164743.86916889227</v>
      </c>
      <c r="X27" s="112">
        <f t="shared" si="17"/>
        <v>995.36873248951281</v>
      </c>
      <c r="Y27" s="32">
        <f>(uNES*L27+ uOCEX*G27+uEREX*'PH + UC'!H27+uHOEX*I27+uNES*S27+ uOCEX*N27+uEREX*O27+uHOEX*P27)/(1+oDR)^A$5:A$65536</f>
        <v>651.17505662311805</v>
      </c>
      <c r="Z27" s="30"/>
      <c r="AA27" s="30"/>
    </row>
    <row r="28" spans="1:27" x14ac:dyDescent="0.25">
      <c r="A28" s="4">
        <v>22</v>
      </c>
      <c r="C28" s="110">
        <f>IF(male=0,VLOOKUP(((A26:A860/'Life tables'!$I$2)*2)+age,lifetable,13,1),IF(male=1,VLOOKUP(((A26:A860/'Life tables'!$I$2)*2)+age,lifetable,10,1),"error"))</f>
        <v>8.0321853324738512E-5</v>
      </c>
      <c r="E28" s="100"/>
      <c r="F28" s="101">
        <f t="shared" si="0"/>
        <v>465.6337315252178</v>
      </c>
      <c r="G28" s="101">
        <f t="shared" si="1"/>
        <v>46.773882849416829</v>
      </c>
      <c r="H28" s="101">
        <f t="shared" si="2"/>
        <v>1.0703628449241076</v>
      </c>
      <c r="I28" s="101">
        <f t="shared" si="3"/>
        <v>1.0703628449241076</v>
      </c>
      <c r="J28" s="101">
        <f t="shared" si="4"/>
        <v>4.1329476299147065E-2</v>
      </c>
      <c r="K28" s="101">
        <f t="shared" si="5"/>
        <v>8.3904801849125299E-2</v>
      </c>
      <c r="L28" s="101">
        <f t="shared" si="12"/>
        <v>416.59388870780447</v>
      </c>
      <c r="M28" s="101">
        <f t="shared" si="6"/>
        <v>529.73500096429495</v>
      </c>
      <c r="N28" s="101">
        <f t="shared" si="7"/>
        <v>51.014628331276008</v>
      </c>
      <c r="O28" s="101">
        <f t="shared" si="8"/>
        <v>1.2177138903376667</v>
      </c>
      <c r="P28" s="101">
        <f t="shared" si="9"/>
        <v>1.2177138903376667</v>
      </c>
      <c r="Q28" s="101">
        <f t="shared" si="10"/>
        <v>4.6842504615657504E-2</v>
      </c>
      <c r="R28" s="101">
        <f t="shared" si="11"/>
        <v>1.4187410793251211E-2</v>
      </c>
      <c r="S28" s="101">
        <f t="shared" si="13"/>
        <v>476.2239149369347</v>
      </c>
      <c r="T28" s="101">
        <f t="shared" si="14"/>
        <v>1.9455853986702816</v>
      </c>
      <c r="U28" s="101">
        <f t="shared" si="15"/>
        <v>2.8719463053743977</v>
      </c>
      <c r="V28" s="33">
        <f t="shared" si="16"/>
        <v>1000.0000000000001</v>
      </c>
      <c r="W28" s="105">
        <f>IF(A28=1,((cPH1_+cPHr+(cNES*L28+(cNES+cOSEX)*G28+(cNES+cEREX)*H28+(cNES+cHOEX)*I28 + (cNES+cNES)*S28 +(cNES+ cOSEX)*N28 + (cNES+cEREX)*O28 + (cNES+cHOEX)*P28)))/(1+cDR)^A$5:A$65536,(cPHr+(cNES*L28+(cNES+cOSEX)*G28+(cNES+cEREX)*H28+(cNES+cHOEX)*I28 + (cNES+cNES)*S28 +(cNES+ cOSEX)*N28 + (cNES+cEREX)*O28 + (cNES+cHOEX)*P28))/(1+cDR)^A$5:A$65536)</f>
        <v>165677.28617326447</v>
      </c>
      <c r="X28" s="112">
        <f t="shared" si="17"/>
        <v>995.18246829595546</v>
      </c>
      <c r="Y28" s="32">
        <f>(uNES*L28+ uOCEX*G28+uEREX*'PH + UC'!H28+uHOEX*I28+uNES*S28+ uOCEX*N28+uEREX*O28+uHOEX*P28)/(1+oDR)^A$5:A$65536</f>
        <v>650.87172018289868</v>
      </c>
      <c r="Z28" s="30"/>
      <c r="AA28" s="30"/>
    </row>
    <row r="29" spans="1:27" x14ac:dyDescent="0.25">
      <c r="A29" s="4">
        <v>23</v>
      </c>
      <c r="C29" s="110">
        <f>IF(male=0,VLOOKUP(((A27:A861/'Life tables'!$I$2)*2)+age,lifetable,13,1),IF(male=1,VLOOKUP(((A27:A861/'Life tables'!$I$2)*2)+age,lifetable,10,1),"error"))</f>
        <v>8.0321853324738512E-5</v>
      </c>
      <c r="E29" s="100"/>
      <c r="F29" s="101">
        <f t="shared" si="0"/>
        <v>451.86227908364771</v>
      </c>
      <c r="G29" s="101">
        <f t="shared" si="1"/>
        <v>45.390511629599111</v>
      </c>
      <c r="H29" s="101">
        <f t="shared" si="2"/>
        <v>1.0387060941002089</v>
      </c>
      <c r="I29" s="101">
        <f t="shared" si="3"/>
        <v>1.0387060941002089</v>
      </c>
      <c r="J29" s="101">
        <f t="shared" si="4"/>
        <v>4.0107127318061958E-2</v>
      </c>
      <c r="K29" s="101">
        <f t="shared" si="5"/>
        <v>8.1423256999486299E-2</v>
      </c>
      <c r="L29" s="101">
        <f t="shared" si="12"/>
        <v>404.27282488153065</v>
      </c>
      <c r="M29" s="101">
        <f t="shared" si="6"/>
        <v>543.32018921230792</v>
      </c>
      <c r="N29" s="101">
        <f t="shared" si="7"/>
        <v>52.322911393601942</v>
      </c>
      <c r="O29" s="101">
        <f t="shared" si="8"/>
        <v>1.2489424714250859</v>
      </c>
      <c r="P29" s="101">
        <f t="shared" si="9"/>
        <v>1.2489424714250859</v>
      </c>
      <c r="Q29" s="101">
        <f t="shared" si="10"/>
        <v>4.8043792508762041E-2</v>
      </c>
      <c r="R29" s="101">
        <f t="shared" si="11"/>
        <v>1.4551250535815626E-2</v>
      </c>
      <c r="S29" s="101">
        <f t="shared" si="13"/>
        <v>488.43679783281124</v>
      </c>
      <c r="T29" s="101">
        <f t="shared" si="14"/>
        <v>2.0337363184971053</v>
      </c>
      <c r="U29" s="101">
        <f t="shared" si="15"/>
        <v>2.9679208129096994</v>
      </c>
      <c r="V29" s="33">
        <f t="shared" si="16"/>
        <v>1000.0000000000003</v>
      </c>
      <c r="W29" s="105">
        <f>IF(A29=1,((cPH1_+cPHr+(cNES*L29+(cNES+cOSEX)*G29+(cNES+cEREX)*H29+(cNES+cHOEX)*I29 + (cNES+cNES)*S29 +(cNES+ cOSEX)*N29 + (cNES+cEREX)*O29 + (cNES+cHOEX)*P29)))/(1+cDR)^A$5:A$65536,(cPHr+(cNES*L29+(cNES+cOSEX)*G29+(cNES+cEREX)*H29+(cNES+cHOEX)*I29 + (cNES+cNES)*S29 +(cNES+ cOSEX)*N29 + (cNES+cEREX)*O29 + (cNES+cHOEX)*P29))/(1+cDR)^A$5:A$65536)</f>
        <v>166556.94364542756</v>
      </c>
      <c r="X29" s="112">
        <f t="shared" si="17"/>
        <v>994.99834286859368</v>
      </c>
      <c r="Y29" s="32">
        <f>(uNES*L29+ uOCEX*G29+uEREX*'PH + UC'!H29+uHOEX*I29+uNES*S29+ uOCEX*N29+uEREX*O29+uHOEX*P29)/(1+oDR)^A$5:A$65536</f>
        <v>650.56964440393301</v>
      </c>
      <c r="Z29" s="30"/>
      <c r="AA29" s="30"/>
    </row>
    <row r="30" spans="1:27" x14ac:dyDescent="0.25">
      <c r="A30" s="4">
        <v>24</v>
      </c>
      <c r="C30" s="110">
        <f>IF(male=0,VLOOKUP(((A28:A862/'Life tables'!$I$2)*2)+age,lifetable,13,1),IF(male=1,VLOOKUP(((A28:A862/'Life tables'!$I$2)*2)+age,lifetable,10,1),"error"))</f>
        <v>8.0321853324738512E-5</v>
      </c>
      <c r="E30" s="100"/>
      <c r="F30" s="101">
        <f t="shared" si="0"/>
        <v>438.70642198691718</v>
      </c>
      <c r="G30" s="101">
        <f t="shared" si="1"/>
        <v>44.06897825054061</v>
      </c>
      <c r="H30" s="101">
        <f t="shared" si="2"/>
        <v>1.0084644262911642</v>
      </c>
      <c r="I30" s="101">
        <f t="shared" si="3"/>
        <v>1.0084644262911642</v>
      </c>
      <c r="J30" s="101">
        <f t="shared" si="4"/>
        <v>3.8939418350128568E-2</v>
      </c>
      <c r="K30" s="101">
        <f t="shared" si="5"/>
        <v>7.9052639262577787E-2</v>
      </c>
      <c r="L30" s="101">
        <f t="shared" si="12"/>
        <v>392.50252282618152</v>
      </c>
      <c r="M30" s="101">
        <f t="shared" si="6"/>
        <v>556.29192088167633</v>
      </c>
      <c r="N30" s="101">
        <f t="shared" si="7"/>
        <v>53.57211725827252</v>
      </c>
      <c r="O30" s="101">
        <f t="shared" si="8"/>
        <v>1.2787608859281281</v>
      </c>
      <c r="P30" s="101">
        <f t="shared" si="9"/>
        <v>1.2787608859281281</v>
      </c>
      <c r="Q30" s="101">
        <f t="shared" si="10"/>
        <v>4.9190834708143567E-2</v>
      </c>
      <c r="R30" s="101">
        <f t="shared" si="11"/>
        <v>1.4898660628707636E-2</v>
      </c>
      <c r="S30" s="101">
        <f t="shared" si="13"/>
        <v>500.09819235621069</v>
      </c>
      <c r="T30" s="101">
        <f t="shared" si="14"/>
        <v>2.1218665715553775</v>
      </c>
      <c r="U30" s="101">
        <f t="shared" si="15"/>
        <v>3.0618721128009847</v>
      </c>
      <c r="V30" s="33">
        <f t="shared" si="16"/>
        <v>1000.0000000000003</v>
      </c>
      <c r="W30" s="105">
        <f>IF(A30=1,((cPH1_+cPHr+(cNES*L30+(cNES+cOSEX)*G30+(cNES+cEREX)*H30+(cNES+cHOEX)*I30 + (cNES+cNES)*S30 +(cNES+ cOSEX)*N30 + (cNES+cEREX)*O30 + (cNES+cHOEX)*P30)))/(1+cDR)^A$5:A$65536,(cPHr+(cNES*L30+(cNES+cOSEX)*G30+(cNES+cEREX)*H30+(cNES+cHOEX)*I30 + (cNES+cNES)*S30 +(cNES+ cOSEX)*N30 + (cNES+cEREX)*O30 + (cNES+cHOEX)*P30))/(1+cDR)^A$5:A$65536)</f>
        <v>167385.32166811806</v>
      </c>
      <c r="X30" s="112">
        <f t="shared" si="17"/>
        <v>994.81626131564394</v>
      </c>
      <c r="Y30" s="32">
        <f>(uNES*L30+ uOCEX*G30+uEREX*'PH + UC'!H30+uHOEX*I30+uNES*S30+ uOCEX*N30+uEREX*O30+uHOEX*P30)/(1+oDR)^A$5:A$65536</f>
        <v>650.26877779659083</v>
      </c>
      <c r="Z30" s="30"/>
      <c r="AA30" s="30"/>
    </row>
    <row r="31" spans="1:27" x14ac:dyDescent="0.25">
      <c r="A31" s="4">
        <v>25</v>
      </c>
      <c r="C31" s="110">
        <f>IF(male=0,VLOOKUP(((A29:A863/'Life tables'!$I$2)*2)+age,lifetable,13,1),IF(male=1,VLOOKUP(((A29:A863/'Life tables'!$I$2)*2)+age,lifetable,10,1),"error"))</f>
        <v>8.0321853324738512E-5</v>
      </c>
      <c r="E31" s="100"/>
      <c r="F31" s="101">
        <f t="shared" si="0"/>
        <v>426.13859855471532</v>
      </c>
      <c r="G31" s="101">
        <f t="shared" si="1"/>
        <v>42.806514083770658</v>
      </c>
      <c r="H31" s="101">
        <f t="shared" si="2"/>
        <v>0.97957448483582343</v>
      </c>
      <c r="I31" s="101">
        <f t="shared" si="3"/>
        <v>0.97957448483582343</v>
      </c>
      <c r="J31" s="101">
        <f t="shared" si="4"/>
        <v>3.7823903030884738E-2</v>
      </c>
      <c r="K31" s="101">
        <f t="shared" si="5"/>
        <v>7.6787982165464994E-2</v>
      </c>
      <c r="L31" s="101">
        <f t="shared" si="12"/>
        <v>381.25832361607667</v>
      </c>
      <c r="M31" s="101">
        <f t="shared" si="6"/>
        <v>568.67766276092857</v>
      </c>
      <c r="N31" s="101">
        <f t="shared" si="7"/>
        <v>54.764891036533321</v>
      </c>
      <c r="O31" s="101">
        <f t="shared" si="8"/>
        <v>1.3072322723780467</v>
      </c>
      <c r="P31" s="101">
        <f t="shared" si="9"/>
        <v>1.3072322723780467</v>
      </c>
      <c r="Q31" s="101">
        <f t="shared" si="10"/>
        <v>5.0286060000206766E-2</v>
      </c>
      <c r="R31" s="101">
        <f t="shared" si="11"/>
        <v>1.5230376689946284E-2</v>
      </c>
      <c r="S31" s="101">
        <f t="shared" si="13"/>
        <v>511.23279074294902</v>
      </c>
      <c r="T31" s="101">
        <f t="shared" si="14"/>
        <v>2.209976534586469</v>
      </c>
      <c r="U31" s="101">
        <f t="shared" si="15"/>
        <v>3.1538904716563958</v>
      </c>
      <c r="V31" s="33">
        <f t="shared" si="16"/>
        <v>1000.0000000000002</v>
      </c>
      <c r="W31" s="105">
        <f>IF(A31=1,((cPH1_+cPHr+(cNES*L31+(cNES+cOSEX)*G31+(cNES+cEREX)*H31+(cNES+cHOEX)*I31 + (cNES+cNES)*S31 +(cNES+ cOSEX)*N31 + (cNES+cEREX)*O31 + (cNES+cHOEX)*P31)))/(1+cDR)^A$5:A$65536,(cPHr+(cNES*L31+(cNES+cOSEX)*G31+(cNES+cEREX)*H31+(cNES+cHOEX)*I31 + (cNES+cNES)*S31 +(cNES+ cOSEX)*N31 + (cNES+cEREX)*O31 + (cNES+cHOEX)*P31))/(1+cDR)^A$5:A$65536)</f>
        <v>168164.78654319572</v>
      </c>
      <c r="X31" s="112">
        <f t="shared" si="17"/>
        <v>994.63613299375743</v>
      </c>
      <c r="Y31" s="32">
        <f>(uNES*L31+ uOCEX*G31+uEREX*'PH + UC'!H31+uHOEX*I31+uNES*S31+ uOCEX*N31+uEREX*O31+uHOEX*P31)/(1+oDR)^A$5:A$65536</f>
        <v>649.96907118845081</v>
      </c>
      <c r="Z31" s="30"/>
      <c r="AA31" s="30"/>
    </row>
    <row r="32" spans="1:27" x14ac:dyDescent="0.25">
      <c r="A32" s="4">
        <v>26</v>
      </c>
      <c r="C32" s="110">
        <f>IF(male=0,VLOOKUP(((A30:A864/'Life tables'!$I$2)*2)+age,lifetable,13,1),IF(male=1,VLOOKUP(((A30:A864/'Life tables'!$I$2)*2)+age,lifetable,10,1),"error"))</f>
        <v>8.0321853324738512E-5</v>
      </c>
      <c r="E32" s="100"/>
      <c r="F32" s="101">
        <f t="shared" si="0"/>
        <v>414.13248111544152</v>
      </c>
      <c r="G32" s="101">
        <f t="shared" si="1"/>
        <v>41.600474459576212</v>
      </c>
      <c r="H32" s="101">
        <f t="shared" si="2"/>
        <v>0.95197574971691357</v>
      </c>
      <c r="I32" s="101">
        <f t="shared" si="3"/>
        <v>0.95197574971691357</v>
      </c>
      <c r="J32" s="101">
        <f t="shared" si="4"/>
        <v>3.6758244526021097E-2</v>
      </c>
      <c r="K32" s="101">
        <f t="shared" si="5"/>
        <v>7.4624541597231503E-2</v>
      </c>
      <c r="L32" s="101">
        <f t="shared" si="12"/>
        <v>370.51667237030824</v>
      </c>
      <c r="M32" s="101">
        <f t="shared" si="6"/>
        <v>580.50365187831596</v>
      </c>
      <c r="N32" s="101">
        <f t="shared" si="7"/>
        <v>55.903759411050821</v>
      </c>
      <c r="O32" s="101">
        <f t="shared" si="8"/>
        <v>1.3344169424281862</v>
      </c>
      <c r="P32" s="101">
        <f t="shared" si="9"/>
        <v>1.3344169424281862</v>
      </c>
      <c r="Q32" s="101">
        <f t="shared" si="10"/>
        <v>5.1331788428208583E-2</v>
      </c>
      <c r="R32" s="101">
        <f t="shared" si="11"/>
        <v>1.5547101401999438E-2</v>
      </c>
      <c r="S32" s="101">
        <f t="shared" si="13"/>
        <v>521.86417969257855</v>
      </c>
      <c r="T32" s="101">
        <f t="shared" si="14"/>
        <v>2.2980665675406988</v>
      </c>
      <c r="U32" s="101">
        <f t="shared" si="15"/>
        <v>3.2440621146556268</v>
      </c>
      <c r="V32" s="33">
        <f t="shared" si="16"/>
        <v>1000.0000000000003</v>
      </c>
      <c r="W32" s="105">
        <f>IF(A32=1,((cPH1_+cPHr+(cNES*L32+(cNES+cOSEX)*G32+(cNES+cEREX)*H32+(cNES+cHOEX)*I32 + (cNES+cNES)*S32 +(cNES+ cOSEX)*N32 + (cNES+cEREX)*O32 + (cNES+cHOEX)*P32)))/(1+cDR)^A$5:A$65536,(cPHr+(cNES*L32+(cNES+cOSEX)*G32+(cNES+cEREX)*H32+(cNES+cHOEX)*I32 + (cNES+cNES)*S32 +(cNES+ cOSEX)*N32 + (cNES+cEREX)*O32 + (cNES+cHOEX)*P32))/(1+cDR)^A$5:A$65536)</f>
        <v>168897.59601085627</v>
      </c>
      <c r="X32" s="112">
        <f t="shared" si="17"/>
        <v>994.45787131780389</v>
      </c>
      <c r="Y32" s="32">
        <f>(uNES*L32+ uOCEX*G32+uEREX*'PH + UC'!H32+uHOEX*I32+uNES*S32+ uOCEX*N32+uEREX*O32+uHOEX*P32)/(1+oDR)^A$5:A$65536</f>
        <v>649.67047761991307</v>
      </c>
      <c r="Z32" s="30"/>
      <c r="AA32" s="30"/>
    </row>
    <row r="33" spans="1:27" x14ac:dyDescent="0.25">
      <c r="A33" s="4">
        <v>27</v>
      </c>
      <c r="C33" s="110">
        <f>IF(male=0,VLOOKUP(((A31:A865/'Life tables'!$I$2)*2)+age,lifetable,13,1),IF(male=1,VLOOKUP(((A31:A865/'Life tables'!$I$2)*2)+age,lifetable,10,1),"error"))</f>
        <v>8.6010410302650442E-5</v>
      </c>
      <c r="E33" s="100"/>
      <c r="F33" s="101">
        <f t="shared" si="0"/>
        <v>402.6629207563974</v>
      </c>
      <c r="G33" s="101">
        <f t="shared" si="1"/>
        <v>40.448333117042928</v>
      </c>
      <c r="H33" s="101">
        <f t="shared" si="2"/>
        <v>0.92561041055705007</v>
      </c>
      <c r="I33" s="101">
        <f t="shared" si="3"/>
        <v>0.92561041055705007</v>
      </c>
      <c r="J33" s="101">
        <f t="shared" si="4"/>
        <v>3.8271405017761342E-2</v>
      </c>
      <c r="K33" s="101">
        <f t="shared" si="5"/>
        <v>7.2557785853248083E-2</v>
      </c>
      <c r="L33" s="101">
        <f t="shared" si="12"/>
        <v>360.25253762736935</v>
      </c>
      <c r="M33" s="101">
        <f t="shared" si="6"/>
        <v>591.79495056140661</v>
      </c>
      <c r="N33" s="101">
        <f t="shared" si="7"/>
        <v>56.991135938270553</v>
      </c>
      <c r="O33" s="101">
        <f t="shared" si="8"/>
        <v>1.3603725074207242</v>
      </c>
      <c r="P33" s="101">
        <f t="shared" si="9"/>
        <v>1.3603725074207242</v>
      </c>
      <c r="Q33" s="101">
        <f t="shared" si="10"/>
        <v>5.6036369893543485E-2</v>
      </c>
      <c r="R33" s="101">
        <f t="shared" si="11"/>
        <v>1.5849505986394837E-2</v>
      </c>
      <c r="S33" s="101">
        <f t="shared" si="13"/>
        <v>532.01118373241468</v>
      </c>
      <c r="T33" s="101">
        <f t="shared" si="14"/>
        <v>2.3923743424520039</v>
      </c>
      <c r="U33" s="101">
        <f t="shared" si="15"/>
        <v>3.3324694064952696</v>
      </c>
      <c r="V33" s="33">
        <f t="shared" si="16"/>
        <v>1000.0000000000003</v>
      </c>
      <c r="W33" s="105">
        <f>IF(A33=1,((cPH1_+cPHr+(cNES*L33+(cNES+cOSEX)*G33+(cNES+cEREX)*H33+(cNES+cHOEX)*I33 + (cNES+cNES)*S33 +(cNES+ cOSEX)*N33 + (cNES+cEREX)*O33 + (cNES+cHOEX)*P33)))/(1+cDR)^A$5:A$65536,(cPHr+(cNES*L33+(cNES+cOSEX)*G33+(cNES+cEREX)*H33+(cNES+cHOEX)*I33 + (cNES+cNES)*S33 +(cNES+ cOSEX)*N33 + (cNES+cEREX)*O33 + (cNES+cHOEX)*P33))/(1+cDR)^A$5:A$65536)</f>
        <v>169585.01317474156</v>
      </c>
      <c r="X33" s="112">
        <f t="shared" si="17"/>
        <v>994.27515625105298</v>
      </c>
      <c r="Y33" s="32">
        <f>(uNES*L33+ uOCEX*G33+uEREX*'PH + UC'!H33+uHOEX*I33+uNES*S33+ uOCEX*N33+uEREX*O33+uHOEX*P33)/(1+oDR)^A$5:A$65536</f>
        <v>649.36881175225108</v>
      </c>
      <c r="Z33" s="30"/>
      <c r="AA33" s="30"/>
    </row>
    <row r="34" spans="1:27" x14ac:dyDescent="0.25">
      <c r="A34" s="4">
        <v>28</v>
      </c>
      <c r="C34" s="110">
        <f>IF(male=0,VLOOKUP(((A32:A866/'Life tables'!$I$2)*2)+age,lifetable,13,1),IF(male=1,VLOOKUP(((A32:A866/'Life tables'!$I$2)*2)+age,lifetable,10,1),"error"))</f>
        <v>8.6010410302650442E-5</v>
      </c>
      <c r="E34" s="100"/>
      <c r="F34" s="101">
        <f t="shared" si="0"/>
        <v>391.70343167177435</v>
      </c>
      <c r="G34" s="101">
        <f t="shared" si="1"/>
        <v>39.347429501545612</v>
      </c>
      <c r="H34" s="101">
        <f t="shared" si="2"/>
        <v>0.90041758383226078</v>
      </c>
      <c r="I34" s="101">
        <f t="shared" si="3"/>
        <v>0.90041758383226078</v>
      </c>
      <c r="J34" s="101">
        <f t="shared" si="4"/>
        <v>3.7229752002486335E-2</v>
      </c>
      <c r="K34" s="101">
        <f t="shared" si="5"/>
        <v>7.0582942327627893E-2</v>
      </c>
      <c r="L34" s="101">
        <f t="shared" si="12"/>
        <v>350.44735430823414</v>
      </c>
      <c r="M34" s="101">
        <f t="shared" si="6"/>
        <v>602.57172457927868</v>
      </c>
      <c r="N34" s="101">
        <f t="shared" si="7"/>
        <v>58.028962625446454</v>
      </c>
      <c r="O34" s="101">
        <f t="shared" si="8"/>
        <v>1.3851453228675128</v>
      </c>
      <c r="P34" s="101">
        <f t="shared" si="9"/>
        <v>1.3851453228675128</v>
      </c>
      <c r="Q34" s="101">
        <f t="shared" si="10"/>
        <v>5.7056809987788518E-2</v>
      </c>
      <c r="R34" s="101">
        <f t="shared" si="11"/>
        <v>1.6138130524587079E-2</v>
      </c>
      <c r="S34" s="101">
        <f t="shared" si="13"/>
        <v>541.69927636758484</v>
      </c>
      <c r="T34" s="101">
        <f t="shared" si="14"/>
        <v>2.4866609044422789</v>
      </c>
      <c r="U34" s="101">
        <f t="shared" si="15"/>
        <v>3.4191904793474848</v>
      </c>
      <c r="V34" s="33">
        <f t="shared" si="16"/>
        <v>1000.0000000000002</v>
      </c>
      <c r="W34" s="105">
        <f>IF(A34=1,((cPH1_+cPHr+(cNES*L34+(cNES+cOSEX)*G34+(cNES+cEREX)*H34+(cNES+cHOEX)*I34 + (cNES+cNES)*S34 +(cNES+ cOSEX)*N34 + (cNES+cEREX)*O34 + (cNES+cHOEX)*P34)))/(1+cDR)^A$5:A$65536,(cPHr+(cNES*L34+(cNES+cOSEX)*G34+(cNES+cEREX)*H34+(cNES+cHOEX)*I34 + (cNES+cNES)*S34 +(cNES+ cOSEX)*N34 + (cNES+cEREX)*O34 + (cNES+cHOEX)*P34))/(1+cDR)^A$5:A$65536)</f>
        <v>170229.80328448562</v>
      </c>
      <c r="X34" s="112">
        <f t="shared" si="17"/>
        <v>994.09414861621065</v>
      </c>
      <c r="Y34" s="32">
        <f>(uNES*L34+ uOCEX*G34+uEREX*'PH + UC'!H34+uHOEX*I34+uNES*S34+ uOCEX*N34+uEREX*O34+uHOEX*P34)/(1+oDR)^A$5:A$65536</f>
        <v>649.06824207838008</v>
      </c>
      <c r="Z34" s="30"/>
      <c r="AA34" s="30"/>
    </row>
    <row r="35" spans="1:27" x14ac:dyDescent="0.25">
      <c r="A35" s="4">
        <v>29</v>
      </c>
      <c r="C35" s="110">
        <f>IF(male=0,VLOOKUP(((A33:A867/'Life tables'!$I$2)*2)+age,lifetable,13,1),IF(male=1,VLOOKUP(((A33:A867/'Life tables'!$I$2)*2)+age,lifetable,10,1),"error"))</f>
        <v>8.6010410302650442E-5</v>
      </c>
      <c r="E35" s="100"/>
      <c r="F35" s="101">
        <f t="shared" si="0"/>
        <v>381.23366112790126</v>
      </c>
      <c r="G35" s="101">
        <f t="shared" si="1"/>
        <v>38.295719138391057</v>
      </c>
      <c r="H35" s="101">
        <f t="shared" si="2"/>
        <v>0.87635048425093309</v>
      </c>
      <c r="I35" s="101">
        <f t="shared" si="3"/>
        <v>0.87635048425093309</v>
      </c>
      <c r="J35" s="101">
        <f t="shared" si="4"/>
        <v>3.6234644660159153E-2</v>
      </c>
      <c r="K35" s="101">
        <f t="shared" si="5"/>
        <v>6.8696343562516943E-2</v>
      </c>
      <c r="L35" s="101">
        <f t="shared" si="12"/>
        <v>341.08031003278563</v>
      </c>
      <c r="M35" s="101">
        <f t="shared" si="6"/>
        <v>612.86048748830933</v>
      </c>
      <c r="N35" s="101">
        <f t="shared" si="7"/>
        <v>59.019792785502638</v>
      </c>
      <c r="O35" s="101">
        <f t="shared" si="8"/>
        <v>1.4087963360833868</v>
      </c>
      <c r="P35" s="101">
        <f t="shared" si="9"/>
        <v>1.4087963360833868</v>
      </c>
      <c r="Q35" s="101">
        <f t="shared" si="10"/>
        <v>5.8031040882409145E-2</v>
      </c>
      <c r="R35" s="101">
        <f t="shared" si="11"/>
        <v>1.6413685105045362E-2</v>
      </c>
      <c r="S35" s="101">
        <f t="shared" si="13"/>
        <v>550.94865730465244</v>
      </c>
      <c r="T35" s="101">
        <f t="shared" si="14"/>
        <v>2.580926589984847</v>
      </c>
      <c r="U35" s="101">
        <f t="shared" si="15"/>
        <v>3.5043005080150471</v>
      </c>
      <c r="V35" s="33">
        <f t="shared" si="16"/>
        <v>1000.0000000000005</v>
      </c>
      <c r="W35" s="105">
        <f>IF(A35=1,((cPH1_+cPHr+(cNES*L35+(cNES+cOSEX)*G35+(cNES+cEREX)*H35+(cNES+cHOEX)*I35 + (cNES+cNES)*S35 +(cNES+ cOSEX)*N35 + (cNES+cEREX)*O35 + (cNES+cHOEX)*P35)))/(1+cDR)^A$5:A$65536,(cPHr+(cNES*L35+(cNES+cOSEX)*G35+(cNES+cEREX)*H35+(cNES+cHOEX)*I35 + (cNES+cNES)*S35 +(cNES+ cOSEX)*N35 + (cNES+cEREX)*O35 + (cNES+cHOEX)*P35))/(1+cDR)^A$5:A$65536)</f>
        <v>170834.10121930327</v>
      </c>
      <c r="X35" s="112">
        <f t="shared" si="17"/>
        <v>993.91477290200044</v>
      </c>
      <c r="Y35" s="32">
        <f>(uNES*L35+ uOCEX*G35+uEREX*'PH + UC'!H35+uHOEX*I35+uNES*S35+ uOCEX*N35+uEREX*O35+uHOEX*P35)/(1+oDR)^A$5:A$65536</f>
        <v>648.76866076021122</v>
      </c>
      <c r="Z35" s="30"/>
      <c r="AA35" s="30"/>
    </row>
    <row r="36" spans="1:27" x14ac:dyDescent="0.25">
      <c r="A36" s="4">
        <v>30</v>
      </c>
      <c r="C36" s="110">
        <f>IF(male=0,VLOOKUP(((A34:A868/'Life tables'!$I$2)*2)+age,lifetable,13,1),IF(male=1,VLOOKUP(((A34:A868/'Life tables'!$I$2)*2)+age,lifetable,10,1),"error"))</f>
        <v>8.6010410302650442E-5</v>
      </c>
      <c r="E36" s="100"/>
      <c r="F36" s="101">
        <f t="shared" si="0"/>
        <v>371.23168035218538</v>
      </c>
      <c r="G36" s="101">
        <f t="shared" si="1"/>
        <v>37.290999236477944</v>
      </c>
      <c r="H36" s="101">
        <f t="shared" si="2"/>
        <v>0.85335870364495336</v>
      </c>
      <c r="I36" s="101">
        <f t="shared" si="3"/>
        <v>0.85335870364495336</v>
      </c>
      <c r="J36" s="101">
        <f t="shared" si="4"/>
        <v>3.5283998753830807E-2</v>
      </c>
      <c r="K36" s="101">
        <f t="shared" si="5"/>
        <v>6.6894038105959286E-2</v>
      </c>
      <c r="L36" s="101">
        <f t="shared" si="12"/>
        <v>332.13178567155774</v>
      </c>
      <c r="M36" s="101">
        <f t="shared" si="6"/>
        <v>622.683092549815</v>
      </c>
      <c r="N36" s="101">
        <f t="shared" si="7"/>
        <v>59.965730934851763</v>
      </c>
      <c r="O36" s="101">
        <f t="shared" si="8"/>
        <v>1.4313757816569723</v>
      </c>
      <c r="P36" s="101">
        <f t="shared" si="9"/>
        <v>1.4313757816569723</v>
      </c>
      <c r="Q36" s="101">
        <f t="shared" si="10"/>
        <v>5.8961131837092971E-2</v>
      </c>
      <c r="R36" s="101">
        <f t="shared" si="11"/>
        <v>1.6676755003794307E-2</v>
      </c>
      <c r="S36" s="101">
        <f t="shared" si="13"/>
        <v>559.77897216480835</v>
      </c>
      <c r="T36" s="101">
        <f t="shared" si="14"/>
        <v>2.6751717205757708</v>
      </c>
      <c r="U36" s="101">
        <f t="shared" si="15"/>
        <v>3.5878713011248009</v>
      </c>
      <c r="V36" s="33">
        <f t="shared" si="16"/>
        <v>1000.0000000000002</v>
      </c>
      <c r="W36" s="105">
        <f>IF(A36=1,((cPH1_+cPHr+(cNES*L36+(cNES+cOSEX)*G36+(cNES+cEREX)*H36+(cNES+cHOEX)*I36 + (cNES+cNES)*S36 +(cNES+ cOSEX)*N36 + (cNES+cEREX)*O36 + (cNES+cHOEX)*P36)))/(1+cDR)^A$5:A$65536,(cPHr+(cNES*L36+(cNES+cOSEX)*G36+(cNES+cEREX)*H36+(cNES+cHOEX)*I36 + (cNES+cNES)*S36 +(cNES+ cOSEX)*N36 + (cNES+cEREX)*O36 + (cNES+cHOEX)*P36))/(1+cDR)^A$5:A$65536)</f>
        <v>171399.77875142594</v>
      </c>
      <c r="X36" s="112">
        <f t="shared" si="17"/>
        <v>993.73695697829976</v>
      </c>
      <c r="Y36" s="32">
        <f>(uNES*L36+ uOCEX*G36+uEREX*'PH + UC'!H36+uHOEX*I36+uNES*S36+ uOCEX*N36+uEREX*O36+uHOEX*P36)/(1+oDR)^A$5:A$65536</f>
        <v>648.47002871133043</v>
      </c>
      <c r="Z36" s="30"/>
      <c r="AA36" s="30"/>
    </row>
    <row r="37" spans="1:27" x14ac:dyDescent="0.25">
      <c r="A37" s="4">
        <v>31</v>
      </c>
      <c r="C37" s="110">
        <f>IF(male=0,VLOOKUP(((A35:A869/'Life tables'!$I$2)*2)+age,lifetable,13,1),IF(male=1,VLOOKUP(((A35:A869/'Life tables'!$I$2)*2)+age,lifetable,10,1),"error"))</f>
        <v>8.6010410302650442E-5</v>
      </c>
      <c r="E37" s="100"/>
      <c r="F37" s="101">
        <f t="shared" si="0"/>
        <v>361.67654251231517</v>
      </c>
      <c r="G37" s="101">
        <f t="shared" si="1"/>
        <v>36.331165642661269</v>
      </c>
      <c r="H37" s="101">
        <f t="shared" si="2"/>
        <v>0.831394091054657</v>
      </c>
      <c r="I37" s="101">
        <f t="shared" si="3"/>
        <v>0.831394091054657</v>
      </c>
      <c r="J37" s="101">
        <f t="shared" si="4"/>
        <v>3.4375823375816697E-2</v>
      </c>
      <c r="K37" s="101">
        <f t="shared" si="5"/>
        <v>6.5172251446583715E-2</v>
      </c>
      <c r="L37" s="101">
        <f t="shared" si="12"/>
        <v>323.58304061272219</v>
      </c>
      <c r="M37" s="101">
        <f t="shared" si="6"/>
        <v>632.06041446598442</v>
      </c>
      <c r="N37" s="101">
        <f t="shared" si="7"/>
        <v>60.868787352542306</v>
      </c>
      <c r="O37" s="101">
        <f t="shared" si="8"/>
        <v>1.4529316447407805</v>
      </c>
      <c r="P37" s="101">
        <f t="shared" si="9"/>
        <v>1.4529316447407805</v>
      </c>
      <c r="Q37" s="101">
        <f t="shared" si="10"/>
        <v>5.9849059452911274E-2</v>
      </c>
      <c r="R37" s="101">
        <f t="shared" si="11"/>
        <v>1.6927899288999317E-2</v>
      </c>
      <c r="S37" s="101">
        <f t="shared" si="13"/>
        <v>568.20898686521866</v>
      </c>
      <c r="T37" s="101">
        <f t="shared" si="14"/>
        <v>2.7693966034044988</v>
      </c>
      <c r="U37" s="101">
        <f t="shared" si="15"/>
        <v>3.6699714518603841</v>
      </c>
      <c r="V37" s="33">
        <f t="shared" si="16"/>
        <v>1000.0000000000002</v>
      </c>
      <c r="W37" s="105">
        <f>IF(A37=1,((cPH1_+cPHr+(cNES*L37+(cNES+cOSEX)*G37+(cNES+cEREX)*H37+(cNES+cHOEX)*I37 + (cNES+cNES)*S37 +(cNES+ cOSEX)*N37 + (cNES+cEREX)*O37 + (cNES+cHOEX)*P37)))/(1+cDR)^A$5:A$65536,(cPHr+(cNES*L37+(cNES+cOSEX)*G37+(cNES+cEREX)*H37+(cNES+cHOEX)*I37 + (cNES+cNES)*S37 +(cNES+ cOSEX)*N37 + (cNES+cEREX)*O37 + (cNES+cHOEX)*P37))/(1+cDR)^A$5:A$65536)</f>
        <v>171928.62176438412</v>
      </c>
      <c r="X37" s="112">
        <f t="shared" si="17"/>
        <v>993.56063194473541</v>
      </c>
      <c r="Y37" s="32">
        <f>(uNES*L37+ uOCEX*G37+uEREX*'PH + UC'!H37+uHOEX*I37+uNES*S37+ uOCEX*N37+uEREX*O37+uHOEX*P37)/(1+oDR)^A$5:A$65536</f>
        <v>648.17230860393727</v>
      </c>
      <c r="Z37" s="30"/>
      <c r="AA37" s="30"/>
    </row>
    <row r="38" spans="1:27" x14ac:dyDescent="0.25">
      <c r="A38" s="4">
        <v>32</v>
      </c>
      <c r="C38" s="110">
        <f>IF(male=0,VLOOKUP(((A36:A870/'Life tables'!$I$2)*2)+age,lifetable,13,1),IF(male=1,VLOOKUP(((A36:A870/'Life tables'!$I$2)*2)+age,lifetable,10,1),"error"))</f>
        <v>8.6010410302650442E-5</v>
      </c>
      <c r="E38" s="100"/>
      <c r="F38" s="101">
        <f t="shared" si="0"/>
        <v>352.54823874632331</v>
      </c>
      <c r="G38" s="101">
        <f t="shared" si="1"/>
        <v>35.414208424880172</v>
      </c>
      <c r="H38" s="101">
        <f t="shared" si="2"/>
        <v>0.81041065165413462</v>
      </c>
      <c r="I38" s="101">
        <f t="shared" si="3"/>
        <v>0.81041065165413462</v>
      </c>
      <c r="J38" s="101">
        <f t="shared" si="4"/>
        <v>3.3508216768540378E-2</v>
      </c>
      <c r="K38" s="101">
        <f t="shared" si="5"/>
        <v>6.3527378090447367E-2</v>
      </c>
      <c r="L38" s="101">
        <f t="shared" si="12"/>
        <v>315.41617342327589</v>
      </c>
      <c r="M38" s="101">
        <f t="shared" si="6"/>
        <v>641.01239319841204</v>
      </c>
      <c r="N38" s="101">
        <f t="shared" si="7"/>
        <v>61.730882300078278</v>
      </c>
      <c r="O38" s="101">
        <f t="shared" si="8"/>
        <v>1.4735097617778672</v>
      </c>
      <c r="P38" s="101">
        <f t="shared" si="9"/>
        <v>1.4735097617778672</v>
      </c>
      <c r="Q38" s="101">
        <f t="shared" si="10"/>
        <v>6.0696711821444621E-2</v>
      </c>
      <c r="R38" s="101">
        <f t="shared" si="11"/>
        <v>1.7167651994518505E-2</v>
      </c>
      <c r="S38" s="101">
        <f t="shared" si="13"/>
        <v>576.25662701096212</v>
      </c>
      <c r="T38" s="101">
        <f t="shared" si="14"/>
        <v>2.8636015319944836</v>
      </c>
      <c r="U38" s="101">
        <f t="shared" si="15"/>
        <v>3.7506664819453501</v>
      </c>
      <c r="V38" s="33">
        <f t="shared" si="16"/>
        <v>1000.0000000000003</v>
      </c>
      <c r="W38" s="105">
        <f>IF(A38=1,((cPH1_+cPHr+(cNES*L38+(cNES+cOSEX)*G38+(cNES+cEREX)*H38+(cNES+cHOEX)*I38 + (cNES+cNES)*S38 +(cNES+ cOSEX)*N38 + (cNES+cEREX)*O38 + (cNES+cHOEX)*P38)))/(1+cDR)^A$5:A$65536,(cPHr+(cNES*L38+(cNES+cOSEX)*G38+(cNES+cEREX)*H38+(cNES+cHOEX)*I38 + (cNES+cNES)*S38 +(cNES+ cOSEX)*N38 + (cNES+cEREX)*O38 + (cNES+cHOEX)*P38))/(1+cDR)^A$5:A$65536)</f>
        <v>172422.33419330663</v>
      </c>
      <c r="X38" s="112">
        <f t="shared" si="17"/>
        <v>993.38573198606048</v>
      </c>
      <c r="Y38" s="32">
        <f>(uNES*L38+ uOCEX*G38+uEREX*'PH + UC'!H38+uHOEX*I38+uNES*S38+ uOCEX*N38+uEREX*O38+uHOEX*P38)/(1+oDR)^A$5:A$65536</f>
        <v>647.87546478961474</v>
      </c>
      <c r="Z38" s="30"/>
      <c r="AA38" s="30"/>
    </row>
    <row r="39" spans="1:27" x14ac:dyDescent="0.25">
      <c r="A39" s="4">
        <v>33</v>
      </c>
      <c r="C39" s="110">
        <f>IF(male=0,VLOOKUP(((A37:A871/'Life tables'!$I$2)*2)+age,lifetable,13,1),IF(male=1,VLOOKUP(((A37:A871/'Life tables'!$I$2)*2)+age,lifetable,10,1),"error"))</f>
        <v>8.6010410302650442E-5</v>
      </c>
      <c r="E39" s="100"/>
      <c r="F39" s="101">
        <f t="shared" si="0"/>
        <v>343.82765616156394</v>
      </c>
      <c r="G39" s="101">
        <f t="shared" si="1"/>
        <v>34.538207653067303</v>
      </c>
      <c r="H39" s="101">
        <f t="shared" si="2"/>
        <v>0.79036445020252621</v>
      </c>
      <c r="I39" s="101">
        <f t="shared" si="3"/>
        <v>0.79036445020252621</v>
      </c>
      <c r="J39" s="101">
        <f t="shared" si="4"/>
        <v>3.267936233251429E-2</v>
      </c>
      <c r="K39" s="101">
        <f t="shared" si="5"/>
        <v>6.1955973992667696E-2</v>
      </c>
      <c r="L39" s="101">
        <f t="shared" si="12"/>
        <v>307.61408427176639</v>
      </c>
      <c r="M39" s="101">
        <f t="shared" si="6"/>
        <v>649.55807582449665</v>
      </c>
      <c r="N39" s="101">
        <f t="shared" si="7"/>
        <v>62.553850052281106</v>
      </c>
      <c r="O39" s="101">
        <f t="shared" si="8"/>
        <v>1.4931539167180878</v>
      </c>
      <c r="P39" s="101">
        <f t="shared" si="9"/>
        <v>1.4931539167180878</v>
      </c>
      <c r="Q39" s="101">
        <f t="shared" si="10"/>
        <v>6.1505892488116123E-2</v>
      </c>
      <c r="R39" s="101">
        <f t="shared" si="11"/>
        <v>1.7396523240904554E-2</v>
      </c>
      <c r="S39" s="101">
        <f t="shared" si="13"/>
        <v>583.93901552305033</v>
      </c>
      <c r="T39" s="101">
        <f t="shared" si="14"/>
        <v>2.957786786815114</v>
      </c>
      <c r="U39" s="101">
        <f t="shared" si="15"/>
        <v>3.8300189791789223</v>
      </c>
      <c r="V39" s="33">
        <f t="shared" si="16"/>
        <v>1000.0000000000003</v>
      </c>
      <c r="W39" s="105">
        <f>IF(A39=1,((cPH1_+cPHr+(cNES*L39+(cNES+cOSEX)*G39+(cNES+cEREX)*H39+(cNES+cHOEX)*I39 + (cNES+cNES)*S39 +(cNES+ cOSEX)*N39 + (cNES+cEREX)*O39 + (cNES+cHOEX)*P39)))/(1+cDR)^A$5:A$65536,(cPHr+(cNES*L39+(cNES+cOSEX)*G39+(cNES+cEREX)*H39+(cNES+cHOEX)*I39 + (cNES+cNES)*S39 +(cNES+ cOSEX)*N39 + (cNES+cEREX)*O39 + (cNES+cHOEX)*P39))/(1+cDR)^A$5:A$65536)</f>
        <v>172882.54178445094</v>
      </c>
      <c r="X39" s="112">
        <f t="shared" si="17"/>
        <v>993.21219423400635</v>
      </c>
      <c r="Y39" s="32">
        <f>(uNES*L39+ uOCEX*G39+uEREX*'PH + UC'!H39+uHOEX*I39+uNES*S39+ uOCEX*N39+uEREX*O39+uHOEX*P39)/(1+oDR)^A$5:A$65536</f>
        <v>647.57946322366865</v>
      </c>
      <c r="Z39" s="30"/>
      <c r="AA39" s="30"/>
    </row>
    <row r="40" spans="1:27" x14ac:dyDescent="0.25">
      <c r="A40" s="4">
        <v>34</v>
      </c>
      <c r="C40" s="110">
        <f>IF(male=0,VLOOKUP(((A38:A872/'Life tables'!$I$2)*2)+age,lifetable,13,1),IF(male=1,VLOOKUP(((A38:A872/'Life tables'!$I$2)*2)+age,lifetable,10,1),"error"))</f>
        <v>8.6010410302650442E-5</v>
      </c>
      <c r="E40" s="100"/>
      <c r="F40" s="101">
        <f t="shared" si="0"/>
        <v>335.49653771443758</v>
      </c>
      <c r="G40" s="101">
        <f t="shared" si="1"/>
        <v>33.701329368983195</v>
      </c>
      <c r="H40" s="101">
        <f t="shared" si="2"/>
        <v>0.77121351881863243</v>
      </c>
      <c r="I40" s="101">
        <f t="shared" si="3"/>
        <v>0.77121351881863243</v>
      </c>
      <c r="J40" s="101">
        <f t="shared" si="4"/>
        <v>3.1887524813077495E-2</v>
      </c>
      <c r="K40" s="101">
        <f t="shared" si="5"/>
        <v>6.045474932795529E-2</v>
      </c>
      <c r="L40" s="101">
        <f t="shared" si="12"/>
        <v>300.16043903367608</v>
      </c>
      <c r="M40" s="101">
        <f t="shared" si="6"/>
        <v>657.71565651956882</v>
      </c>
      <c r="N40" s="101">
        <f t="shared" si="7"/>
        <v>63.339442747655127</v>
      </c>
      <c r="O40" s="101">
        <f t="shared" si="8"/>
        <v>1.5119059329259223</v>
      </c>
      <c r="P40" s="101">
        <f t="shared" si="9"/>
        <v>1.5119059329259223</v>
      </c>
      <c r="Q40" s="101">
        <f t="shared" si="10"/>
        <v>6.227832423805222E-2</v>
      </c>
      <c r="R40" s="101">
        <f t="shared" si="11"/>
        <v>1.7615000306209671E-2</v>
      </c>
      <c r="S40" s="101">
        <f t="shared" si="13"/>
        <v>591.27250858151763</v>
      </c>
      <c r="T40" s="101">
        <f t="shared" si="14"/>
        <v>3.0519526358662437</v>
      </c>
      <c r="U40" s="101">
        <f t="shared" si="15"/>
        <v>3.9080887288130874</v>
      </c>
      <c r="V40" s="33">
        <f t="shared" si="16"/>
        <v>1000.0000000000006</v>
      </c>
      <c r="W40" s="105">
        <f>IF(A40=1,((cPH1_+cPHr+(cNES*L40+(cNES+cOSEX)*G40+(cNES+cEREX)*H40+(cNES+cHOEX)*I40 + (cNES+cNES)*S40 +(cNES+ cOSEX)*N40 + (cNES+cEREX)*O40 + (cNES+cHOEX)*P40)))/(1+cDR)^A$5:A$65536,(cPHr+(cNES*L40+(cNES+cOSEX)*G40+(cNES+cEREX)*H40+(cNES+cHOEX)*I40 + (cNES+cNES)*S40 +(cNES+ cOSEX)*N40 + (cNES+cEREX)*O40 + (cNES+cHOEX)*P40))/(1+cDR)^A$5:A$65536)</f>
        <v>173310.79568226112</v>
      </c>
      <c r="X40" s="112">
        <f t="shared" si="17"/>
        <v>993.03995863532111</v>
      </c>
      <c r="Y40" s="32">
        <f>(uNES*L40+ uOCEX*G40+uEREX*'PH + UC'!H40+uHOEX*I40+uNES*S40+ uOCEX*N40+uEREX*O40+uHOEX*P40)/(1+oDR)^A$5:A$65536</f>
        <v>647.28427139287567</v>
      </c>
      <c r="Z40" s="30"/>
      <c r="AA40" s="30"/>
    </row>
    <row r="41" spans="1:27" x14ac:dyDescent="0.25">
      <c r="A41" s="4">
        <v>35</v>
      </c>
      <c r="C41" s="110">
        <f>IF(male=0,VLOOKUP(((A39:A873/'Life tables'!$I$2)*2)+age,lifetable,13,1),IF(male=1,VLOOKUP(((A39:A873/'Life tables'!$I$2)*2)+age,lifetable,10,1),"error"))</f>
        <v>8.6010410302650442E-5</v>
      </c>
      <c r="E41" s="100"/>
      <c r="F41" s="101">
        <f t="shared" si="0"/>
        <v>327.53744388664717</v>
      </c>
      <c r="G41" s="101">
        <f t="shared" si="1"/>
        <v>32.901821736516013</v>
      </c>
      <c r="H41" s="101">
        <f t="shared" si="2"/>
        <v>0.75291776888525319</v>
      </c>
      <c r="I41" s="101">
        <f t="shared" si="3"/>
        <v>0.75291776888525319</v>
      </c>
      <c r="J41" s="101">
        <f t="shared" si="4"/>
        <v>3.1131046657886227E-2</v>
      </c>
      <c r="K41" s="101">
        <f t="shared" si="5"/>
        <v>5.9020561584872552E-2</v>
      </c>
      <c r="L41" s="101">
        <f t="shared" si="12"/>
        <v>293.03963500411788</v>
      </c>
      <c r="M41" s="101">
        <f t="shared" si="6"/>
        <v>665.502514748674</v>
      </c>
      <c r="N41" s="101">
        <f t="shared" si="7"/>
        <v>64.089334066339035</v>
      </c>
      <c r="O41" s="101">
        <f t="shared" si="8"/>
        <v>1.5298057609727964</v>
      </c>
      <c r="P41" s="101">
        <f t="shared" si="9"/>
        <v>1.5298057609727964</v>
      </c>
      <c r="Q41" s="101">
        <f t="shared" si="10"/>
        <v>6.3015652712417852E-2</v>
      </c>
      <c r="R41" s="101">
        <f t="shared" si="11"/>
        <v>1.7823548648841406E-2</v>
      </c>
      <c r="S41" s="101">
        <f t="shared" si="13"/>
        <v>598.27272995902808</v>
      </c>
      <c r="T41" s="101">
        <f t="shared" si="14"/>
        <v>3.1460993352365478</v>
      </c>
      <c r="U41" s="101">
        <f t="shared" si="15"/>
        <v>3.9849328390468015</v>
      </c>
      <c r="V41" s="33">
        <f t="shared" si="16"/>
        <v>1000.0000000000005</v>
      </c>
      <c r="W41" s="105">
        <f>IF(A41=1,((cPH1_+cPHr+(cNES*L41+(cNES+cOSEX)*G41+(cNES+cEREX)*H41+(cNES+cHOEX)*I41 + (cNES+cNES)*S41 +(cNES+ cOSEX)*N41 + (cNES+cEREX)*O41 + (cNES+cHOEX)*P41)))/(1+cDR)^A$5:A$65536,(cPHr+(cNES*L41+(cNES+cOSEX)*G41+(cNES+cEREX)*H41+(cNES+cHOEX)*I41 + (cNES+cNES)*S41 +(cNES+ cOSEX)*N41 + (cNES+cEREX)*O41 + (cNES+cHOEX)*P41))/(1+cDR)^A$5:A$65536)</f>
        <v>173708.57585186203</v>
      </c>
      <c r="X41" s="112">
        <f t="shared" si="17"/>
        <v>992.86896782571716</v>
      </c>
      <c r="Y41" s="32">
        <f>(uNES*L41+ uOCEX*G41+uEREX*'PH + UC'!H41+uHOEX*I41+uNES*S41+ uOCEX*N41+uEREX*O41+uHOEX*P41)/(1+oDR)^A$5:A$65536</f>
        <v>646.98985824648594</v>
      </c>
      <c r="Z41" s="30"/>
      <c r="AA41" s="30"/>
    </row>
    <row r="42" spans="1:27" x14ac:dyDescent="0.25">
      <c r="A42" s="4">
        <v>36</v>
      </c>
      <c r="C42" s="110">
        <f>IF(male=0,VLOOKUP(((A40:A874/'Life tables'!$I$2)*2)+age,lifetable,13,1),IF(male=1,VLOOKUP(((A40:A874/'Life tables'!$I$2)*2)+age,lifetable,10,1),"error"))</f>
        <v>8.6010410302650442E-5</v>
      </c>
      <c r="E42" s="100"/>
      <c r="F42" s="101">
        <f t="shared" si="0"/>
        <v>319.93371607753807</v>
      </c>
      <c r="G42" s="101">
        <f t="shared" si="1"/>
        <v>32.138011364365475</v>
      </c>
      <c r="H42" s="101">
        <f t="shared" si="2"/>
        <v>0.73543890689832725</v>
      </c>
      <c r="I42" s="101">
        <f t="shared" si="3"/>
        <v>0.73543890689832725</v>
      </c>
      <c r="J42" s="101">
        <f t="shared" si="4"/>
        <v>3.0408344537510755E-2</v>
      </c>
      <c r="K42" s="101">
        <f t="shared" si="5"/>
        <v>5.7650408969321693E-2</v>
      </c>
      <c r="L42" s="101">
        <f t="shared" si="12"/>
        <v>286.23676814586912</v>
      </c>
      <c r="M42" s="101">
        <f t="shared" si="6"/>
        <v>672.93525174817898</v>
      </c>
      <c r="N42" s="101">
        <f t="shared" si="7"/>
        <v>64.805122743363668</v>
      </c>
      <c r="O42" s="101">
        <f t="shared" si="8"/>
        <v>1.5468915624981785</v>
      </c>
      <c r="P42" s="101">
        <f t="shared" si="9"/>
        <v>1.5468915624981785</v>
      </c>
      <c r="Q42" s="101">
        <f t="shared" si="10"/>
        <v>6.3719449862816926E-2</v>
      </c>
      <c r="R42" s="101">
        <f t="shared" si="11"/>
        <v>1.8022612884616311E-2</v>
      </c>
      <c r="S42" s="101">
        <f t="shared" si="13"/>
        <v>604.95460381707153</v>
      </c>
      <c r="T42" s="101">
        <f t="shared" si="14"/>
        <v>3.2402271296368754</v>
      </c>
      <c r="U42" s="101">
        <f t="shared" si="15"/>
        <v>4.0606058609007398</v>
      </c>
      <c r="V42" s="33">
        <f t="shared" si="16"/>
        <v>1000.0000000000005</v>
      </c>
      <c r="W42" s="105">
        <f>IF(A42=1,((cPH1_+cPHr+(cNES*L42+(cNES+cOSEX)*G42+(cNES+cEREX)*H42+(cNES+cHOEX)*I42 + (cNES+cNES)*S42 +(cNES+ cOSEX)*N42 + (cNES+cEREX)*O42 + (cNES+cHOEX)*P42)))/(1+cDR)^A$5:A$65536,(cPHr+(cNES*L42+(cNES+cOSEX)*G42+(cNES+cEREX)*H42+(cNES+cHOEX)*I42 + (cNES+cNES)*S42 +(cNES+ cOSEX)*N42 + (cNES+cEREX)*O42 + (cNES+cHOEX)*P42))/(1+cDR)^A$5:A$65536)</f>
        <v>174077.29434454351</v>
      </c>
      <c r="X42" s="112">
        <f t="shared" si="17"/>
        <v>992.69916700946271</v>
      </c>
      <c r="Y42" s="32">
        <f>(uNES*L42+ uOCEX*G42+uEREX*'PH + UC'!H42+uHOEX*I42+uNES*S42+ uOCEX*N42+uEREX*O42+uHOEX*P42)/(1+oDR)^A$5:A$65536</f>
        <v>646.69619413033558</v>
      </c>
      <c r="Z42" s="30"/>
      <c r="AA42" s="30"/>
    </row>
    <row r="43" spans="1:27" x14ac:dyDescent="0.25">
      <c r="A43" s="4">
        <v>37</v>
      </c>
      <c r="C43" s="110">
        <f>IF(male=0,VLOOKUP(((A41:A875/'Life tables'!$I$2)*2)+age,lifetable,13,1),IF(male=1,VLOOKUP(((A41:A875/'Life tables'!$I$2)*2)+age,lifetable,10,1),"error"))</f>
        <v>8.6010410302650442E-5</v>
      </c>
      <c r="E43" s="100"/>
      <c r="F43" s="101">
        <f t="shared" si="0"/>
        <v>312.66944163567916</v>
      </c>
      <c r="G43" s="101">
        <f t="shared" si="1"/>
        <v>31.408299793391969</v>
      </c>
      <c r="H43" s="101">
        <f t="shared" si="2"/>
        <v>0.71874035408423309</v>
      </c>
      <c r="I43" s="101">
        <f t="shared" si="3"/>
        <v>0.71874035408423309</v>
      </c>
      <c r="J43" s="101">
        <f t="shared" si="4"/>
        <v>2.971790602183539E-2</v>
      </c>
      <c r="K43" s="101">
        <f t="shared" si="5"/>
        <v>5.6341424103415715E-2</v>
      </c>
      <c r="L43" s="101">
        <f t="shared" si="12"/>
        <v>279.73760180399347</v>
      </c>
      <c r="M43" s="101">
        <f t="shared" si="6"/>
        <v>680.02972537378366</v>
      </c>
      <c r="N43" s="101">
        <f t="shared" si="7"/>
        <v>65.488335924590956</v>
      </c>
      <c r="O43" s="101">
        <f t="shared" si="8"/>
        <v>1.5631997903154966</v>
      </c>
      <c r="P43" s="101">
        <f t="shared" si="9"/>
        <v>1.5631997903154966</v>
      </c>
      <c r="Q43" s="101">
        <f t="shared" si="10"/>
        <v>6.4391217251009811E-2</v>
      </c>
      <c r="R43" s="101">
        <f t="shared" si="11"/>
        <v>1.8212617720062559E-2</v>
      </c>
      <c r="S43" s="101">
        <f t="shared" si="13"/>
        <v>611.33238603359064</v>
      </c>
      <c r="T43" s="101">
        <f t="shared" si="14"/>
        <v>3.3343362529097207</v>
      </c>
      <c r="U43" s="101">
        <f t="shared" si="15"/>
        <v>4.1351599027242179</v>
      </c>
      <c r="V43" s="33">
        <f t="shared" si="16"/>
        <v>1000.0000000000003</v>
      </c>
      <c r="W43" s="105">
        <f>IF(A43=1,((cPH1_+cPHr+(cNES*L43+(cNES+cOSEX)*G43+(cNES+cEREX)*H43+(cNES+cHOEX)*I43 + (cNES+cNES)*S43 +(cNES+ cOSEX)*N43 + (cNES+cEREX)*O43 + (cNES+cHOEX)*P43)))/(1+cDR)^A$5:A$65536,(cPHr+(cNES*L43+(cNES+cOSEX)*G43+(cNES+cEREX)*H43+(cNES+cHOEX)*I43 + (cNES+cNES)*S43 +(cNES+ cOSEX)*N43 + (cNES+cEREX)*O43 + (cNES+cHOEX)*P43))/(1+cDR)^A$5:A$65536)</f>
        <v>174418.29841343348</v>
      </c>
      <c r="X43" s="112">
        <f t="shared" si="17"/>
        <v>992.53050384436642</v>
      </c>
      <c r="Y43" s="32">
        <f>(uNES*L43+ uOCEX*G43+uEREX*'PH + UC'!H43+uHOEX*I43+uNES*S43+ uOCEX*N43+uEREX*O43+uHOEX*P43)/(1+oDR)^A$5:A$65536</f>
        <v>646.40325072392602</v>
      </c>
      <c r="Z43" s="30"/>
      <c r="AA43" s="30"/>
    </row>
    <row r="44" spans="1:27" x14ac:dyDescent="0.25">
      <c r="A44" s="4">
        <v>38</v>
      </c>
      <c r="C44" s="110">
        <f>IF(male=0,VLOOKUP(((A42:A876/'Life tables'!$I$2)*2)+age,lifetable,13,1),IF(male=1,VLOOKUP(((A42:A876/'Life tables'!$I$2)*2)+age,lifetable,10,1),"error"))</f>
        <v>8.6010410302650442E-5</v>
      </c>
      <c r="E44" s="100"/>
      <c r="F44" s="101">
        <f t="shared" si="0"/>
        <v>305.72942045628201</v>
      </c>
      <c r="G44" s="101">
        <f t="shared" si="1"/>
        <v>30.711160141257437</v>
      </c>
      <c r="H44" s="101">
        <f t="shared" si="2"/>
        <v>0.70278716961651644</v>
      </c>
      <c r="I44" s="101">
        <f t="shared" si="3"/>
        <v>0.70278716961651644</v>
      </c>
      <c r="J44" s="101">
        <f t="shared" si="4"/>
        <v>2.9058286405284614E-2</v>
      </c>
      <c r="K44" s="101">
        <f t="shared" si="5"/>
        <v>5.5090868006505214E-2</v>
      </c>
      <c r="L44" s="101">
        <f t="shared" si="12"/>
        <v>273.52853682137976</v>
      </c>
      <c r="M44" s="101">
        <f t="shared" si="6"/>
        <v>686.80108338808441</v>
      </c>
      <c r="N44" s="101">
        <f t="shared" si="7"/>
        <v>66.140432372378527</v>
      </c>
      <c r="O44" s="101">
        <f t="shared" si="8"/>
        <v>1.5787652649310187</v>
      </c>
      <c r="P44" s="101">
        <f t="shared" si="9"/>
        <v>1.5787652649310187</v>
      </c>
      <c r="Q44" s="101">
        <f t="shared" si="10"/>
        <v>6.5032389200873536E-2</v>
      </c>
      <c r="R44" s="101">
        <f t="shared" si="11"/>
        <v>1.8393968843930499E-2</v>
      </c>
      <c r="S44" s="101">
        <f t="shared" si="13"/>
        <v>617.41969412779906</v>
      </c>
      <c r="T44" s="101">
        <f t="shared" si="14"/>
        <v>3.4284269285158788</v>
      </c>
      <c r="U44" s="101">
        <f t="shared" si="15"/>
        <v>4.2086447395746536</v>
      </c>
      <c r="V44" s="33">
        <f t="shared" si="16"/>
        <v>1000.0000000000005</v>
      </c>
      <c r="W44" s="105">
        <f>IF(A44=1,((cPH1_+cPHr+(cNES*L44+(cNES+cOSEX)*G44+(cNES+cEREX)*H44+(cNES+cHOEX)*I44 + (cNES+cNES)*S44 +(cNES+ cOSEX)*N44 + (cNES+cEREX)*O44 + (cNES+cHOEX)*P44)))/(1+cDR)^A$5:A$65536,(cPHr+(cNES*L44+(cNES+cOSEX)*G44+(cNES+cEREX)*H44+(cNES+cHOEX)*I44 + (cNES+cNES)*S44 +(cNES+ cOSEX)*N44 + (cNES+cEREX)*O44 + (cNES+cHOEX)*P44))/(1+cDR)^A$5:A$65536)</f>
        <v>174732.87348623606</v>
      </c>
      <c r="X44" s="112">
        <f t="shared" si="17"/>
        <v>992.36292833190987</v>
      </c>
      <c r="Y44" s="32">
        <f>(uNES*L44+ uOCEX*G44+uEREX*'PH + UC'!H44+uHOEX*I44+uNES*S44+ uOCEX*N44+uEREX*O44+uHOEX*P44)/(1+oDR)^A$5:A$65536</f>
        <v>646.11100098033967</v>
      </c>
      <c r="Z44" s="30"/>
      <c r="AA44" s="30"/>
    </row>
    <row r="45" spans="1:27" x14ac:dyDescent="0.25">
      <c r="A45" s="4">
        <v>39</v>
      </c>
      <c r="C45" s="110">
        <f>IF(male=0,VLOOKUP(((A43:A877/'Life tables'!$I$2)*2)+age,lifetable,13,1),IF(male=1,VLOOKUP(((A43:A877/'Life tables'!$I$2)*2)+age,lifetable,10,1),"error"))</f>
        <v>8.6010410302650442E-5</v>
      </c>
      <c r="E45" s="100"/>
      <c r="F45" s="101">
        <f t="shared" si="0"/>
        <v>299.09913307434113</v>
      </c>
      <c r="G45" s="101">
        <f t="shared" si="1"/>
        <v>30.045133897314511</v>
      </c>
      <c r="H45" s="101">
        <f t="shared" si="2"/>
        <v>0.6875459772708663</v>
      </c>
      <c r="I45" s="101">
        <f t="shared" si="3"/>
        <v>0.6875459772708663</v>
      </c>
      <c r="J45" s="101">
        <f t="shared" si="4"/>
        <v>2.8428105674211224E-2</v>
      </c>
      <c r="K45" s="101">
        <f t="shared" si="5"/>
        <v>5.3896124345726465E-2</v>
      </c>
      <c r="L45" s="101">
        <f t="shared" si="12"/>
        <v>267.59658299246496</v>
      </c>
      <c r="M45" s="101">
        <f t="shared" si="6"/>
        <v>693.26379525756863</v>
      </c>
      <c r="N45" s="101">
        <f t="shared" si="7"/>
        <v>66.762805527699044</v>
      </c>
      <c r="O45" s="101">
        <f t="shared" si="8"/>
        <v>1.5936212476363252</v>
      </c>
      <c r="P45" s="101">
        <f t="shared" si="9"/>
        <v>1.5936212476363252</v>
      </c>
      <c r="Q45" s="101">
        <f t="shared" si="10"/>
        <v>6.5644335809222021E-2</v>
      </c>
      <c r="R45" s="101">
        <f t="shared" si="11"/>
        <v>1.8567053778782618E-2</v>
      </c>
      <c r="S45" s="101">
        <f t="shared" si="13"/>
        <v>623.22953584500897</v>
      </c>
      <c r="T45" s="101">
        <f t="shared" si="14"/>
        <v>3.5224993699993119</v>
      </c>
      <c r="U45" s="101">
        <f t="shared" si="15"/>
        <v>4.2811079176991624</v>
      </c>
      <c r="V45" s="33">
        <f t="shared" si="16"/>
        <v>1000.0000000000003</v>
      </c>
      <c r="W45" s="105">
        <f>IF(A45=1,((cPH1_+cPHr+(cNES*L45+(cNES+cOSEX)*G45+(cNES+cEREX)*H45+(cNES+cHOEX)*I45 + (cNES+cNES)*S45 +(cNES+ cOSEX)*N45 + (cNES+cEREX)*O45 + (cNES+cHOEX)*P45)))/(1+cDR)^A$5:A$65536,(cPHr+(cNES*L45+(cNES+cOSEX)*G45+(cNES+cEREX)*H45+(cNES+cHOEX)*I45 + (cNES+cNES)*S45 +(cNES+ cOSEX)*N45 + (cNES+cEREX)*O45 + (cNES+cHOEX)*P45))/(1+cDR)^A$5:A$65536)</f>
        <v>175022.24600159033</v>
      </c>
      <c r="X45" s="112">
        <f t="shared" si="17"/>
        <v>992.19639271230187</v>
      </c>
      <c r="Y45" s="32">
        <f>(uNES*L45+ uOCEX*G45+uEREX*'PH + UC'!H45+uHOEX*I45+uNES*S45+ uOCEX*N45+uEREX*O45+uHOEX*P45)/(1+oDR)^A$5:A$65536</f>
        <v>645.81941906886163</v>
      </c>
      <c r="Z45" s="30"/>
      <c r="AA45" s="30"/>
    </row>
    <row r="46" spans="1:27" x14ac:dyDescent="0.25">
      <c r="A46" s="4">
        <v>40</v>
      </c>
      <c r="C46" s="110">
        <f>IF(male=0,VLOOKUP(((A44:A878/'Life tables'!$I$2)*2)+age,lifetable,13,1),IF(male=1,VLOOKUP(((A44:A878/'Life tables'!$I$2)*2)+age,lifetable,10,1),"error"))</f>
        <v>8.6010410302650442E-5</v>
      </c>
      <c r="E46" s="100"/>
      <c r="F46" s="101">
        <f t="shared" si="0"/>
        <v>292.76471018651989</v>
      </c>
      <c r="G46" s="101">
        <f t="shared" si="1"/>
        <v>29.408827861016174</v>
      </c>
      <c r="H46" s="101">
        <f t="shared" si="2"/>
        <v>0.67298489536438177</v>
      </c>
      <c r="I46" s="101">
        <f t="shared" si="3"/>
        <v>0.67298489536438177</v>
      </c>
      <c r="J46" s="101">
        <f t="shared" si="4"/>
        <v>2.7826045610080695E-2</v>
      </c>
      <c r="K46" s="101">
        <f t="shared" si="5"/>
        <v>5.2754693944002187E-2</v>
      </c>
      <c r="L46" s="101">
        <f t="shared" si="12"/>
        <v>261.92933179522089</v>
      </c>
      <c r="M46" s="101">
        <f t="shared" si="6"/>
        <v>699.43168252578198</v>
      </c>
      <c r="N46" s="101">
        <f t="shared" si="7"/>
        <v>67.356786435142084</v>
      </c>
      <c r="O46" s="101">
        <f t="shared" si="8"/>
        <v>1.6077995103277996</v>
      </c>
      <c r="P46" s="101">
        <f t="shared" si="9"/>
        <v>1.6077995103277996</v>
      </c>
      <c r="Q46" s="101">
        <f t="shared" si="10"/>
        <v>6.6228365821805621E-2</v>
      </c>
      <c r="R46" s="101">
        <f t="shared" si="11"/>
        <v>1.8732242694450483E-2</v>
      </c>
      <c r="S46" s="101">
        <f t="shared" si="13"/>
        <v>628.77433646146801</v>
      </c>
      <c r="T46" s="101">
        <f t="shared" si="14"/>
        <v>3.6165537814311981</v>
      </c>
      <c r="U46" s="101">
        <f t="shared" si="15"/>
        <v>4.3525948543376147</v>
      </c>
      <c r="V46" s="33">
        <f t="shared" si="16"/>
        <v>1000.0000000000005</v>
      </c>
      <c r="W46" s="105">
        <f>IF(A46=1,((cPH1_+cPHr+(cNES*L46+(cNES+cOSEX)*G46+(cNES+cEREX)*H46+(cNES+cHOEX)*I46 + (cNES+cNES)*S46 +(cNES+ cOSEX)*N46 + (cNES+cEREX)*O46 + (cNES+cHOEX)*P46)))/(1+cDR)^A$5:A$65536,(cPHr+(cNES*L46+(cNES+cOSEX)*G46+(cNES+cEREX)*H46+(cNES+cHOEX)*I46 + (cNES+cNES)*S46 +(cNES+ cOSEX)*N46 + (cNES+cEREX)*O46 + (cNES+cHOEX)*P46))/(1+cDR)^A$5:A$65536)</f>
        <v>175287.58611530688</v>
      </c>
      <c r="X46" s="112">
        <f t="shared" si="17"/>
        <v>992.03085136423158</v>
      </c>
      <c r="Y46" s="32">
        <f>(uNES*L46+ uOCEX*G46+uEREX*'PH + UC'!H46+uHOEX*I46+uNES*S46+ uOCEX*N46+uEREX*O46+uHOEX*P46)/(1+oDR)^A$5:A$65536</f>
        <v>645.52848032018585</v>
      </c>
      <c r="Z46" s="30"/>
      <c r="AA46" s="30"/>
    </row>
    <row r="47" spans="1:27" x14ac:dyDescent="0.25">
      <c r="A47" s="4">
        <v>41</v>
      </c>
      <c r="C47" s="110">
        <f>IF(male=0,VLOOKUP(((A45:A879/'Life tables'!$I$2)*2)+age,lifetable,13,1),IF(male=1,VLOOKUP(((A45:A879/'Life tables'!$I$2)*2)+age,lifetable,10,1),"error"))</f>
        <v>8.6010410302650442E-5</v>
      </c>
      <c r="E47" s="100"/>
      <c r="F47" s="101">
        <f t="shared" si="0"/>
        <v>286.71290353780427</v>
      </c>
      <c r="G47" s="101">
        <f t="shared" si="1"/>
        <v>28.800911217419198</v>
      </c>
      <c r="H47" s="101">
        <f t="shared" si="2"/>
        <v>0.65907346983206061</v>
      </c>
      <c r="I47" s="101">
        <f t="shared" si="3"/>
        <v>0.65907346983206061</v>
      </c>
      <c r="J47" s="101">
        <f t="shared" si="4"/>
        <v>2.7250847022370909E-2</v>
      </c>
      <c r="K47" s="101">
        <f t="shared" si="5"/>
        <v>5.1664189533966329E-2</v>
      </c>
      <c r="L47" s="101">
        <f t="shared" si="12"/>
        <v>256.51493034416461</v>
      </c>
      <c r="M47" s="101">
        <f t="shared" si="6"/>
        <v>705.31794782642737</v>
      </c>
      <c r="N47" s="101">
        <f t="shared" si="7"/>
        <v>67.923646536938435</v>
      </c>
      <c r="O47" s="101">
        <f t="shared" si="8"/>
        <v>1.6213304021996993</v>
      </c>
      <c r="P47" s="101">
        <f t="shared" si="9"/>
        <v>1.6213304021996993</v>
      </c>
      <c r="Q47" s="101">
        <f t="shared" si="10"/>
        <v>6.6785729380527403E-2</v>
      </c>
      <c r="R47" s="101">
        <f t="shared" si="11"/>
        <v>1.8889889185066167E-2</v>
      </c>
      <c r="S47" s="101">
        <f t="shared" si="13"/>
        <v>634.06596486652393</v>
      </c>
      <c r="T47" s="101">
        <f t="shared" si="14"/>
        <v>3.7105903578340964</v>
      </c>
      <c r="U47" s="101">
        <f t="shared" si="15"/>
        <v>4.4231489330566474</v>
      </c>
      <c r="V47" s="33">
        <f t="shared" si="16"/>
        <v>1000.0000000000005</v>
      </c>
      <c r="W47" s="105">
        <f>IF(A47=1,((cPH1_+cPHr+(cNES*L47+(cNES+cOSEX)*G47+(cNES+cEREX)*H47+(cNES+cHOEX)*I47 + (cNES+cNES)*S47 +(cNES+ cOSEX)*N47 + (cNES+cEREX)*O47 + (cNES+cHOEX)*P47)))/(1+cDR)^A$5:A$65536,(cPHr+(cNES*L47+(cNES+cOSEX)*G47+(cNES+cEREX)*H47+(cNES+cHOEX)*I47 + (cNES+cNES)*S47 +(cNES+ cOSEX)*N47 + (cNES+cEREX)*O47 + (cNES+cHOEX)*P47))/(1+cDR)^A$5:A$65536)</f>
        <v>175530.01028245146</v>
      </c>
      <c r="X47" s="112">
        <f t="shared" si="17"/>
        <v>991.86626070910961</v>
      </c>
      <c r="Y47" s="32">
        <f>(uNES*L47+ uOCEX*G47+uEREX*'PH + UC'!H47+uHOEX*I47+uNES*S47+ uOCEX*N47+uEREX*O47+uHOEX*P47)/(1+oDR)^A$5:A$65536</f>
        <v>645.23816117409285</v>
      </c>
      <c r="Z47" s="30"/>
      <c r="AA47" s="30"/>
    </row>
    <row r="48" spans="1:27" x14ac:dyDescent="0.25">
      <c r="A48" s="4">
        <v>42</v>
      </c>
      <c r="C48" s="110">
        <f>IF(male=0,VLOOKUP(((A46:A880/'Life tables'!$I$2)*2)+age,lifetable,13,1),IF(male=1,VLOOKUP(((A46:A880/'Life tables'!$I$2)*2)+age,lifetable,10,1),"error"))</f>
        <v>8.6010410302650442E-5</v>
      </c>
      <c r="E48" s="100"/>
      <c r="F48" s="101">
        <f t="shared" si="0"/>
        <v>280.93105811181249</v>
      </c>
      <c r="G48" s="101">
        <f t="shared" si="1"/>
        <v>28.220112743642542</v>
      </c>
      <c r="H48" s="101">
        <f t="shared" si="2"/>
        <v>0.64578261030003192</v>
      </c>
      <c r="I48" s="101">
        <f t="shared" si="3"/>
        <v>0.64578261030003192</v>
      </c>
      <c r="J48" s="101">
        <f t="shared" si="4"/>
        <v>2.6701307105378921E-2</v>
      </c>
      <c r="K48" s="101">
        <f t="shared" si="5"/>
        <v>5.0622330746801031E-2</v>
      </c>
      <c r="L48" s="101">
        <f t="shared" si="12"/>
        <v>251.34205650971771</v>
      </c>
      <c r="M48" s="101">
        <f t="shared" si="6"/>
        <v>710.93520259729701</v>
      </c>
      <c r="N48" s="101">
        <f t="shared" si="7"/>
        <v>68.464600341871773</v>
      </c>
      <c r="O48" s="101">
        <f t="shared" si="8"/>
        <v>1.6342429134508003</v>
      </c>
      <c r="P48" s="101">
        <f t="shared" si="9"/>
        <v>1.6342429134508003</v>
      </c>
      <c r="Q48" s="101">
        <f t="shared" si="10"/>
        <v>6.7317620647643017E-2</v>
      </c>
      <c r="R48" s="101">
        <f t="shared" si="11"/>
        <v>1.9040331011299295E-2</v>
      </c>
      <c r="S48" s="101">
        <f t="shared" si="13"/>
        <v>639.1157584768647</v>
      </c>
      <c r="T48" s="101">
        <f t="shared" si="14"/>
        <v>3.8046092855871185</v>
      </c>
      <c r="U48" s="101">
        <f t="shared" si="15"/>
        <v>4.4928115948147473</v>
      </c>
      <c r="V48" s="33">
        <f t="shared" si="16"/>
        <v>1000.0000000000002</v>
      </c>
      <c r="W48" s="105">
        <f>IF(A48=1,((cPH1_+cPHr+(cNES*L48+(cNES+cOSEX)*G48+(cNES+cEREX)*H48+(cNES+cHOEX)*I48 + (cNES+cNES)*S48 +(cNES+ cOSEX)*N48 + (cNES+cEREX)*O48 + (cNES+cHOEX)*P48)))/(1+cDR)^A$5:A$65536,(cPHr+(cNES*L48+(cNES+cOSEX)*G48+(cNES+cEREX)*H48+(cNES+cHOEX)*I48 + (cNES+cNES)*S48 +(cNES+ cOSEX)*N48 + (cNES+cEREX)*O48 + (cNES+cHOEX)*P48))/(1+cDR)^A$5:A$65536)</f>
        <v>175750.58372097168</v>
      </c>
      <c r="X48" s="112">
        <f t="shared" si="17"/>
        <v>991.70257911959845</v>
      </c>
      <c r="Y48" s="32">
        <f>(uNES*L48+ uOCEX*G48+uEREX*'PH + UC'!H48+uHOEX*I48+uNES*S48+ uOCEX*N48+uEREX*O48+uHOEX*P48)/(1+oDR)^A$5:A$65536</f>
        <v>644.94843912948045</v>
      </c>
      <c r="Z48" s="30"/>
      <c r="AA48" s="30"/>
    </row>
    <row r="49" spans="1:27" x14ac:dyDescent="0.25">
      <c r="A49" s="4">
        <v>43</v>
      </c>
      <c r="C49" s="110">
        <f>IF(male=0,VLOOKUP(((A47:A881/'Life tables'!$I$2)*2)+age,lifetable,13,1),IF(male=1,VLOOKUP(((A47:A881/'Life tables'!$I$2)*2)+age,lifetable,10,1),"error"))</f>
        <v>8.6010410302650442E-5</v>
      </c>
      <c r="E49" s="100"/>
      <c r="F49" s="101">
        <f t="shared" si="0"/>
        <v>275.40708556638458</v>
      </c>
      <c r="G49" s="101">
        <f t="shared" si="1"/>
        <v>27.66521814041673</v>
      </c>
      <c r="H49" s="101">
        <f t="shared" si="2"/>
        <v>0.63308452902134205</v>
      </c>
      <c r="I49" s="101">
        <f t="shared" si="3"/>
        <v>0.63308452902134205</v>
      </c>
      <c r="J49" s="101">
        <f t="shared" si="4"/>
        <v>2.617627691338624E-2</v>
      </c>
      <c r="K49" s="101">
        <f t="shared" si="5"/>
        <v>4.9626939325466614E-2</v>
      </c>
      <c r="L49" s="101">
        <f t="shared" si="12"/>
        <v>246.39989515168631</v>
      </c>
      <c r="M49" s="101">
        <f t="shared" si="6"/>
        <v>716.29549355321376</v>
      </c>
      <c r="N49" s="101">
        <f t="shared" si="7"/>
        <v>68.980807974680289</v>
      </c>
      <c r="O49" s="101">
        <f t="shared" si="8"/>
        <v>1.6465647361383504</v>
      </c>
      <c r="P49" s="101">
        <f t="shared" si="9"/>
        <v>1.6465647361383504</v>
      </c>
      <c r="Q49" s="101">
        <f t="shared" si="10"/>
        <v>6.7825180312452285E-2</v>
      </c>
      <c r="R49" s="101">
        <f t="shared" si="11"/>
        <v>1.9183890809357774E-2</v>
      </c>
      <c r="S49" s="101">
        <f t="shared" si="13"/>
        <v>643.93454703513498</v>
      </c>
      <c r="T49" s="101">
        <f t="shared" si="14"/>
        <v>3.8986107428129571</v>
      </c>
      <c r="U49" s="101">
        <f t="shared" si="15"/>
        <v>4.5616224249495714</v>
      </c>
      <c r="V49" s="33">
        <f t="shared" si="16"/>
        <v>1000.0000000000002</v>
      </c>
      <c r="W49" s="105">
        <f>IF(A49=1,((cPH1_+cPHr+(cNES*L49+(cNES+cOSEX)*G49+(cNES+cEREX)*H49+(cNES+cHOEX)*I49 + (cNES+cNES)*S49 +(cNES+ cOSEX)*N49 + (cNES+cEREX)*O49 + (cNES+cHOEX)*P49)))/(1+cDR)^A$5:A$65536,(cPHr+(cNES*L49+(cNES+cOSEX)*G49+(cNES+cEREX)*H49+(cNES+cHOEX)*I49 + (cNES+cNES)*S49 +(cNES+ cOSEX)*N49 + (cNES+cEREX)*O49 + (cNES+cHOEX)*P49))/(1+cDR)^A$5:A$65536)</f>
        <v>175950.32276230128</v>
      </c>
      <c r="X49" s="112">
        <f t="shared" si="17"/>
        <v>991.53976683223777</v>
      </c>
      <c r="Y49" s="32">
        <f>(uNES*L49+ uOCEX*G49+uEREX*'PH + UC'!H49+uHOEX*I49+uNES*S49+ uOCEX*N49+uEREX*O49+uHOEX*P49)/(1+oDR)^A$5:A$65536</f>
        <v>644.65929269664923</v>
      </c>
      <c r="Z49" s="30"/>
      <c r="AA49" s="30"/>
    </row>
    <row r="50" spans="1:27" x14ac:dyDescent="0.25">
      <c r="A50" s="4">
        <v>44</v>
      </c>
      <c r="C50" s="110">
        <f>IF(male=0,VLOOKUP(((A48:A882/'Life tables'!$I$2)*2)+age,lifetable,13,1),IF(male=1,VLOOKUP(((A48:A882/'Life tables'!$I$2)*2)+age,lifetable,10,1),"error"))</f>
        <v>8.6010410302650442E-5</v>
      </c>
      <c r="E50" s="100"/>
      <c r="F50" s="101">
        <f t="shared" si="0"/>
        <v>270.12943885868879</v>
      </c>
      <c r="G50" s="101">
        <f t="shared" si="1"/>
        <v>27.135067483122683</v>
      </c>
      <c r="H50" s="101">
        <f t="shared" si="2"/>
        <v>0.62095268254610947</v>
      </c>
      <c r="I50" s="101">
        <f t="shared" si="3"/>
        <v>0.62095268254610947</v>
      </c>
      <c r="J50" s="101">
        <f t="shared" si="4"/>
        <v>2.5674658948882684E-2</v>
      </c>
      <c r="K50" s="101">
        <f t="shared" si="5"/>
        <v>4.8675934552276291E-2</v>
      </c>
      <c r="L50" s="101">
        <f t="shared" si="12"/>
        <v>241.67811541697273</v>
      </c>
      <c r="M50" s="101">
        <f t="shared" si="6"/>
        <v>721.41032797354876</v>
      </c>
      <c r="N50" s="101">
        <f t="shared" si="7"/>
        <v>69.473377611299398</v>
      </c>
      <c r="O50" s="101">
        <f t="shared" si="8"/>
        <v>1.65832232230706</v>
      </c>
      <c r="P50" s="101">
        <f t="shared" si="9"/>
        <v>1.65832232230706</v>
      </c>
      <c r="Q50" s="101">
        <f t="shared" si="10"/>
        <v>6.8309497985744747E-2</v>
      </c>
      <c r="R50" s="101">
        <f t="shared" si="11"/>
        <v>1.9320876768240344E-2</v>
      </c>
      <c r="S50" s="101">
        <f t="shared" si="13"/>
        <v>648.53267534288125</v>
      </c>
      <c r="T50" s="101">
        <f t="shared" si="14"/>
        <v>3.9925948997475844</v>
      </c>
      <c r="U50" s="101">
        <f t="shared" si="15"/>
        <v>4.6296192362700879</v>
      </c>
      <c r="V50" s="33">
        <f t="shared" si="16"/>
        <v>1000</v>
      </c>
      <c r="W50" s="105">
        <f>IF(A50=1,((cPH1_+cPHr+(cNES*L50+(cNES+cOSEX)*G50+(cNES+cEREX)*H50+(cNES+cHOEX)*I50 + (cNES+cNES)*S50 +(cNES+ cOSEX)*N50 + (cNES+cEREX)*O50 + (cNES+cHOEX)*P50)))/(1+cDR)^A$5:A$65536,(cPHr+(cNES*L50+(cNES+cOSEX)*G50+(cNES+cEREX)*H50+(cNES+cHOEX)*I50 + (cNES+cNES)*S50 +(cNES+ cOSEX)*N50 + (cNES+cEREX)*O50 + (cNES+cHOEX)*P50))/(1+cDR)^A$5:A$65536)</f>
        <v>176130.19709412655</v>
      </c>
      <c r="X50" s="112">
        <f t="shared" si="17"/>
        <v>991.37778586398235</v>
      </c>
      <c r="Y50" s="32">
        <f>(uNES*L50+ uOCEX*G50+uEREX*'PH + UC'!H50+uHOEX*I50+uNES*S50+ uOCEX*N50+uEREX*O50+uHOEX*P50)/(1+oDR)^A$5:A$65536</f>
        <v>644.37070135173656</v>
      </c>
      <c r="Z50" s="30"/>
      <c r="AA50" s="30"/>
    </row>
    <row r="51" spans="1:27" x14ac:dyDescent="0.25">
      <c r="A51" s="4">
        <v>45</v>
      </c>
      <c r="C51" s="110">
        <f>IF(male=0,VLOOKUP(((A49:A883/'Life tables'!$I$2)*2)+age,lifetable,13,1),IF(male=1,VLOOKUP(((A49:A883/'Life tables'!$I$2)*2)+age,lifetable,10,1),"error"))</f>
        <v>8.6010410302650442E-5</v>
      </c>
      <c r="E51" s="100"/>
      <c r="F51" s="101">
        <f t="shared" si="0"/>
        <v>265.08708800658206</v>
      </c>
      <c r="G51" s="101">
        <f t="shared" si="1"/>
        <v>26.628552786969653</v>
      </c>
      <c r="H51" s="101">
        <f t="shared" si="2"/>
        <v>0.60936171600361333</v>
      </c>
      <c r="I51" s="101">
        <f t="shared" si="3"/>
        <v>0.60936171600361333</v>
      </c>
      <c r="J51" s="101">
        <f t="shared" si="4"/>
        <v>2.5195404858786373E-2</v>
      </c>
      <c r="K51" s="101">
        <f t="shared" si="5"/>
        <v>4.7767328881218138E-2</v>
      </c>
      <c r="L51" s="101">
        <f t="shared" si="12"/>
        <v>237.16684905386518</v>
      </c>
      <c r="M51" s="101">
        <f t="shared" si="6"/>
        <v>726.29069785740035</v>
      </c>
      <c r="N51" s="101">
        <f t="shared" si="7"/>
        <v>69.943367805057846</v>
      </c>
      <c r="O51" s="101">
        <f t="shared" si="8"/>
        <v>1.6695409395151615</v>
      </c>
      <c r="P51" s="101">
        <f t="shared" si="9"/>
        <v>1.6695409395151615</v>
      </c>
      <c r="Q51" s="101">
        <f t="shared" si="10"/>
        <v>6.8771614487025082E-2</v>
      </c>
      <c r="R51" s="101">
        <f t="shared" si="11"/>
        <v>1.9451583276662809E-2</v>
      </c>
      <c r="S51" s="101">
        <f t="shared" si="13"/>
        <v>652.92002497554847</v>
      </c>
      <c r="T51" s="101">
        <f t="shared" si="14"/>
        <v>4.0865619190933957</v>
      </c>
      <c r="U51" s="101">
        <f t="shared" si="15"/>
        <v>4.6968381484279691</v>
      </c>
      <c r="V51" s="33">
        <f t="shared" si="16"/>
        <v>1000.0000000000001</v>
      </c>
      <c r="W51" s="105">
        <f>IF(A51=1,((cPH1_+cPHr+(cNES*L51+(cNES+cOSEX)*G51+(cNES+cEREX)*H51+(cNES+cHOEX)*I51 + (cNES+cNES)*S51 +(cNES+ cOSEX)*N51 + (cNES+cEREX)*O51 + (cNES+cHOEX)*P51)))/(1+cDR)^A$5:A$65536,(cPHr+(cNES*L51+(cNES+cOSEX)*G51+(cNES+cEREX)*H51+(cNES+cHOEX)*I51 + (cNES+cNES)*S51 +(cNES+ cOSEX)*N51 + (cNES+cEREX)*O51 + (cNES+cHOEX)*P51))/(1+cDR)^A$5:A$65536)</f>
        <v>176291.13190026226</v>
      </c>
      <c r="X51" s="112">
        <f t="shared" si="17"/>
        <v>991.21659993247863</v>
      </c>
      <c r="Y51" s="32">
        <f>(uNES*L51+ uOCEX*G51+uEREX*'PH + UC'!H51+uHOEX*I51+uNES*S51+ uOCEX*N51+uEREX*O51+uHOEX*P51)/(1+oDR)^A$5:A$65536</f>
        <v>644.0826454932029</v>
      </c>
      <c r="Z51" s="30"/>
      <c r="AA51" s="30"/>
    </row>
    <row r="52" spans="1:27" x14ac:dyDescent="0.25">
      <c r="A52" s="4">
        <v>46</v>
      </c>
      <c r="C52" s="110">
        <f>IF(male=0,VLOOKUP(((A50:A884/'Life tables'!$I$2)*2)+age,lifetable,13,1),IF(male=1,VLOOKUP(((A50:A884/'Life tables'!$I$2)*2)+age,lifetable,10,1),"error"))</f>
        <v>8.6010410302650442E-5</v>
      </c>
      <c r="E52" s="100"/>
      <c r="F52" s="101">
        <f t="shared" si="0"/>
        <v>260.26949693534272</v>
      </c>
      <c r="G52" s="101">
        <f t="shared" si="1"/>
        <v>26.144615681201056</v>
      </c>
      <c r="H52" s="101">
        <f t="shared" si="2"/>
        <v>0.59828740987935125</v>
      </c>
      <c r="I52" s="101">
        <f t="shared" si="3"/>
        <v>0.59828740987935125</v>
      </c>
      <c r="J52" s="101">
        <f t="shared" si="4"/>
        <v>2.4737513233823723E-2</v>
      </c>
      <c r="K52" s="101">
        <f t="shared" si="5"/>
        <v>4.6899223765855459E-2</v>
      </c>
      <c r="L52" s="101">
        <f t="shared" si="12"/>
        <v>232.85666969738327</v>
      </c>
      <c r="M52" s="101">
        <f t="shared" si="6"/>
        <v>730.94710299713597</v>
      </c>
      <c r="N52" s="101">
        <f t="shared" si="7"/>
        <v>70.391789708709766</v>
      </c>
      <c r="O52" s="101">
        <f t="shared" si="8"/>
        <v>1.6802447238740845</v>
      </c>
      <c r="P52" s="101">
        <f t="shared" si="9"/>
        <v>1.6802447238740845</v>
      </c>
      <c r="Q52" s="101">
        <f t="shared" si="10"/>
        <v>6.9212524029319919E-2</v>
      </c>
      <c r="R52" s="101">
        <f t="shared" si="11"/>
        <v>1.95762915410157E-2</v>
      </c>
      <c r="S52" s="101">
        <f t="shared" si="13"/>
        <v>657.10603502510776</v>
      </c>
      <c r="T52" s="101">
        <f t="shared" si="14"/>
        <v>4.1805119563565389</v>
      </c>
      <c r="U52" s="101">
        <f t="shared" si="15"/>
        <v>4.7633136637348406</v>
      </c>
      <c r="V52" s="33">
        <f t="shared" si="16"/>
        <v>1000.0000000000001</v>
      </c>
      <c r="W52" s="105">
        <f>IF(A52=1,((cPH1_+cPHr+(cNES*L52+(cNES+cOSEX)*G52+(cNES+cEREX)*H52+(cNES+cHOEX)*I52 + (cNES+cNES)*S52 +(cNES+ cOSEX)*N52 + (cNES+cEREX)*O52 + (cNES+cHOEX)*P52)))/(1+cDR)^A$5:A$65536,(cPHr+(cNES*L52+(cNES+cOSEX)*G52+(cNES+cEREX)*H52+(cNES+cHOEX)*I52 + (cNES+cNES)*S52 +(cNES+ cOSEX)*N52 + (cNES+cEREX)*O52 + (cNES+cHOEX)*P52))/(1+cDR)^A$5:A$65536)</f>
        <v>176434.00990235803</v>
      </c>
      <c r="X52" s="112">
        <f t="shared" si="17"/>
        <v>991.05617437990873</v>
      </c>
      <c r="Y52" s="32">
        <f>(uNES*L52+ uOCEX*G52+uEREX*'PH + UC'!H52+uHOEX*I52+uNES*S52+ uOCEX*N52+uEREX*O52+uHOEX*P52)/(1+oDR)^A$5:A$65536</f>
        <v>643.79510640027956</v>
      </c>
      <c r="Z52" s="30"/>
      <c r="AA52" s="30"/>
    </row>
    <row r="53" spans="1:27" x14ac:dyDescent="0.25">
      <c r="A53" s="4">
        <v>47</v>
      </c>
      <c r="C53" s="110">
        <f>IF(male=0,VLOOKUP(((A51:A885/'Life tables'!$I$2)*2)+age,lifetable,13,1),IF(male=1,VLOOKUP(((A51:A885/'Life tables'!$I$2)*2)+age,lifetable,10,1),"error"))</f>
        <v>8.6010410302650442E-5</v>
      </c>
      <c r="E53" s="100"/>
      <c r="F53" s="101">
        <f t="shared" si="0"/>
        <v>255.66660136117486</v>
      </c>
      <c r="G53" s="101">
        <f t="shared" si="1"/>
        <v>25.68224518744621</v>
      </c>
      <c r="H53" s="101">
        <f t="shared" si="2"/>
        <v>0.58770662917534833</v>
      </c>
      <c r="I53" s="101">
        <f t="shared" si="3"/>
        <v>0.58770662917534833</v>
      </c>
      <c r="J53" s="101">
        <f t="shared" si="4"/>
        <v>2.4300027506450252E-2</v>
      </c>
      <c r="K53" s="101">
        <f t="shared" si="5"/>
        <v>4.6069805674048135E-2</v>
      </c>
      <c r="L53" s="101">
        <f t="shared" si="12"/>
        <v>228.73857308219746</v>
      </c>
      <c r="M53" s="101">
        <f t="shared" si="6"/>
        <v>735.38957301873404</v>
      </c>
      <c r="N53" s="101">
        <f t="shared" si="7"/>
        <v>70.81960919696732</v>
      </c>
      <c r="O53" s="101">
        <f t="shared" si="8"/>
        <v>1.6904567307130913</v>
      </c>
      <c r="P53" s="101">
        <f t="shared" si="9"/>
        <v>1.6904567307130913</v>
      </c>
      <c r="Q53" s="101">
        <f t="shared" si="10"/>
        <v>6.9633176306151776E-2</v>
      </c>
      <c r="R53" s="101">
        <f t="shared" si="11"/>
        <v>1.9695270175650724E-2</v>
      </c>
      <c r="S53" s="101">
        <f t="shared" si="13"/>
        <v>661.09972191385873</v>
      </c>
      <c r="T53" s="101">
        <f t="shared" si="14"/>
        <v>4.2744451601691411</v>
      </c>
      <c r="U53" s="101">
        <f t="shared" si="15"/>
        <v>4.8290787395845394</v>
      </c>
      <c r="V53" s="33">
        <f t="shared" si="16"/>
        <v>1000.0000000000005</v>
      </c>
      <c r="W53" s="105">
        <f>IF(A53=1,((cPH1_+cPHr+(cNES*L53+(cNES+cOSEX)*G53+(cNES+cEREX)*H53+(cNES+cHOEX)*I53 + (cNES+cNES)*S53 +(cNES+ cOSEX)*N53 + (cNES+cEREX)*O53 + (cNES+cHOEX)*P53)))/(1+cDR)^A$5:A$65536,(cPHr+(cNES*L53+(cNES+cOSEX)*G53+(cNES+cEREX)*H53+(cNES+cHOEX)*I53 + (cNES+cNES)*S53 +(cNES+ cOSEX)*N53 + (cNES+cEREX)*O53 + (cNES+cHOEX)*P53))/(1+cDR)^A$5:A$65536)</f>
        <v>176559.67330793772</v>
      </c>
      <c r="X53" s="112">
        <f t="shared" si="17"/>
        <v>990.89647610024667</v>
      </c>
      <c r="Y53" s="32">
        <f>(uNES*L53+ uOCEX*G53+uEREX*'PH + UC'!H53+uHOEX*I53+uNES*S53+ uOCEX*N53+uEREX*O53+uHOEX*P53)/(1+oDR)^A$5:A$65536</f>
        <v>643.50806619328728</v>
      </c>
      <c r="Z53" s="30"/>
      <c r="AA53" s="30"/>
    </row>
    <row r="54" spans="1:27" x14ac:dyDescent="0.25">
      <c r="A54" s="4">
        <v>48</v>
      </c>
      <c r="C54" s="110">
        <f>IF(male=0,VLOOKUP(((A52:A886/'Life tables'!$I$2)*2)+age,lifetable,13,1),IF(male=1,VLOOKUP(((A52:A886/'Life tables'!$I$2)*2)+age,lifetable,10,1),"error"))</f>
        <v>8.6010410302650442E-5</v>
      </c>
      <c r="E54" s="100"/>
      <c r="F54" s="101">
        <f t="shared" si="0"/>
        <v>251.26878766505902</v>
      </c>
      <c r="G54" s="101">
        <f t="shared" si="1"/>
        <v>25.240475597554415</v>
      </c>
      <c r="H54" s="101">
        <f t="shared" si="2"/>
        <v>0.57759727484699719</v>
      </c>
      <c r="I54" s="101">
        <f t="shared" si="3"/>
        <v>0.57759727484699719</v>
      </c>
      <c r="J54" s="101">
        <f t="shared" si="4"/>
        <v>2.3882033942899537E-2</v>
      </c>
      <c r="K54" s="101">
        <f t="shared" si="5"/>
        <v>4.5277342281129222E-2</v>
      </c>
      <c r="L54" s="101">
        <f t="shared" si="12"/>
        <v>224.80395814158658</v>
      </c>
      <c r="M54" s="101">
        <f t="shared" si="6"/>
        <v>739.62768843518757</v>
      </c>
      <c r="N54" s="101">
        <f t="shared" si="7"/>
        <v>71.227748893989144</v>
      </c>
      <c r="O54" s="101">
        <f t="shared" si="8"/>
        <v>1.7001989829752135</v>
      </c>
      <c r="P54" s="101">
        <f t="shared" si="9"/>
        <v>1.7001989829752135</v>
      </c>
      <c r="Q54" s="101">
        <f t="shared" si="10"/>
        <v>7.0034478485061252E-2</v>
      </c>
      <c r="R54" s="101">
        <f t="shared" si="11"/>
        <v>1.9808775766734919E-2</v>
      </c>
      <c r="S54" s="101">
        <f t="shared" si="13"/>
        <v>664.9096983209962</v>
      </c>
      <c r="T54" s="101">
        <f t="shared" si="14"/>
        <v>4.3683616725971017</v>
      </c>
      <c r="U54" s="101">
        <f t="shared" si="15"/>
        <v>4.8941648576324033</v>
      </c>
      <c r="V54" s="33">
        <f t="shared" si="16"/>
        <v>1000.0000000000002</v>
      </c>
      <c r="W54" s="105">
        <f>IF(A54=1,((cPH1_+cPHr+(cNES*L54+(cNES+cOSEX)*G54+(cNES+cEREX)*H54+(cNES+cHOEX)*I54 + (cNES+cNES)*S54 +(cNES+ cOSEX)*N54 + (cNES+cEREX)*O54 + (cNES+cHOEX)*P54)))/(1+cDR)^A$5:A$65536,(cPHr+(cNES*L54+(cNES+cOSEX)*G54+(cNES+cEREX)*H54+(cNES+cHOEX)*I54 + (cNES+cNES)*S54 +(cNES+ cOSEX)*N54 + (cNES+cEREX)*O54 + (cNES+cHOEX)*P54))/(1+cDR)^A$5:A$65536)</f>
        <v>176668.92566906981</v>
      </c>
      <c r="X54" s="112">
        <f t="shared" si="17"/>
        <v>990.73747346977075</v>
      </c>
      <c r="Y54" s="32">
        <f>(uNES*L54+ uOCEX*G54+uEREX*'PH + UC'!H54+uHOEX*I54+uNES*S54+ uOCEX*N54+uEREX*O54+uHOEX*P54)/(1+oDR)^A$5:A$65536</f>
        <v>643.22150779574406</v>
      </c>
      <c r="Z54" s="30"/>
      <c r="AA54" s="30"/>
    </row>
    <row r="55" spans="1:27" x14ac:dyDescent="0.25">
      <c r="A55" s="4">
        <v>49</v>
      </c>
      <c r="C55" s="110">
        <f>IF(male=0,VLOOKUP(((A53:A887/'Life tables'!$I$2)*2)+age,lifetable,13,1),IF(male=1,VLOOKUP(((A53:A887/'Life tables'!$I$2)*2)+age,lifetable,10,1),"error"))</f>
        <v>8.6010410302650442E-5</v>
      </c>
      <c r="E55" s="100"/>
      <c r="F55" s="101">
        <f t="shared" si="0"/>
        <v>247.06687271260273</v>
      </c>
      <c r="G55" s="101">
        <f t="shared" si="1"/>
        <v>24.818384446456697</v>
      </c>
      <c r="H55" s="101">
        <f t="shared" si="2"/>
        <v>0.56793823741448957</v>
      </c>
      <c r="I55" s="101">
        <f t="shared" si="3"/>
        <v>0.56793823741448957</v>
      </c>
      <c r="J55" s="101">
        <f t="shared" si="4"/>
        <v>2.3482659725145495E-2</v>
      </c>
      <c r="K55" s="101">
        <f t="shared" si="5"/>
        <v>4.4520178833545893E-2</v>
      </c>
      <c r="L55" s="101">
        <f t="shared" si="12"/>
        <v>221.04460895275835</v>
      </c>
      <c r="M55" s="101">
        <f t="shared" si="6"/>
        <v>743.6706007571679</v>
      </c>
      <c r="N55" s="101">
        <f t="shared" si="7"/>
        <v>71.617090110080824</v>
      </c>
      <c r="O55" s="101">
        <f t="shared" si="8"/>
        <v>1.7094925174460924</v>
      </c>
      <c r="P55" s="101">
        <f t="shared" si="9"/>
        <v>1.7094925174460924</v>
      </c>
      <c r="Q55" s="101">
        <f t="shared" si="10"/>
        <v>7.041729711186219E-2</v>
      </c>
      <c r="R55" s="101">
        <f t="shared" si="11"/>
        <v>1.9917053410856263E-2</v>
      </c>
      <c r="S55" s="101">
        <f t="shared" si="13"/>
        <v>668.54419126167215</v>
      </c>
      <c r="T55" s="101">
        <f t="shared" si="14"/>
        <v>4.4622616294341091</v>
      </c>
      <c r="U55" s="101">
        <f t="shared" si="15"/>
        <v>4.9586020898768055</v>
      </c>
      <c r="V55" s="33">
        <f t="shared" si="16"/>
        <v>1000.0000000000001</v>
      </c>
      <c r="W55" s="105">
        <f>IF(A55=1,((cPH1_+cPHr+(cNES*L55+(cNES+cOSEX)*G55+(cNES+cEREX)*H55+(cNES+cHOEX)*I55 + (cNES+cNES)*S55 +(cNES+ cOSEX)*N55 + (cNES+cEREX)*O55 + (cNES+cHOEX)*P55)))/(1+cDR)^A$5:A$65536,(cPHr+(cNES*L55+(cNES+cOSEX)*G55+(cNES+cEREX)*H55+(cNES+cHOEX)*I55 + (cNES+cNES)*S55 +(cNES+ cOSEX)*N55 + (cNES+cEREX)*O55 + (cNES+cHOEX)*P55))/(1+cDR)^A$5:A$65536)</f>
        <v>176762.53365576849</v>
      </c>
      <c r="X55" s="112">
        <f t="shared" si="17"/>
        <v>990.57913628068923</v>
      </c>
      <c r="Y55" s="32">
        <f>(uNES*L55+ uOCEX*G55+uEREX*'PH + UC'!H55+uHOEX*I55+uNES*S55+ uOCEX*N55+uEREX*O55+uHOEX*P55)/(1+oDR)^A$5:A$65536</f>
        <v>642.93541489817983</v>
      </c>
      <c r="Z55" s="30"/>
      <c r="AA55" s="30"/>
    </row>
    <row r="56" spans="1:27" x14ac:dyDescent="0.25">
      <c r="A56" s="4">
        <v>50</v>
      </c>
      <c r="C56" s="110">
        <f>IF(male=0,VLOOKUP(((A54:A888/'Life tables'!$I$2)*2)+age,lifetable,13,1),IF(male=1,VLOOKUP(((A54:A888/'Life tables'!$I$2)*2)+age,lifetable,10,1),"error"))</f>
        <v>8.6010410302650442E-5</v>
      </c>
      <c r="E56" s="100"/>
      <c r="F56" s="101">
        <f t="shared" si="0"/>
        <v>243.05208457753054</v>
      </c>
      <c r="G56" s="101">
        <f t="shared" si="1"/>
        <v>24.415090575800068</v>
      </c>
      <c r="H56" s="101">
        <f t="shared" si="2"/>
        <v>0.55870935265146482</v>
      </c>
      <c r="I56" s="101">
        <f t="shared" si="3"/>
        <v>0.55870935265146482</v>
      </c>
      <c r="J56" s="101">
        <f t="shared" si="4"/>
        <v>2.3101071118751801E-2</v>
      </c>
      <c r="K56" s="101">
        <f t="shared" si="5"/>
        <v>4.3796734675331586E-2</v>
      </c>
      <c r="L56" s="101">
        <f t="shared" si="12"/>
        <v>217.45267749063345</v>
      </c>
      <c r="M56" s="101">
        <f t="shared" si="6"/>
        <v>747.52705170315858</v>
      </c>
      <c r="N56" s="101">
        <f t="shared" si="7"/>
        <v>71.988474691672351</v>
      </c>
      <c r="O56" s="101">
        <f t="shared" si="8"/>
        <v>1.7183574289127508</v>
      </c>
      <c r="P56" s="101">
        <f t="shared" si="9"/>
        <v>1.7183574289127508</v>
      </c>
      <c r="Q56" s="101">
        <f t="shared" si="10"/>
        <v>7.078245992962677E-2</v>
      </c>
      <c r="R56" s="101">
        <f t="shared" si="11"/>
        <v>2.0020337229511243E-2</v>
      </c>
      <c r="S56" s="101">
        <f t="shared" si="13"/>
        <v>672.01105935650162</v>
      </c>
      <c r="T56" s="101">
        <f t="shared" si="14"/>
        <v>4.5561451604824876</v>
      </c>
      <c r="U56" s="101">
        <f t="shared" si="15"/>
        <v>5.0224191617816487</v>
      </c>
      <c r="V56" s="33">
        <f t="shared" si="16"/>
        <v>1000</v>
      </c>
      <c r="W56" s="105">
        <f>IF(A56=1,((cPH1_+cPHr+(cNES*L56+(cNES+cOSEX)*G56+(cNES+cEREX)*H56+(cNES+cHOEX)*I56 + (cNES+cNES)*S56 +(cNES+ cOSEX)*N56 + (cNES+cEREX)*O56 + (cNES+cHOEX)*P56)))/(1+cDR)^A$5:A$65536,(cPHr+(cNES*L56+(cNES+cOSEX)*G56+(cNES+cEREX)*H56+(cNES+cHOEX)*I56 + (cNES+cNES)*S56 +(cNES+ cOSEX)*N56 + (cNES+cEREX)*O56 + (cNES+cHOEX)*P56))/(1+cDR)^A$5:A$65536)</f>
        <v>176841.22874803725</v>
      </c>
      <c r="X56" s="112">
        <f t="shared" si="17"/>
        <v>990.42143567773587</v>
      </c>
      <c r="Y56" s="32">
        <f>(uNES*L56+ uOCEX*G56+uEREX*'PH + UC'!H56+uHOEX*I56+uNES*S56+ uOCEX*N56+uEREX*O56+uHOEX*P56)/(1+oDR)^A$5:A$65536</f>
        <v>642.64977192358015</v>
      </c>
      <c r="Z56" s="30"/>
      <c r="AA56" s="30"/>
    </row>
    <row r="57" spans="1:27" x14ac:dyDescent="0.25">
      <c r="A57" s="4">
        <v>51</v>
      </c>
      <c r="C57" s="110">
        <f>IF(male=0,VLOOKUP(((A55:A889/'Life tables'!$I$2)*2)+age,lifetable,13,1),IF(male=1,VLOOKUP(((A55:A889/'Life tables'!$I$2)*2)+age,lifetable,10,1),"error"))</f>
        <v>8.6010410302650442E-5</v>
      </c>
      <c r="E57" s="100"/>
      <c r="F57" s="101">
        <f t="shared" si="0"/>
        <v>239.21604412834967</v>
      </c>
      <c r="G57" s="101">
        <f t="shared" si="1"/>
        <v>24.029752284289515</v>
      </c>
      <c r="H57" s="101">
        <f t="shared" si="2"/>
        <v>0.54989135925785948</v>
      </c>
      <c r="I57" s="101">
        <f t="shared" si="3"/>
        <v>0.54989135925785948</v>
      </c>
      <c r="J57" s="101">
        <f t="shared" si="4"/>
        <v>2.2736471722762386E-2</v>
      </c>
      <c r="K57" s="101">
        <f t="shared" si="5"/>
        <v>4.3105499930117856E-2</v>
      </c>
      <c r="L57" s="101">
        <f t="shared" si="12"/>
        <v>214.02066715389157</v>
      </c>
      <c r="M57" s="101">
        <f t="shared" si="6"/>
        <v>751.20539154938626</v>
      </c>
      <c r="N57" s="101">
        <f t="shared" si="7"/>
        <v>72.342706788456297</v>
      </c>
      <c r="O57" s="101">
        <f t="shared" si="8"/>
        <v>1.726812912344996</v>
      </c>
      <c r="P57" s="101">
        <f t="shared" si="9"/>
        <v>1.726812912344996</v>
      </c>
      <c r="Q57" s="101">
        <f t="shared" si="10"/>
        <v>7.1130757616218759E-2</v>
      </c>
      <c r="R57" s="101">
        <f t="shared" si="11"/>
        <v>2.0118850860554351E-2</v>
      </c>
      <c r="S57" s="101">
        <f t="shared" si="13"/>
        <v>675.31780932776314</v>
      </c>
      <c r="T57" s="101">
        <f t="shared" si="14"/>
        <v>4.6500123898214687</v>
      </c>
      <c r="U57" s="101">
        <f t="shared" si="15"/>
        <v>5.0856435125723207</v>
      </c>
      <c r="V57" s="33">
        <f t="shared" si="16"/>
        <v>1000</v>
      </c>
      <c r="W57" s="105">
        <f>IF(A57=1,((cPH1_+cPHr+(cNES*L57+(cNES+cOSEX)*G57+(cNES+cEREX)*H57+(cNES+cHOEX)*I57 + (cNES+cNES)*S57 +(cNES+ cOSEX)*N57 + (cNES+cEREX)*O57 + (cNES+cHOEX)*P57)))/(1+cDR)^A$5:A$65536,(cPHr+(cNES*L57+(cNES+cOSEX)*G57+(cNES+cEREX)*H57+(cNES+cHOEX)*I57 + (cNES+cNES)*S57 +(cNES+ cOSEX)*N57 + (cNES+cEREX)*O57 + (cNES+cHOEX)*P57))/(1+cDR)^A$5:A$65536)</f>
        <v>176905.7088502867</v>
      </c>
      <c r="X57" s="112">
        <f t="shared" si="17"/>
        <v>990.26434409760623</v>
      </c>
      <c r="Y57" s="32">
        <f>(uNES*L57+ uOCEX*G57+uEREX*'PH + UC'!H57+uHOEX*I57+uNES*S57+ uOCEX*N57+uEREX*O57+uHOEX*P57)/(1+oDR)^A$5:A$65536</f>
        <v>642.36456399438794</v>
      </c>
      <c r="Z57" s="30"/>
      <c r="AA57" s="30"/>
    </row>
    <row r="58" spans="1:27" x14ac:dyDescent="0.25">
      <c r="A58" s="4">
        <v>52</v>
      </c>
      <c r="C58" s="110">
        <f>IF(male=0,VLOOKUP(((A56:A890/'Life tables'!$I$2)*2)+age,lifetable,13,1),IF(male=1,VLOOKUP(((A56:A890/'Life tables'!$I$2)*2)+age,lifetable,10,1),"error"))</f>
        <v>8.6010410302650442E-5</v>
      </c>
      <c r="E58" s="100"/>
      <c r="F58" s="101">
        <f t="shared" si="0"/>
        <v>235.55074743953926</v>
      </c>
      <c r="G58" s="101">
        <f t="shared" si="1"/>
        <v>23.66156556085518</v>
      </c>
      <c r="H58" s="101">
        <f t="shared" si="2"/>
        <v>0.54146585842810802</v>
      </c>
      <c r="I58" s="101">
        <f t="shared" si="3"/>
        <v>0.54146585842810802</v>
      </c>
      <c r="J58" s="101">
        <f t="shared" si="4"/>
        <v>2.2388100797959533E-2</v>
      </c>
      <c r="K58" s="101">
        <f t="shared" si="5"/>
        <v>4.244503233172129E-2</v>
      </c>
      <c r="L58" s="101">
        <f t="shared" si="12"/>
        <v>210.74141702869818</v>
      </c>
      <c r="M58" s="101">
        <f t="shared" si="6"/>
        <v>754.71359665806688</v>
      </c>
      <c r="N58" s="101">
        <f t="shared" si="7"/>
        <v>72.680554541395864</v>
      </c>
      <c r="O58" s="101">
        <f t="shared" si="8"/>
        <v>1.7348773031879976</v>
      </c>
      <c r="P58" s="101">
        <f t="shared" si="9"/>
        <v>1.7348773031879976</v>
      </c>
      <c r="Q58" s="101">
        <f t="shared" si="10"/>
        <v>7.1462945444022902E-2</v>
      </c>
      <c r="R58" s="101">
        <f t="shared" si="11"/>
        <v>2.0212807927641161E-2</v>
      </c>
      <c r="S58" s="101">
        <f t="shared" si="13"/>
        <v>678.47161175692338</v>
      </c>
      <c r="T58" s="101">
        <f t="shared" si="14"/>
        <v>4.7438634360634513</v>
      </c>
      <c r="U58" s="101">
        <f t="shared" si="15"/>
        <v>5.148301352831683</v>
      </c>
      <c r="V58" s="33">
        <f t="shared" si="16"/>
        <v>1000</v>
      </c>
      <c r="W58" s="105">
        <f>IF(A58=1,((cPH1_+cPHr+(cNES*L58+(cNES+cOSEX)*G58+(cNES+cEREX)*H58+(cNES+cHOEX)*I58 + (cNES+cNES)*S58 +(cNES+ cOSEX)*N58 + (cNES+cEREX)*O58 + (cNES+cHOEX)*P58)))/(1+cDR)^A$5:A$65536,(cPHr+(cNES*L58+(cNES+cOSEX)*G58+(cNES+cEREX)*H58+(cNES+cHOEX)*I58 + (cNES+cNES)*S58 +(cNES+ cOSEX)*N58 + (cNES+cEREX)*O58 + (cNES+cHOEX)*P58))/(1+cDR)^A$5:A$65536)</f>
        <v>176956.63983168983</v>
      </c>
      <c r="X58" s="112">
        <f t="shared" si="17"/>
        <v>990.10783521110477</v>
      </c>
      <c r="Y58" s="32">
        <f>(uNES*L58+ uOCEX*G58+uEREX*'PH + UC'!H58+uHOEX*I58+uNES*S58+ uOCEX*N58+uEREX*O58+uHOEX*P58)/(1+oDR)^A$5:A$65536</f>
        <v>642.07977690099153</v>
      </c>
      <c r="Z58" s="30"/>
      <c r="AA58" s="30"/>
    </row>
    <row r="59" spans="1:27" x14ac:dyDescent="0.25">
      <c r="A59" s="4">
        <v>53</v>
      </c>
      <c r="C59" s="110">
        <f>IF(male=0,VLOOKUP(((A57:A891/'Life tables'!$I$2)*2)+age,lifetable,13,1),IF(male=1,VLOOKUP(((A57:A891/'Life tables'!$I$2)*2)+age,lifetable,10,1),"error"))</f>
        <v>9.285312807338908E-5</v>
      </c>
      <c r="E59" s="100"/>
      <c r="F59" s="101">
        <f t="shared" si="0"/>
        <v>232.04854899034262</v>
      </c>
      <c r="G59" s="101">
        <f t="shared" si="1"/>
        <v>23.309762396935856</v>
      </c>
      <c r="H59" s="101">
        <f t="shared" si="2"/>
        <v>0.53341527522982457</v>
      </c>
      <c r="I59" s="101">
        <f t="shared" si="3"/>
        <v>0.53341527522982457</v>
      </c>
      <c r="J59" s="101">
        <f t="shared" si="4"/>
        <v>2.3809876545581771E-2</v>
      </c>
      <c r="K59" s="101">
        <f t="shared" si="5"/>
        <v>4.1813954196652278E-2</v>
      </c>
      <c r="L59" s="101">
        <f t="shared" si="12"/>
        <v>207.60633221220488</v>
      </c>
      <c r="M59" s="101">
        <f t="shared" si="6"/>
        <v>758.05928622076215</v>
      </c>
      <c r="N59" s="101">
        <f t="shared" si="7"/>
        <v>73.002751695146387</v>
      </c>
      <c r="O59" s="101">
        <f t="shared" si="8"/>
        <v>1.7425681158506225</v>
      </c>
      <c r="P59" s="101">
        <f t="shared" si="9"/>
        <v>1.7425681158506225</v>
      </c>
      <c r="Q59" s="101">
        <f t="shared" si="10"/>
        <v>7.7490315644412958E-2</v>
      </c>
      <c r="R59" s="101">
        <f t="shared" si="11"/>
        <v>2.0302412488650431E-2</v>
      </c>
      <c r="S59" s="101">
        <f t="shared" si="13"/>
        <v>681.47360556578144</v>
      </c>
      <c r="T59" s="101">
        <f t="shared" si="14"/>
        <v>4.845163628253446</v>
      </c>
      <c r="U59" s="101">
        <f t="shared" si="15"/>
        <v>5.2104177195169861</v>
      </c>
      <c r="V59" s="33">
        <f t="shared" si="16"/>
        <v>999.99999999999989</v>
      </c>
      <c r="W59" s="105">
        <f>IF(A59=1,((cPH1_+cPHr+(cNES*L59+(cNES+cOSEX)*G59+(cNES+cEREX)*H59+(cNES+cHOEX)*I59 + (cNES+cNES)*S59 +(cNES+ cOSEX)*N59 + (cNES+cEREX)*O59 + (cNES+cHOEX)*P59)))/(1+cDR)^A$5:A$65536,(cPHr+(cNES*L59+(cNES+cOSEX)*G59+(cNES+cEREX)*H59+(cNES+cHOEX)*I59 + (cNES+cNES)*S59 +(cNES+ cOSEX)*N59 + (cNES+cEREX)*O59 + (cNES+cHOEX)*P59))/(1+cDR)^A$5:A$65536)</f>
        <v>176993.51106706014</v>
      </c>
      <c r="X59" s="112">
        <f t="shared" si="17"/>
        <v>989.9444186522295</v>
      </c>
      <c r="Y59" s="32">
        <f>(uNES*L59+ uOCEX*G59+uEREX*'PH + UC'!H59+uHOEX*I59+uNES*S59+ uOCEX*N59+uEREX*O59+uHOEX*P59)/(1+oDR)^A$5:A$65536</f>
        <v>641.79047839887085</v>
      </c>
      <c r="Z59" s="30"/>
      <c r="AA59" s="30"/>
    </row>
    <row r="60" spans="1:27" x14ac:dyDescent="0.25">
      <c r="A60" s="4">
        <v>54</v>
      </c>
      <c r="C60" s="110">
        <f>IF(male=0,VLOOKUP(((A58:A892/'Life tables'!$I$2)*2)+age,lifetable,13,1),IF(male=1,VLOOKUP(((A58:A892/'Life tables'!$I$2)*2)+age,lifetable,10,1),"error"))</f>
        <v>9.285312807338908E-5</v>
      </c>
      <c r="E60" s="100"/>
      <c r="F60" s="101">
        <f t="shared" si="0"/>
        <v>228.70041595845021</v>
      </c>
      <c r="G60" s="101">
        <f t="shared" si="1"/>
        <v>22.973435426625894</v>
      </c>
      <c r="H60" s="101">
        <f t="shared" si="2"/>
        <v>0.52571884570900351</v>
      </c>
      <c r="I60" s="101">
        <f t="shared" si="3"/>
        <v>0.52571884570900351</v>
      </c>
      <c r="J60" s="101">
        <f t="shared" si="4"/>
        <v>2.3466333634003984E-2</v>
      </c>
      <c r="K60" s="101">
        <f t="shared" si="5"/>
        <v>4.1210637856821712E-2</v>
      </c>
      <c r="L60" s="101">
        <f t="shared" si="12"/>
        <v>204.61086586891548</v>
      </c>
      <c r="M60" s="101">
        <f t="shared" si="6"/>
        <v>761.24400269377929</v>
      </c>
      <c r="N60" s="101">
        <f t="shared" si="7"/>
        <v>73.309446791592194</v>
      </c>
      <c r="O60" s="101">
        <f t="shared" si="8"/>
        <v>1.7498888960122521</v>
      </c>
      <c r="P60" s="101">
        <f t="shared" si="9"/>
        <v>1.7498888960122521</v>
      </c>
      <c r="Q60" s="101">
        <f t="shared" si="10"/>
        <v>7.7815863644705108E-2</v>
      </c>
      <c r="R60" s="101">
        <f t="shared" si="11"/>
        <v>2.0387705853786738E-2</v>
      </c>
      <c r="S60" s="101">
        <f t="shared" si="13"/>
        <v>684.33657454066406</v>
      </c>
      <c r="T60" s="101">
        <f t="shared" si="14"/>
        <v>4.9464458255321553</v>
      </c>
      <c r="U60" s="101">
        <f t="shared" si="15"/>
        <v>5.2720160632275945</v>
      </c>
      <c r="V60" s="33">
        <f t="shared" si="16"/>
        <v>999.99999999999989</v>
      </c>
      <c r="W60" s="105">
        <f>IF(A60=1,((cPH1_+cPHr+(cNES*L60+(cNES+cOSEX)*G60+(cNES+cEREX)*H60+(cNES+cHOEX)*I60 + (cNES+cNES)*S60 +(cNES+ cOSEX)*N60 + (cNES+cEREX)*O60 + (cNES+cHOEX)*P60)))/(1+cDR)^A$5:A$65536,(cPHr+(cNES*L60+(cNES+cOSEX)*G60+(cNES+cEREX)*H60+(cNES+cHOEX)*I60 + (cNES+cNES)*S60 +(cNES+ cOSEX)*N60 + (cNES+cEREX)*O60 + (cNES+cHOEX)*P60))/(1+cDR)^A$5:A$65536)</f>
        <v>177017.88556068658</v>
      </c>
      <c r="X60" s="112">
        <f t="shared" si="17"/>
        <v>989.78153811124014</v>
      </c>
      <c r="Y60" s="32">
        <f>(uNES*L60+ uOCEX*G60+uEREX*'PH + UC'!H60+uHOEX*I60+uNES*S60+ uOCEX*N60+uEREX*O60+uHOEX*P60)/(1+oDR)^A$5:A$65536</f>
        <v>641.50165753135616</v>
      </c>
      <c r="Z60" s="30"/>
      <c r="AA60" s="30"/>
    </row>
    <row r="61" spans="1:27" x14ac:dyDescent="0.25">
      <c r="A61" s="4">
        <v>55</v>
      </c>
      <c r="C61" s="110">
        <f>IF(male=0,VLOOKUP(((A59:A893/'Life tables'!$I$2)*2)+age,lifetable,13,1),IF(male=1,VLOOKUP(((A59:A893/'Life tables'!$I$2)*2)+age,lifetable,10,1),"error"))</f>
        <v>9.285312807338908E-5</v>
      </c>
      <c r="E61" s="100"/>
      <c r="F61" s="101">
        <f t="shared" si="0"/>
        <v>225.50115039873529</v>
      </c>
      <c r="G61" s="101">
        <f t="shared" si="1"/>
        <v>22.652062505458616</v>
      </c>
      <c r="H61" s="101">
        <f t="shared" si="2"/>
        <v>0.5183646212310058</v>
      </c>
      <c r="I61" s="101">
        <f t="shared" si="3"/>
        <v>0.5183646212310058</v>
      </c>
      <c r="J61" s="101">
        <f t="shared" si="4"/>
        <v>2.3138065612743855E-2</v>
      </c>
      <c r="K61" s="101">
        <f t="shared" si="5"/>
        <v>4.0634146669271072E-2</v>
      </c>
      <c r="L61" s="101">
        <f t="shared" si="12"/>
        <v>201.74858643853264</v>
      </c>
      <c r="M61" s="101">
        <f t="shared" si="6"/>
        <v>764.28038771250488</v>
      </c>
      <c r="N61" s="101">
        <f t="shared" si="7"/>
        <v>73.60185724761071</v>
      </c>
      <c r="O61" s="101">
        <f t="shared" si="8"/>
        <v>1.756868703287559</v>
      </c>
      <c r="P61" s="101">
        <f t="shared" si="9"/>
        <v>1.756868703287559</v>
      </c>
      <c r="Q61" s="101">
        <f t="shared" si="10"/>
        <v>7.8126248911129334E-2</v>
      </c>
      <c r="R61" s="101">
        <f t="shared" si="11"/>
        <v>2.0469026592474415E-2</v>
      </c>
      <c r="S61" s="101">
        <f t="shared" si="13"/>
        <v>687.06619778281538</v>
      </c>
      <c r="T61" s="101">
        <f t="shared" si="14"/>
        <v>5.0477101400560285</v>
      </c>
      <c r="U61" s="101">
        <f t="shared" si="15"/>
        <v>5.3331192364893401</v>
      </c>
      <c r="V61" s="33">
        <f t="shared" si="16"/>
        <v>999.99999999999977</v>
      </c>
      <c r="W61" s="105">
        <f>IF(A61=1,((cPH1_+cPHr+(cNES*L61+(cNES+cOSEX)*G61+(cNES+cEREX)*H61+(cNES+cHOEX)*I61 + (cNES+cNES)*S61 +(cNES+ cOSEX)*N61 + (cNES+cEREX)*O61 + (cNES+cHOEX)*P61)))/(1+cDR)^A$5:A$65536,(cPHr+(cNES*L61+(cNES+cOSEX)*G61+(cNES+cEREX)*H61+(cNES+cHOEX)*I61 + (cNES+cNES)*S61 +(cNES+ cOSEX)*N61 + (cNES+cEREX)*O61 + (cNES+cHOEX)*P61))/(1+cDR)^A$5:A$65536)</f>
        <v>177030.53058585344</v>
      </c>
      <c r="X61" s="112">
        <f t="shared" si="17"/>
        <v>989.61917062345447</v>
      </c>
      <c r="Y61" s="32">
        <f>(uNES*L61+ uOCEX*G61+uEREX*'PH + UC'!H61+uHOEX*I61+uNES*S61+ uOCEX*N61+uEREX*O61+uHOEX*P61)/(1+oDR)^A$5:A$65536</f>
        <v>641.2132229554245</v>
      </c>
      <c r="Z61" s="30"/>
      <c r="AA61" s="30"/>
    </row>
    <row r="62" spans="1:27" x14ac:dyDescent="0.25">
      <c r="A62" s="4">
        <v>56</v>
      </c>
      <c r="C62" s="110">
        <f>IF(male=0,VLOOKUP(((A60:A894/'Life tables'!$I$2)*2)+age,lifetable,13,1),IF(male=1,VLOOKUP(((A60:A894/'Life tables'!$I$2)*2)+age,lifetable,10,1),"error"))</f>
        <v>9.285312807338908E-5</v>
      </c>
      <c r="E62" s="100"/>
      <c r="F62" s="101">
        <f t="shared" si="0"/>
        <v>222.4440853215122</v>
      </c>
      <c r="G62" s="101">
        <f t="shared" si="1"/>
        <v>22.344973920366854</v>
      </c>
      <c r="H62" s="101">
        <f t="shared" si="2"/>
        <v>0.51133727623506575</v>
      </c>
      <c r="I62" s="101">
        <f t="shared" si="3"/>
        <v>0.51133727623506575</v>
      </c>
      <c r="J62" s="101">
        <f t="shared" si="4"/>
        <v>2.2824388399948527E-2</v>
      </c>
      <c r="K62" s="101">
        <f t="shared" si="5"/>
        <v>4.008327927677334E-2</v>
      </c>
      <c r="L62" s="101">
        <f t="shared" si="12"/>
        <v>199.01352918099849</v>
      </c>
      <c r="M62" s="101">
        <f t="shared" si="6"/>
        <v>767.1750853019422</v>
      </c>
      <c r="N62" s="101">
        <f t="shared" si="7"/>
        <v>73.880622897204901</v>
      </c>
      <c r="O62" s="101">
        <f t="shared" si="8"/>
        <v>1.7635228104478717</v>
      </c>
      <c r="P62" s="101">
        <f t="shared" si="9"/>
        <v>1.7635228104478717</v>
      </c>
      <c r="Q62" s="101">
        <f t="shared" si="10"/>
        <v>7.8422150609028088E-2</v>
      </c>
      <c r="R62" s="101">
        <f t="shared" si="11"/>
        <v>2.0546552645593092E-2</v>
      </c>
      <c r="S62" s="101">
        <f t="shared" si="13"/>
        <v>689.66844808058693</v>
      </c>
      <c r="T62" s="101">
        <f t="shared" si="14"/>
        <v>5.1489566790650052</v>
      </c>
      <c r="U62" s="101">
        <f t="shared" si="15"/>
        <v>5.3937490684117062</v>
      </c>
      <c r="V62" s="33">
        <f t="shared" si="16"/>
        <v>999.99999999999977</v>
      </c>
      <c r="W62" s="105">
        <f>IF(A62=1,((cPH1_+cPHr+(cNES*L62+(cNES+cOSEX)*G62+(cNES+cEREX)*H62+(cNES+cHOEX)*I62 + (cNES+cNES)*S62 +(cNES+ cOSEX)*N62 + (cNES+cEREX)*O62 + (cNES+cHOEX)*P62)))/(1+cDR)^A$5:A$65536,(cPHr+(cNES*L62+(cNES+cOSEX)*G62+(cNES+cEREX)*H62+(cNES+cHOEX)*I62 + (cNES+cNES)*S62 +(cNES+ cOSEX)*N62 + (cNES+cEREX)*O62 + (cNES+cHOEX)*P62))/(1+cDR)^A$5:A$65536)</f>
        <v>177031.99815734511</v>
      </c>
      <c r="X62" s="112">
        <f t="shared" si="17"/>
        <v>989.45729425252296</v>
      </c>
      <c r="Y62" s="32">
        <f>(uNES*L62+ uOCEX*G62+uEREX*'PH + UC'!H62+uHOEX*I62+uNES*S62+ uOCEX*N62+uEREX*O62+uHOEX*P62)/(1+oDR)^A$5:A$65536</f>
        <v>640.92516283446912</v>
      </c>
      <c r="Z62" s="30"/>
      <c r="AA62" s="30"/>
    </row>
    <row r="63" spans="1:27" x14ac:dyDescent="0.25">
      <c r="A63" s="4">
        <v>57</v>
      </c>
      <c r="C63" s="110">
        <f>IF(male=0,VLOOKUP(((A61:A895/'Life tables'!$I$2)*2)+age,lifetable,13,1),IF(male=1,VLOOKUP(((A61:A895/'Life tables'!$I$2)*2)+age,lifetable,10,1),"error"))</f>
        <v>9.285312807338908E-5</v>
      </c>
      <c r="E63" s="100"/>
      <c r="F63" s="101">
        <f t="shared" si="0"/>
        <v>219.52285232384494</v>
      </c>
      <c r="G63" s="101">
        <f t="shared" si="1"/>
        <v>22.051529951947355</v>
      </c>
      <c r="H63" s="101">
        <f t="shared" si="2"/>
        <v>0.50462217152856759</v>
      </c>
      <c r="I63" s="101">
        <f t="shared" si="3"/>
        <v>0.50462217152856759</v>
      </c>
      <c r="J63" s="101">
        <f t="shared" si="4"/>
        <v>2.2524648550947223E-2</v>
      </c>
      <c r="K63" s="101">
        <f t="shared" si="5"/>
        <v>3.9556888125897013E-2</v>
      </c>
      <c r="L63" s="101">
        <f t="shared" si="12"/>
        <v>196.39999649216361</v>
      </c>
      <c r="M63" s="101">
        <f t="shared" si="6"/>
        <v>769.9344419286781</v>
      </c>
      <c r="N63" s="101">
        <f t="shared" si="7"/>
        <v>74.146354918857483</v>
      </c>
      <c r="O63" s="101">
        <f t="shared" si="8"/>
        <v>1.7698658062602215</v>
      </c>
      <c r="P63" s="101">
        <f t="shared" si="9"/>
        <v>1.7698658062602215</v>
      </c>
      <c r="Q63" s="101">
        <f t="shared" si="10"/>
        <v>7.8704217486735312E-2</v>
      </c>
      <c r="R63" s="101">
        <f t="shared" si="11"/>
        <v>2.0620453984785934E-2</v>
      </c>
      <c r="S63" s="101">
        <f t="shared" si="13"/>
        <v>692.14903072582865</v>
      </c>
      <c r="T63" s="101">
        <f t="shared" si="14"/>
        <v>5.2501855451026875</v>
      </c>
      <c r="U63" s="101">
        <f t="shared" si="15"/>
        <v>5.4539264105223895</v>
      </c>
      <c r="V63" s="33">
        <f t="shared" si="16"/>
        <v>999.99999999999966</v>
      </c>
      <c r="W63" s="105">
        <f>IF(A63=1,((cPH1_+cPHr+(cNES*L63+(cNES+cOSEX)*G63+(cNES+cEREX)*H63+(cNES+cHOEX)*I63 + (cNES+cNES)*S63 +(cNES+ cOSEX)*N63 + (cNES+cEREX)*O63 + (cNES+cHOEX)*P63)))/(1+cDR)^A$5:A$65536,(cPHr+(cNES*L63+(cNES+cOSEX)*G63+(cNES+cEREX)*H63+(cNES+cHOEX)*I63 + (cNES+cNES)*S63 +(cNES+ cOSEX)*N63 + (cNES+cEREX)*O63 + (cNES+cHOEX)*P63))/(1+cDR)^A$5:A$65536)</f>
        <v>177022.81494343971</v>
      </c>
      <c r="X63" s="112">
        <f t="shared" si="17"/>
        <v>989.29588804437469</v>
      </c>
      <c r="Y63" s="32">
        <f>(uNES*L63+ uOCEX*G63+uEREX*'PH + UC'!H63+uHOEX*I63+uNES*S63+ uOCEX*N63+uEREX*O63+uHOEX*P63)/(1+oDR)^A$5:A$65536</f>
        <v>640.63746586279171</v>
      </c>
      <c r="Z63" s="30"/>
      <c r="AA63" s="30"/>
    </row>
    <row r="64" spans="1:27" x14ac:dyDescent="0.25">
      <c r="A64" s="4">
        <v>58</v>
      </c>
      <c r="C64" s="110">
        <f>IF(male=0,VLOOKUP(((A62:A896/'Life tables'!$I$2)*2)+age,lifetable,13,1),IF(male=1,VLOOKUP(((A62:A896/'Life tables'!$I$2)*2)+age,lifetable,10,1),"error"))</f>
        <v>9.285312807338908E-5</v>
      </c>
      <c r="E64" s="100"/>
      <c r="F64" s="101">
        <f t="shared" si="0"/>
        <v>216.73136821708704</v>
      </c>
      <c r="G64" s="101">
        <f t="shared" si="1"/>
        <v>21.77111953116917</v>
      </c>
      <c r="H64" s="101">
        <f t="shared" si="2"/>
        <v>0.49820532354746722</v>
      </c>
      <c r="I64" s="101">
        <f t="shared" si="3"/>
        <v>0.49820532354746722</v>
      </c>
      <c r="J64" s="101">
        <f t="shared" si="4"/>
        <v>2.2238221886139137E-2</v>
      </c>
      <c r="K64" s="101">
        <f t="shared" si="5"/>
        <v>3.9053877057357578E-2</v>
      </c>
      <c r="L64" s="101">
        <f t="shared" si="12"/>
        <v>193.90254593987945</v>
      </c>
      <c r="M64" s="101">
        <f t="shared" si="6"/>
        <v>772.56451982728765</v>
      </c>
      <c r="N64" s="101">
        <f t="shared" si="7"/>
        <v>74.399637118892642</v>
      </c>
      <c r="O64" s="101">
        <f t="shared" si="8"/>
        <v>1.7759116261210519</v>
      </c>
      <c r="P64" s="101">
        <f t="shared" si="9"/>
        <v>1.7759116261210519</v>
      </c>
      <c r="Q64" s="101">
        <f t="shared" si="10"/>
        <v>7.8973069237828167E-2</v>
      </c>
      <c r="R64" s="101">
        <f t="shared" si="11"/>
        <v>2.0690892969368605E-2</v>
      </c>
      <c r="S64" s="101">
        <f t="shared" si="13"/>
        <v>694.51339549394572</v>
      </c>
      <c r="T64" s="101">
        <f t="shared" si="14"/>
        <v>5.3513968362266544</v>
      </c>
      <c r="U64" s="101">
        <f t="shared" si="15"/>
        <v>5.5136711805491156</v>
      </c>
      <c r="V64" s="33">
        <f t="shared" si="16"/>
        <v>999.99999999999977</v>
      </c>
      <c r="W64" s="105">
        <f>IF(A64=1,((cPH1_+cPHr+(cNES*L64+(cNES+cOSEX)*G64+(cNES+cEREX)*H64+(cNES+cHOEX)*I64 + (cNES+cNES)*S64 +(cNES+ cOSEX)*N64 + (cNES+cEREX)*O64 + (cNES+cHOEX)*P64)))/(1+cDR)^A$5:A$65536,(cPHr+(cNES*L64+(cNES+cOSEX)*G64+(cNES+cEREX)*H64+(cNES+cHOEX)*I64 + (cNES+cNES)*S64 +(cNES+ cOSEX)*N64 + (cNES+cEREX)*O64 + (cNES+cHOEX)*P64))/(1+cDR)^A$5:A$65536)</f>
        <v>177003.48342892539</v>
      </c>
      <c r="X64" s="112">
        <f t="shared" si="17"/>
        <v>989.13493198322408</v>
      </c>
      <c r="Y64" s="32">
        <f>(uNES*L64+ uOCEX*G64+uEREX*'PH + UC'!H64+uHOEX*I64+uNES*S64+ uOCEX*N64+uEREX*O64+uHOEX*P64)/(1+oDR)^A$5:A$65536</f>
        <v>640.35012124167781</v>
      </c>
      <c r="Z64" s="30"/>
      <c r="AA64" s="30"/>
    </row>
    <row r="65" spans="1:27" x14ac:dyDescent="0.25">
      <c r="A65" s="4">
        <v>59</v>
      </c>
      <c r="C65" s="110">
        <f>IF(male=0,VLOOKUP(((A63:A897/'Life tables'!$I$2)*2)+age,lifetable,13,1),IF(male=1,VLOOKUP(((A63:A897/'Life tables'!$I$2)*2)+age,lifetable,10,1),"error"))</f>
        <v>9.285312807338908E-5</v>
      </c>
      <c r="E65" s="100"/>
      <c r="F65" s="101">
        <f t="shared" si="0"/>
        <v>214.06382225331802</v>
      </c>
      <c r="G65" s="101">
        <f t="shared" si="1"/>
        <v>21.503158956242459</v>
      </c>
      <c r="H65" s="101">
        <f t="shared" si="2"/>
        <v>0.49207337499341147</v>
      </c>
      <c r="I65" s="101">
        <f t="shared" si="3"/>
        <v>0.49207337499341147</v>
      </c>
      <c r="J65" s="101">
        <f t="shared" si="4"/>
        <v>2.1964512180332494E-2</v>
      </c>
      <c r="K65" s="101">
        <f t="shared" si="5"/>
        <v>3.8573199004287122E-2</v>
      </c>
      <c r="L65" s="101">
        <f t="shared" si="12"/>
        <v>191.51597883590412</v>
      </c>
      <c r="M65" s="101">
        <f t="shared" si="6"/>
        <v>775.07110972990586</v>
      </c>
      <c r="N65" s="101">
        <f t="shared" si="7"/>
        <v>74.641027157361364</v>
      </c>
      <c r="O65" s="101">
        <f t="shared" si="8"/>
        <v>1.7816735813179749</v>
      </c>
      <c r="P65" s="101">
        <f t="shared" si="9"/>
        <v>1.7816735813179749</v>
      </c>
      <c r="Q65" s="101">
        <f t="shared" si="10"/>
        <v>7.9229297802368731E-2</v>
      </c>
      <c r="R65" s="101">
        <f t="shared" si="11"/>
        <v>2.075802468725382E-2</v>
      </c>
      <c r="S65" s="101">
        <f t="shared" si="13"/>
        <v>696.76674808741893</v>
      </c>
      <c r="T65" s="101">
        <f t="shared" si="14"/>
        <v>5.4525906462093552</v>
      </c>
      <c r="U65" s="101">
        <f t="shared" si="15"/>
        <v>5.5730024042406567</v>
      </c>
      <c r="V65" s="33">
        <f t="shared" si="16"/>
        <v>999.99999999999977</v>
      </c>
      <c r="W65" s="105">
        <f>IF(A65=1,((cPH1_+cPHr+(cNES*L65+(cNES+cOSEX)*G65+(cNES+cEREX)*H65+(cNES+cHOEX)*I65 + (cNES+cNES)*S65 +(cNES+ cOSEX)*N65 + (cNES+cEREX)*O65 + (cNES+cHOEX)*P65)))/(1+cDR)^A$5:A$65536,(cPHr+(cNES*L65+(cNES+cOSEX)*G65+(cNES+cEREX)*H65+(cNES+cHOEX)*I65 + (cNES+cNES)*S65 +(cNES+ cOSEX)*N65 + (cNES+cEREX)*O65 + (cNES+cHOEX)*P65))/(1+cDR)^A$5:A$65536)</f>
        <v>176974.4830247522</v>
      </c>
      <c r="X65" s="112">
        <f t="shared" si="17"/>
        <v>988.97440694954969</v>
      </c>
      <c r="Y65" s="32">
        <f>(uNES*L65+ uOCEX*G65+uEREX*'PH + UC'!H65+uHOEX*I65+uNES*S65+ uOCEX*N65+uEREX*O65+uHOEX*P65)/(1+oDR)^A$5:A$65536</f>
        <v>640.06311865655528</v>
      </c>
      <c r="Z65" s="30"/>
      <c r="AA65" s="30"/>
    </row>
    <row r="66" spans="1:27" x14ac:dyDescent="0.25">
      <c r="A66" s="4">
        <v>60</v>
      </c>
      <c r="C66" s="110">
        <f>IF(male=0,VLOOKUP(((A64:A898/'Life tables'!$I$2)*2)+age,lifetable,13,1),IF(male=1,VLOOKUP(((A64:A898/'Life tables'!$I$2)*2)+age,lifetable,10,1),"error"))</f>
        <v>9.285312807338908E-5</v>
      </c>
      <c r="E66" s="100"/>
      <c r="F66" s="101">
        <f t="shared" si="0"/>
        <v>211.51466392385518</v>
      </c>
      <c r="G66" s="101">
        <f t="shared" si="1"/>
        <v>21.247090666953472</v>
      </c>
      <c r="H66" s="101">
        <f t="shared" si="2"/>
        <v>0.48621356678589966</v>
      </c>
      <c r="I66" s="101">
        <f t="shared" si="3"/>
        <v>0.48621356678589966</v>
      </c>
      <c r="J66" s="101">
        <f t="shared" si="4"/>
        <v>2.1702949910782698E-2</v>
      </c>
      <c r="K66" s="101">
        <f t="shared" si="5"/>
        <v>3.8113853793588948E-2</v>
      </c>
      <c r="L66" s="101">
        <f t="shared" si="12"/>
        <v>189.23532931962555</v>
      </c>
      <c r="M66" s="101">
        <f t="shared" si="6"/>
        <v>777.45974302569437</v>
      </c>
      <c r="N66" s="101">
        <f t="shared" si="7"/>
        <v>74.87105771902435</v>
      </c>
      <c r="O66" s="101">
        <f t="shared" si="8"/>
        <v>1.7871643869810139</v>
      </c>
      <c r="P66" s="101">
        <f t="shared" si="9"/>
        <v>1.7871643869810139</v>
      </c>
      <c r="Q66" s="101">
        <f t="shared" si="10"/>
        <v>7.947346860986873E-2</v>
      </c>
      <c r="R66" s="101">
        <f t="shared" si="11"/>
        <v>2.0821997280607289E-2</v>
      </c>
      <c r="S66" s="101">
        <f t="shared" si="13"/>
        <v>698.91406106681757</v>
      </c>
      <c r="T66" s="101">
        <f t="shared" si="14"/>
        <v>5.5537670647300068</v>
      </c>
      <c r="U66" s="101">
        <f t="shared" si="15"/>
        <v>5.6319382553148527</v>
      </c>
      <c r="V66" s="33">
        <f t="shared" si="16"/>
        <v>999.99999999999966</v>
      </c>
      <c r="W66" s="105">
        <f>IF(A66=1,((cPH1_+cPHr+(cNES*L66+(cNES+cOSEX)*G66+(cNES+cEREX)*H66+(cNES+cHOEX)*I66 + (cNES+cNES)*S66 +(cNES+ cOSEX)*N66 + (cNES+cEREX)*O66 + (cNES+cHOEX)*P66)))/(1+cDR)^A$5:A$65536,(cPHr+(cNES*L66+(cNES+cOSEX)*G66+(cNES+cEREX)*H66+(cNES+cHOEX)*I66 + (cNES+cNES)*S66 +(cNES+ cOSEX)*N66 + (cNES+cEREX)*O66 + (cNES+cHOEX)*P66))/(1+cDR)^A$5:A$65536)</f>
        <v>176936.27112677009</v>
      </c>
      <c r="X66" s="112">
        <f t="shared" si="17"/>
        <v>988.81429467995486</v>
      </c>
      <c r="Y66" s="32">
        <f>(uNES*L66+ uOCEX*G66+uEREX*'PH + UC'!H66+uHOEX*I66+uNES*S66+ uOCEX*N66+uEREX*O66+uHOEX*P66)/(1+oDR)^A$5:A$65536</f>
        <v>639.77644825517859</v>
      </c>
      <c r="Z66" s="30"/>
      <c r="AA66" s="30"/>
    </row>
    <row r="67" spans="1:27" x14ac:dyDescent="0.25">
      <c r="A67" s="4">
        <v>61</v>
      </c>
      <c r="C67" s="110">
        <f>IF(male=0,VLOOKUP(((A65:A899/'Life tables'!$I$2)*2)+age,lifetable,13,1),IF(male=1,VLOOKUP(((A65:A899/'Life tables'!$I$2)*2)+age,lifetable,10,1),"error"))</f>
        <v>9.285312807338908E-5</v>
      </c>
      <c r="F67" s="101">
        <f t="shared" si="0"/>
        <v>209.07859130421892</v>
      </c>
      <c r="G67" s="101">
        <f t="shared" si="1"/>
        <v>21.002382073891916</v>
      </c>
      <c r="H67" s="101">
        <f t="shared" si="2"/>
        <v>0.48061371127059027</v>
      </c>
      <c r="I67" s="101">
        <f t="shared" si="3"/>
        <v>0.48061371127059027</v>
      </c>
      <c r="J67" s="101">
        <f t="shared" si="4"/>
        <v>2.1452991061300615E-2</v>
      </c>
      <c r="K67" s="101">
        <f t="shared" si="5"/>
        <v>3.7674886045760331E-2</v>
      </c>
      <c r="L67" s="101">
        <f t="shared" si="12"/>
        <v>187.05585393067875</v>
      </c>
      <c r="M67" s="101">
        <f t="shared" si="6"/>
        <v>779.73570337573574</v>
      </c>
      <c r="N67" s="101">
        <f t="shared" si="7"/>
        <v>75.090237631891597</v>
      </c>
      <c r="O67" s="101">
        <f t="shared" si="8"/>
        <v>1.7923961887820241</v>
      </c>
      <c r="P67" s="101">
        <f t="shared" si="9"/>
        <v>1.7923961887820241</v>
      </c>
      <c r="Q67" s="101">
        <f t="shared" si="10"/>
        <v>7.9706121766587021E-2</v>
      </c>
      <c r="R67" s="101">
        <f t="shared" si="11"/>
        <v>2.0882952256918861E-2</v>
      </c>
      <c r="S67" s="101">
        <f t="shared" si="13"/>
        <v>700.96008429225662</v>
      </c>
      <c r="T67" s="101">
        <f t="shared" si="14"/>
        <v>5.6549261775578943</v>
      </c>
      <c r="U67" s="101">
        <f t="shared" si="15"/>
        <v>5.6904960936175319</v>
      </c>
      <c r="V67" s="33">
        <f t="shared" si="16"/>
        <v>999.99999999999955</v>
      </c>
      <c r="W67" s="105">
        <f>IF(A67=1,((cPH1_+cPHr+(cNES*L67+(cNES+cOSEX)*G67+(cNES+cEREX)*H67+(cNES+cHOEX)*I67 + (cNES+cNES)*S67 +(cNES+ cOSEX)*N67 + (cNES+cEREX)*O67 + (cNES+cHOEX)*P67)))/(1+cDR)^A$5:A$65536,(cPHr+(cNES*L67+(cNES+cOSEX)*G67+(cNES+cEREX)*H67+(cNES+cHOEX)*I67 + (cNES+cNES)*S67 +(cNES+ cOSEX)*N67 + (cNES+cEREX)*O67 + (cNES+cHOEX)*P67))/(1+cDR)^A$5:A$65536)</f>
        <v>176889.28412588575</v>
      </c>
      <c r="X67" s="112">
        <f t="shared" si="17"/>
        <v>988.65457772882417</v>
      </c>
      <c r="Y67" s="32">
        <f>(uNES*L67+ uOCEX*G67+uEREX*'PH + UC'!H67+uHOEX*I67+uNES*S67+ uOCEX*N67+uEREX*O67+uHOEX*P67)/(1+oDR)^A$5:A$65536</f>
        <v>639.49010062679747</v>
      </c>
    </row>
    <row r="68" spans="1:27" x14ac:dyDescent="0.25">
      <c r="A68" s="4">
        <v>62</v>
      </c>
      <c r="C68" s="110">
        <f>IF(male=0,VLOOKUP(((A66:A900/'Life tables'!$I$2)*2)+age,lifetable,13,1),IF(male=1,VLOOKUP(((A66:A900/'Life tables'!$I$2)*2)+age,lifetable,10,1),"error"))</f>
        <v>9.285312807338908E-5</v>
      </c>
      <c r="F68" s="101">
        <f t="shared" si="0"/>
        <v>206.75053992107888</v>
      </c>
      <c r="G68" s="101">
        <f t="shared" si="1"/>
        <v>20.768524440112397</v>
      </c>
      <c r="H68" s="101">
        <f t="shared" si="2"/>
        <v>0.47526216662749704</v>
      </c>
      <c r="I68" s="101">
        <f t="shared" si="3"/>
        <v>0.47526216662749704</v>
      </c>
      <c r="J68" s="101">
        <f t="shared" si="4"/>
        <v>2.1214115979919946E-2</v>
      </c>
      <c r="K68" s="101">
        <f t="shared" si="5"/>
        <v>3.7255383168773491E-2</v>
      </c>
      <c r="L68" s="101">
        <f t="shared" si="12"/>
        <v>184.97302164856279</v>
      </c>
      <c r="M68" s="101">
        <f t="shared" si="6"/>
        <v>781.90403780774534</v>
      </c>
      <c r="N68" s="101">
        <f t="shared" si="7"/>
        <v>75.299052935667106</v>
      </c>
      <c r="O68" s="101">
        <f t="shared" si="8"/>
        <v>1.79738058843836</v>
      </c>
      <c r="P68" s="101">
        <f t="shared" si="9"/>
        <v>1.79738058843836</v>
      </c>
      <c r="Q68" s="101">
        <f t="shared" si="10"/>
        <v>7.9927773189652815E-2</v>
      </c>
      <c r="R68" s="101">
        <f t="shared" si="11"/>
        <v>2.0941024786142098E-2</v>
      </c>
      <c r="S68" s="101">
        <f t="shared" si="13"/>
        <v>702.90935489722574</v>
      </c>
      <c r="T68" s="101">
        <f t="shared" si="14"/>
        <v>5.7560680667274671</v>
      </c>
      <c r="U68" s="101">
        <f t="shared" si="15"/>
        <v>5.7486925015724477</v>
      </c>
      <c r="V68" s="33">
        <f t="shared" si="16"/>
        <v>999.99999999999977</v>
      </c>
      <c r="W68" s="105">
        <f>IF(A68=1,((cPH1_+cPHr+(cNES*L68+(cNES+cOSEX)*G68+(cNES+cEREX)*H68+(cNES+cHOEX)*I68 + (cNES+cNES)*S68 +(cNES+ cOSEX)*N68 + (cNES+cEREX)*O68 + (cNES+cHOEX)*P68)))/(1+cDR)^A$5:A$65536,(cPHr+(cNES*L68+(cNES+cOSEX)*G68+(cNES+cEREX)*H68+(cNES+cHOEX)*I68 + (cNES+cNES)*S68 +(cNES+ cOSEX)*N68 + (cNES+cEREX)*O68 + (cNES+cHOEX)*P68))/(1+cDR)^A$5:A$65536)</f>
        <v>176833.93837187276</v>
      </c>
      <c r="X68" s="112">
        <f t="shared" si="17"/>
        <v>988.49523943169982</v>
      </c>
      <c r="Y68" s="32">
        <f>(uNES*L68+ uOCEX*G68+uEREX*'PH + UC'!H68+uHOEX*I68+uNES*S68+ uOCEX*N68+uEREX*O68+uHOEX*P68)/(1+oDR)^A$5:A$65536</f>
        <v>639.20406678226425</v>
      </c>
    </row>
    <row r="69" spans="1:27" x14ac:dyDescent="0.25">
      <c r="A69" s="4">
        <v>63</v>
      </c>
      <c r="C69" s="110">
        <f>IF(male=0,VLOOKUP(((A67:A901/'Life tables'!$I$2)*2)+age,lifetable,13,1),IF(male=1,VLOOKUP(((A67:A901/'Life tables'!$I$2)*2)+age,lifetable,10,1),"error"))</f>
        <v>9.285312807338908E-5</v>
      </c>
      <c r="F69" s="101">
        <f t="shared" si="0"/>
        <v>204.52567211780334</v>
      </c>
      <c r="G69" s="101">
        <f t="shared" si="1"/>
        <v>20.545031812881604</v>
      </c>
      <c r="H69" s="101">
        <f t="shared" si="2"/>
        <v>0.47014781242533571</v>
      </c>
      <c r="I69" s="101">
        <f t="shared" si="3"/>
        <v>0.47014781242533571</v>
      </c>
      <c r="J69" s="101">
        <f t="shared" si="4"/>
        <v>2.0985828287724832E-2</v>
      </c>
      <c r="K69" s="101">
        <f t="shared" si="5"/>
        <v>3.6854473441802343E-2</v>
      </c>
      <c r="L69" s="101">
        <f t="shared" si="12"/>
        <v>182.98250437834153</v>
      </c>
      <c r="M69" s="101">
        <f t="shared" si="6"/>
        <v>783.96956731389639</v>
      </c>
      <c r="N69" s="101">
        <f t="shared" si="7"/>
        <v>75.497967902342452</v>
      </c>
      <c r="O69" s="101">
        <f t="shared" si="8"/>
        <v>1.8021286680743365</v>
      </c>
      <c r="P69" s="101">
        <f t="shared" si="9"/>
        <v>1.8021286680743365</v>
      </c>
      <c r="Q69" s="101">
        <f t="shared" si="10"/>
        <v>8.0138915690396342E-2</v>
      </c>
      <c r="R69" s="101">
        <f t="shared" si="11"/>
        <v>2.0996343984526201E-2</v>
      </c>
      <c r="S69" s="101">
        <f t="shared" si="13"/>
        <v>704.76620681573036</v>
      </c>
      <c r="T69" s="101">
        <f t="shared" si="14"/>
        <v>5.8571928107055884</v>
      </c>
      <c r="U69" s="101">
        <f t="shared" si="15"/>
        <v>5.8065433189987763</v>
      </c>
      <c r="V69" s="33">
        <f t="shared" si="16"/>
        <v>999.99999999999966</v>
      </c>
      <c r="W69" s="105">
        <f>IF(A69=1,((cPH1_+cPHr+(cNES*L69+(cNES+cOSEX)*G69+(cNES+cEREX)*H69+(cNES+cHOEX)*I69 + (cNES+cNES)*S69 +(cNES+ cOSEX)*N69 + (cNES+cEREX)*O69 + (cNES+cHOEX)*P69)))/(1+cDR)^A$5:A$65536,(cPHr+(cNES*L69+(cNES+cOSEX)*G69+(cNES+cEREX)*H69+(cNES+cHOEX)*I69 + (cNES+cNES)*S69 +(cNES+ cOSEX)*N69 + (cNES+cEREX)*O69 + (cNES+cHOEX)*P69))/(1+cDR)^A$5:A$65536)</f>
        <v>176770.63109295559</v>
      </c>
      <c r="X69" s="112">
        <f t="shared" si="17"/>
        <v>988.33626387029517</v>
      </c>
      <c r="Y69" s="32">
        <f>(uNES*L69+ uOCEX*G69+uEREX*'PH + UC'!H69+uHOEX*I69+uNES*S69+ uOCEX*N69+uEREX*O69+uHOEX*P69)/(1+oDR)^A$5:A$65536</f>
        <v>638.91833813503706</v>
      </c>
    </row>
    <row r="70" spans="1:27" x14ac:dyDescent="0.25">
      <c r="A70" s="4">
        <v>64</v>
      </c>
      <c r="C70" s="110">
        <f>IF(male=0,VLOOKUP(((A68:A902/'Life tables'!$I$2)*2)+age,lifetable,13,1),IF(male=1,VLOOKUP(((A68:A902/'Life tables'!$I$2)*2)+age,lifetable,10,1),"error"))</f>
        <v>9.285312807338908E-5</v>
      </c>
      <c r="F70" s="101">
        <f t="shared" si="0"/>
        <v>202.39936689628138</v>
      </c>
      <c r="G70" s="101">
        <f t="shared" si="1"/>
        <v>20.331440003268074</v>
      </c>
      <c r="H70" s="101">
        <f t="shared" si="2"/>
        <v>0.46526002627068946</v>
      </c>
      <c r="I70" s="101">
        <f t="shared" si="3"/>
        <v>0.46526002627068946</v>
      </c>
      <c r="J70" s="101">
        <f t="shared" si="4"/>
        <v>2.0767653836546638E-2</v>
      </c>
      <c r="K70" s="101">
        <f t="shared" si="5"/>
        <v>3.6471324184771121E-2</v>
      </c>
      <c r="L70" s="101">
        <f t="shared" si="12"/>
        <v>181.08016786245059</v>
      </c>
      <c r="M70" s="101">
        <f t="shared" si="6"/>
        <v>785.93689697401396</v>
      </c>
      <c r="N70" s="101">
        <f t="shared" si="7"/>
        <v>75.687426011082295</v>
      </c>
      <c r="O70" s="101">
        <f t="shared" si="8"/>
        <v>1.8066510134916443</v>
      </c>
      <c r="P70" s="101">
        <f t="shared" si="9"/>
        <v>1.8066510134916443</v>
      </c>
      <c r="Q70" s="101">
        <f t="shared" si="10"/>
        <v>8.0340020009161614E-2</v>
      </c>
      <c r="R70" s="101">
        <f t="shared" si="11"/>
        <v>2.1049033185736293E-2</v>
      </c>
      <c r="S70" s="101">
        <f t="shared" si="13"/>
        <v>706.53477988275347</v>
      </c>
      <c r="T70" s="101">
        <f t="shared" si="14"/>
        <v>5.9583004845512963</v>
      </c>
      <c r="U70" s="101">
        <f t="shared" si="15"/>
        <v>5.8640636763692839</v>
      </c>
      <c r="V70" s="33">
        <f t="shared" si="16"/>
        <v>999.99999999999966</v>
      </c>
      <c r="W70" s="105">
        <f>IF(A70=1,((cPH1_+cPHr+(cNES*L70+(cNES+cOSEX)*G70+(cNES+cEREX)*H70+(cNES+cHOEX)*I70 + (cNES+cNES)*S70 +(cNES+ cOSEX)*N70 + (cNES+cEREX)*O70 + (cNES+cHOEX)*P70)))/(1+cDR)^A$5:A$65536,(cPHr+(cNES*L70+(cNES+cOSEX)*G70+(cNES+cEREX)*H70+(cNES+cHOEX)*I70 + (cNES+cNES)*S70 +(cNES+ cOSEX)*N70 + (cNES+cEREX)*O70 + (cNES+cHOEX)*P70))/(1+cDR)^A$5:A$65536)</f>
        <v>176699.74127320197</v>
      </c>
      <c r="X70" s="112">
        <f t="shared" si="17"/>
        <v>988.17763583907913</v>
      </c>
      <c r="Y70" s="32">
        <f>(uNES*L70+ uOCEX*G70+uEREX*'PH + UC'!H70+uHOEX*I70+uNES*S70+ uOCEX*N70+uEREX*O70+uHOEX*P70)/(1+oDR)^A$5:A$65536</f>
        <v>638.63290648303837</v>
      </c>
    </row>
    <row r="71" spans="1:27" x14ac:dyDescent="0.25">
      <c r="A71" s="4">
        <v>65</v>
      </c>
      <c r="C71" s="110">
        <f>IF(male=0,VLOOKUP(((A69:A903/'Life tables'!$I$2)*2)+age,lifetable,13,1),IF(male=1,VLOOKUP(((A69:A903/'Life tables'!$I$2)*2)+age,lifetable,10,1),"error"))</f>
        <v>9.285312807338908E-5</v>
      </c>
      <c r="F71" s="101">
        <f t="shared" ref="F71:F134" si="18">E70*(1-pCAPH)+(L70+G70+H70+I70)*(1-pCAPH)+(S70+N70+O70+P70)*(pUAPH)</f>
        <v>200.36721021368771</v>
      </c>
      <c r="G71" s="101">
        <f t="shared" ref="G71:G134" si="19">F71*(rrOSEX)</f>
        <v>20.127305611431929</v>
      </c>
      <c r="H71" s="101">
        <f t="shared" ref="H71:H134" si="20">F71*rrEREX</f>
        <v>0.46058866150296174</v>
      </c>
      <c r="I71" s="101">
        <f t="shared" ref="I71:I134" si="21">F71*rrHOEX</f>
        <v>0.46058866150296174</v>
      </c>
      <c r="J71" s="101">
        <f t="shared" ref="J71:J134" si="22">F71*mr + G71*mr + H71*mr+I71*mr</f>
        <v>2.0559139713341119E-2</v>
      </c>
      <c r="K71" s="101">
        <f t="shared" ref="K71:K134" si="23">F71*amr + I71*amrHOEX</f>
        <v>3.6105140009881374E-2</v>
      </c>
      <c r="L71" s="101">
        <f t="shared" si="12"/>
        <v>179.26206299952665</v>
      </c>
      <c r="M71" s="101">
        <f t="shared" ref="M71:M134" si="24">E70*pCAPH+(L70+G70+H70+I70)*pCAPH+(S70+N70+O70+P70)*(1-pUAPH)</f>
        <v>787.81042562539142</v>
      </c>
      <c r="N71" s="101">
        <f t="shared" ref="N71:N134" si="25">M71*rrOSEXc</f>
        <v>75.867850879448625</v>
      </c>
      <c r="O71" s="101">
        <f t="shared" ref="O71:O134" si="26">M71*rrEREXc</f>
        <v>1.8109577363975782</v>
      </c>
      <c r="P71" s="101">
        <f t="shared" ref="P71:P134" si="27">M71*rrHOEXc</f>
        <v>1.8109577363975782</v>
      </c>
      <c r="Q71" s="101">
        <f t="shared" ref="Q71:Q134" si="28">M71*mr + N71*mr + O71*mr+P71*mr</f>
        <v>8.0531535803774285E-2</v>
      </c>
      <c r="R71" s="101">
        <f t="shared" ref="R71:R134" si="29">M71*amrc + P71*amrHOEX</f>
        <v>2.1099210199831325E-2</v>
      </c>
      <c r="S71" s="101">
        <f t="shared" si="13"/>
        <v>708.21902852714402</v>
      </c>
      <c r="T71" s="101">
        <f t="shared" si="14"/>
        <v>6.0593911600684116</v>
      </c>
      <c r="U71" s="101">
        <f t="shared" si="15"/>
        <v>5.9212680265789963</v>
      </c>
      <c r="V71" s="33">
        <f t="shared" si="16"/>
        <v>999.99999999999977</v>
      </c>
      <c r="W71" s="105">
        <f>IF(A71=1,((cPH1_+cPHr+(cNES*L71+(cNES+cOSEX)*G71+(cNES+cEREX)*H71+(cNES+cHOEX)*I71 + (cNES+cNES)*S71 +(cNES+ cOSEX)*N71 + (cNES+cEREX)*O71 + (cNES+cHOEX)*P71)))/(1+cDR)^A$5:A$65536,(cPHr+(cNES*L71+(cNES+cOSEX)*G71+(cNES+cEREX)*H71+(cNES+cHOEX)*I71 + (cNES+cNES)*S71 +(cNES+ cOSEX)*N71 + (cNES+cEREX)*O71 + (cNES+cHOEX)*P71))/(1+cDR)^A$5:A$65536)</f>
        <v>176621.63048965533</v>
      </c>
      <c r="X71" s="112">
        <f t="shared" si="17"/>
        <v>988.0193408133523</v>
      </c>
      <c r="Y71" s="32">
        <f>(uNES*L71+ uOCEX*G71+uEREX*'PH + UC'!H71+uHOEX*I71+uNES*S71+ uOCEX*N71+uEREX*O71+uHOEX*P71)/(1+oDR)^A$5:A$65536</f>
        <v>638.34776399133375</v>
      </c>
    </row>
    <row r="72" spans="1:27" x14ac:dyDescent="0.25">
      <c r="A72" s="4">
        <v>66</v>
      </c>
      <c r="C72" s="110">
        <f>IF(male=0,VLOOKUP(((A70:A904/'Life tables'!$I$2)*2)+age,lifetable,13,1),IF(male=1,VLOOKUP(((A70:A904/'Life tables'!$I$2)*2)+age,lifetable,10,1),"error"))</f>
        <v>9.285312807338908E-5</v>
      </c>
      <c r="F72" s="101">
        <f t="shared" si="18"/>
        <v>198.42498571381495</v>
      </c>
      <c r="G72" s="101">
        <f t="shared" si="19"/>
        <v>19.932205095567785</v>
      </c>
      <c r="H72" s="101">
        <f t="shared" si="20"/>
        <v>0.45612402588827899</v>
      </c>
      <c r="I72" s="101">
        <f t="shared" si="21"/>
        <v>0.45612402588827899</v>
      </c>
      <c r="J72" s="101">
        <f t="shared" si="22"/>
        <v>2.0359853289155377E-2</v>
      </c>
      <c r="K72" s="101">
        <f t="shared" si="23"/>
        <v>3.5755161151445697E-2</v>
      </c>
      <c r="L72" s="101">
        <f t="shared" ref="L72:L135" si="30">F72-SUM(G72:K72)</f>
        <v>177.52441755203</v>
      </c>
      <c r="M72" s="101">
        <f t="shared" si="24"/>
        <v>789.59435509953721</v>
      </c>
      <c r="N72" s="101">
        <f t="shared" si="25"/>
        <v>76.0396471529195</v>
      </c>
      <c r="O72" s="101">
        <f t="shared" si="26"/>
        <v>1.8150584956377565</v>
      </c>
      <c r="P72" s="101">
        <f t="shared" si="27"/>
        <v>1.8150584956377565</v>
      </c>
      <c r="Q72" s="101">
        <f t="shared" si="28"/>
        <v>8.0713892593740011E-2</v>
      </c>
      <c r="R72" s="101">
        <f t="shared" si="29"/>
        <v>2.1146987560643475E-2</v>
      </c>
      <c r="S72" s="101">
        <f t="shared" ref="S72:S135" si="31">M72-SUM(N72:R72)</f>
        <v>709.82273007518779</v>
      </c>
      <c r="T72" s="101">
        <f t="shared" ref="T72:T135" si="32">J72+Q72+T71</f>
        <v>6.160464905951307</v>
      </c>
      <c r="U72" s="101">
        <f t="shared" ref="U72:U135" si="33">K72+R72+U71</f>
        <v>5.9781701752910852</v>
      </c>
      <c r="V72" s="33">
        <f t="shared" ref="V72:V135" si="34">SUM(G72:I72,L72,N72,O72,P72,S72,T72,U72)</f>
        <v>999.99999999999955</v>
      </c>
      <c r="W72" s="105">
        <f>IF(A72=1,((cPH1_+cPHr+(cNES*L72+(cNES+cOSEX)*G72+(cNES+cEREX)*H72+(cNES+cHOEX)*I72 + (cNES+cNES)*S72 +(cNES+ cOSEX)*N72 + (cNES+cEREX)*O72 + (cNES+cHOEX)*P72)))/(1+cDR)^A$5:A$65536,(cPHr+(cNES*L72+(cNES+cOSEX)*G72+(cNES+cEREX)*H72+(cNES+cHOEX)*I72 + (cNES+cNES)*S72 +(cNES+ cOSEX)*N72 + (cNES+cEREX)*O72 + (cNES+cHOEX)*P72))/(1+cDR)^A$5:A$65536)</f>
        <v>176536.64371105772</v>
      </c>
      <c r="X72" s="112">
        <f t="shared" ref="X72:X135" si="35">(L72+G72+H72+I72+N72+O72+P72+S72)</f>
        <v>987.86136491875709</v>
      </c>
      <c r="Y72" s="32">
        <f>(uNES*L72+ uOCEX*G72+uEREX*'PH + UC'!H72+uHOEX*I72+uNES*S72+ uOCEX*N72+uEREX*O72+uHOEX*P72)/(1+oDR)^A$5:A$65536</f>
        <v>638.06290317558739</v>
      </c>
    </row>
    <row r="73" spans="1:27" x14ac:dyDescent="0.25">
      <c r="A73" s="4">
        <v>67</v>
      </c>
      <c r="C73" s="110">
        <f>IF(male=0,VLOOKUP(((A71:A905/'Life tables'!$I$2)*2)+age,lifetable,13,1),IF(male=1,VLOOKUP(((A71:A905/'Life tables'!$I$2)*2)+age,lifetable,10,1),"error"))</f>
        <v>9.285312807338908E-5</v>
      </c>
      <c r="F73" s="101">
        <f t="shared" si="18"/>
        <v>196.56866587351124</v>
      </c>
      <c r="G73" s="101">
        <f t="shared" si="19"/>
        <v>19.745733882545899</v>
      </c>
      <c r="H73" s="101">
        <f t="shared" si="20"/>
        <v>0.4518568612676056</v>
      </c>
      <c r="I73" s="101">
        <f t="shared" si="21"/>
        <v>0.4518568612676056</v>
      </c>
      <c r="J73" s="101">
        <f t="shared" si="22"/>
        <v>2.0169381310687701E-2</v>
      </c>
      <c r="K73" s="101">
        <f t="shared" si="23"/>
        <v>3.5420661870521397E-2</v>
      </c>
      <c r="L73" s="101">
        <f t="shared" si="30"/>
        <v>175.86362822524893</v>
      </c>
      <c r="M73" s="101">
        <f t="shared" si="24"/>
        <v>791.29269904524597</v>
      </c>
      <c r="N73" s="101">
        <f t="shared" si="25"/>
        <v>76.203201354569927</v>
      </c>
      <c r="O73" s="101">
        <f t="shared" si="26"/>
        <v>1.8189625174779138</v>
      </c>
      <c r="P73" s="101">
        <f t="shared" si="27"/>
        <v>1.8189625174779138</v>
      </c>
      <c r="Q73" s="101">
        <f t="shared" si="28"/>
        <v>8.0887500662156234E-2</v>
      </c>
      <c r="R73" s="101">
        <f t="shared" si="29"/>
        <v>2.1192472762078418E-2</v>
      </c>
      <c r="S73" s="101">
        <f t="shared" si="31"/>
        <v>711.34949268229593</v>
      </c>
      <c r="T73" s="101">
        <f t="shared" si="32"/>
        <v>6.2615217879241509</v>
      </c>
      <c r="U73" s="101">
        <f t="shared" si="33"/>
        <v>6.0347833099236849</v>
      </c>
      <c r="V73" s="33">
        <f t="shared" si="34"/>
        <v>999.99999999999955</v>
      </c>
      <c r="W73" s="105">
        <f>IF(A73=1,((cPH1_+cPHr+(cNES*L73+(cNES+cOSEX)*G73+(cNES+cEREX)*H73+(cNES+cHOEX)*I73 + (cNES+cNES)*S73 +(cNES+ cOSEX)*N73 + (cNES+cEREX)*O73 + (cNES+cHOEX)*P73)))/(1+cDR)^A$5:A$65536,(cPHr+(cNES*L73+(cNES+cOSEX)*G73+(cNES+cEREX)*H73+(cNES+cHOEX)*I73 + (cNES+cNES)*S73 +(cNES+ cOSEX)*N73 + (cNES+cEREX)*O73 + (cNES+cHOEX)*P73))/(1+cDR)^A$5:A$65536)</f>
        <v>176445.11005992361</v>
      </c>
      <c r="X73" s="112">
        <f t="shared" si="35"/>
        <v>987.70369490215171</v>
      </c>
      <c r="Y73" s="32">
        <f>(uNES*L73+ uOCEX*G73+uEREX*'PH + UC'!H73+uHOEX*I73+uNES*S73+ uOCEX*N73+uEREX*O73+uHOEX*P73)/(1+oDR)^A$5:A$65536</f>
        <v>637.77831688626702</v>
      </c>
    </row>
    <row r="74" spans="1:27" x14ac:dyDescent="0.25">
      <c r="A74" s="4">
        <v>68</v>
      </c>
      <c r="C74" s="110">
        <f>IF(male=0,VLOOKUP(((A72:A906/'Life tables'!$I$2)*2)+age,lifetable,13,1),IF(male=1,VLOOKUP(((A72:A906/'Life tables'!$I$2)*2)+age,lifetable,10,1),"error"))</f>
        <v>9.285312807338908E-5</v>
      </c>
      <c r="F74" s="101">
        <f t="shared" si="18"/>
        <v>194.79440354563209</v>
      </c>
      <c r="G74" s="101">
        <f t="shared" si="19"/>
        <v>19.567505518383975</v>
      </c>
      <c r="H74" s="101">
        <f t="shared" si="20"/>
        <v>0.44777832411633495</v>
      </c>
      <c r="I74" s="101">
        <f t="shared" si="21"/>
        <v>0.44777832411633495</v>
      </c>
      <c r="J74" s="101">
        <f t="shared" si="22"/>
        <v>1.9987329032532593E-2</v>
      </c>
      <c r="K74" s="101">
        <f t="shared" si="23"/>
        <v>3.5100948930993935E-2</v>
      </c>
      <c r="L74" s="101">
        <f t="shared" si="30"/>
        <v>174.27625310105194</v>
      </c>
      <c r="M74" s="101">
        <f t="shared" si="24"/>
        <v>792.90929135651947</v>
      </c>
      <c r="N74" s="101">
        <f t="shared" si="25"/>
        <v>76.358882696698899</v>
      </c>
      <c r="O74" s="101">
        <f t="shared" si="26"/>
        <v>1.8226786149773568</v>
      </c>
      <c r="P74" s="101">
        <f t="shared" si="27"/>
        <v>1.8226786149773568</v>
      </c>
      <c r="Q74" s="101">
        <f t="shared" si="28"/>
        <v>8.1052751917230784E-2</v>
      </c>
      <c r="R74" s="101">
        <f t="shared" si="29"/>
        <v>2.1235768483832688E-2</v>
      </c>
      <c r="S74" s="101">
        <f t="shared" si="31"/>
        <v>712.80276290946483</v>
      </c>
      <c r="T74" s="101">
        <f t="shared" si="32"/>
        <v>6.3625618688739145</v>
      </c>
      <c r="U74" s="101">
        <f t="shared" si="33"/>
        <v>6.091120027338512</v>
      </c>
      <c r="V74" s="33">
        <f t="shared" si="34"/>
        <v>999.99999999999955</v>
      </c>
      <c r="W74" s="105">
        <f>IF(A74=1,((cPH1_+cPHr+(cNES*L74+(cNES+cOSEX)*G74+(cNES+cEREX)*H74+(cNES+cHOEX)*I74 + (cNES+cNES)*S74 +(cNES+ cOSEX)*N74 + (cNES+cEREX)*O74 + (cNES+cHOEX)*P74)))/(1+cDR)^A$5:A$65536,(cPHr+(cNES*L74+(cNES+cOSEX)*G74+(cNES+cEREX)*H74+(cNES+cHOEX)*I74 + (cNES+cNES)*S74 +(cNES+ cOSEX)*N74 + (cNES+cEREX)*O74 + (cNES+cHOEX)*P74))/(1+cDR)^A$5:A$65536)</f>
        <v>176347.34353964755</v>
      </c>
      <c r="X74" s="112">
        <f t="shared" si="35"/>
        <v>987.54631810378703</v>
      </c>
      <c r="Y74" s="32">
        <f>(uNES*L74+ uOCEX*G74+uEREX*'PH + UC'!H74+uHOEX*I74+uNES*S74+ uOCEX*N74+uEREX*O74+uHOEX*P74)/(1+oDR)^A$5:A$65536</f>
        <v>637.49399829355605</v>
      </c>
    </row>
    <row r="75" spans="1:27" x14ac:dyDescent="0.25">
      <c r="A75" s="4">
        <v>69</v>
      </c>
      <c r="C75" s="110">
        <f>IF(male=0,VLOOKUP(((A73:A907/'Life tables'!$I$2)*2)+age,lifetable,13,1),IF(male=1,VLOOKUP(((A73:A907/'Life tables'!$I$2)*2)+age,lifetable,10,1),"error"))</f>
        <v>9.285312807338908E-5</v>
      </c>
      <c r="F75" s="101">
        <f t="shared" si="18"/>
        <v>193.09852388074819</v>
      </c>
      <c r="G75" s="101">
        <f t="shared" si="19"/>
        <v>19.397150856765798</v>
      </c>
      <c r="H75" s="101">
        <f t="shared" si="20"/>
        <v>0.44387996697453547</v>
      </c>
      <c r="I75" s="101">
        <f t="shared" si="21"/>
        <v>0.44387996697453547</v>
      </c>
      <c r="J75" s="101">
        <f t="shared" si="22"/>
        <v>1.9813319388289011E-2</v>
      </c>
      <c r="K75" s="101">
        <f t="shared" si="23"/>
        <v>3.4795360143910242E-2</v>
      </c>
      <c r="L75" s="101">
        <f t="shared" si="30"/>
        <v>172.75900441050112</v>
      </c>
      <c r="M75" s="101">
        <f t="shared" si="24"/>
        <v>794.44779422303884</v>
      </c>
      <c r="N75" s="101">
        <f t="shared" si="25"/>
        <v>76.507043856107316</v>
      </c>
      <c r="O75" s="101">
        <f t="shared" si="26"/>
        <v>1.8262152064947657</v>
      </c>
      <c r="P75" s="101">
        <f t="shared" si="27"/>
        <v>1.8262152064947657</v>
      </c>
      <c r="Q75" s="101">
        <f t="shared" si="28"/>
        <v>8.1210020715217268E-2</v>
      </c>
      <c r="R75" s="101">
        <f t="shared" si="29"/>
        <v>2.1276972807002144E-2</v>
      </c>
      <c r="S75" s="101">
        <f t="shared" si="31"/>
        <v>714.18583296041982</v>
      </c>
      <c r="T75" s="101">
        <f t="shared" si="32"/>
        <v>6.4635852089774204</v>
      </c>
      <c r="U75" s="101">
        <f t="shared" si="33"/>
        <v>6.1471923602894245</v>
      </c>
      <c r="V75" s="33">
        <f t="shared" si="34"/>
        <v>999.99999999999955</v>
      </c>
      <c r="W75" s="105">
        <f>IF(A75=1,((cPH1_+cPHr+(cNES*L75+(cNES+cOSEX)*G75+(cNES+cEREX)*H75+(cNES+cHOEX)*I75 + (cNES+cNES)*S75 +(cNES+ cOSEX)*N75 + (cNES+cEREX)*O75 + (cNES+cHOEX)*P75)))/(1+cDR)^A$5:A$65536,(cPHr+(cNES*L75+(cNES+cOSEX)*G75+(cNES+cEREX)*H75+(cNES+cHOEX)*I75 + (cNES+cNES)*S75 +(cNES+ cOSEX)*N75 + (cNES+cEREX)*O75 + (cNES+cHOEX)*P75))/(1+cDR)^A$5:A$65536)</f>
        <v>176243.64372824816</v>
      </c>
      <c r="X75" s="112">
        <f t="shared" si="35"/>
        <v>987.38922243073273</v>
      </c>
      <c r="Y75" s="32">
        <f>(uNES*L75+ uOCEX*G75+uEREX*'PH + UC'!H75+uHOEX*I75+uNES*S75+ uOCEX*N75+uEREX*O75+uHOEX*P75)/(1+oDR)^A$5:A$65536</f>
        <v>637.20994087295105</v>
      </c>
    </row>
    <row r="76" spans="1:27" x14ac:dyDescent="0.25">
      <c r="A76" s="4">
        <v>70</v>
      </c>
      <c r="C76" s="110">
        <f>IF(male=0,VLOOKUP(((A74:A908/'Life tables'!$I$2)*2)+age,lifetable,13,1),IF(male=1,VLOOKUP(((A74:A908/'Life tables'!$I$2)*2)+age,lifetable,10,1),"error"))</f>
        <v>9.285312807338908E-5</v>
      </c>
      <c r="F76" s="101">
        <f t="shared" si="18"/>
        <v>191.47751661064643</v>
      </c>
      <c r="G76" s="101">
        <f t="shared" si="19"/>
        <v>19.234317283902776</v>
      </c>
      <c r="H76" s="101">
        <f t="shared" si="20"/>
        <v>0.44015372070885911</v>
      </c>
      <c r="I76" s="101">
        <f t="shared" si="21"/>
        <v>0.44015372070885911</v>
      </c>
      <c r="J76" s="101">
        <f t="shared" si="22"/>
        <v>1.964699219879118E-2</v>
      </c>
      <c r="K76" s="101">
        <f t="shared" si="23"/>
        <v>3.4503262977005331E-2</v>
      </c>
      <c r="L76" s="101">
        <f t="shared" si="30"/>
        <v>171.30874163015014</v>
      </c>
      <c r="M76" s="101">
        <f t="shared" si="24"/>
        <v>795.91170582008635</v>
      </c>
      <c r="N76" s="101">
        <f t="shared" si="25"/>
        <v>76.648021714654107</v>
      </c>
      <c r="O76" s="101">
        <f t="shared" si="26"/>
        <v>1.8295803333651937</v>
      </c>
      <c r="P76" s="101">
        <f t="shared" si="27"/>
        <v>1.8295803333651937</v>
      </c>
      <c r="Q76" s="101">
        <f t="shared" si="28"/>
        <v>8.135966464649376E-2</v>
      </c>
      <c r="R76" s="101">
        <f t="shared" si="29"/>
        <v>2.1316179420034151E-2</v>
      </c>
      <c r="S76" s="101">
        <f t="shared" si="31"/>
        <v>715.50184759463536</v>
      </c>
      <c r="T76" s="101">
        <f t="shared" si="32"/>
        <v>6.5645918658227052</v>
      </c>
      <c r="U76" s="101">
        <f t="shared" si="33"/>
        <v>6.203011802686464</v>
      </c>
      <c r="V76" s="33">
        <f t="shared" si="34"/>
        <v>999.99999999999955</v>
      </c>
      <c r="W76" s="105">
        <f>IF(A76=1,((cPH1_+cPHr+(cNES*L76+(cNES+cOSEX)*G76+(cNES+cEREX)*H76+(cNES+cHOEX)*I76 + (cNES+cNES)*S76 +(cNES+ cOSEX)*N76 + (cNES+cEREX)*O76 + (cNES+cHOEX)*P76)))/(1+cDR)^A$5:A$65536,(cPHr+(cNES*L76+(cNES+cOSEX)*G76+(cNES+cEREX)*H76+(cNES+cHOEX)*I76 + (cNES+cNES)*S76 +(cNES+ cOSEX)*N76 + (cNES+cEREX)*O76 + (cNES+cHOEX)*P76))/(1+cDR)^A$5:A$65536)</f>
        <v>176134.2964402822</v>
      </c>
      <c r="X76" s="112">
        <f t="shared" si="35"/>
        <v>987.23239633149046</v>
      </c>
      <c r="Y76" s="32">
        <f>(uNES*L76+ uOCEX*G76+uEREX*'PH + UC'!H76+uHOEX*I76+uNES*S76+ uOCEX*N76+uEREX*O76+uHOEX*P76)/(1+oDR)^A$5:A$65536</f>
        <v>636.92613839150226</v>
      </c>
    </row>
    <row r="77" spans="1:27" x14ac:dyDescent="0.25">
      <c r="A77" s="4">
        <v>71</v>
      </c>
      <c r="C77" s="110">
        <f>IF(male=0,VLOOKUP(((A75:A909/'Life tables'!$I$2)*2)+age,lifetable,13,1),IF(male=1,VLOOKUP(((A75:A909/'Life tables'!$I$2)*2)+age,lifetable,10,1),"error"))</f>
        <v>9.285312807338908E-5</v>
      </c>
      <c r="F77" s="101">
        <f t="shared" si="18"/>
        <v>189.92802867742077</v>
      </c>
      <c r="G77" s="101">
        <f t="shared" si="19"/>
        <v>19.07866797811068</v>
      </c>
      <c r="H77" s="101">
        <f t="shared" si="20"/>
        <v>0.43659187756886492</v>
      </c>
      <c r="I77" s="101">
        <f t="shared" si="21"/>
        <v>0.43659187756886492</v>
      </c>
      <c r="J77" s="101">
        <f t="shared" si="22"/>
        <v>1.9488003415799451E-2</v>
      </c>
      <c r="K77" s="101">
        <f t="shared" si="23"/>
        <v>3.4224053226502391E-2</v>
      </c>
      <c r="L77" s="101">
        <f t="shared" si="30"/>
        <v>169.92246488753005</v>
      </c>
      <c r="M77" s="101">
        <f t="shared" si="24"/>
        <v>797.30436765406978</v>
      </c>
      <c r="N77" s="101">
        <f t="shared" si="25"/>
        <v>76.782138066646112</v>
      </c>
      <c r="O77" s="101">
        <f t="shared" si="26"/>
        <v>1.8327816767853902</v>
      </c>
      <c r="P77" s="101">
        <f t="shared" si="27"/>
        <v>1.8327816767853902</v>
      </c>
      <c r="Q77" s="101">
        <f t="shared" si="28"/>
        <v>8.1502025286436991E-2</v>
      </c>
      <c r="R77" s="101">
        <f t="shared" si="29"/>
        <v>2.1353477815456087E-2</v>
      </c>
      <c r="S77" s="101">
        <f t="shared" si="31"/>
        <v>716.75381073075096</v>
      </c>
      <c r="T77" s="101">
        <f t="shared" si="32"/>
        <v>6.6655818945249417</v>
      </c>
      <c r="U77" s="101">
        <f t="shared" si="33"/>
        <v>6.2585893337284224</v>
      </c>
      <c r="V77" s="33">
        <f t="shared" si="34"/>
        <v>999.99999999999966</v>
      </c>
      <c r="W77" s="105">
        <f>IF(A77=1,((cPH1_+cPHr+(cNES*L77+(cNES+cOSEX)*G77+(cNES+cEREX)*H77+(cNES+cHOEX)*I77 + (cNES+cNES)*S77 +(cNES+ cOSEX)*N77 + (cNES+cEREX)*O77 + (cNES+cHOEX)*P77)))/(1+cDR)^A$5:A$65536,(cPHr+(cNES*L77+(cNES+cOSEX)*G77+(cNES+cEREX)*H77+(cNES+cHOEX)*I77 + (cNES+cNES)*S77 +(cNES+ cOSEX)*N77 + (cNES+cEREX)*O77 + (cNES+cHOEX)*P77))/(1+cDR)^A$5:A$65536)</f>
        <v>176019.57435838593</v>
      </c>
      <c r="X77" s="112">
        <f t="shared" si="35"/>
        <v>987.07582877174627</v>
      </c>
      <c r="Y77" s="32">
        <f>(uNES*L77+ uOCEX*G77+uEREX*'PH + UC'!H77+uHOEX*I77+uNES*S77+ uOCEX*N77+uEREX*O77+uHOEX*P77)/(1+oDR)^A$5:A$65536</f>
        <v>636.64258489467909</v>
      </c>
    </row>
    <row r="78" spans="1:27" x14ac:dyDescent="0.25">
      <c r="A78" s="4">
        <v>72</v>
      </c>
      <c r="C78" s="110">
        <f>IF(male=0,VLOOKUP(((A76:A910/'Life tables'!$I$2)*2)+age,lifetable,13,1),IF(male=1,VLOOKUP(((A76:A910/'Life tables'!$I$2)*2)+age,lifetable,10,1),"error"))</f>
        <v>9.285312807338908E-5</v>
      </c>
      <c r="F78" s="101">
        <f t="shared" si="18"/>
        <v>188.44685719267579</v>
      </c>
      <c r="G78" s="101">
        <f t="shared" si="19"/>
        <v>18.929881202546923</v>
      </c>
      <c r="H78" s="101">
        <f t="shared" si="20"/>
        <v>0.43318707500218007</v>
      </c>
      <c r="I78" s="101">
        <f t="shared" si="21"/>
        <v>0.43318707500218007</v>
      </c>
      <c r="J78" s="101">
        <f t="shared" si="22"/>
        <v>1.9336024399563147E-2</v>
      </c>
      <c r="K78" s="101">
        <f t="shared" si="23"/>
        <v>3.3957153748397521E-2</v>
      </c>
      <c r="L78" s="101">
        <f t="shared" si="30"/>
        <v>168.59730866197654</v>
      </c>
      <c r="M78" s="101">
        <f t="shared" si="24"/>
        <v>798.62897157907059</v>
      </c>
      <c r="N78" s="101">
        <f t="shared" si="25"/>
        <v>76.909700294546965</v>
      </c>
      <c r="O78" s="101">
        <f t="shared" si="26"/>
        <v>1.8358265739428992</v>
      </c>
      <c r="P78" s="101">
        <f t="shared" si="27"/>
        <v>1.8358265739428992</v>
      </c>
      <c r="Q78" s="101">
        <f t="shared" si="28"/>
        <v>8.1637428912667703E-2</v>
      </c>
      <c r="R78" s="101">
        <f t="shared" si="29"/>
        <v>2.1388953477793161E-2</v>
      </c>
      <c r="S78" s="101">
        <f t="shared" si="31"/>
        <v>717.94459175424731</v>
      </c>
      <c r="T78" s="101">
        <f t="shared" si="32"/>
        <v>6.7665553478371727</v>
      </c>
      <c r="U78" s="101">
        <f t="shared" si="33"/>
        <v>6.3139354409546131</v>
      </c>
      <c r="V78" s="33">
        <f t="shared" si="34"/>
        <v>999.99999999999977</v>
      </c>
      <c r="W78" s="105">
        <f>IF(A78=1,((cPH1_+cPHr+(cNES*L78+(cNES+cOSEX)*G78+(cNES+cEREX)*H78+(cNES+cHOEX)*I78 + (cNES+cNES)*S78 +(cNES+ cOSEX)*N78 + (cNES+cEREX)*O78 + (cNES+cHOEX)*P78)))/(1+cDR)^A$5:A$65536,(cPHr+(cNES*L78+(cNES+cOSEX)*G78+(cNES+cEREX)*H78+(cNES+cHOEX)*I78 + (cNES+cNES)*S78 +(cNES+ cOSEX)*N78 + (cNES+cEREX)*O78 + (cNES+cHOEX)*P78))/(1+cDR)^A$5:A$65536)</f>
        <v>175899.73763584017</v>
      </c>
      <c r="X78" s="112">
        <f t="shared" si="35"/>
        <v>986.91950921120781</v>
      </c>
      <c r="Y78" s="32">
        <f>(uNES*L78+ uOCEX*G78+uEREX*'PH + UC'!H78+uHOEX*I78+uNES*S78+ uOCEX*N78+uEREX*O78+uHOEX*P78)/(1+oDR)^A$5:A$65536</f>
        <v>636.35927469382443</v>
      </c>
    </row>
    <row r="79" spans="1:27" x14ac:dyDescent="0.25">
      <c r="A79" s="4">
        <v>73</v>
      </c>
      <c r="C79" s="110">
        <f>IF(male=0,VLOOKUP(((A77:A911/'Life tables'!$I$2)*2)+age,lifetable,13,1),IF(male=1,VLOOKUP(((A77:A911/'Life tables'!$I$2)*2)+age,lifetable,10,1),"error"))</f>
        <v>9.285312807338908E-5</v>
      </c>
      <c r="F79" s="101">
        <f t="shared" si="18"/>
        <v>187.03094271205791</v>
      </c>
      <c r="G79" s="101">
        <f t="shared" si="19"/>
        <v>18.787649629623115</v>
      </c>
      <c r="H79" s="101">
        <f t="shared" si="20"/>
        <v>0.42993228019451196</v>
      </c>
      <c r="I79" s="101">
        <f t="shared" si="21"/>
        <v>0.42993228019451196</v>
      </c>
      <c r="J79" s="101">
        <f t="shared" si="22"/>
        <v>1.9190741228738335E-2</v>
      </c>
      <c r="K79" s="101">
        <f t="shared" si="23"/>
        <v>3.3702013246564876E-2</v>
      </c>
      <c r="L79" s="101">
        <f t="shared" si="30"/>
        <v>167.33053576757047</v>
      </c>
      <c r="M79" s="101">
        <f t="shared" si="24"/>
        <v>799.88856649914987</v>
      </c>
      <c r="N79" s="101">
        <f t="shared" si="25"/>
        <v>77.031002014423578</v>
      </c>
      <c r="O79" s="101">
        <f t="shared" si="26"/>
        <v>1.8387220334228038</v>
      </c>
      <c r="P79" s="101">
        <f t="shared" si="27"/>
        <v>1.8387220334228038</v>
      </c>
      <c r="Q79" s="101">
        <f t="shared" si="28"/>
        <v>8.1766187190173464E-2</v>
      </c>
      <c r="R79" s="101">
        <f t="shared" si="29"/>
        <v>2.1422688063070194E-2</v>
      </c>
      <c r="S79" s="101">
        <f t="shared" si="31"/>
        <v>719.07693154262745</v>
      </c>
      <c r="T79" s="101">
        <f t="shared" si="32"/>
        <v>6.8675122762560843</v>
      </c>
      <c r="U79" s="101">
        <f t="shared" si="33"/>
        <v>6.3690601422642485</v>
      </c>
      <c r="V79" s="33">
        <f t="shared" si="34"/>
        <v>999.99999999999966</v>
      </c>
      <c r="W79" s="105">
        <f>IF(A79=1,((cPH1_+cPHr+(cNES*L79+(cNES+cOSEX)*G79+(cNES+cEREX)*H79+(cNES+cHOEX)*I79 + (cNES+cNES)*S79 +(cNES+ cOSEX)*N79 + (cNES+cEREX)*O79 + (cNES+cHOEX)*P79)))/(1+cDR)^A$5:A$65536,(cPHr+(cNES*L79+(cNES+cOSEX)*G79+(cNES+cEREX)*H79+(cNES+cHOEX)*I79 + (cNES+cNES)*S79 +(cNES+ cOSEX)*N79 + (cNES+cEREX)*O79 + (cNES+cHOEX)*P79))/(1+cDR)^A$5:A$65536)</f>
        <v>175775.03447148646</v>
      </c>
      <c r="X79" s="112">
        <f t="shared" si="35"/>
        <v>986.76342758147928</v>
      </c>
      <c r="Y79" s="32">
        <f>(uNES*L79+ uOCEX*G79+uEREX*'PH + UC'!H79+uHOEX*I79+uNES*S79+ uOCEX*N79+uEREX*O79+uHOEX*P79)/(1+oDR)^A$5:A$65536</f>
        <v>636.07620235417676</v>
      </c>
    </row>
    <row r="80" spans="1:27" x14ac:dyDescent="0.25">
      <c r="A80" s="4">
        <v>74</v>
      </c>
      <c r="C80" s="110">
        <f>IF(male=0,VLOOKUP(((A78:A912/'Life tables'!$I$2)*2)+age,lifetable,13,1),IF(male=1,VLOOKUP(((A78:A912/'Life tables'!$I$2)*2)+age,lifetable,10,1),"error"))</f>
        <v>9.285312807338908E-5</v>
      </c>
      <c r="F80" s="101">
        <f t="shared" si="18"/>
        <v>185.67736281099275</v>
      </c>
      <c r="G80" s="101">
        <f t="shared" si="19"/>
        <v>18.651679695674463</v>
      </c>
      <c r="H80" s="101">
        <f t="shared" si="20"/>
        <v>0.42682077530204965</v>
      </c>
      <c r="I80" s="101">
        <f t="shared" si="21"/>
        <v>0.42682077530204965</v>
      </c>
      <c r="J80" s="101">
        <f t="shared" si="22"/>
        <v>1.9051854041211541E-2</v>
      </c>
      <c r="K80" s="101">
        <f t="shared" si="23"/>
        <v>3.3458105115137596E-2</v>
      </c>
      <c r="L80" s="101">
        <f t="shared" si="30"/>
        <v>166.11953160555782</v>
      </c>
      <c r="M80" s="101">
        <f t="shared" si="24"/>
        <v>801.08606477048647</v>
      </c>
      <c r="N80" s="101">
        <f t="shared" si="25"/>
        <v>77.146323692485964</v>
      </c>
      <c r="O80" s="101">
        <f t="shared" si="26"/>
        <v>1.841474749924465</v>
      </c>
      <c r="P80" s="101">
        <f t="shared" si="27"/>
        <v>1.841474749924465</v>
      </c>
      <c r="Q80" s="101">
        <f t="shared" si="28"/>
        <v>8.1888597825748075E-2</v>
      </c>
      <c r="R80" s="101">
        <f t="shared" si="29"/>
        <v>2.1454759570274238E-2</v>
      </c>
      <c r="S80" s="101">
        <f t="shared" si="31"/>
        <v>720.15344822075554</v>
      </c>
      <c r="T80" s="101">
        <f t="shared" si="32"/>
        <v>6.9684527281230437</v>
      </c>
      <c r="U80" s="101">
        <f t="shared" si="33"/>
        <v>6.4239730069496606</v>
      </c>
      <c r="V80" s="33">
        <f t="shared" si="34"/>
        <v>999.99999999999943</v>
      </c>
      <c r="W80" s="105">
        <f>IF(A80=1,((cPH1_+cPHr+(cNES*L80+(cNES+cOSEX)*G80+(cNES+cEREX)*H80+(cNES+cHOEX)*I80 + (cNES+cNES)*S80 +(cNES+ cOSEX)*N80 + (cNES+cEREX)*O80 + (cNES+cHOEX)*P80)))/(1+cDR)^A$5:A$65536,(cPHr+(cNES*L80+(cNES+cOSEX)*G80+(cNES+cEREX)*H80+(cNES+cHOEX)*I80 + (cNES+cNES)*S80 +(cNES+ cOSEX)*N80 + (cNES+cEREX)*O80 + (cNES+cHOEX)*P80))/(1+cDR)^A$5:A$65536)</f>
        <v>175645.70165826479</v>
      </c>
      <c r="X80" s="112">
        <f t="shared" si="35"/>
        <v>986.60757426492682</v>
      </c>
      <c r="Y80" s="32">
        <f>(uNES*L80+ uOCEX*G80+uEREX*'PH + UC'!H80+uHOEX*I80+uNES*S80+ uOCEX*N80+uEREX*O80+uHOEX*P80)/(1+oDR)^A$5:A$65536</f>
        <v>635.79336268342865</v>
      </c>
    </row>
    <row r="81" spans="1:25" x14ac:dyDescent="0.25">
      <c r="A81" s="4">
        <v>75</v>
      </c>
      <c r="C81" s="110">
        <f>IF(male=0,VLOOKUP(((A79:A913/'Life tables'!$I$2)*2)+age,lifetable,13,1),IF(male=1,VLOOKUP(((A79:A913/'Life tables'!$I$2)*2)+age,lifetable,10,1),"error"))</f>
        <v>9.285312807338908E-5</v>
      </c>
      <c r="F81" s="101">
        <f t="shared" si="18"/>
        <v>184.38332594813809</v>
      </c>
      <c r="G81" s="101">
        <f t="shared" si="19"/>
        <v>18.521690984530775</v>
      </c>
      <c r="H81" s="101">
        <f t="shared" si="20"/>
        <v>0.42384614334524362</v>
      </c>
      <c r="I81" s="101">
        <f t="shared" si="21"/>
        <v>0.42384614334524362</v>
      </c>
      <c r="J81" s="101">
        <f t="shared" si="22"/>
        <v>1.8919076404445175E-2</v>
      </c>
      <c r="K81" s="101">
        <f t="shared" si="23"/>
        <v>3.3224926332733586E-2</v>
      </c>
      <c r="L81" s="101">
        <f t="shared" si="30"/>
        <v>164.96179867417965</v>
      </c>
      <c r="M81" s="101">
        <f t="shared" si="24"/>
        <v>802.2242483167887</v>
      </c>
      <c r="N81" s="101">
        <f t="shared" si="25"/>
        <v>77.255933234014634</v>
      </c>
      <c r="O81" s="101">
        <f t="shared" si="26"/>
        <v>1.8440911183191586</v>
      </c>
      <c r="P81" s="101">
        <f t="shared" si="27"/>
        <v>1.8440911183191586</v>
      </c>
      <c r="Q81" s="101">
        <f t="shared" si="28"/>
        <v>8.2004945193120807E-2</v>
      </c>
      <c r="R81" s="101">
        <f t="shared" si="29"/>
        <v>2.148524250513811E-2</v>
      </c>
      <c r="S81" s="101">
        <f t="shared" si="31"/>
        <v>721.17664265843746</v>
      </c>
      <c r="T81" s="101">
        <f t="shared" si="32"/>
        <v>7.0693767497206101</v>
      </c>
      <c r="U81" s="101">
        <f t="shared" si="33"/>
        <v>6.4786831757875323</v>
      </c>
      <c r="V81" s="33">
        <f t="shared" si="34"/>
        <v>999.99999999999955</v>
      </c>
      <c r="W81" s="105">
        <f>IF(A81=1,((cPH1_+cPHr+(cNES*L81+(cNES+cOSEX)*G81+(cNES+cEREX)*H81+(cNES+cHOEX)*I81 + (cNES+cNES)*S81 +(cNES+ cOSEX)*N81 + (cNES+cEREX)*O81 + (cNES+cHOEX)*P81)))/(1+cDR)^A$5:A$65536,(cPHr+(cNES*L81+(cNES+cOSEX)*G81+(cNES+cEREX)*H81+(cNES+cHOEX)*I81 + (cNES+cNES)*S81 +(cNES+ cOSEX)*N81 + (cNES+cEREX)*O81 + (cNES+cHOEX)*P81))/(1+cDR)^A$5:A$65536)</f>
        <v>175511.96510658151</v>
      </c>
      <c r="X81" s="112">
        <f t="shared" si="35"/>
        <v>986.45194007449129</v>
      </c>
      <c r="Y81" s="32">
        <f>(uNES*L81+ uOCEX*G81+uEREX*'PH + UC'!H81+uHOEX*I81+uNES*S81+ uOCEX*N81+uEREX*O81+uHOEX*P81)/(1+oDR)^A$5:A$65536</f>
        <v>635.51075072080403</v>
      </c>
    </row>
    <row r="82" spans="1:25" x14ac:dyDescent="0.25">
      <c r="A82" s="4">
        <v>76</v>
      </c>
      <c r="C82" s="110">
        <f>IF(male=0,VLOOKUP(((A80:A914/'Life tables'!$I$2)*2)+age,lifetable,13,1),IF(male=1,VLOOKUP(((A80:A914/'Life tables'!$I$2)*2)+age,lifetable,10,1),"error"))</f>
        <v>9.285312807338908E-5</v>
      </c>
      <c r="F82" s="101">
        <f t="shared" si="18"/>
        <v>183.14616560366787</v>
      </c>
      <c r="G82" s="101">
        <f t="shared" si="19"/>
        <v>18.397415638694792</v>
      </c>
      <c r="H82" s="101">
        <f t="shared" si="20"/>
        <v>0.42100225473434572</v>
      </c>
      <c r="I82" s="101">
        <f t="shared" si="21"/>
        <v>0.42100225473434572</v>
      </c>
      <c r="J82" s="101">
        <f t="shared" si="22"/>
        <v>1.8792134714022666E-2</v>
      </c>
      <c r="K82" s="101">
        <f t="shared" si="23"/>
        <v>3.300199640620452E-2</v>
      </c>
      <c r="L82" s="101">
        <f t="shared" si="30"/>
        <v>163.85495132438416</v>
      </c>
      <c r="M82" s="101">
        <f t="shared" si="24"/>
        <v>803.30577447082339</v>
      </c>
      <c r="N82" s="101">
        <f t="shared" si="25"/>
        <v>77.360086545912466</v>
      </c>
      <c r="O82" s="101">
        <f t="shared" si="26"/>
        <v>1.8465772470781308</v>
      </c>
      <c r="P82" s="101">
        <f t="shared" si="27"/>
        <v>1.8465772470781308</v>
      </c>
      <c r="Q82" s="101">
        <f t="shared" si="28"/>
        <v>8.2115500930089139E-2</v>
      </c>
      <c r="R82" s="101">
        <f t="shared" si="29"/>
        <v>2.1514208036588749E-2</v>
      </c>
      <c r="S82" s="101">
        <f t="shared" si="31"/>
        <v>722.14890372178797</v>
      </c>
      <c r="T82" s="101">
        <f t="shared" si="32"/>
        <v>7.170284385364722</v>
      </c>
      <c r="U82" s="101">
        <f t="shared" si="33"/>
        <v>6.5331993802303252</v>
      </c>
      <c r="V82" s="33">
        <f t="shared" si="34"/>
        <v>999.99999999999955</v>
      </c>
      <c r="W82" s="105">
        <f>IF(A82=1,((cPH1_+cPHr+(cNES*L82+(cNES+cOSEX)*G82+(cNES+cEREX)*H82+(cNES+cHOEX)*I82 + (cNES+cNES)*S82 +(cNES+ cOSEX)*N82 + (cNES+cEREX)*O82 + (cNES+cHOEX)*P82)))/(1+cDR)^A$5:A$65536,(cPHr+(cNES*L82+(cNES+cOSEX)*G82+(cNES+cEREX)*H82+(cNES+cHOEX)*I82 + (cNES+cNES)*S82 +(cNES+ cOSEX)*N82 + (cNES+cEREX)*O82 + (cNES+cHOEX)*P82))/(1+cDR)^A$5:A$65536)</f>
        <v>175374.04034366377</v>
      </c>
      <c r="X82" s="112">
        <f t="shared" si="35"/>
        <v>986.29651623440429</v>
      </c>
      <c r="Y82" s="32">
        <f>(uNES*L82+ uOCEX*G82+uEREX*'PH + UC'!H82+uHOEX*I82+uNES*S82+ uOCEX*N82+uEREX*O82+uHOEX*P82)/(1+oDR)^A$5:A$65536</f>
        <v>635.22836172662574</v>
      </c>
    </row>
    <row r="83" spans="1:25" x14ac:dyDescent="0.25">
      <c r="A83" s="4">
        <v>77</v>
      </c>
      <c r="C83" s="110">
        <f>IF(male=0,VLOOKUP(((A81:A915/'Life tables'!$I$2)*2)+age,lifetable,13,1),IF(male=1,VLOOKUP(((A81:A915/'Life tables'!$I$2)*2)+age,lifetable,10,1),"error"))</f>
        <v>9.285312807338908E-5</v>
      </c>
      <c r="F83" s="101">
        <f t="shared" si="18"/>
        <v>181.96333468007759</v>
      </c>
      <c r="G83" s="101">
        <f t="shared" si="19"/>
        <v>18.278597796891418</v>
      </c>
      <c r="H83" s="101">
        <f t="shared" si="20"/>
        <v>0.41828325439841385</v>
      </c>
      <c r="I83" s="101">
        <f t="shared" si="21"/>
        <v>0.41828325439841385</v>
      </c>
      <c r="J83" s="101">
        <f t="shared" si="22"/>
        <v>1.8670767619130155E-2</v>
      </c>
      <c r="K83" s="101">
        <f t="shared" si="23"/>
        <v>3.2788856361689767E-2</v>
      </c>
      <c r="L83" s="101">
        <f t="shared" si="30"/>
        <v>162.79671075040852</v>
      </c>
      <c r="M83" s="101">
        <f t="shared" si="24"/>
        <v>804.33318155432676</v>
      </c>
      <c r="N83" s="101">
        <f t="shared" si="25"/>
        <v>77.45902807406226</v>
      </c>
      <c r="O83" s="101">
        <f t="shared" si="26"/>
        <v>1.8489389710992659</v>
      </c>
      <c r="P83" s="101">
        <f t="shared" si="27"/>
        <v>1.8489389710992659</v>
      </c>
      <c r="Q83" s="101">
        <f t="shared" si="28"/>
        <v>8.2220524508908294E-2</v>
      </c>
      <c r="R83" s="101">
        <f t="shared" si="29"/>
        <v>2.1541724146188879E-2</v>
      </c>
      <c r="S83" s="101">
        <f t="shared" si="31"/>
        <v>723.07251328941084</v>
      </c>
      <c r="T83" s="101">
        <f t="shared" si="32"/>
        <v>7.2711756774927601</v>
      </c>
      <c r="U83" s="101">
        <f t="shared" si="33"/>
        <v>6.5875299607382036</v>
      </c>
      <c r="V83" s="33">
        <f t="shared" si="34"/>
        <v>999.99999999999932</v>
      </c>
      <c r="W83" s="105">
        <f>IF(A83=1,((cPH1_+cPHr+(cNES*L83+(cNES+cOSEX)*G83+(cNES+cEREX)*H83+(cNES+cHOEX)*I83 + (cNES+cNES)*S83 +(cNES+ cOSEX)*N83 + (cNES+cEREX)*O83 + (cNES+cHOEX)*P83)))/(1+cDR)^A$5:A$65536,(cPHr+(cNES*L83+(cNES+cOSEX)*G83+(cNES+cEREX)*H83+(cNES+cHOEX)*I83 + (cNES+cNES)*S83 +(cNES+ cOSEX)*N83 + (cNES+cEREX)*O83 + (cNES+cHOEX)*P83))/(1+cDR)^A$5:A$65536)</f>
        <v>175232.13299000115</v>
      </c>
      <c r="X83" s="112">
        <f t="shared" si="35"/>
        <v>986.14129436176836</v>
      </c>
      <c r="Y83" s="32">
        <f>(uNES*L83+ uOCEX*G83+uEREX*'PH + UC'!H83+uHOEX*I83+uNES*S83+ uOCEX*N83+uEREX*O83+uHOEX*P83)/(1+oDR)^A$5:A$65536</f>
        <v>634.94619117235413</v>
      </c>
    </row>
    <row r="84" spans="1:25" x14ac:dyDescent="0.25">
      <c r="A84" s="4">
        <v>78</v>
      </c>
      <c r="C84" s="110">
        <f>IF(male=0,VLOOKUP(((A82:A916/'Life tables'!$I$2)*2)+age,lifetable,13,1),IF(male=1,VLOOKUP(((A82:A916/'Life tables'!$I$2)*2)+age,lifetable,10,1),"error"))</f>
        <v>9.285312807338908E-5</v>
      </c>
      <c r="F84" s="101">
        <f t="shared" si="18"/>
        <v>180.83240015375469</v>
      </c>
      <c r="G84" s="101">
        <f t="shared" si="19"/>
        <v>18.164993056806725</v>
      </c>
      <c r="H84" s="101">
        <f t="shared" si="20"/>
        <v>0.41568354949075442</v>
      </c>
      <c r="I84" s="101">
        <f t="shared" si="21"/>
        <v>0.41568354949075442</v>
      </c>
      <c r="J84" s="101">
        <f t="shared" si="22"/>
        <v>1.8554725473768557E-2</v>
      </c>
      <c r="K84" s="101">
        <f t="shared" si="23"/>
        <v>3.2585067780856847E-2</v>
      </c>
      <c r="L84" s="101">
        <f t="shared" si="30"/>
        <v>161.78490020471182</v>
      </c>
      <c r="M84" s="101">
        <f t="shared" si="24"/>
        <v>805.30889420801384</v>
      </c>
      <c r="N84" s="101">
        <f t="shared" si="25"/>
        <v>77.55299131661819</v>
      </c>
      <c r="O84" s="101">
        <f t="shared" si="26"/>
        <v>1.8511818639593001</v>
      </c>
      <c r="P84" s="101">
        <f t="shared" si="27"/>
        <v>1.8511818639593001</v>
      </c>
      <c r="Q84" s="101">
        <f t="shared" si="28"/>
        <v>8.232026378113512E-2</v>
      </c>
      <c r="R84" s="101">
        <f t="shared" si="29"/>
        <v>2.1567855770885817E-2</v>
      </c>
      <c r="S84" s="101">
        <f t="shared" si="31"/>
        <v>723.94965104392509</v>
      </c>
      <c r="T84" s="101">
        <f t="shared" si="32"/>
        <v>7.372050666747664</v>
      </c>
      <c r="U84" s="101">
        <f t="shared" si="33"/>
        <v>6.6416828842899465</v>
      </c>
      <c r="V84" s="33">
        <f t="shared" si="34"/>
        <v>999.99999999999955</v>
      </c>
      <c r="W84" s="105">
        <f>IF(A84=1,((cPH1_+cPHr+(cNES*L84+(cNES+cOSEX)*G84+(cNES+cEREX)*H84+(cNES+cHOEX)*I84 + (cNES+cNES)*S84 +(cNES+ cOSEX)*N84 + (cNES+cEREX)*O84 + (cNES+cHOEX)*P84)))/(1+cDR)^A$5:A$65536,(cPHr+(cNES*L84+(cNES+cOSEX)*G84+(cNES+cEREX)*H84+(cNES+cHOEX)*I84 + (cNES+cNES)*S84 +(cNES+ cOSEX)*N84 + (cNES+cEREX)*O84 + (cNES+cHOEX)*P84))/(1+cDR)^A$5:A$65536)</f>
        <v>175086.43921392696</v>
      </c>
      <c r="X84" s="112">
        <f t="shared" si="35"/>
        <v>985.98626644896194</v>
      </c>
      <c r="Y84" s="32">
        <f>(uNES*L84+ uOCEX*G84+uEREX*'PH + UC'!H84+uHOEX*I84+uNES*S84+ uOCEX*N84+uEREX*O84+uHOEX*P84)/(1+oDR)^A$5:A$65536</f>
        <v>634.6642347310742</v>
      </c>
    </row>
    <row r="85" spans="1:25" x14ac:dyDescent="0.25">
      <c r="A85" s="4">
        <v>79</v>
      </c>
      <c r="C85" s="110">
        <f>IF(male=0,VLOOKUP(((A83:A917/'Life tables'!$I$2)*2)+age,lifetable,13,1),IF(male=1,VLOOKUP(((A83:A917/'Life tables'!$I$2)*2)+age,lifetable,10,1),"error"))</f>
        <v>1.0096596056652363E-4</v>
      </c>
      <c r="F85" s="101">
        <f t="shared" si="18"/>
        <v>179.75103796608266</v>
      </c>
      <c r="G85" s="101">
        <f t="shared" si="19"/>
        <v>18.0563679618887</v>
      </c>
      <c r="H85" s="101">
        <f t="shared" si="20"/>
        <v>0.41319779764498782</v>
      </c>
      <c r="I85" s="101">
        <f t="shared" si="21"/>
        <v>0.41319779764498782</v>
      </c>
      <c r="J85" s="101">
        <f t="shared" si="22"/>
        <v>2.0055252571776282E-2</v>
      </c>
      <c r="K85" s="101">
        <f t="shared" si="23"/>
        <v>3.2390211880304796E-2</v>
      </c>
      <c r="L85" s="101">
        <f t="shared" si="30"/>
        <v>160.81582894445191</v>
      </c>
      <c r="M85" s="101">
        <f t="shared" si="24"/>
        <v>806.23522848287917</v>
      </c>
      <c r="N85" s="101">
        <f t="shared" si="25"/>
        <v>77.642199314309025</v>
      </c>
      <c r="O85" s="101">
        <f t="shared" si="26"/>
        <v>1.8533112496173101</v>
      </c>
      <c r="P85" s="101">
        <f t="shared" si="27"/>
        <v>1.8533112496173101</v>
      </c>
      <c r="Q85" s="101">
        <f t="shared" si="28"/>
        <v>8.9615776221703955E-2</v>
      </c>
      <c r="R85" s="101">
        <f t="shared" si="29"/>
        <v>2.1592664939367151E-2</v>
      </c>
      <c r="S85" s="101">
        <f t="shared" si="31"/>
        <v>724.77519822817442</v>
      </c>
      <c r="T85" s="101">
        <f t="shared" si="32"/>
        <v>7.4817216955411441</v>
      </c>
      <c r="U85" s="101">
        <f t="shared" si="33"/>
        <v>6.695665761109618</v>
      </c>
      <c r="V85" s="33">
        <f t="shared" si="34"/>
        <v>999.99999999999943</v>
      </c>
      <c r="W85" s="105">
        <f>IF(A85=1,((cPH1_+cPHr+(cNES*L85+(cNES+cOSEX)*G85+(cNES+cEREX)*H85+(cNES+cHOEX)*I85 + (cNES+cNES)*S85 +(cNES+ cOSEX)*N85 + (cNES+cEREX)*O85 + (cNES+cHOEX)*P85)))/(1+cDR)^A$5:A$65536,(cPHr+(cNES*L85+(cNES+cOSEX)*G85+(cNES+cEREX)*H85+(cNES+cHOEX)*I85 + (cNES+cNES)*S85 +(cNES+ cOSEX)*N85 + (cNES+cEREX)*O85 + (cNES+cHOEX)*P85))/(1+cDR)^A$5:A$65536)</f>
        <v>174935.79449275701</v>
      </c>
      <c r="X85" s="112">
        <f t="shared" si="35"/>
        <v>985.82261254334867</v>
      </c>
      <c r="Y85" s="32">
        <f>(uNES*L85+ uOCEX*G85+uEREX*'PH + UC'!H85+uHOEX*I85+uNES*S85+ uOCEX*N85+uEREX*O85+uHOEX*P85)/(1+oDR)^A$5:A$65536</f>
        <v>634.37672528721941</v>
      </c>
    </row>
    <row r="86" spans="1:25" x14ac:dyDescent="0.25">
      <c r="A86" s="4">
        <v>80</v>
      </c>
      <c r="C86" s="110">
        <f>IF(male=0,VLOOKUP(((A84:A918/'Life tables'!$I$2)*2)+age,lifetable,13,1),IF(male=1,VLOOKUP(((A84:A918/'Life tables'!$I$2)*2)+age,lifetable,10,1),"error"))</f>
        <v>1.0096596056652363E-4</v>
      </c>
      <c r="F86" s="101">
        <f t="shared" si="18"/>
        <v>178.71542567856</v>
      </c>
      <c r="G86" s="101">
        <f t="shared" si="19"/>
        <v>17.952338540189945</v>
      </c>
      <c r="H86" s="101">
        <f t="shared" si="20"/>
        <v>0.41081721213482686</v>
      </c>
      <c r="I86" s="101">
        <f t="shared" si="21"/>
        <v>0.41081721213482686</v>
      </c>
      <c r="J86" s="101">
        <f t="shared" si="22"/>
        <v>1.9939706835697579E-2</v>
      </c>
      <c r="K86" s="101">
        <f t="shared" si="23"/>
        <v>3.220359987628936E-2</v>
      </c>
      <c r="L86" s="101">
        <f t="shared" si="30"/>
        <v>159.8893094073884</v>
      </c>
      <c r="M86" s="101">
        <f t="shared" si="24"/>
        <v>807.10718686478845</v>
      </c>
      <c r="N86" s="101">
        <f t="shared" si="25"/>
        <v>77.726170795695879</v>
      </c>
      <c r="O86" s="101">
        <f t="shared" si="26"/>
        <v>1.8553156401739366</v>
      </c>
      <c r="P86" s="101">
        <f t="shared" si="27"/>
        <v>1.8553156401739366</v>
      </c>
      <c r="Q86" s="101">
        <f t="shared" si="28"/>
        <v>8.9712697349021667E-2</v>
      </c>
      <c r="R86" s="101">
        <f t="shared" si="29"/>
        <v>2.161601780775653E-2</v>
      </c>
      <c r="S86" s="101">
        <f t="shared" si="31"/>
        <v>725.55905607358795</v>
      </c>
      <c r="T86" s="101">
        <f t="shared" si="32"/>
        <v>7.5913740997258632</v>
      </c>
      <c r="U86" s="101">
        <f t="shared" si="33"/>
        <v>6.7494853787936639</v>
      </c>
      <c r="V86" s="33">
        <f t="shared" si="34"/>
        <v>999.9999999999992</v>
      </c>
      <c r="W86" s="105">
        <f>IF(A86=1,((cPH1_+cPHr+(cNES*L86+(cNES+cOSEX)*G86+(cNES+cEREX)*H86+(cNES+cHOEX)*I86 + (cNES+cNES)*S86 +(cNES+ cOSEX)*N86 + (cNES+cEREX)*O86 + (cNES+cHOEX)*P86)))/(1+cDR)^A$5:A$65536,(cPHr+(cNES*L86+(cNES+cOSEX)*G86+(cNES+cEREX)*H86+(cNES+cHOEX)*I86 + (cNES+cNES)*S86 +(cNES+ cOSEX)*N86 + (cNES+cEREX)*O86 + (cNES+cHOEX)*P86))/(1+cDR)^A$5:A$65536)</f>
        <v>174781.5199244236</v>
      </c>
      <c r="X86" s="112">
        <f t="shared" si="35"/>
        <v>985.65914052147969</v>
      </c>
      <c r="Y86" s="32">
        <f>(uNES*L86+ uOCEX*G86+uEREX*'PH + UC'!H86+uHOEX*I86+uNES*S86+ uOCEX*N86+uEREX*O86+uHOEX*P86)/(1+oDR)^A$5:A$65536</f>
        <v>634.0895192905474</v>
      </c>
    </row>
    <row r="87" spans="1:25" x14ac:dyDescent="0.25">
      <c r="A87" s="4">
        <v>81</v>
      </c>
      <c r="C87" s="110">
        <f>IF(male=0,VLOOKUP(((A85:A919/'Life tables'!$I$2)*2)+age,lifetable,13,1),IF(male=1,VLOOKUP(((A85:A919/'Life tables'!$I$2)*2)+age,lifetable,10,1),"error"))</f>
        <v>1.0096596056652363E-4</v>
      </c>
      <c r="F87" s="101">
        <f t="shared" si="18"/>
        <v>177.72506314629717</v>
      </c>
      <c r="G87" s="101">
        <f t="shared" si="19"/>
        <v>17.852854551109562</v>
      </c>
      <c r="H87" s="101">
        <f t="shared" si="20"/>
        <v>0.408540643265843</v>
      </c>
      <c r="I87" s="101">
        <f t="shared" si="21"/>
        <v>0.408540643265843</v>
      </c>
      <c r="J87" s="101">
        <f t="shared" si="22"/>
        <v>1.9829209722874774E-2</v>
      </c>
      <c r="K87" s="101">
        <f t="shared" si="23"/>
        <v>3.2025141645275632E-2</v>
      </c>
      <c r="L87" s="101">
        <f t="shared" si="30"/>
        <v>159.00327295728778</v>
      </c>
      <c r="M87" s="101">
        <f t="shared" si="24"/>
        <v>807.93407737518237</v>
      </c>
      <c r="N87" s="101">
        <f t="shared" si="25"/>
        <v>77.805802143410531</v>
      </c>
      <c r="O87" s="101">
        <f t="shared" si="26"/>
        <v>1.8572164321896842</v>
      </c>
      <c r="P87" s="101">
        <f t="shared" si="27"/>
        <v>1.8572164321896842</v>
      </c>
      <c r="Q87" s="101">
        <f t="shared" si="28"/>
        <v>8.9804609029783558E-2</v>
      </c>
      <c r="R87" s="101">
        <f t="shared" si="29"/>
        <v>2.1638163664327539E-2</v>
      </c>
      <c r="S87" s="101">
        <f t="shared" si="31"/>
        <v>726.30239959469839</v>
      </c>
      <c r="T87" s="101">
        <f t="shared" si="32"/>
        <v>7.7010079184785214</v>
      </c>
      <c r="U87" s="101">
        <f t="shared" si="33"/>
        <v>6.8031486841032667</v>
      </c>
      <c r="V87" s="33">
        <f t="shared" si="34"/>
        <v>999.99999999999898</v>
      </c>
      <c r="W87" s="105">
        <f>IF(A87=1,((cPH1_+cPHr+(cNES*L87+(cNES+cOSEX)*G87+(cNES+cEREX)*H87+(cNES+cHOEX)*I87 + (cNES+cNES)*S87 +(cNES+ cOSEX)*N87 + (cNES+cEREX)*O87 + (cNES+cHOEX)*P87)))/(1+cDR)^A$5:A$65536,(cPHr+(cNES*L87+(cNES+cOSEX)*G87+(cNES+cEREX)*H87+(cNES+cHOEX)*I87 + (cNES+cNES)*S87 +(cNES+ cOSEX)*N87 + (cNES+cEREX)*O87 + (cNES+cHOEX)*P87))/(1+cDR)^A$5:A$65536)</f>
        <v>174623.99778650221</v>
      </c>
      <c r="X87" s="112">
        <f t="shared" si="35"/>
        <v>985.49584339741727</v>
      </c>
      <c r="Y87" s="32">
        <f>(uNES*L87+ uOCEX*G87+uEREX*'PH + UC'!H87+uHOEX*I87+uNES*S87+ uOCEX*N87+uEREX*O87+uHOEX*P87)/(1+oDR)^A$5:A$65536</f>
        <v>633.80252064737044</v>
      </c>
    </row>
    <row r="88" spans="1:25" x14ac:dyDescent="0.25">
      <c r="A88" s="4">
        <v>82</v>
      </c>
      <c r="C88" s="110">
        <f>IF(male=0,VLOOKUP(((A86:A920/'Life tables'!$I$2)*2)+age,lifetable,13,1),IF(male=1,VLOOKUP(((A86:A920/'Life tables'!$I$2)*2)+age,lifetable,10,1),"error"))</f>
        <v>1.0096596056652363E-4</v>
      </c>
      <c r="F88" s="101">
        <f t="shared" si="18"/>
        <v>176.77792361853236</v>
      </c>
      <c r="G88" s="101">
        <f t="shared" si="19"/>
        <v>17.757712403291766</v>
      </c>
      <c r="H88" s="101">
        <f t="shared" si="20"/>
        <v>0.4063634320999816</v>
      </c>
      <c r="I88" s="101">
        <f t="shared" si="21"/>
        <v>0.4063634320999816</v>
      </c>
      <c r="J88" s="101">
        <f t="shared" si="22"/>
        <v>1.9723535103885262E-2</v>
      </c>
      <c r="K88" s="101">
        <f t="shared" si="23"/>
        <v>3.1854471977207831E-2</v>
      </c>
      <c r="L88" s="101">
        <f t="shared" si="30"/>
        <v>158.15590634395954</v>
      </c>
      <c r="M88" s="101">
        <f t="shared" si="24"/>
        <v>808.71791977888506</v>
      </c>
      <c r="N88" s="101">
        <f t="shared" si="25"/>
        <v>77.881287865181591</v>
      </c>
      <c r="O88" s="101">
        <f t="shared" si="26"/>
        <v>1.8590182685438745</v>
      </c>
      <c r="P88" s="101">
        <f t="shared" si="27"/>
        <v>1.8590182685438745</v>
      </c>
      <c r="Q88" s="101">
        <f t="shared" si="28"/>
        <v>8.9891735767690439E-2</v>
      </c>
      <c r="R88" s="101">
        <f t="shared" si="29"/>
        <v>2.1659156602604708E-2</v>
      </c>
      <c r="S88" s="101">
        <f t="shared" si="31"/>
        <v>727.0070444842454</v>
      </c>
      <c r="T88" s="101">
        <f t="shared" si="32"/>
        <v>7.810623189350097</v>
      </c>
      <c r="U88" s="101">
        <f t="shared" si="33"/>
        <v>6.8566623126830795</v>
      </c>
      <c r="V88" s="33">
        <f t="shared" si="34"/>
        <v>999.99999999999909</v>
      </c>
      <c r="W88" s="105">
        <f>IF(A88=1,((cPH1_+cPHr+(cNES*L88+(cNES+cOSEX)*G88+(cNES+cEREX)*H88+(cNES+cHOEX)*I88 + (cNES+cNES)*S88 +(cNES+ cOSEX)*N88 + (cNES+cEREX)*O88 + (cNES+cHOEX)*P88)))/(1+cDR)^A$5:A$65536,(cPHr+(cNES*L88+(cNES+cOSEX)*G88+(cNES+cEREX)*H88+(cNES+cHOEX)*I88 + (cNES+cNES)*S88 +(cNES+ cOSEX)*N88 + (cNES+cEREX)*O88 + (cNES+cHOEX)*P88))/(1+cDR)^A$5:A$65536)</f>
        <v>174463.3906632401</v>
      </c>
      <c r="X88" s="112">
        <f t="shared" si="35"/>
        <v>985.33271449796598</v>
      </c>
      <c r="Y88" s="32">
        <f>(uNES*L88+ uOCEX*G88+uEREX*'PH + UC'!H88+uHOEX*I88+uNES*S88+ uOCEX*N88+uEREX*O88+uHOEX*P88)/(1+oDR)^A$5:A$65536</f>
        <v>633.51572574406259</v>
      </c>
    </row>
    <row r="89" spans="1:25" x14ac:dyDescent="0.25">
      <c r="A89" s="4">
        <v>83</v>
      </c>
      <c r="C89" s="110">
        <f>IF(male=0,VLOOKUP(((A87:A921/'Life tables'!$I$2)*2)+age,lifetable,13,1),IF(male=1,VLOOKUP(((A87:A921/'Life tables'!$I$2)*2)+age,lifetable,10,1),"error"))</f>
        <v>1.0096596056652363E-4</v>
      </c>
      <c r="F89" s="101">
        <f t="shared" si="18"/>
        <v>175.87207113157194</v>
      </c>
      <c r="G89" s="101">
        <f t="shared" si="19"/>
        <v>17.666717625131792</v>
      </c>
      <c r="H89" s="101">
        <f t="shared" si="20"/>
        <v>0.40428112839348557</v>
      </c>
      <c r="I89" s="101">
        <f t="shared" si="21"/>
        <v>0.40428112839348557</v>
      </c>
      <c r="J89" s="101">
        <f t="shared" si="22"/>
        <v>1.962246697863643E-2</v>
      </c>
      <c r="K89" s="101">
        <f t="shared" si="23"/>
        <v>3.1691242021392584E-2</v>
      </c>
      <c r="L89" s="101">
        <f t="shared" si="30"/>
        <v>157.34547754065315</v>
      </c>
      <c r="M89" s="101">
        <f t="shared" si="24"/>
        <v>809.46064336639415</v>
      </c>
      <c r="N89" s="101">
        <f t="shared" si="25"/>
        <v>77.952813755864057</v>
      </c>
      <c r="O89" s="101">
        <f t="shared" si="26"/>
        <v>1.8607255841404367</v>
      </c>
      <c r="P89" s="101">
        <f t="shared" si="27"/>
        <v>1.8607255841404367</v>
      </c>
      <c r="Q89" s="101">
        <f t="shared" si="28"/>
        <v>8.9974292009915219E-2</v>
      </c>
      <c r="R89" s="101">
        <f t="shared" si="29"/>
        <v>2.1679048293020951E-2</v>
      </c>
      <c r="S89" s="101">
        <f t="shared" si="31"/>
        <v>727.67472510194625</v>
      </c>
      <c r="T89" s="101">
        <f t="shared" si="32"/>
        <v>7.9202199483386488</v>
      </c>
      <c r="U89" s="101">
        <f t="shared" si="33"/>
        <v>6.910032602997493</v>
      </c>
      <c r="V89" s="33">
        <f t="shared" si="34"/>
        <v>999.9999999999992</v>
      </c>
      <c r="W89" s="105">
        <f>IF(A89=1,((cPH1_+cPHr+(cNES*L89+(cNES+cOSEX)*G89+(cNES+cEREX)*H89+(cNES+cHOEX)*I89 + (cNES+cNES)*S89 +(cNES+ cOSEX)*N89 + (cNES+cEREX)*O89 + (cNES+cHOEX)*P89)))/(1+cDR)^A$5:A$65536,(cPHr+(cNES*L89+(cNES+cOSEX)*G89+(cNES+cEREX)*H89+(cNES+cHOEX)*I89 + (cNES+cNES)*S89 +(cNES+ cOSEX)*N89 + (cNES+cEREX)*O89 + (cNES+cHOEX)*P89))/(1+cDR)^A$5:A$65536)</f>
        <v>174299.85365975488</v>
      </c>
      <c r="X89" s="112">
        <f t="shared" si="35"/>
        <v>985.16974744866297</v>
      </c>
      <c r="Y89" s="32">
        <f>(uNES*L89+ uOCEX*G89+uEREX*'PH + UC'!H89+uHOEX*I89+uNES*S89+ uOCEX*N89+uEREX*O89+uHOEX*P89)/(1+oDR)^A$5:A$65536</f>
        <v>633.22913112728168</v>
      </c>
    </row>
    <row r="90" spans="1:25" x14ac:dyDescent="0.25">
      <c r="A90" s="4">
        <v>84</v>
      </c>
      <c r="C90" s="110">
        <f>IF(male=0,VLOOKUP(((A88:A922/'Life tables'!$I$2)*2)+age,lifetable,13,1),IF(male=1,VLOOKUP(((A88:A922/'Life tables'!$I$2)*2)+age,lifetable,10,1),"error"))</f>
        <v>1.0096596056652363E-4</v>
      </c>
      <c r="F90" s="101">
        <f t="shared" si="18"/>
        <v>175.00565644203772</v>
      </c>
      <c r="G90" s="101">
        <f t="shared" si="19"/>
        <v>17.579684456262036</v>
      </c>
      <c r="H90" s="101">
        <f t="shared" si="20"/>
        <v>0.40228948124855862</v>
      </c>
      <c r="I90" s="101">
        <f t="shared" si="21"/>
        <v>0.40228948124855862</v>
      </c>
      <c r="J90" s="101">
        <f t="shared" si="22"/>
        <v>1.9525799022628385E-2</v>
      </c>
      <c r="K90" s="101">
        <f t="shared" si="23"/>
        <v>3.1535118553691004E-2</v>
      </c>
      <c r="L90" s="101">
        <f t="shared" si="30"/>
        <v>156.57033210570225</v>
      </c>
      <c r="M90" s="101">
        <f t="shared" si="24"/>
        <v>810.16409100662543</v>
      </c>
      <c r="N90" s="101">
        <f t="shared" si="25"/>
        <v>78.020557287727328</v>
      </c>
      <c r="O90" s="101">
        <f t="shared" si="26"/>
        <v>1.8623426152240456</v>
      </c>
      <c r="P90" s="101">
        <f t="shared" si="27"/>
        <v>1.8623426152240456</v>
      </c>
      <c r="Q90" s="101">
        <f t="shared" si="28"/>
        <v>9.005248259757942E-2</v>
      </c>
      <c r="R90" s="101">
        <f t="shared" si="29"/>
        <v>2.1697888091458541E-2</v>
      </c>
      <c r="S90" s="101">
        <f t="shared" si="31"/>
        <v>728.30709811776092</v>
      </c>
      <c r="T90" s="101">
        <f t="shared" si="32"/>
        <v>8.0297982299588568</v>
      </c>
      <c r="U90" s="101">
        <f t="shared" si="33"/>
        <v>6.9632656096426429</v>
      </c>
      <c r="V90" s="33">
        <f t="shared" si="34"/>
        <v>999.99999999999932</v>
      </c>
      <c r="W90" s="105">
        <f>IF(A90=1,((cPH1_+cPHr+(cNES*L90+(cNES+cOSEX)*G90+(cNES+cEREX)*H90+(cNES+cHOEX)*I90 + (cNES+cNES)*S90 +(cNES+ cOSEX)*N90 + (cNES+cEREX)*O90 + (cNES+cHOEX)*P90)))/(1+cDR)^A$5:A$65536,(cPHr+(cNES*L90+(cNES+cOSEX)*G90+(cNES+cEREX)*H90+(cNES+cHOEX)*I90 + (cNES+cNES)*S90 +(cNES+ cOSEX)*N90 + (cNES+cEREX)*O90 + (cNES+cHOEX)*P90))/(1+cDR)^A$5:A$65536)</f>
        <v>174133.53474529253</v>
      </c>
      <c r="X90" s="112">
        <f t="shared" si="35"/>
        <v>985.00693616039769</v>
      </c>
      <c r="Y90" s="32">
        <f>(uNES*L90+ uOCEX*G90+uEREX*'PH + UC'!H90+uHOEX*I90+uNES*S90+ uOCEX*N90+uEREX*O90+uHOEX*P90)/(1+oDR)^A$5:A$65536</f>
        <v>632.9427334967462</v>
      </c>
    </row>
    <row r="91" spans="1:25" x14ac:dyDescent="0.25">
      <c r="A91" s="4">
        <v>85</v>
      </c>
      <c r="C91" s="110">
        <f>IF(male=0,VLOOKUP(((A89:A923/'Life tables'!$I$2)*2)+age,lifetable,13,1),IF(male=1,VLOOKUP(((A89:A923/'Life tables'!$I$2)*2)+age,lifetable,10,1),"error"))</f>
        <v>1.0096596056652363E-4</v>
      </c>
      <c r="F91" s="101">
        <f t="shared" si="18"/>
        <v>174.17691314228196</v>
      </c>
      <c r="G91" s="101">
        <f t="shared" si="19"/>
        <v>17.496435457337405</v>
      </c>
      <c r="H91" s="101">
        <f t="shared" si="20"/>
        <v>0.40038443018378128</v>
      </c>
      <c r="I91" s="101">
        <f t="shared" si="21"/>
        <v>0.40038443018378128</v>
      </c>
      <c r="J91" s="101">
        <f t="shared" si="22"/>
        <v>1.9433334153541475E-2</v>
      </c>
      <c r="K91" s="101">
        <f t="shared" si="23"/>
        <v>3.1385783276536516E-2</v>
      </c>
      <c r="L91" s="101">
        <f t="shared" si="30"/>
        <v>155.82888970714691</v>
      </c>
      <c r="M91" s="101">
        <f t="shared" si="24"/>
        <v>810.83002301811575</v>
      </c>
      <c r="N91" s="101">
        <f t="shared" si="25"/>
        <v>78.084687983260451</v>
      </c>
      <c r="O91" s="101">
        <f t="shared" si="26"/>
        <v>1.8638734082789432</v>
      </c>
      <c r="P91" s="101">
        <f t="shared" si="27"/>
        <v>1.8638734082789432</v>
      </c>
      <c r="Q91" s="101">
        <f t="shared" si="28"/>
        <v>9.0126503196050256E-2</v>
      </c>
      <c r="R91" s="101">
        <f t="shared" si="29"/>
        <v>2.1715723142928033E-2</v>
      </c>
      <c r="S91" s="101">
        <f t="shared" si="31"/>
        <v>728.90574599195838</v>
      </c>
      <c r="T91" s="101">
        <f t="shared" si="32"/>
        <v>8.1393580673084482</v>
      </c>
      <c r="U91" s="101">
        <f t="shared" si="33"/>
        <v>7.0163671160621073</v>
      </c>
      <c r="V91" s="33">
        <f t="shared" si="34"/>
        <v>999.9999999999992</v>
      </c>
      <c r="W91" s="105">
        <f>IF(A91=1,((cPH1_+cPHr+(cNES*L91+(cNES+cOSEX)*G91+(cNES+cEREX)*H91+(cNES+cHOEX)*I91 + (cNES+cNES)*S91 +(cNES+ cOSEX)*N91 + (cNES+cEREX)*O91 + (cNES+cHOEX)*P91)))/(1+cDR)^A$5:A$65536,(cPHr+(cNES*L91+(cNES+cOSEX)*G91+(cNES+cEREX)*H91+(cNES+cHOEX)*I91 + (cNES+cNES)*S91 +(cNES+ cOSEX)*N91 + (cNES+cEREX)*O91 + (cNES+cHOEX)*P91))/(1+cDR)^A$5:A$65536)</f>
        <v>173964.57508073183</v>
      </c>
      <c r="X91" s="112">
        <f t="shared" si="35"/>
        <v>984.84427481662863</v>
      </c>
      <c r="Y91" s="32">
        <f>(uNES*L91+ uOCEX*G91+uEREX*'PH + UC'!H91+uHOEX*I91+uNES*S91+ uOCEX*N91+uEREX*O91+uHOEX*P91)/(1+oDR)^A$5:A$65536</f>
        <v>632.65652969833934</v>
      </c>
    </row>
    <row r="92" spans="1:25" x14ac:dyDescent="0.25">
      <c r="A92" s="4">
        <v>86</v>
      </c>
      <c r="C92" s="110">
        <f>IF(male=0,VLOOKUP(((A90:A924/'Life tables'!$I$2)*2)+age,lifetable,13,1),IF(male=1,VLOOKUP(((A90:A924/'Life tables'!$I$2)*2)+age,lifetable,10,1),"error"))</f>
        <v>1.0096596056652363E-4</v>
      </c>
      <c r="F92" s="101">
        <f t="shared" si="18"/>
        <v>173.38415394980987</v>
      </c>
      <c r="G92" s="101">
        <f t="shared" si="19"/>
        <v>17.416801137300006</v>
      </c>
      <c r="H92" s="101">
        <f t="shared" si="20"/>
        <v>0.39856209660452208</v>
      </c>
      <c r="I92" s="101">
        <f t="shared" si="21"/>
        <v>0.39856209660452208</v>
      </c>
      <c r="J92" s="101">
        <f t="shared" si="22"/>
        <v>1.9344884117238351E-2</v>
      </c>
      <c r="K92" s="101">
        <f t="shared" si="23"/>
        <v>3.124293215030783E-2</v>
      </c>
      <c r="L92" s="101">
        <f t="shared" si="30"/>
        <v>155.11964080303326</v>
      </c>
      <c r="M92" s="101">
        <f t="shared" si="24"/>
        <v>811.46012086681867</v>
      </c>
      <c r="N92" s="101">
        <f t="shared" si="25"/>
        <v>78.145367771277861</v>
      </c>
      <c r="O92" s="101">
        <f t="shared" si="26"/>
        <v>1.8653218285291451</v>
      </c>
      <c r="P92" s="101">
        <f t="shared" si="27"/>
        <v>1.8653218285291451</v>
      </c>
      <c r="Q92" s="101">
        <f t="shared" si="28"/>
        <v>9.0196540705963321E-2</v>
      </c>
      <c r="R92" s="101">
        <f t="shared" si="29"/>
        <v>2.1732598480602945E-2</v>
      </c>
      <c r="S92" s="101">
        <f t="shared" si="31"/>
        <v>729.47218029929593</v>
      </c>
      <c r="T92" s="101">
        <f t="shared" si="32"/>
        <v>8.2488994921316507</v>
      </c>
      <c r="U92" s="101">
        <f t="shared" si="33"/>
        <v>7.069342646693018</v>
      </c>
      <c r="V92" s="33">
        <f t="shared" si="34"/>
        <v>999.99999999999909</v>
      </c>
      <c r="W92" s="105">
        <f>IF(A92=1,((cPH1_+cPHr+(cNES*L92+(cNES+cOSEX)*G92+(cNES+cEREX)*H92+(cNES+cHOEX)*I92 + (cNES+cNES)*S92 +(cNES+ cOSEX)*N92 + (cNES+cEREX)*O92 + (cNES+cHOEX)*P92)))/(1+cDR)^A$5:A$65536,(cPHr+(cNES*L92+(cNES+cOSEX)*G92+(cNES+cEREX)*H92+(cNES+cHOEX)*I92 + (cNES+cNES)*S92 +(cNES+ cOSEX)*N92 + (cNES+cEREX)*O92 + (cNES+cHOEX)*P92))/(1+cDR)^A$5:A$65536)</f>
        <v>173793.1093310593</v>
      </c>
      <c r="X92" s="112">
        <f t="shared" si="35"/>
        <v>984.68175786117445</v>
      </c>
      <c r="Y92" s="32">
        <f>(uNES*L92+ uOCEX*G92+uEREX*'PH + UC'!H92+uHOEX*I92+uNES*S92+ uOCEX*N92+uEREX*O92+uHOEX*P92)/(1+oDR)^A$5:A$65536</f>
        <v>632.37051671752135</v>
      </c>
    </row>
    <row r="93" spans="1:25" x14ac:dyDescent="0.25">
      <c r="A93" s="4">
        <v>87</v>
      </c>
      <c r="C93" s="110">
        <f>IF(male=0,VLOOKUP(((A91:A925/'Life tables'!$I$2)*2)+age,lifetable,13,1),IF(male=1,VLOOKUP(((A91:A925/'Life tables'!$I$2)*2)+age,lifetable,10,1),"error"))</f>
        <v>1.0096596056652363E-4</v>
      </c>
      <c r="F93" s="101">
        <f t="shared" si="18"/>
        <v>172.62576716291528</v>
      </c>
      <c r="G93" s="101">
        <f t="shared" si="19"/>
        <v>17.340619597340346</v>
      </c>
      <c r="H93" s="101">
        <f t="shared" si="20"/>
        <v>0.39681877565542673</v>
      </c>
      <c r="I93" s="101">
        <f t="shared" si="21"/>
        <v>0.39681877565542673</v>
      </c>
      <c r="J93" s="101">
        <f t="shared" si="22"/>
        <v>1.9260269092310711E-2</v>
      </c>
      <c r="K93" s="101">
        <f t="shared" si="23"/>
        <v>3.1106274754652767E-2</v>
      </c>
      <c r="L93" s="101">
        <f t="shared" si="30"/>
        <v>154.44114347041713</v>
      </c>
      <c r="M93" s="101">
        <f t="shared" si="24"/>
        <v>812.05599069825894</v>
      </c>
      <c r="N93" s="101">
        <f t="shared" si="25"/>
        <v>78.202751327073514</v>
      </c>
      <c r="O93" s="101">
        <f t="shared" si="26"/>
        <v>1.8666915680578853</v>
      </c>
      <c r="P93" s="101">
        <f t="shared" si="27"/>
        <v>1.8666915680578853</v>
      </c>
      <c r="Q93" s="101">
        <f t="shared" si="28"/>
        <v>9.0262773655833461E-2</v>
      </c>
      <c r="R93" s="101">
        <f t="shared" si="29"/>
        <v>2.1748557120418247E-2</v>
      </c>
      <c r="S93" s="101">
        <f t="shared" si="31"/>
        <v>730.00784490429339</v>
      </c>
      <c r="T93" s="101">
        <f t="shared" si="32"/>
        <v>8.3584225348797947</v>
      </c>
      <c r="U93" s="101">
        <f t="shared" si="33"/>
        <v>7.122197478568089</v>
      </c>
      <c r="V93" s="33">
        <f t="shared" si="34"/>
        <v>999.99999999999886</v>
      </c>
      <c r="W93" s="105">
        <f>IF(A93=1,((cPH1_+cPHr+(cNES*L93+(cNES+cOSEX)*G93+(cNES+cEREX)*H93+(cNES+cHOEX)*I93 + (cNES+cNES)*S93 +(cNES+ cOSEX)*N93 + (cNES+cEREX)*O93 + (cNES+cHOEX)*P93)))/(1+cDR)^A$5:A$65536,(cPHr+(cNES*L93+(cNES+cOSEX)*G93+(cNES+cEREX)*H93+(cNES+cHOEX)*I93 + (cNES+cNES)*S93 +(cNES+ cOSEX)*N93 + (cNES+cEREX)*O93 + (cNES+cHOEX)*P93))/(1+cDR)^A$5:A$65536)</f>
        <v>173619.2659635038</v>
      </c>
      <c r="X93" s="112">
        <f t="shared" si="35"/>
        <v>984.51937998655103</v>
      </c>
      <c r="Y93" s="32">
        <f>(uNES*L93+ uOCEX*G93+uEREX*'PH + UC'!H93+uHOEX*I93+uNES*S93+ uOCEX*N93+uEREX*O93+uHOEX*P93)/(1+oDR)^A$5:A$65536</f>
        <v>632.08469167304031</v>
      </c>
    </row>
    <row r="94" spans="1:25" x14ac:dyDescent="0.25">
      <c r="A94" s="4">
        <v>88</v>
      </c>
      <c r="C94" s="110">
        <f>IF(male=0,VLOOKUP(((A92:A926/'Life tables'!$I$2)*2)+age,lifetable,13,1),IF(male=1,VLOOKUP(((A92:A926/'Life tables'!$I$2)*2)+age,lifetable,10,1),"error"))</f>
        <v>1.0096596056652363E-4</v>
      </c>
      <c r="F94" s="101">
        <f t="shared" si="18"/>
        <v>171.90021327508401</v>
      </c>
      <c r="G94" s="101">
        <f t="shared" si="19"/>
        <v>17.267736190807071</v>
      </c>
      <c r="H94" s="101">
        <f t="shared" si="20"/>
        <v>0.39515092843787014</v>
      </c>
      <c r="I94" s="101">
        <f t="shared" si="21"/>
        <v>0.39515092843787014</v>
      </c>
      <c r="J94" s="101">
        <f t="shared" si="22"/>
        <v>1.9179317312340263E-2</v>
      </c>
      <c r="K94" s="101">
        <f t="shared" si="23"/>
        <v>3.0975533678421166E-2</v>
      </c>
      <c r="L94" s="101">
        <f t="shared" si="30"/>
        <v>153.79202037641045</v>
      </c>
      <c r="M94" s="101">
        <f t="shared" si="24"/>
        <v>812.61916671146696</v>
      </c>
      <c r="N94" s="101">
        <f t="shared" si="25"/>
        <v>78.256986397338068</v>
      </c>
      <c r="O94" s="101">
        <f t="shared" si="26"/>
        <v>1.8679861535633551</v>
      </c>
      <c r="P94" s="101">
        <f t="shared" si="27"/>
        <v>1.8679861535633551</v>
      </c>
      <c r="Q94" s="101">
        <f t="shared" si="28"/>
        <v>9.0325372577078844E-2</v>
      </c>
      <c r="R94" s="101">
        <f t="shared" si="29"/>
        <v>2.1763640151431382E-2</v>
      </c>
      <c r="S94" s="101">
        <f t="shared" si="31"/>
        <v>730.51411899427364</v>
      </c>
      <c r="T94" s="101">
        <f t="shared" si="32"/>
        <v>8.4679272247692143</v>
      </c>
      <c r="U94" s="101">
        <f t="shared" si="33"/>
        <v>7.1749366523979416</v>
      </c>
      <c r="V94" s="33">
        <f t="shared" si="34"/>
        <v>999.99999999999886</v>
      </c>
      <c r="W94" s="105">
        <f>IF(A94=1,((cPH1_+cPHr+(cNES*L94+(cNES+cOSEX)*G94+(cNES+cEREX)*H94+(cNES+cHOEX)*I94 + (cNES+cNES)*S94 +(cNES+ cOSEX)*N94 + (cNES+cEREX)*O94 + (cNES+cHOEX)*P94)))/(1+cDR)^A$5:A$65536,(cPHr+(cNES*L94+(cNES+cOSEX)*G94+(cNES+cEREX)*H94+(cNES+cHOEX)*I94 + (cNES+cNES)*S94 +(cNES+ cOSEX)*N94 + (cNES+cEREX)*O94 + (cNES+cHOEX)*P94))/(1+cDR)^A$5:A$65536)</f>
        <v>173443.16753198899</v>
      </c>
      <c r="X94" s="112">
        <f t="shared" si="35"/>
        <v>984.35713612283166</v>
      </c>
      <c r="Y94" s="32">
        <f>(uNES*L94+ uOCEX*G94+uEREX*'PH + UC'!H94+uHOEX*I94+uNES*S94+ uOCEX*N94+uEREX*O94+uHOEX*P94)/(1+oDR)^A$5:A$65536</f>
        <v>631.79905181092647</v>
      </c>
    </row>
    <row r="95" spans="1:25" x14ac:dyDescent="0.25">
      <c r="A95" s="4">
        <v>89</v>
      </c>
      <c r="C95" s="110">
        <f>IF(male=0,VLOOKUP(((A93:A927/'Life tables'!$I$2)*2)+age,lifetable,13,1),IF(male=1,VLOOKUP(((A93:A927/'Life tables'!$I$2)*2)+age,lifetable,10,1),"error"))</f>
        <v>1.0096596056652363E-4</v>
      </c>
      <c r="F95" s="101">
        <f t="shared" si="18"/>
        <v>171.20602174105318</v>
      </c>
      <c r="G95" s="101">
        <f t="shared" si="19"/>
        <v>17.19800319835084</v>
      </c>
      <c r="H95" s="101">
        <f t="shared" si="20"/>
        <v>0.3935551745760234</v>
      </c>
      <c r="I95" s="101">
        <f t="shared" si="21"/>
        <v>0.3935551745760234</v>
      </c>
      <c r="J95" s="101">
        <f t="shared" si="22"/>
        <v>1.9101864705080185E-2</v>
      </c>
      <c r="K95" s="101">
        <f t="shared" si="23"/>
        <v>3.08504439369254E-2</v>
      </c>
      <c r="L95" s="101">
        <f t="shared" si="30"/>
        <v>153.1709558849083</v>
      </c>
      <c r="M95" s="101">
        <f t="shared" si="24"/>
        <v>813.1511143817786</v>
      </c>
      <c r="N95" s="101">
        <f t="shared" si="25"/>
        <v>78.308214110521533</v>
      </c>
      <c r="O95" s="101">
        <f t="shared" si="26"/>
        <v>1.8692089537670269</v>
      </c>
      <c r="P95" s="101">
        <f t="shared" si="27"/>
        <v>1.8692089537670269</v>
      </c>
      <c r="Q95" s="101">
        <f t="shared" si="28"/>
        <v>9.0384500362246489E-2</v>
      </c>
      <c r="R95" s="101">
        <f t="shared" si="29"/>
        <v>2.1777886822135578E-2</v>
      </c>
      <c r="S95" s="101">
        <f t="shared" si="31"/>
        <v>730.99231997653862</v>
      </c>
      <c r="T95" s="101">
        <f t="shared" si="32"/>
        <v>8.5774135898365405</v>
      </c>
      <c r="U95" s="101">
        <f t="shared" si="33"/>
        <v>7.227564983157003</v>
      </c>
      <c r="V95" s="33">
        <f t="shared" si="34"/>
        <v>999.99999999999886</v>
      </c>
      <c r="W95" s="105">
        <f>IF(A95=1,((cPH1_+cPHr+(cNES*L95+(cNES+cOSEX)*G95+(cNES+cEREX)*H95+(cNES+cHOEX)*I95 + (cNES+cNES)*S95 +(cNES+ cOSEX)*N95 + (cNES+cEREX)*O95 + (cNES+cHOEX)*P95)))/(1+cDR)^A$5:A$65536,(cPHr+(cNES*L95+(cNES+cOSEX)*G95+(cNES+cEREX)*H95+(cNES+cHOEX)*I95 + (cNES+cNES)*S95 +(cNES+ cOSEX)*N95 + (cNES+cEREX)*O95 + (cNES+cHOEX)*P95))/(1+cDR)^A$5:A$65536)</f>
        <v>173264.93094853105</v>
      </c>
      <c r="X95" s="112">
        <f t="shared" si="35"/>
        <v>984.19502142700537</v>
      </c>
      <c r="Y95" s="32">
        <f>(uNES*L95+ uOCEX*G95+uEREX*'PH + UC'!H95+uHOEX*I95+uNES*S95+ uOCEX*N95+uEREX*O95+uHOEX*P95)/(1+oDR)^A$5:A$65536</f>
        <v>631.51359449875702</v>
      </c>
    </row>
    <row r="96" spans="1:25" x14ac:dyDescent="0.25">
      <c r="A96" s="4">
        <v>90</v>
      </c>
      <c r="C96" s="110">
        <f>IF(male=0,VLOOKUP(((A94:A928/'Life tables'!$I$2)*2)+age,lifetable,13,1),IF(male=1,VLOOKUP(((A94:A928/'Life tables'!$I$2)*2)+age,lifetable,10,1),"error"))</f>
        <v>1.0096596056652363E-4</v>
      </c>
      <c r="F96" s="101">
        <f t="shared" si="18"/>
        <v>170.54178788773285</v>
      </c>
      <c r="G96" s="101">
        <f t="shared" si="19"/>
        <v>17.131279517619948</v>
      </c>
      <c r="H96" s="101">
        <f t="shared" si="20"/>
        <v>0.3920282851159192</v>
      </c>
      <c r="I96" s="101">
        <f t="shared" si="21"/>
        <v>0.3920282851159192</v>
      </c>
      <c r="J96" s="101">
        <f t="shared" si="22"/>
        <v>1.9027754547799331E-2</v>
      </c>
      <c r="K96" s="101">
        <f t="shared" si="23"/>
        <v>3.0730752415304388E-2</v>
      </c>
      <c r="L96" s="101">
        <f t="shared" si="30"/>
        <v>152.57669329291795</v>
      </c>
      <c r="M96" s="101">
        <f t="shared" si="24"/>
        <v>813.65323353927272</v>
      </c>
      <c r="N96" s="101">
        <f t="shared" si="25"/>
        <v>78.356569273293388</v>
      </c>
      <c r="O96" s="101">
        <f t="shared" si="26"/>
        <v>1.8703631864901284</v>
      </c>
      <c r="P96" s="101">
        <f t="shared" si="27"/>
        <v>1.8703631864901284</v>
      </c>
      <c r="Q96" s="101">
        <f t="shared" si="28"/>
        <v>9.0440312607190557E-2</v>
      </c>
      <c r="R96" s="101">
        <f t="shared" si="29"/>
        <v>2.1791334622906836E-2</v>
      </c>
      <c r="S96" s="101">
        <f t="shared" si="31"/>
        <v>731.44370624576902</v>
      </c>
      <c r="T96" s="101">
        <f t="shared" si="32"/>
        <v>8.686881656991531</v>
      </c>
      <c r="U96" s="101">
        <f t="shared" si="33"/>
        <v>7.2800870701952141</v>
      </c>
      <c r="V96" s="33">
        <f t="shared" si="34"/>
        <v>999.9999999999992</v>
      </c>
      <c r="W96" s="105">
        <f>IF(A96=1,((cPH1_+cPHr+(cNES*L96+(cNES+cOSEX)*G96+(cNES+cEREX)*H96+(cNES+cHOEX)*I96 + (cNES+cNES)*S96 +(cNES+ cOSEX)*N96 + (cNES+cEREX)*O96 + (cNES+cHOEX)*P96)))/(1+cDR)^A$5:A$65536,(cPHr+(cNES*L96+(cNES+cOSEX)*G96+(cNES+cEREX)*H96+(cNES+cHOEX)*I96 + (cNES+cNES)*S96 +(cNES+ cOSEX)*N96 + (cNES+cEREX)*O96 + (cNES+cHOEX)*P96))/(1+cDR)^A$5:A$65536)</f>
        <v>173084.66774218268</v>
      </c>
      <c r="X96" s="112">
        <f t="shared" si="35"/>
        <v>984.03303127281242</v>
      </c>
      <c r="Y96" s="32">
        <f>(uNES*L96+ uOCEX*G96+uEREX*'PH + UC'!H96+uHOEX*I96+uNES*S96+ uOCEX*N96+uEREX*O96+uHOEX*P96)/(1+oDR)^A$5:A$65536</f>
        <v>631.22831722017861</v>
      </c>
    </row>
    <row r="97" spans="1:25" x14ac:dyDescent="0.25">
      <c r="A97" s="4">
        <v>91</v>
      </c>
      <c r="C97" s="110">
        <f>IF(male=0,VLOOKUP(((A95:A929/'Life tables'!$I$2)*2)+age,lifetable,13,1),IF(male=1,VLOOKUP(((A95:A929/'Life tables'!$I$2)*2)+age,lifetable,10,1),"error"))</f>
        <v>1.0096596056652363E-4</v>
      </c>
      <c r="F97" s="101">
        <f t="shared" si="18"/>
        <v>169.90616996350099</v>
      </c>
      <c r="G97" s="101">
        <f t="shared" si="19"/>
        <v>17.067430366855834</v>
      </c>
      <c r="H97" s="101">
        <f t="shared" si="20"/>
        <v>0.39056717574259897</v>
      </c>
      <c r="I97" s="101">
        <f t="shared" si="21"/>
        <v>0.39056717574259897</v>
      </c>
      <c r="J97" s="101">
        <f t="shared" si="22"/>
        <v>1.8956837138064966E-2</v>
      </c>
      <c r="K97" s="101">
        <f t="shared" si="23"/>
        <v>3.0616217336821704E-2</v>
      </c>
      <c r="L97" s="101">
        <f t="shared" si="30"/>
        <v>152.00803219068507</v>
      </c>
      <c r="M97" s="101">
        <f t="shared" si="24"/>
        <v>814.12686130931161</v>
      </c>
      <c r="N97" s="101">
        <f t="shared" si="25"/>
        <v>78.402180653723079</v>
      </c>
      <c r="O97" s="101">
        <f t="shared" si="26"/>
        <v>1.8714519254131299</v>
      </c>
      <c r="P97" s="101">
        <f t="shared" si="27"/>
        <v>1.8714519254131299</v>
      </c>
      <c r="Q97" s="101">
        <f t="shared" si="28"/>
        <v>9.0492957937923668E-2</v>
      </c>
      <c r="R97" s="101">
        <f t="shared" si="29"/>
        <v>2.1804019364757763E-2</v>
      </c>
      <c r="S97" s="101">
        <f t="shared" si="31"/>
        <v>731.8694798274596</v>
      </c>
      <c r="T97" s="101">
        <f t="shared" si="32"/>
        <v>8.7963314520675198</v>
      </c>
      <c r="U97" s="101">
        <f t="shared" si="33"/>
        <v>7.3325073068967939</v>
      </c>
      <c r="V97" s="33">
        <f t="shared" si="34"/>
        <v>999.99999999999932</v>
      </c>
      <c r="W97" s="105">
        <f>IF(A97=1,((cPH1_+cPHr+(cNES*L97+(cNES+cOSEX)*G97+(cNES+cEREX)*H97+(cNES+cHOEX)*I97 + (cNES+cNES)*S97 +(cNES+ cOSEX)*N97 + (cNES+cEREX)*O97 + (cNES+cHOEX)*P97)))/(1+cDR)^A$5:A$65536,(cPHr+(cNES*L97+(cNES+cOSEX)*G97+(cNES+cEREX)*H97+(cNES+cHOEX)*I97 + (cNES+cNES)*S97 +(cNES+ cOSEX)*N97 + (cNES+cEREX)*O97 + (cNES+cHOEX)*P97))/(1+cDR)^A$5:A$65536)</f>
        <v>172902.48430609159</v>
      </c>
      <c r="X97" s="112">
        <f t="shared" si="35"/>
        <v>983.871161241035</v>
      </c>
      <c r="Y97" s="32">
        <f>(uNES*L97+ uOCEX*G97+uEREX*'PH + UC'!H97+uHOEX*I97+uNES*S97+ uOCEX*N97+uEREX*O97+uHOEX*P97)/(1+oDR)^A$5:A$65536</f>
        <v>630.94321756967747</v>
      </c>
    </row>
    <row r="98" spans="1:25" x14ac:dyDescent="0.25">
      <c r="A98" s="4">
        <v>92</v>
      </c>
      <c r="C98" s="110">
        <f>IF(male=0,VLOOKUP(((A96:A930/'Life tables'!$I$2)*2)+age,lifetable,13,1),IF(male=1,VLOOKUP(((A96:A930/'Life tables'!$I$2)*2)+age,lifetable,10,1),"error"))</f>
        <v>1.0096596056652363E-4</v>
      </c>
      <c r="F98" s="101">
        <f t="shared" si="18"/>
        <v>169.29788631967372</v>
      </c>
      <c r="G98" s="101">
        <f t="shared" si="19"/>
        <v>17.006327001765861</v>
      </c>
      <c r="H98" s="101">
        <f t="shared" si="20"/>
        <v>0.38916890030109458</v>
      </c>
      <c r="I98" s="101">
        <f t="shared" si="21"/>
        <v>0.38916890030109458</v>
      </c>
      <c r="J98" s="101">
        <f t="shared" si="22"/>
        <v>1.888896947927271E-2</v>
      </c>
      <c r="K98" s="101">
        <f t="shared" si="23"/>
        <v>3.0506607754981031E-2</v>
      </c>
      <c r="L98" s="101">
        <f t="shared" si="30"/>
        <v>151.46382594007142</v>
      </c>
      <c r="M98" s="101">
        <f t="shared" si="24"/>
        <v>814.5732749213613</v>
      </c>
      <c r="N98" s="101">
        <f t="shared" si="25"/>
        <v>78.445171251775463</v>
      </c>
      <c r="O98" s="101">
        <f t="shared" si="26"/>
        <v>1.8724781065324427</v>
      </c>
      <c r="P98" s="101">
        <f t="shared" si="27"/>
        <v>1.8724781065324427</v>
      </c>
      <c r="Q98" s="101">
        <f t="shared" si="28"/>
        <v>9.0542578322826806E-2</v>
      </c>
      <c r="R98" s="101">
        <f t="shared" si="29"/>
        <v>2.1815975254563646E-2</v>
      </c>
      <c r="S98" s="101">
        <f t="shared" si="31"/>
        <v>732.27078890294354</v>
      </c>
      <c r="T98" s="101">
        <f t="shared" si="32"/>
        <v>8.9057629998696193</v>
      </c>
      <c r="U98" s="101">
        <f t="shared" si="33"/>
        <v>7.3848298899063387</v>
      </c>
      <c r="V98" s="33">
        <f t="shared" si="34"/>
        <v>999.9999999999992</v>
      </c>
      <c r="W98" s="105">
        <f>IF(A98=1,((cPH1_+cPHr+(cNES*L98+(cNES+cOSEX)*G98+(cNES+cEREX)*H98+(cNES+cHOEX)*I98 + (cNES+cNES)*S98 +(cNES+ cOSEX)*N98 + (cNES+cEREX)*O98 + (cNES+cHOEX)*P98)))/(1+cDR)^A$5:A$65536,(cPHr+(cNES*L98+(cNES+cOSEX)*G98+(cNES+cEREX)*H98+(cNES+cHOEX)*I98 + (cNES+cNES)*S98 +(cNES+ cOSEX)*N98 + (cNES+cEREX)*O98 + (cNES+cHOEX)*P98))/(1+cDR)^A$5:A$65536)</f>
        <v>172718.48213322318</v>
      </c>
      <c r="X98" s="112">
        <f t="shared" si="35"/>
        <v>983.70940711022331</v>
      </c>
      <c r="Y98" s="32">
        <f>(uNES*L98+ uOCEX*G98+uEREX*'PH + UC'!H98+uHOEX*I98+uNES*S98+ uOCEX*N98+uEREX*O98+uHOEX*P98)/(1+oDR)^A$5:A$65536</f>
        <v>630.6582932475859</v>
      </c>
    </row>
    <row r="99" spans="1:25" x14ac:dyDescent="0.25">
      <c r="A99" s="4">
        <v>93</v>
      </c>
      <c r="C99" s="110">
        <f>IF(male=0,VLOOKUP(((A97:A931/'Life tables'!$I$2)*2)+age,lifetable,13,1),IF(male=1,VLOOKUP(((A97:A931/'Life tables'!$I$2)*2)+age,lifetable,10,1),"error"))</f>
        <v>1.0096596056652363E-4</v>
      </c>
      <c r="F99" s="101">
        <f t="shared" si="18"/>
        <v>168.71571271822987</v>
      </c>
      <c r="G99" s="101">
        <f t="shared" si="19"/>
        <v>16.947846445078607</v>
      </c>
      <c r="H99" s="101">
        <f t="shared" si="20"/>
        <v>0.3878306446076335</v>
      </c>
      <c r="I99" s="101">
        <f t="shared" si="21"/>
        <v>0.3878306446076335</v>
      </c>
      <c r="J99" s="101">
        <f t="shared" si="22"/>
        <v>1.8824014980262913E-2</v>
      </c>
      <c r="K99" s="101">
        <f t="shared" si="23"/>
        <v>3.0401703068391992E-2</v>
      </c>
      <c r="L99" s="101">
        <f t="shared" si="30"/>
        <v>150.94297926588735</v>
      </c>
      <c r="M99" s="101">
        <f t="shared" si="24"/>
        <v>814.99369439199347</v>
      </c>
      <c r="N99" s="101">
        <f t="shared" si="25"/>
        <v>78.485658557689717</v>
      </c>
      <c r="O99" s="101">
        <f t="shared" si="26"/>
        <v>1.8734445343278976</v>
      </c>
      <c r="P99" s="101">
        <f t="shared" si="27"/>
        <v>1.8734445343278976</v>
      </c>
      <c r="Q99" s="101">
        <f t="shared" si="28"/>
        <v>9.0589309370873811E-2</v>
      </c>
      <c r="R99" s="101">
        <f t="shared" si="29"/>
        <v>2.1827234966918848E-2</v>
      </c>
      <c r="S99" s="101">
        <f t="shared" si="31"/>
        <v>732.64873022131019</v>
      </c>
      <c r="T99" s="101">
        <f t="shared" si="32"/>
        <v>9.0151763242207554</v>
      </c>
      <c r="U99" s="101">
        <f t="shared" si="33"/>
        <v>7.4370588279416499</v>
      </c>
      <c r="V99" s="33">
        <f t="shared" si="34"/>
        <v>999.99999999999932</v>
      </c>
      <c r="W99" s="105">
        <f>IF(A99=1,((cPH1_+cPHr+(cNES*L99+(cNES+cOSEX)*G99+(cNES+cEREX)*H99+(cNES+cHOEX)*I99 + (cNES+cNES)*S99 +(cNES+ cOSEX)*N99 + (cNES+cEREX)*O99 + (cNES+cHOEX)*P99)))/(1+cDR)^A$5:A$65536,(cPHr+(cNES*L99+(cNES+cOSEX)*G99+(cNES+cEREX)*H99+(cNES+cHOEX)*I99 + (cNES+cNES)*S99 +(cNES+ cOSEX)*N99 + (cNES+cEREX)*O99 + (cNES+cHOEX)*P99))/(1+cDR)^A$5:A$65536)</f>
        <v>172532.75804126324</v>
      </c>
      <c r="X99" s="112">
        <f t="shared" si="35"/>
        <v>983.5477648478369</v>
      </c>
      <c r="Y99" s="32">
        <f>(uNES*L99+ uOCEX*G99+uEREX*'PH + UC'!H99+uHOEX*I99+uNES*S99+ uOCEX*N99+uEREX*O99+uHOEX*P99)/(1+oDR)^A$5:A$65536</f>
        <v>630.37354205531244</v>
      </c>
    </row>
    <row r="100" spans="1:25" x14ac:dyDescent="0.25">
      <c r="A100" s="4">
        <v>94</v>
      </c>
      <c r="C100" s="110">
        <f>IF(male=0,VLOOKUP(((A98:A932/'Life tables'!$I$2)*2)+age,lifetable,13,1),IF(male=1,VLOOKUP(((A98:A932/'Life tables'!$I$2)*2)+age,lifetable,10,1),"error"))</f>
        <v>1.0096596056652363E-4</v>
      </c>
      <c r="F100" s="101">
        <f t="shared" si="18"/>
        <v>168.15847976013436</v>
      </c>
      <c r="G100" s="101">
        <f t="shared" si="19"/>
        <v>16.891871228213585</v>
      </c>
      <c r="H100" s="101">
        <f t="shared" si="20"/>
        <v>0.3865497205380673</v>
      </c>
      <c r="I100" s="101">
        <f t="shared" si="21"/>
        <v>0.3865497205380673</v>
      </c>
      <c r="J100" s="101">
        <f t="shared" si="22"/>
        <v>1.8761843168392588E-2</v>
      </c>
      <c r="K100" s="101">
        <f t="shared" si="23"/>
        <v>3.0301292557367247E-2</v>
      </c>
      <c r="L100" s="101">
        <f t="shared" si="30"/>
        <v>150.44444595511888</v>
      </c>
      <c r="M100" s="101">
        <f t="shared" si="24"/>
        <v>815.38928508770255</v>
      </c>
      <c r="N100" s="101">
        <f t="shared" si="25"/>
        <v>78.523754798784182</v>
      </c>
      <c r="O100" s="101">
        <f t="shared" si="26"/>
        <v>1.8743538876539501</v>
      </c>
      <c r="P100" s="101">
        <f t="shared" si="27"/>
        <v>1.8743538876539501</v>
      </c>
      <c r="Q100" s="101">
        <f t="shared" si="28"/>
        <v>9.0633280616497461E-2</v>
      </c>
      <c r="R100" s="101">
        <f t="shared" si="29"/>
        <v>2.1837829712774409E-2</v>
      </c>
      <c r="S100" s="101">
        <f t="shared" si="31"/>
        <v>733.00435140328113</v>
      </c>
      <c r="T100" s="101">
        <f t="shared" si="32"/>
        <v>9.1245714480056463</v>
      </c>
      <c r="U100" s="101">
        <f t="shared" si="33"/>
        <v>7.4891979502117918</v>
      </c>
      <c r="V100" s="33">
        <f t="shared" si="34"/>
        <v>999.9999999999992</v>
      </c>
      <c r="W100" s="105">
        <f>IF(A100=1,((cPH1_+cPHr+(cNES*L100+(cNES+cOSEX)*G100+(cNES+cEREX)*H100+(cNES+cHOEX)*I100 + (cNES+cNES)*S100 +(cNES+ cOSEX)*N100 + (cNES+cEREX)*O100 + (cNES+cHOEX)*P100)))/(1+cDR)^A$5:A$65536,(cPHr+(cNES*L100+(cNES+cOSEX)*G100+(cNES+cEREX)*H100+(cNES+cHOEX)*I100 + (cNES+cNES)*S100 +(cNES+ cOSEX)*N100 + (cNES+cEREX)*O100 + (cNES+cHOEX)*P100))/(1+cDR)^A$5:A$65536)</f>
        <v>172345.40438720057</v>
      </c>
      <c r="X100" s="112">
        <f t="shared" si="35"/>
        <v>983.38623060178179</v>
      </c>
      <c r="Y100" s="32">
        <f>(uNES*L100+ uOCEX*G100+uEREX*'PH + UC'!H100+uHOEX*I100+uNES*S100+ uOCEX*N100+uEREX*O100+uHOEX*P100)/(1+oDR)^A$5:A$65536</f>
        <v>630.08896189078735</v>
      </c>
    </row>
    <row r="101" spans="1:25" x14ac:dyDescent="0.25">
      <c r="A101" s="4">
        <v>95</v>
      </c>
      <c r="C101" s="110">
        <f>IF(male=0,VLOOKUP(((A99:A933/'Life tables'!$I$2)*2)+age,lifetable,13,1),IF(male=1,VLOOKUP(((A99:A933/'Life tables'!$I$2)*2)+age,lifetable,10,1),"error"))</f>
        <v>1.0096596056652363E-4</v>
      </c>
      <c r="F101" s="101">
        <f t="shared" si="18"/>
        <v>167.62507042885824</v>
      </c>
      <c r="G101" s="101">
        <f t="shared" si="19"/>
        <v>16.838289144522676</v>
      </c>
      <c r="H101" s="101">
        <f t="shared" si="20"/>
        <v>0.38532356038110527</v>
      </c>
      <c r="I101" s="101">
        <f t="shared" si="21"/>
        <v>0.38532356038110527</v>
      </c>
      <c r="J101" s="101">
        <f t="shared" si="22"/>
        <v>1.8702329415460031E-2</v>
      </c>
      <c r="K101" s="101">
        <f t="shared" si="23"/>
        <v>3.0205174941277457E-2</v>
      </c>
      <c r="L101" s="101">
        <f t="shared" si="30"/>
        <v>149.96722665921661</v>
      </c>
      <c r="M101" s="101">
        <f t="shared" si="24"/>
        <v>815.76116017292361</v>
      </c>
      <c r="N101" s="101">
        <f t="shared" si="25"/>
        <v>78.559567175205743</v>
      </c>
      <c r="O101" s="101">
        <f t="shared" si="26"/>
        <v>1.8752087253669949</v>
      </c>
      <c r="P101" s="101">
        <f t="shared" si="27"/>
        <v>1.8752087253669949</v>
      </c>
      <c r="Q101" s="101">
        <f t="shared" si="28"/>
        <v>9.0674615791694765E-2</v>
      </c>
      <c r="R101" s="101">
        <f t="shared" si="29"/>
        <v>2.1847789305001093E-2</v>
      </c>
      <c r="S101" s="101">
        <f t="shared" si="31"/>
        <v>733.33865314188722</v>
      </c>
      <c r="T101" s="101">
        <f t="shared" si="32"/>
        <v>9.2339483932128008</v>
      </c>
      <c r="U101" s="101">
        <f t="shared" si="33"/>
        <v>7.5412509144580699</v>
      </c>
      <c r="V101" s="33">
        <f t="shared" si="34"/>
        <v>999.99999999999932</v>
      </c>
      <c r="W101" s="105">
        <f>IF(A101=1,((cPH1_+cPHr+(cNES*L101+(cNES+cOSEX)*G101+(cNES+cEREX)*H101+(cNES+cHOEX)*I101 + (cNES+cNES)*S101 +(cNES+ cOSEX)*N101 + (cNES+cEREX)*O101 + (cNES+cHOEX)*P101)))/(1+cDR)^A$5:A$65536,(cPHr+(cNES*L101+(cNES+cOSEX)*G101+(cNES+cEREX)*H101+(cNES+cHOEX)*I101 + (cNES+cNES)*S101 +(cNES+ cOSEX)*N101 + (cNES+cEREX)*O101 + (cNES+cHOEX)*P101))/(1+cDR)^A$5:A$65536)</f>
        <v>172156.50927206132</v>
      </c>
      <c r="X101" s="112">
        <f t="shared" si="35"/>
        <v>983.22480069232847</v>
      </c>
      <c r="Y101" s="32">
        <f>(uNES*L101+ uOCEX*G101+uEREX*'PH + UC'!H101+uHOEX*I101+uNES*S101+ uOCEX*N101+uEREX*O101+uHOEX*P101)/(1+oDR)^A$5:A$65536</f>
        <v>629.80455074411429</v>
      </c>
    </row>
    <row r="102" spans="1:25" x14ac:dyDescent="0.25">
      <c r="A102" s="4">
        <v>96</v>
      </c>
      <c r="C102" s="110">
        <f>IF(male=0,VLOOKUP(((A100:A934/'Life tables'!$I$2)*2)+age,lifetable,13,1),IF(male=1,VLOOKUP(((A100:A934/'Life tables'!$I$2)*2)+age,lifetable,10,1),"error"))</f>
        <v>1.0096596056652363E-4</v>
      </c>
      <c r="F102" s="101">
        <f t="shared" si="18"/>
        <v>167.11441774393572</v>
      </c>
      <c r="G102" s="101">
        <f t="shared" si="19"/>
        <v>16.786993013585022</v>
      </c>
      <c r="H102" s="101">
        <f t="shared" si="20"/>
        <v>0.38414971144449273</v>
      </c>
      <c r="I102" s="101">
        <f t="shared" si="21"/>
        <v>0.38414971144449273</v>
      </c>
      <c r="J102" s="101">
        <f t="shared" si="22"/>
        <v>1.8645354675906597E-2</v>
      </c>
      <c r="K102" s="101">
        <f t="shared" si="23"/>
        <v>3.011315795573433E-2</v>
      </c>
      <c r="L102" s="101">
        <f t="shared" si="30"/>
        <v>149.51036679483008</v>
      </c>
      <c r="M102" s="101">
        <f t="shared" si="24"/>
        <v>816.11038294839273</v>
      </c>
      <c r="N102" s="101">
        <f t="shared" si="25"/>
        <v>78.593198085119084</v>
      </c>
      <c r="O102" s="101">
        <f t="shared" si="26"/>
        <v>1.8760114917006088</v>
      </c>
      <c r="P102" s="101">
        <f t="shared" si="27"/>
        <v>1.8760114917006088</v>
      </c>
      <c r="Q102" s="101">
        <f t="shared" si="28"/>
        <v>9.0713433085943804E-2</v>
      </c>
      <c r="R102" s="101">
        <f t="shared" si="29"/>
        <v>2.1857142221015553E-2</v>
      </c>
      <c r="S102" s="101">
        <f t="shared" si="31"/>
        <v>733.65259130456548</v>
      </c>
      <c r="T102" s="101">
        <f t="shared" si="32"/>
        <v>9.3433071809746515</v>
      </c>
      <c r="U102" s="101">
        <f t="shared" si="33"/>
        <v>7.5932212146348199</v>
      </c>
      <c r="V102" s="33">
        <f t="shared" si="34"/>
        <v>999.99999999999932</v>
      </c>
      <c r="W102" s="105">
        <f>IF(A102=1,((cPH1_+cPHr+(cNES*L102+(cNES+cOSEX)*G102+(cNES+cEREX)*H102+(cNES+cHOEX)*I102 + (cNES+cNES)*S102 +(cNES+ cOSEX)*N102 + (cNES+cEREX)*O102 + (cNES+cHOEX)*P102)))/(1+cDR)^A$5:A$65536,(cPHr+(cNES*L102+(cNES+cOSEX)*G102+(cNES+cEREX)*H102+(cNES+cHOEX)*I102 + (cNES+cNES)*S102 +(cNES+ cOSEX)*N102 + (cNES+cEREX)*O102 + (cNES+cHOEX)*P102))/(1+cDR)^A$5:A$65536)</f>
        <v>171966.15673624814</v>
      </c>
      <c r="X102" s="112">
        <f t="shared" si="35"/>
        <v>983.06347160438986</v>
      </c>
      <c r="Y102" s="32">
        <f>(uNES*L102+ uOCEX*G102+uEREX*'PH + UC'!H102+uHOEX*I102+uNES*S102+ uOCEX*N102+uEREX*O102+uHOEX*P102)/(1+oDR)^A$5:A$65536</f>
        <v>629.52030669341696</v>
      </c>
    </row>
    <row r="103" spans="1:25" x14ac:dyDescent="0.25">
      <c r="A103" s="4">
        <v>97</v>
      </c>
      <c r="C103" s="110">
        <f>IF(male=0,VLOOKUP(((A101:A935/'Life tables'!$I$2)*2)+age,lifetable,13,1),IF(male=1,VLOOKUP(((A101:A935/'Life tables'!$I$2)*2)+age,lifetable,10,1),"error"))</f>
        <v>1.0096596056652363E-4</v>
      </c>
      <c r="F103" s="101">
        <f t="shared" si="18"/>
        <v>166.62550251962801</v>
      </c>
      <c r="G103" s="101">
        <f t="shared" si="19"/>
        <v>16.737880456060122</v>
      </c>
      <c r="H103" s="101">
        <f t="shared" si="20"/>
        <v>0.38302583090280057</v>
      </c>
      <c r="I103" s="101">
        <f t="shared" si="21"/>
        <v>0.38302583090280057</v>
      </c>
      <c r="J103" s="101">
        <f t="shared" si="22"/>
        <v>1.8590805236745486E-2</v>
      </c>
      <c r="K103" s="101">
        <f t="shared" si="23"/>
        <v>3.002505794871339E-2</v>
      </c>
      <c r="L103" s="101">
        <f t="shared" si="30"/>
        <v>149.07295453857682</v>
      </c>
      <c r="M103" s="101">
        <f t="shared" si="24"/>
        <v>816.43796908476179</v>
      </c>
      <c r="N103" s="101">
        <f t="shared" si="25"/>
        <v>78.624745339808555</v>
      </c>
      <c r="O103" s="101">
        <f t="shared" si="26"/>
        <v>1.8767645214000104</v>
      </c>
      <c r="P103" s="101">
        <f t="shared" si="27"/>
        <v>1.8767645214000104</v>
      </c>
      <c r="Q103" s="101">
        <f t="shared" si="28"/>
        <v>9.0749845394477419E-2</v>
      </c>
      <c r="R103" s="101">
        <f t="shared" si="29"/>
        <v>2.1865915662601217E-2</v>
      </c>
      <c r="S103" s="101">
        <f t="shared" si="31"/>
        <v>733.94707894109615</v>
      </c>
      <c r="T103" s="101">
        <f t="shared" si="32"/>
        <v>9.4526478316058746</v>
      </c>
      <c r="U103" s="101">
        <f t="shared" si="33"/>
        <v>7.6451121882461344</v>
      </c>
      <c r="V103" s="33">
        <f t="shared" si="34"/>
        <v>999.99999999999932</v>
      </c>
      <c r="W103" s="105">
        <f>IF(A103=1,((cPH1_+cPHr+(cNES*L103+(cNES+cOSEX)*G103+(cNES+cEREX)*H103+(cNES+cHOEX)*I103 + (cNES+cNES)*S103 +(cNES+ cOSEX)*N103 + (cNES+cEREX)*O103 + (cNES+cHOEX)*P103)))/(1+cDR)^A$5:A$65536,(cPHr+(cNES*L103+(cNES+cOSEX)*G103+(cNES+cEREX)*H103+(cNES+cHOEX)*I103 + (cNES+cNES)*S103 +(cNES+ cOSEX)*N103 + (cNES+cEREX)*O103 + (cNES+cHOEX)*P103))/(1+cDR)^A$5:A$65536)</f>
        <v>171774.42694591384</v>
      </c>
      <c r="X103" s="112">
        <f t="shared" si="35"/>
        <v>982.90223998014721</v>
      </c>
      <c r="Y103" s="32">
        <f>(uNES*L103+ uOCEX*G103+uEREX*'PH + UC'!H103+uHOEX*I103+uNES*S103+ uOCEX*N103+uEREX*O103+uHOEX*P103)/(1+oDR)^A$5:A$65536</f>
        <v>629.23622790087268</v>
      </c>
    </row>
    <row r="104" spans="1:25" x14ac:dyDescent="0.25">
      <c r="A104" s="4">
        <v>98</v>
      </c>
      <c r="C104" s="110">
        <f>IF(male=0,VLOOKUP(((A102:A936/'Life tables'!$I$2)*2)+age,lifetable,13,1),IF(male=1,VLOOKUP(((A102:A936/'Life tables'!$I$2)*2)+age,lifetable,10,1),"error"))</f>
        <v>1.0096596056652363E-4</v>
      </c>
      <c r="F104" s="101">
        <f t="shared" si="18"/>
        <v>166.15735122398712</v>
      </c>
      <c r="G104" s="101">
        <f t="shared" si="19"/>
        <v>16.690853678626315</v>
      </c>
      <c r="H104" s="101">
        <f t="shared" si="20"/>
        <v>0.3819496808760065</v>
      </c>
      <c r="I104" s="101">
        <f t="shared" si="21"/>
        <v>0.3819496808760065</v>
      </c>
      <c r="J104" s="101">
        <f t="shared" si="22"/>
        <v>1.8538572478692349E-2</v>
      </c>
      <c r="K104" s="101">
        <f t="shared" si="23"/>
        <v>2.994069949476828E-2</v>
      </c>
      <c r="L104" s="101">
        <f t="shared" si="30"/>
        <v>148.65411891163532</v>
      </c>
      <c r="M104" s="101">
        <f t="shared" si="24"/>
        <v>816.74488875616009</v>
      </c>
      <c r="N104" s="101">
        <f t="shared" si="25"/>
        <v>78.654302369144816</v>
      </c>
      <c r="O104" s="101">
        <f t="shared" si="26"/>
        <v>1.877470044626528</v>
      </c>
      <c r="P104" s="101">
        <f t="shared" si="27"/>
        <v>1.877470044626528</v>
      </c>
      <c r="Q104" s="101">
        <f t="shared" si="28"/>
        <v>9.0783960555435875E-2</v>
      </c>
      <c r="R104" s="101">
        <f t="shared" si="29"/>
        <v>2.187413561304952E-2</v>
      </c>
      <c r="S104" s="101">
        <f t="shared" si="31"/>
        <v>734.22298820159369</v>
      </c>
      <c r="T104" s="101">
        <f t="shared" si="32"/>
        <v>9.5619703646400023</v>
      </c>
      <c r="U104" s="101">
        <f t="shared" si="33"/>
        <v>7.6969270233539522</v>
      </c>
      <c r="V104" s="33">
        <f t="shared" si="34"/>
        <v>999.99999999999932</v>
      </c>
      <c r="W104" s="105">
        <f>IF(A104=1,((cPH1_+cPHr+(cNES*L104+(cNES+cOSEX)*G104+(cNES+cEREX)*H104+(cNES+cHOEX)*I104 + (cNES+cNES)*S104 +(cNES+ cOSEX)*N104 + (cNES+cEREX)*O104 + (cNES+cHOEX)*P104)))/(1+cDR)^A$5:A$65536,(cPHr+(cNES*L104+(cNES+cOSEX)*G104+(cNES+cEREX)*H104+(cNES+cHOEX)*I104 + (cNES+cNES)*S104 +(cNES+ cOSEX)*N104 + (cNES+cEREX)*O104 + (cNES+cHOEX)*P104))/(1+cDR)^A$5:A$65536)</f>
        <v>171581.39637078298</v>
      </c>
      <c r="X104" s="112">
        <f t="shared" si="35"/>
        <v>982.74110261200531</v>
      </c>
      <c r="Y104" s="32">
        <f>(uNES*L104+ uOCEX*G104+uEREX*'PH + UC'!H104+uHOEX*I104+uNES*S104+ uOCEX*N104+uEREX*O104+uHOEX*P104)/(1+oDR)^A$5:A$65536</f>
        <v>628.95231260892683</v>
      </c>
    </row>
    <row r="105" spans="1:25" x14ac:dyDescent="0.25">
      <c r="A105" s="4">
        <v>99</v>
      </c>
      <c r="C105" s="110">
        <f>IF(male=0,VLOOKUP(((A103:A937/'Life tables'!$I$2)*2)+age,lifetable,13,1),IF(male=1,VLOOKUP(((A103:A937/'Life tables'!$I$2)*2)+age,lifetable,10,1),"error"))</f>
        <v>1.0096596056652363E-4</v>
      </c>
      <c r="F105" s="101">
        <f t="shared" si="18"/>
        <v>165.70903393382133</v>
      </c>
      <c r="G105" s="101">
        <f t="shared" si="19"/>
        <v>16.645819268552767</v>
      </c>
      <c r="H105" s="101">
        <f t="shared" si="20"/>
        <v>0.38091912372852771</v>
      </c>
      <c r="I105" s="101">
        <f t="shared" si="21"/>
        <v>0.38091912372852771</v>
      </c>
      <c r="J105" s="101">
        <f t="shared" si="22"/>
        <v>1.8488552647995926E-2</v>
      </c>
      <c r="K105" s="101">
        <f t="shared" si="23"/>
        <v>2.9859915026526074E-2</v>
      </c>
      <c r="L105" s="101">
        <f t="shared" si="30"/>
        <v>148.25302795013698</v>
      </c>
      <c r="M105" s="101">
        <f t="shared" si="24"/>
        <v>817.03206867818392</v>
      </c>
      <c r="N105" s="101">
        <f t="shared" si="25"/>
        <v>78.681958417847625</v>
      </c>
      <c r="O105" s="101">
        <f t="shared" si="26"/>
        <v>1.8781301916423716</v>
      </c>
      <c r="P105" s="101">
        <f t="shared" si="27"/>
        <v>1.8781301916423716</v>
      </c>
      <c r="Q105" s="101">
        <f t="shared" si="28"/>
        <v>9.0815881576396307E-2</v>
      </c>
      <c r="R105" s="101">
        <f t="shared" si="29"/>
        <v>2.1881826891741524E-2</v>
      </c>
      <c r="S105" s="101">
        <f t="shared" si="31"/>
        <v>734.48115216858344</v>
      </c>
      <c r="T105" s="101">
        <f t="shared" si="32"/>
        <v>9.6712747988643937</v>
      </c>
      <c r="U105" s="101">
        <f t="shared" si="33"/>
        <v>7.7486687652722201</v>
      </c>
      <c r="V105" s="33">
        <f t="shared" si="34"/>
        <v>999.9999999999992</v>
      </c>
      <c r="W105" s="105">
        <f>IF(A105=1,((cPH1_+cPHr+(cNES*L105+(cNES+cOSEX)*G105+(cNES+cEREX)*H105+(cNES+cHOEX)*I105 + (cNES+cNES)*S105 +(cNES+ cOSEX)*N105 + (cNES+cEREX)*O105 + (cNES+cHOEX)*P105)))/(1+cDR)^A$5:A$65536,(cPHr+(cNES*L105+(cNES+cOSEX)*G105+(cNES+cEREX)*H105+(cNES+cHOEX)*I105 + (cNES+cNES)*S105 +(cNES+ cOSEX)*N105 + (cNES+cEREX)*O105 + (cNES+cHOEX)*P105))/(1+cDR)^A$5:A$65536)</f>
        <v>171387.13795381179</v>
      </c>
      <c r="X105" s="112">
        <f t="shared" si="35"/>
        <v>982.58005643586262</v>
      </c>
      <c r="Y105" s="32">
        <f>(uNES*L105+ uOCEX*G105+uEREX*'PH + UC'!H105+uHOEX*I105+uNES*S105+ uOCEX*N105+uEREX*O105+uHOEX*P105)/(1+oDR)^A$5:A$65536</f>
        <v>628.66855913667484</v>
      </c>
    </row>
    <row r="106" spans="1:25" x14ac:dyDescent="0.25">
      <c r="A106" s="4">
        <v>100</v>
      </c>
      <c r="C106" s="110">
        <f>IF(male=0,VLOOKUP(((A104:A938/'Life tables'!$I$2)*2)+age,lifetable,13,1),IF(male=1,VLOOKUP(((A104:A938/'Life tables'!$I$2)*2)+age,lifetable,10,1),"error"))</f>
        <v>1.0096596056652363E-4</v>
      </c>
      <c r="F106" s="101">
        <f t="shared" si="18"/>
        <v>165.27966238126669</v>
      </c>
      <c r="G106" s="101">
        <f t="shared" si="19"/>
        <v>16.602687997473506</v>
      </c>
      <c r="H106" s="101">
        <f t="shared" si="20"/>
        <v>0.3799321175788305</v>
      </c>
      <c r="I106" s="101">
        <f t="shared" si="21"/>
        <v>0.3799321175788305</v>
      </c>
      <c r="J106" s="101">
        <f t="shared" si="22"/>
        <v>1.8440646638489353E-2</v>
      </c>
      <c r="K106" s="101">
        <f t="shared" si="23"/>
        <v>2.9782544482689525E-2</v>
      </c>
      <c r="L106" s="101">
        <f t="shared" si="30"/>
        <v>147.86888695751435</v>
      </c>
      <c r="M106" s="101">
        <f t="shared" si="24"/>
        <v>817.30039405459593</v>
      </c>
      <c r="N106" s="101">
        <f t="shared" si="25"/>
        <v>78.70779873295723</v>
      </c>
      <c r="O106" s="101">
        <f t="shared" si="26"/>
        <v>1.8787469972855557</v>
      </c>
      <c r="P106" s="101">
        <f t="shared" si="27"/>
        <v>1.8787469972855557</v>
      </c>
      <c r="Q106" s="101">
        <f t="shared" si="28"/>
        <v>9.0845706850755006E-2</v>
      </c>
      <c r="R106" s="101">
        <f t="shared" si="29"/>
        <v>2.188901320628461E-2</v>
      </c>
      <c r="S106" s="101">
        <f t="shared" si="31"/>
        <v>734.72236660701049</v>
      </c>
      <c r="T106" s="101">
        <f t="shared" si="32"/>
        <v>9.7805611523536378</v>
      </c>
      <c r="U106" s="101">
        <f t="shared" si="33"/>
        <v>7.8003403229611941</v>
      </c>
      <c r="V106" s="33">
        <f t="shared" si="34"/>
        <v>999.9999999999992</v>
      </c>
      <c r="W106" s="105">
        <f>IF(A106=1,((cPH1_+cPHr+(cNES*L106+(cNES+cOSEX)*G106+(cNES+cEREX)*H106+(cNES+cHOEX)*I106 + (cNES+cNES)*S106 +(cNES+ cOSEX)*N106 + (cNES+cEREX)*O106 + (cNES+cHOEX)*P106)))/(1+cDR)^A$5:A$65536,(cPHr+(cNES*L106+(cNES+cOSEX)*G106+(cNES+cEREX)*H106+(cNES+cHOEX)*I106 + (cNES+cNES)*S106 +(cNES+ cOSEX)*N106 + (cNES+cEREX)*O106 + (cNES+cHOEX)*P106))/(1+cDR)^A$5:A$65536)</f>
        <v>171191.72127306295</v>
      </c>
      <c r="X106" s="112">
        <f t="shared" si="35"/>
        <v>982.41909852468439</v>
      </c>
      <c r="Y106" s="32">
        <f>(uNES*L106+ uOCEX*G106+uEREX*'PH + UC'!H106+uHOEX*I106+uNES*S106+ uOCEX*N106+uEREX*O106+uHOEX*P106)/(1+oDR)^A$5:A$65536</f>
        <v>628.38496587640952</v>
      </c>
    </row>
    <row r="107" spans="1:25" x14ac:dyDescent="0.25">
      <c r="A107" s="4">
        <v>101</v>
      </c>
      <c r="C107" s="110">
        <f>IF(male=0,VLOOKUP(((A105:A939/'Life tables'!$I$2)*2)+age,lifetable,13,1),IF(male=1,VLOOKUP(((A105:A939/'Life tables'!$I$2)*2)+age,lifetable,10,1),"error"))</f>
        <v>1.0096596056652363E-4</v>
      </c>
      <c r="F107" s="101">
        <f t="shared" si="18"/>
        <v>164.8683880878616</v>
      </c>
      <c r="G107" s="101">
        <f t="shared" si="19"/>
        <v>16.561374633951292</v>
      </c>
      <c r="H107" s="101">
        <f t="shared" si="20"/>
        <v>0.37898671201018475</v>
      </c>
      <c r="I107" s="101">
        <f t="shared" si="21"/>
        <v>0.37898671201018475</v>
      </c>
      <c r="J107" s="101">
        <f t="shared" si="22"/>
        <v>1.8394759783404414E-2</v>
      </c>
      <c r="K107" s="101">
        <f t="shared" si="23"/>
        <v>2.9708434971806884E-2</v>
      </c>
      <c r="L107" s="101">
        <f t="shared" si="30"/>
        <v>147.50093683513472</v>
      </c>
      <c r="M107" s="101">
        <f t="shared" si="24"/>
        <v>817.5507104368229</v>
      </c>
      <c r="N107" s="101">
        <f t="shared" si="25"/>
        <v>78.731904742908043</v>
      </c>
      <c r="O107" s="101">
        <f t="shared" si="26"/>
        <v>1.8793224052443691</v>
      </c>
      <c r="P107" s="101">
        <f t="shared" si="27"/>
        <v>1.8793224052443691</v>
      </c>
      <c r="Q107" s="101">
        <f t="shared" si="28"/>
        <v>9.0873530364416769E-2</v>
      </c>
      <c r="R107" s="101">
        <f t="shared" si="29"/>
        <v>2.1895717202313699E-2</v>
      </c>
      <c r="S107" s="101">
        <f t="shared" si="31"/>
        <v>734.94739163585939</v>
      </c>
      <c r="T107" s="101">
        <f t="shared" si="32"/>
        <v>9.8898294425014583</v>
      </c>
      <c r="U107" s="101">
        <f t="shared" si="33"/>
        <v>7.8519444751353147</v>
      </c>
      <c r="V107" s="33">
        <f t="shared" si="34"/>
        <v>999.99999999999932</v>
      </c>
      <c r="W107" s="105">
        <f>IF(A107=1,((cPH1_+cPHr+(cNES*L107+(cNES+cOSEX)*G107+(cNES+cEREX)*H107+(cNES+cHOEX)*I107 + (cNES+cNES)*S107 +(cNES+ cOSEX)*N107 + (cNES+cEREX)*O107 + (cNES+cHOEX)*P107)))/(1+cDR)^A$5:A$65536,(cPHr+(cNES*L107+(cNES+cOSEX)*G107+(cNES+cEREX)*H107+(cNES+cHOEX)*I107 + (cNES+cNES)*S107 +(cNES+ cOSEX)*N107 + (cNES+cEREX)*O107 + (cNES+cHOEX)*P107))/(1+cDR)^A$5:A$65536)</f>
        <v>170995.21269615044</v>
      </c>
      <c r="X107" s="112">
        <f t="shared" si="35"/>
        <v>982.25822608236263</v>
      </c>
      <c r="Y107" s="32">
        <f>(uNES*L107+ uOCEX*G107+uEREX*'PH + UC'!H107+uHOEX*I107+uNES*S107+ uOCEX*N107+uEREX*O107+uHOEX*P107)/(1+oDR)^A$5:A$65536</f>
        <v>628.10153129032312</v>
      </c>
    </row>
    <row r="108" spans="1:25" x14ac:dyDescent="0.25">
      <c r="A108" s="4">
        <v>102</v>
      </c>
      <c r="C108" s="110">
        <f>IF(male=0,VLOOKUP(((A106:A940/'Life tables'!$I$2)*2)+age,lifetable,13,1),IF(male=1,VLOOKUP(((A106:A940/'Life tables'!$I$2)*2)+age,lifetable,10,1),"error"))</f>
        <v>1.0096596056652363E-4</v>
      </c>
      <c r="F108" s="101">
        <f t="shared" si="18"/>
        <v>164.47440058220383</v>
      </c>
      <c r="G108" s="101">
        <f t="shared" si="19"/>
        <v>16.521797764437547</v>
      </c>
      <c r="H108" s="101">
        <f t="shared" si="20"/>
        <v>0.37808104397355208</v>
      </c>
      <c r="I108" s="101">
        <f t="shared" si="21"/>
        <v>0.37808104397355208</v>
      </c>
      <c r="J108" s="101">
        <f t="shared" si="22"/>
        <v>1.8350801656511248E-2</v>
      </c>
      <c r="K108" s="101">
        <f t="shared" si="23"/>
        <v>2.9637440451102885E-2</v>
      </c>
      <c r="L108" s="101">
        <f t="shared" si="30"/>
        <v>147.14845248771155</v>
      </c>
      <c r="M108" s="101">
        <f t="shared" si="24"/>
        <v>817.78382550015863</v>
      </c>
      <c r="N108" s="101">
        <f t="shared" si="25"/>
        <v>78.75435422858078</v>
      </c>
      <c r="O108" s="101">
        <f t="shared" si="26"/>
        <v>1.879858272140372</v>
      </c>
      <c r="P108" s="101">
        <f t="shared" si="27"/>
        <v>1.879858272140372</v>
      </c>
      <c r="Q108" s="101">
        <f t="shared" si="28"/>
        <v>9.0899441893225935E-2</v>
      </c>
      <c r="R108" s="101">
        <f t="shared" si="29"/>
        <v>2.1901960511061691E-2</v>
      </c>
      <c r="S108" s="101">
        <f t="shared" si="31"/>
        <v>735.15695332489281</v>
      </c>
      <c r="T108" s="101">
        <f t="shared" si="32"/>
        <v>9.9990796860511963</v>
      </c>
      <c r="U108" s="101">
        <f t="shared" si="33"/>
        <v>7.9034838760974795</v>
      </c>
      <c r="V108" s="33">
        <f t="shared" si="34"/>
        <v>999.9999999999992</v>
      </c>
      <c r="W108" s="105">
        <f>IF(A108=1,((cPH1_+cPHr+(cNES*L108+(cNES+cOSEX)*G108+(cNES+cEREX)*H108+(cNES+cHOEX)*I108 + (cNES+cNES)*S108 +(cNES+ cOSEX)*N108 + (cNES+cEREX)*O108 + (cNES+cHOEX)*P108)))/(1+cDR)^A$5:A$65536,(cPHr+(cNES*L108+(cNES+cOSEX)*G108+(cNES+cEREX)*H108+(cNES+cHOEX)*I108 + (cNES+cNES)*S108 +(cNES+ cOSEX)*N108 + (cNES+cEREX)*O108 + (cNES+cHOEX)*P108))/(1+cDR)^A$5:A$65536)</f>
        <v>170797.67552759743</v>
      </c>
      <c r="X108" s="112">
        <f t="shared" si="35"/>
        <v>982.09743643785055</v>
      </c>
      <c r="Y108" s="32">
        <f>(uNES*L108+ uOCEX*G108+uEREX*'PH + UC'!H108+uHOEX*I108+uNES*S108+ uOCEX*N108+uEREX*O108+uHOEX*P108)/(1+oDR)^A$5:A$65536</f>
        <v>627.81825390735855</v>
      </c>
    </row>
    <row r="109" spans="1:25" x14ac:dyDescent="0.25">
      <c r="A109" s="4">
        <v>103</v>
      </c>
      <c r="C109" s="110">
        <f>IF(male=0,VLOOKUP(((A107:A941/'Life tables'!$I$2)*2)+age,lifetable,13,1),IF(male=1,VLOOKUP(((A107:A941/'Life tables'!$I$2)*2)+age,lifetable,10,1),"error"))</f>
        <v>1.0096596056652363E-4</v>
      </c>
      <c r="F109" s="101">
        <f t="shared" si="18"/>
        <v>164.09692569744706</v>
      </c>
      <c r="G109" s="101">
        <f t="shared" si="19"/>
        <v>16.483879622252324</v>
      </c>
      <c r="H109" s="101">
        <f t="shared" si="20"/>
        <v>0.37721333387400191</v>
      </c>
      <c r="I109" s="101">
        <f t="shared" si="21"/>
        <v>0.37721333387400191</v>
      </c>
      <c r="J109" s="101">
        <f t="shared" si="22"/>
        <v>1.8308685882166026E-2</v>
      </c>
      <c r="K109" s="101">
        <f t="shared" si="23"/>
        <v>2.9569421419696387E-2</v>
      </c>
      <c r="L109" s="101">
        <f t="shared" si="30"/>
        <v>146.81074130014485</v>
      </c>
      <c r="M109" s="101">
        <f t="shared" si="24"/>
        <v>818.00051074040346</v>
      </c>
      <c r="N109" s="101">
        <f t="shared" si="25"/>
        <v>78.775221486692558</v>
      </c>
      <c r="O109" s="101">
        <f t="shared" si="26"/>
        <v>1.880356371428501</v>
      </c>
      <c r="P109" s="101">
        <f t="shared" si="27"/>
        <v>1.880356371428501</v>
      </c>
      <c r="Q109" s="101">
        <f t="shared" si="28"/>
        <v>9.0923527191553652E-2</v>
      </c>
      <c r="R109" s="101">
        <f t="shared" si="29"/>
        <v>2.1907763794799019E-2</v>
      </c>
      <c r="S109" s="101">
        <f t="shared" si="31"/>
        <v>735.35174521986755</v>
      </c>
      <c r="T109" s="101">
        <f t="shared" si="32"/>
        <v>10.108311899124915</v>
      </c>
      <c r="U109" s="101">
        <f t="shared" si="33"/>
        <v>7.954961061311975</v>
      </c>
      <c r="V109" s="33">
        <f t="shared" si="34"/>
        <v>999.99999999999932</v>
      </c>
      <c r="W109" s="105">
        <f>IF(A109=1,((cPH1_+cPHr+(cNES*L109+(cNES+cOSEX)*G109+(cNES+cEREX)*H109+(cNES+cHOEX)*I109 + (cNES+cNES)*S109 +(cNES+ cOSEX)*N109 + (cNES+cEREX)*O109 + (cNES+cHOEX)*P109)))/(1+cDR)^A$5:A$65536,(cPHr+(cNES*L109+(cNES+cOSEX)*G109+(cNES+cEREX)*H109+(cNES+cHOEX)*I109 + (cNES+cNES)*S109 +(cNES+ cOSEX)*N109 + (cNES+cEREX)*O109 + (cNES+cHOEX)*P109))/(1+cDR)^A$5:A$65536)</f>
        <v>170599.17014943148</v>
      </c>
      <c r="X109" s="112">
        <f t="shared" si="35"/>
        <v>981.93672703956236</v>
      </c>
      <c r="Y109" s="32">
        <f>(uNES*L109+ uOCEX*G109+uEREX*'PH + UC'!H109+uHOEX*I109+uNES*S109+ uOCEX*N109+uEREX*O109+uHOEX*P109)/(1+oDR)^A$5:A$65536</f>
        <v>627.53513232020191</v>
      </c>
    </row>
    <row r="110" spans="1:25" x14ac:dyDescent="0.25">
      <c r="A110" s="4">
        <v>104</v>
      </c>
      <c r="C110" s="110">
        <f>IF(male=0,VLOOKUP(((A108:A942/'Life tables'!$I$2)*2)+age,lifetable,13,1),IF(male=1,VLOOKUP(((A108:A942/'Life tables'!$I$2)*2)+age,lifetable,10,1),"error"))</f>
        <v>1.0096596056652363E-4</v>
      </c>
      <c r="F110" s="101">
        <f t="shared" si="18"/>
        <v>163.73522394505969</v>
      </c>
      <c r="G110" s="101">
        <f t="shared" si="19"/>
        <v>16.447545924224951</v>
      </c>
      <c r="H110" s="101">
        <f t="shared" si="20"/>
        <v>0.37638188183243432</v>
      </c>
      <c r="I110" s="101">
        <f t="shared" si="21"/>
        <v>0.37638188183243432</v>
      </c>
      <c r="J110" s="101">
        <f t="shared" si="22"/>
        <v>1.8268329953867287E-2</v>
      </c>
      <c r="K110" s="101">
        <f t="shared" si="23"/>
        <v>2.9504244625560075E-2</v>
      </c>
      <c r="L110" s="101">
        <f t="shared" si="30"/>
        <v>146.48714168259045</v>
      </c>
      <c r="M110" s="101">
        <f t="shared" si="24"/>
        <v>818.20150309450264</v>
      </c>
      <c r="N110" s="101">
        <f t="shared" si="25"/>
        <v>78.794577485867862</v>
      </c>
      <c r="O110" s="101">
        <f t="shared" si="26"/>
        <v>1.8808183971224663</v>
      </c>
      <c r="P110" s="101">
        <f t="shared" si="27"/>
        <v>1.8808183971224663</v>
      </c>
      <c r="Q110" s="101">
        <f t="shared" si="28"/>
        <v>9.0945868172437244E-2</v>
      </c>
      <c r="R110" s="101">
        <f t="shared" si="29"/>
        <v>2.1913146790237713E-2</v>
      </c>
      <c r="S110" s="101">
        <f t="shared" si="31"/>
        <v>735.53242979942718</v>
      </c>
      <c r="T110" s="101">
        <f t="shared" si="32"/>
        <v>10.21752609725122</v>
      </c>
      <c r="U110" s="101">
        <f t="shared" si="33"/>
        <v>8.0063784527277733</v>
      </c>
      <c r="V110" s="33">
        <f t="shared" si="34"/>
        <v>999.9999999999992</v>
      </c>
      <c r="W110" s="105">
        <f>IF(A110=1,((cPH1_+cPHr+(cNES*L110+(cNES+cOSEX)*G110+(cNES+cEREX)*H110+(cNES+cHOEX)*I110 + (cNES+cNES)*S110 +(cNES+ cOSEX)*N110 + (cNES+cEREX)*O110 + (cNES+cHOEX)*P110)))/(1+cDR)^A$5:A$65536,(cPHr+(cNES*L110+(cNES+cOSEX)*G110+(cNES+cEREX)*H110+(cNES+cHOEX)*I110 + (cNES+cNES)*S110 +(cNES+ cOSEX)*N110 + (cNES+cEREX)*O110 + (cNES+cHOEX)*P110))/(1+cDR)^A$5:A$65536)</f>
        <v>170399.75415532681</v>
      </c>
      <c r="X110" s="112">
        <f t="shared" si="35"/>
        <v>981.77609545002019</v>
      </c>
      <c r="Y110" s="32">
        <f>(uNES*L110+ uOCEX*G110+uEREX*'PH + UC'!H110+uHOEX*I110+uNES*S110+ uOCEX*N110+uEREX*O110+uHOEX*P110)/(1+oDR)^A$5:A$65536</f>
        <v>627.25216518240939</v>
      </c>
    </row>
    <row r="111" spans="1:25" x14ac:dyDescent="0.25">
      <c r="A111" s="4">
        <v>105</v>
      </c>
      <c r="C111" s="110">
        <f>IF(male=0,VLOOKUP(((A109:A943/'Life tables'!$I$2)*2)+age,lifetable,13,1),IF(male=1,VLOOKUP(((A109:A943/'Life tables'!$I$2)*2)+age,lifetable,10,1),"error"))</f>
        <v>1.1034968280976276E-4</v>
      </c>
      <c r="F111" s="101">
        <f t="shared" si="18"/>
        <v>163.38858896143037</v>
      </c>
      <c r="G111" s="101">
        <f t="shared" si="19"/>
        <v>16.412725714652336</v>
      </c>
      <c r="H111" s="101">
        <f t="shared" si="20"/>
        <v>0.37558506411475656</v>
      </c>
      <c r="I111" s="101">
        <f t="shared" si="21"/>
        <v>0.37558506411475656</v>
      </c>
      <c r="J111" s="101">
        <f t="shared" si="22"/>
        <v>1.9923909428670363E-2</v>
      </c>
      <c r="K111" s="101">
        <f t="shared" si="23"/>
        <v>2.944178278560676E-2</v>
      </c>
      <c r="L111" s="101">
        <f t="shared" si="30"/>
        <v>146.17532742633426</v>
      </c>
      <c r="M111" s="101">
        <f t="shared" si="24"/>
        <v>818.38750648858979</v>
      </c>
      <c r="N111" s="101">
        <f t="shared" si="25"/>
        <v>78.812490015718524</v>
      </c>
      <c r="O111" s="101">
        <f t="shared" si="26"/>
        <v>1.8812459673532753</v>
      </c>
      <c r="P111" s="101">
        <f t="shared" si="27"/>
        <v>1.8812459673532753</v>
      </c>
      <c r="Q111" s="101">
        <f t="shared" si="28"/>
        <v>9.9420924822739828E-2</v>
      </c>
      <c r="R111" s="101">
        <f t="shared" si="29"/>
        <v>2.1918128349991267E-2</v>
      </c>
      <c r="S111" s="101">
        <f t="shared" si="31"/>
        <v>735.69118548499193</v>
      </c>
      <c r="T111" s="101">
        <f t="shared" si="32"/>
        <v>10.336870931502631</v>
      </c>
      <c r="U111" s="101">
        <f t="shared" si="33"/>
        <v>8.0577383638633719</v>
      </c>
      <c r="V111" s="33">
        <f t="shared" si="34"/>
        <v>999.99999999999909</v>
      </c>
      <c r="W111" s="105">
        <f>IF(A111=1,((cPH1_+cPHr+(cNES*L111+(cNES+cOSEX)*G111+(cNES+cEREX)*H111+(cNES+cHOEX)*I111 + (cNES+cNES)*S111 +(cNES+ cOSEX)*N111 + (cNES+cEREX)*O111 + (cNES+cHOEX)*P111)))/(1+cDR)^A$5:A$65536,(cPHr+(cNES*L111+(cNES+cOSEX)*G111+(cNES+cEREX)*H111+(cNES+cHOEX)*I111 + (cNES+cNES)*S111 +(cNES+ cOSEX)*N111 + (cNES+cEREX)*O111 + (cNES+cHOEX)*P111))/(1+cDR)^A$5:A$65536)</f>
        <v>170197.95844978071</v>
      </c>
      <c r="X111" s="112">
        <f t="shared" si="35"/>
        <v>981.60539070463301</v>
      </c>
      <c r="Y111" s="32">
        <f>(uNES*L111+ uOCEX*G111+uEREX*'PH + UC'!H111+uHOEX*I111+uNES*S111+ uOCEX*N111+uEREX*O111+uHOEX*P111)/(1+oDR)^A$5:A$65536</f>
        <v>626.9627637512566</v>
      </c>
    </row>
    <row r="112" spans="1:25" x14ac:dyDescent="0.25">
      <c r="A112" s="4">
        <v>106</v>
      </c>
      <c r="C112" s="110">
        <f>IF(male=0,VLOOKUP(((A110:A944/'Life tables'!$I$2)*2)+age,lifetable,13,1),IF(male=1,VLOOKUP(((A110:A944/'Life tables'!$I$2)*2)+age,lifetable,10,1),"error"))</f>
        <v>1.1034968280976276E-4</v>
      </c>
      <c r="F112" s="101">
        <f t="shared" si="18"/>
        <v>163.05465495766282</v>
      </c>
      <c r="G112" s="101">
        <f t="shared" si="19"/>
        <v>16.379181345088519</v>
      </c>
      <c r="H112" s="101">
        <f t="shared" si="20"/>
        <v>0.37481744242824611</v>
      </c>
      <c r="I112" s="101">
        <f t="shared" si="21"/>
        <v>0.37481744242824611</v>
      </c>
      <c r="J112" s="101">
        <f t="shared" si="22"/>
        <v>1.9883188893114554E-2</v>
      </c>
      <c r="K112" s="101">
        <f t="shared" si="23"/>
        <v>2.9381609596853823E-2</v>
      </c>
      <c r="L112" s="101">
        <f t="shared" si="30"/>
        <v>145.87657392922785</v>
      </c>
      <c r="M112" s="101">
        <f t="shared" si="24"/>
        <v>818.55073574697019</v>
      </c>
      <c r="N112" s="101">
        <f t="shared" si="25"/>
        <v>78.82820934695755</v>
      </c>
      <c r="O112" s="101">
        <f t="shared" si="26"/>
        <v>1.881621186160561</v>
      </c>
      <c r="P112" s="101">
        <f t="shared" si="27"/>
        <v>1.881621186160561</v>
      </c>
      <c r="Q112" s="101">
        <f t="shared" si="28"/>
        <v>9.9440754553396349E-2</v>
      </c>
      <c r="R112" s="101">
        <f t="shared" si="29"/>
        <v>2.1922499970778841E-2</v>
      </c>
      <c r="S112" s="101">
        <f t="shared" si="31"/>
        <v>735.8379207731673</v>
      </c>
      <c r="T112" s="101">
        <f t="shared" si="32"/>
        <v>10.456194874949142</v>
      </c>
      <c r="U112" s="101">
        <f t="shared" si="33"/>
        <v>8.1090424734310051</v>
      </c>
      <c r="V112" s="33">
        <f t="shared" si="34"/>
        <v>999.99999999999898</v>
      </c>
      <c r="W112" s="105">
        <f>IF(A112=1,((cPH1_+cPHr+(cNES*L112+(cNES+cOSEX)*G112+(cNES+cEREX)*H112+(cNES+cHOEX)*I112 + (cNES+cNES)*S112 +(cNES+ cOSEX)*N112 + (cNES+cEREX)*O112 + (cNES+cHOEX)*P112)))/(1+cDR)^A$5:A$65536,(cPHr+(cNES*L112+(cNES+cOSEX)*G112+(cNES+cEREX)*H112+(cNES+cHOEX)*I112 + (cNES+cNES)*S112 +(cNES+ cOSEX)*N112 + (cNES+cEREX)*O112 + (cNES+cHOEX)*P112))/(1+cDR)^A$5:A$65536)</f>
        <v>169995.12829521747</v>
      </c>
      <c r="X112" s="112">
        <f t="shared" si="35"/>
        <v>981.43476265161883</v>
      </c>
      <c r="Y112" s="32">
        <f>(uNES*L112+ uOCEX*G112+uEREX*'PH + UC'!H112+uHOEX*I112+uNES*S112+ uOCEX*N112+uEREX*O112+uHOEX*P112)/(1+oDR)^A$5:A$65536</f>
        <v>626.67362562211497</v>
      </c>
    </row>
    <row r="113" spans="1:25" x14ac:dyDescent="0.25">
      <c r="A113" s="4">
        <v>107</v>
      </c>
      <c r="C113" s="110">
        <f>IF(male=0,VLOOKUP(((A111:A945/'Life tables'!$I$2)*2)+age,lifetable,13,1),IF(male=1,VLOOKUP(((A111:A945/'Life tables'!$I$2)*2)+age,lifetable,10,1),"error"))</f>
        <v>1.1034968280976276E-4</v>
      </c>
      <c r="F113" s="101">
        <f t="shared" si="18"/>
        <v>162.73447535178724</v>
      </c>
      <c r="G113" s="101">
        <f t="shared" si="19"/>
        <v>16.347018633579321</v>
      </c>
      <c r="H113" s="101">
        <f t="shared" si="20"/>
        <v>0.37408143828887869</v>
      </c>
      <c r="I113" s="101">
        <f t="shared" si="21"/>
        <v>0.37408143828887869</v>
      </c>
      <c r="J113" s="101">
        <f t="shared" si="22"/>
        <v>1.9844145594504033E-2</v>
      </c>
      <c r="K113" s="101">
        <f t="shared" si="23"/>
        <v>2.9323914879808462E-2</v>
      </c>
      <c r="L113" s="101">
        <f t="shared" si="30"/>
        <v>145.59012578115585</v>
      </c>
      <c r="M113" s="101">
        <f t="shared" si="24"/>
        <v>818.70028729983176</v>
      </c>
      <c r="N113" s="101">
        <f t="shared" si="25"/>
        <v>78.842611485520621</v>
      </c>
      <c r="O113" s="101">
        <f t="shared" si="26"/>
        <v>1.8819649637152054</v>
      </c>
      <c r="P113" s="101">
        <f t="shared" si="27"/>
        <v>1.8819649637152054</v>
      </c>
      <c r="Q113" s="101">
        <f t="shared" si="28"/>
        <v>9.9458922662728738E-2</v>
      </c>
      <c r="R113" s="101">
        <f t="shared" si="29"/>
        <v>2.1926505274017918E-2</v>
      </c>
      <c r="S113" s="101">
        <f t="shared" si="31"/>
        <v>735.97236045894397</v>
      </c>
      <c r="T113" s="101">
        <f t="shared" si="32"/>
        <v>10.575497943206376</v>
      </c>
      <c r="U113" s="101">
        <f t="shared" si="33"/>
        <v>8.1602928935848311</v>
      </c>
      <c r="V113" s="33">
        <f t="shared" si="34"/>
        <v>999.9999999999992</v>
      </c>
      <c r="W113" s="105">
        <f>IF(A113=1,((cPH1_+cPHr+(cNES*L113+(cNES+cOSEX)*G113+(cNES+cEREX)*H113+(cNES+cHOEX)*I113 + (cNES+cNES)*S113 +(cNES+ cOSEX)*N113 + (cNES+cEREX)*O113 + (cNES+cHOEX)*P113)))/(1+cDR)^A$5:A$65536,(cPHr+(cNES*L113+(cNES+cOSEX)*G113+(cNES+cEREX)*H113+(cNES+cHOEX)*I113 + (cNES+cNES)*S113 +(cNES+ cOSEX)*N113 + (cNES+cEREX)*O113 + (cNES+cHOEX)*P113))/(1+cDR)^A$5:A$65536)</f>
        <v>169791.54901019402</v>
      </c>
      <c r="X113" s="112">
        <f t="shared" si="35"/>
        <v>981.26420916320785</v>
      </c>
      <c r="Y113" s="32">
        <f>(uNES*L113+ uOCEX*G113+uEREX*'PH + UC'!H113+uHOEX*I113+uNES*S113+ uOCEX*N113+uEREX*O113+uHOEX*P113)/(1+oDR)^A$5:A$65536</f>
        <v>626.38464415621763</v>
      </c>
    </row>
    <row r="114" spans="1:25" x14ac:dyDescent="0.25">
      <c r="A114" s="4">
        <v>108</v>
      </c>
      <c r="C114" s="110">
        <f>IF(male=0,VLOOKUP(((A112:A946/'Life tables'!$I$2)*2)+age,lifetable,13,1),IF(male=1,VLOOKUP(((A112:A946/'Life tables'!$I$2)*2)+age,lifetable,10,1),"error"))</f>
        <v>1.1034968280976276E-4</v>
      </c>
      <c r="F114" s="101">
        <f t="shared" si="18"/>
        <v>162.42743409613422</v>
      </c>
      <c r="G114" s="101">
        <f t="shared" si="19"/>
        <v>16.316175696847033</v>
      </c>
      <c r="H114" s="101">
        <f t="shared" si="20"/>
        <v>0.3733756355738706</v>
      </c>
      <c r="I114" s="101">
        <f t="shared" si="21"/>
        <v>0.3733756355738706</v>
      </c>
      <c r="J114" s="101">
        <f t="shared" si="22"/>
        <v>1.9806704410836429E-2</v>
      </c>
      <c r="K114" s="101">
        <f t="shared" si="23"/>
        <v>2.9268587625851394E-2</v>
      </c>
      <c r="L114" s="101">
        <f t="shared" si="30"/>
        <v>145.31543183610276</v>
      </c>
      <c r="M114" s="101">
        <f t="shared" si="24"/>
        <v>818.83677506707363</v>
      </c>
      <c r="N114" s="101">
        <f t="shared" si="25"/>
        <v>78.855755553224171</v>
      </c>
      <c r="O114" s="101">
        <f t="shared" si="26"/>
        <v>1.8822787112488384</v>
      </c>
      <c r="P114" s="101">
        <f t="shared" si="27"/>
        <v>1.8822787112488384</v>
      </c>
      <c r="Q114" s="101">
        <f t="shared" si="28"/>
        <v>9.9475503732134873E-2</v>
      </c>
      <c r="R114" s="101">
        <f t="shared" si="29"/>
        <v>2.1930160701766867E-2</v>
      </c>
      <c r="S114" s="101">
        <f t="shared" si="31"/>
        <v>736.09505642691784</v>
      </c>
      <c r="T114" s="101">
        <f t="shared" si="32"/>
        <v>10.694780151349347</v>
      </c>
      <c r="U114" s="101">
        <f t="shared" si="33"/>
        <v>8.2114916419124491</v>
      </c>
      <c r="V114" s="33">
        <f t="shared" si="34"/>
        <v>999.99999999999898</v>
      </c>
      <c r="W114" s="105">
        <f>IF(A114=1,((cPH1_+cPHr+(cNES*L114+(cNES+cOSEX)*G114+(cNES+cEREX)*H114+(cNES+cHOEX)*I114 + (cNES+cNES)*S114 +(cNES+ cOSEX)*N114 + (cNES+cEREX)*O114 + (cNES+cHOEX)*P114)))/(1+cDR)^A$5:A$65536,(cPHr+(cNES*L114+(cNES+cOSEX)*G114+(cNES+cEREX)*H114+(cNES+cHOEX)*I114 + (cNES+cNES)*S114 +(cNES+ cOSEX)*N114 + (cNES+cEREX)*O114 + (cNES+cHOEX)*P114))/(1+cDR)^A$5:A$65536)</f>
        <v>169587.2682794877</v>
      </c>
      <c r="X114" s="112">
        <f t="shared" si="35"/>
        <v>981.09372820673718</v>
      </c>
      <c r="Y114" s="32">
        <f>(uNES*L114+ uOCEX*G114+uEREX*'PH + UC'!H114+uHOEX*I114+uNES*S114+ uOCEX*N114+uEREX*O114+uHOEX*P114)/(1+oDR)^A$5:A$65536</f>
        <v>626.09581821930976</v>
      </c>
    </row>
    <row r="115" spans="1:25" x14ac:dyDescent="0.25">
      <c r="A115" s="4">
        <v>109</v>
      </c>
      <c r="C115" s="110">
        <f>IF(male=0,VLOOKUP(((A113:A947/'Life tables'!$I$2)*2)+age,lifetable,13,1),IF(male=1,VLOOKUP(((A113:A947/'Life tables'!$I$2)*2)+age,lifetable,10,1),"error"))</f>
        <v>1.1034968280976276E-4</v>
      </c>
      <c r="F115" s="101">
        <f t="shared" si="18"/>
        <v>162.13294274458829</v>
      </c>
      <c r="G115" s="101">
        <f t="shared" si="19"/>
        <v>16.286593424247801</v>
      </c>
      <c r="H115" s="101">
        <f t="shared" si="20"/>
        <v>0.37269868160875785</v>
      </c>
      <c r="I115" s="101">
        <f t="shared" si="21"/>
        <v>0.37269868160875785</v>
      </c>
      <c r="J115" s="101">
        <f t="shared" si="22"/>
        <v>1.9770793585894345E-2</v>
      </c>
      <c r="K115" s="101">
        <f t="shared" si="23"/>
        <v>2.9215521800021283E-2</v>
      </c>
      <c r="L115" s="101">
        <f t="shared" si="30"/>
        <v>145.05196564173707</v>
      </c>
      <c r="M115" s="101">
        <f t="shared" si="24"/>
        <v>818.96078546214903</v>
      </c>
      <c r="N115" s="101">
        <f t="shared" si="25"/>
        <v>78.867698022954258</v>
      </c>
      <c r="O115" s="101">
        <f t="shared" si="26"/>
        <v>1.8825637767633969</v>
      </c>
      <c r="P115" s="101">
        <f t="shared" si="27"/>
        <v>1.8825637767633969</v>
      </c>
      <c r="Q115" s="101">
        <f t="shared" si="28"/>
        <v>9.9490569001421461E-2</v>
      </c>
      <c r="R115" s="101">
        <f t="shared" si="29"/>
        <v>2.1933481959403922E-2</v>
      </c>
      <c r="S115" s="101">
        <f t="shared" si="31"/>
        <v>736.20653583470721</v>
      </c>
      <c r="T115" s="101">
        <f t="shared" si="32"/>
        <v>10.814041513936663</v>
      </c>
      <c r="U115" s="101">
        <f t="shared" si="33"/>
        <v>8.2626406456718744</v>
      </c>
      <c r="V115" s="33">
        <f t="shared" si="34"/>
        <v>999.9999999999992</v>
      </c>
      <c r="W115" s="105">
        <f>IF(A115=1,((cPH1_+cPHr+(cNES*L115+(cNES+cOSEX)*G115+(cNES+cEREX)*H115+(cNES+cHOEX)*I115 + (cNES+cNES)*S115 +(cNES+ cOSEX)*N115 + (cNES+cEREX)*O115 + (cNES+cHOEX)*P115)))/(1+cDR)^A$5:A$65536,(cPHr+(cNES*L115+(cNES+cOSEX)*G115+(cNES+cEREX)*H115+(cNES+cHOEX)*I115 + (cNES+cNES)*S115 +(cNES+ cOSEX)*N115 + (cNES+cEREX)*O115 + (cNES+cHOEX)*P115))/(1+cDR)^A$5:A$65536)</f>
        <v>169382.33158146171</v>
      </c>
      <c r="X115" s="112">
        <f t="shared" si="35"/>
        <v>980.92331784039061</v>
      </c>
      <c r="Y115" s="32">
        <f>(uNES*L115+ uOCEX*G115+uEREX*'PH + UC'!H115+uHOEX*I115+uNES*S115+ uOCEX*N115+uEREX*O115+uHOEX*P115)/(1+oDR)^A$5:A$65536</f>
        <v>625.80714672553847</v>
      </c>
    </row>
    <row r="116" spans="1:25" x14ac:dyDescent="0.25">
      <c r="A116" s="4">
        <v>110</v>
      </c>
      <c r="C116" s="110">
        <f>IF(male=0,VLOOKUP(((A114:A948/'Life tables'!$I$2)*2)+age,lifetable,13,1),IF(male=1,VLOOKUP(((A114:A948/'Life tables'!$I$2)*2)+age,lifetable,10,1),"error"))</f>
        <v>1.1034968280976276E-4</v>
      </c>
      <c r="F116" s="101">
        <f t="shared" si="18"/>
        <v>161.85043921591929</v>
      </c>
      <c r="G116" s="101">
        <f t="shared" si="19"/>
        <v>16.25821535354569</v>
      </c>
      <c r="H116" s="101">
        <f t="shared" si="20"/>
        <v>0.37204928432463763</v>
      </c>
      <c r="I116" s="101">
        <f t="shared" si="21"/>
        <v>0.37204928432463763</v>
      </c>
      <c r="J116" s="101">
        <f t="shared" si="22"/>
        <v>1.9736344578443712E-2</v>
      </c>
      <c r="K116" s="101">
        <f t="shared" si="23"/>
        <v>2.9164616118173434E-2</v>
      </c>
      <c r="L116" s="101">
        <f t="shared" si="30"/>
        <v>144.79922433302772</v>
      </c>
      <c r="M116" s="101">
        <f t="shared" si="24"/>
        <v>819.0728786244714</v>
      </c>
      <c r="N116" s="101">
        <f t="shared" si="25"/>
        <v>78.878492837350038</v>
      </c>
      <c r="O116" s="101">
        <f t="shared" si="26"/>
        <v>1.8828214478640857</v>
      </c>
      <c r="P116" s="101">
        <f t="shared" si="27"/>
        <v>1.8828214478640857</v>
      </c>
      <c r="Q116" s="101">
        <f t="shared" si="28"/>
        <v>9.9504186518521887E-2</v>
      </c>
      <c r="R116" s="101">
        <f t="shared" si="29"/>
        <v>2.1936484048633607E-2</v>
      </c>
      <c r="S116" s="101">
        <f t="shared" si="31"/>
        <v>736.30730222082605</v>
      </c>
      <c r="T116" s="101">
        <f t="shared" si="32"/>
        <v>10.933282045033629</v>
      </c>
      <c r="U116" s="101">
        <f t="shared" si="33"/>
        <v>8.3137417458386818</v>
      </c>
      <c r="V116" s="33">
        <f t="shared" si="34"/>
        <v>999.9999999999992</v>
      </c>
      <c r="W116" s="105">
        <f>IF(A116=1,((cPH1_+cPHr+(cNES*L116+(cNES+cOSEX)*G116+(cNES+cEREX)*H116+(cNES+cHOEX)*I116 + (cNES+cNES)*S116 +(cNES+ cOSEX)*N116 + (cNES+cEREX)*O116 + (cNES+cHOEX)*P116)))/(1+cDR)^A$5:A$65536,(cPHr+(cNES*L116+(cNES+cOSEX)*G116+(cNES+cEREX)*H116+(cNES+cHOEX)*I116 + (cNES+cNES)*S116 +(cNES+ cOSEX)*N116 + (cNES+cEREX)*O116 + (cNES+cHOEX)*P116))/(1+cDR)^A$5:A$65536)</f>
        <v>169176.78228936746</v>
      </c>
      <c r="X116" s="112">
        <f t="shared" si="35"/>
        <v>980.75297620912693</v>
      </c>
      <c r="Y116" s="32">
        <f>(uNES*L116+ uOCEX*G116+uEREX*'PH + UC'!H116+uHOEX*I116+uNES*S116+ uOCEX*N116+uEREX*O116+uHOEX*P116)/(1+oDR)^A$5:A$65536</f>
        <v>625.5186286352731</v>
      </c>
    </row>
    <row r="117" spans="1:25" x14ac:dyDescent="0.25">
      <c r="A117" s="4">
        <v>111</v>
      </c>
      <c r="C117" s="110">
        <f>IF(male=0,VLOOKUP(((A115:A949/'Life tables'!$I$2)*2)+age,lifetable,13,1),IF(male=1,VLOOKUP(((A115:A949/'Life tables'!$I$2)*2)+age,lifetable,10,1),"error"))</f>
        <v>1.1034968280976276E-4</v>
      </c>
      <c r="F117" s="101">
        <f t="shared" si="18"/>
        <v>161.57938661252197</v>
      </c>
      <c r="G117" s="101">
        <f t="shared" si="19"/>
        <v>16.230987552252586</v>
      </c>
      <c r="H117" s="101">
        <f t="shared" si="20"/>
        <v>0.37142620954277827</v>
      </c>
      <c r="I117" s="101">
        <f t="shared" si="21"/>
        <v>0.37142620954277827</v>
      </c>
      <c r="J117" s="101">
        <f t="shared" si="22"/>
        <v>1.9703291918188662E-2</v>
      </c>
      <c r="K117" s="101">
        <f t="shared" si="23"/>
        <v>2.911577383412273E-2</v>
      </c>
      <c r="L117" s="101">
        <f t="shared" si="30"/>
        <v>144.55672757543152</v>
      </c>
      <c r="M117" s="101">
        <f t="shared" si="24"/>
        <v>819.17358959660498</v>
      </c>
      <c r="N117" s="101">
        <f t="shared" si="25"/>
        <v>78.888191522169649</v>
      </c>
      <c r="O117" s="101">
        <f t="shared" si="26"/>
        <v>1.8830529544654113</v>
      </c>
      <c r="P117" s="101">
        <f t="shared" si="27"/>
        <v>1.8830529544654113</v>
      </c>
      <c r="Q117" s="101">
        <f t="shared" si="28"/>
        <v>9.9516421282505846E-2</v>
      </c>
      <c r="R117" s="101">
        <f t="shared" si="29"/>
        <v>2.1939181299014357E-2</v>
      </c>
      <c r="S117" s="101">
        <f t="shared" si="31"/>
        <v>736.39783656292298</v>
      </c>
      <c r="T117" s="101">
        <f t="shared" si="32"/>
        <v>11.052501758234323</v>
      </c>
      <c r="U117" s="101">
        <f t="shared" si="33"/>
        <v>8.3647967009718194</v>
      </c>
      <c r="V117" s="33">
        <f t="shared" si="34"/>
        <v>999.99999999999932</v>
      </c>
      <c r="W117" s="105">
        <f>IF(A117=1,((cPH1_+cPHr+(cNES*L117+(cNES+cOSEX)*G117+(cNES+cEREX)*H117+(cNES+cHOEX)*I117 + (cNES+cNES)*S117 +(cNES+ cOSEX)*N117 + (cNES+cEREX)*O117 + (cNES+cHOEX)*P117)))/(1+cDR)^A$5:A$65536,(cPHr+(cNES*L117+(cNES+cOSEX)*G117+(cNES+cEREX)*H117+(cNES+cHOEX)*I117 + (cNES+cNES)*S117 +(cNES+ cOSEX)*N117 + (cNES+cEREX)*O117 + (cNES+cHOEX)*P117))/(1+cDR)^A$5:A$65536)</f>
        <v>168970.66176799679</v>
      </c>
      <c r="X117" s="112">
        <f t="shared" si="35"/>
        <v>980.5827015407931</v>
      </c>
      <c r="Y117" s="32">
        <f>(uNES*L117+ uOCEX*G117+uEREX*'PH + UC'!H117+uHOEX*I117+uNES*S117+ uOCEX*N117+uEREX*O117+uHOEX*P117)/(1+oDR)^A$5:A$65536</f>
        <v>625.23026295302111</v>
      </c>
    </row>
    <row r="118" spans="1:25" x14ac:dyDescent="0.25">
      <c r="A118" s="4">
        <v>112</v>
      </c>
      <c r="C118" s="110">
        <f>IF(male=0,VLOOKUP(((A116:A950/'Life tables'!$I$2)*2)+age,lifetable,13,1),IF(male=1,VLOOKUP(((A116:A950/'Life tables'!$I$2)*2)+age,lifetable,10,1),"error"))</f>
        <v>1.1034968280976276E-4</v>
      </c>
      <c r="F118" s="101">
        <f t="shared" si="18"/>
        <v>161.31927209208106</v>
      </c>
      <c r="G118" s="101">
        <f t="shared" si="19"/>
        <v>16.204858504284598</v>
      </c>
      <c r="H118" s="101">
        <f t="shared" si="20"/>
        <v>0.37082827838089005</v>
      </c>
      <c r="I118" s="101">
        <f t="shared" si="21"/>
        <v>0.37082827838089005</v>
      </c>
      <c r="J118" s="101">
        <f t="shared" si="22"/>
        <v>1.9671573068180289E-2</v>
      </c>
      <c r="K118" s="101">
        <f t="shared" si="23"/>
        <v>2.9068902536323524E-2</v>
      </c>
      <c r="L118" s="101">
        <f t="shared" si="30"/>
        <v>144.32401655543018</v>
      </c>
      <c r="M118" s="101">
        <f t="shared" si="24"/>
        <v>819.26342944871203</v>
      </c>
      <c r="N118" s="101">
        <f t="shared" si="25"/>
        <v>78.896843294577053</v>
      </c>
      <c r="O118" s="101">
        <f t="shared" si="26"/>
        <v>1.8832594713759752</v>
      </c>
      <c r="P118" s="101">
        <f t="shared" si="27"/>
        <v>1.8832594713759752</v>
      </c>
      <c r="Q118" s="101">
        <f t="shared" si="28"/>
        <v>9.9527335380181603E-2</v>
      </c>
      <c r="R118" s="101">
        <f t="shared" si="29"/>
        <v>2.1941587398073562E-2</v>
      </c>
      <c r="S118" s="101">
        <f t="shared" si="31"/>
        <v>736.47859828860476</v>
      </c>
      <c r="T118" s="101">
        <f t="shared" si="32"/>
        <v>11.171700666682685</v>
      </c>
      <c r="U118" s="101">
        <f t="shared" si="33"/>
        <v>8.4158071909062162</v>
      </c>
      <c r="V118" s="33">
        <f t="shared" si="34"/>
        <v>999.9999999999992</v>
      </c>
      <c r="W118" s="105">
        <f>IF(A118=1,((cPH1_+cPHr+(cNES*L118+(cNES+cOSEX)*G118+(cNES+cEREX)*H118+(cNES+cHOEX)*I118 + (cNES+cNES)*S118 +(cNES+ cOSEX)*N118 + (cNES+cEREX)*O118 + (cNES+cHOEX)*P118)))/(1+cDR)^A$5:A$65536,(cPHr+(cNES*L118+(cNES+cOSEX)*G118+(cNES+cEREX)*H118+(cNES+cHOEX)*I118 + (cNES+cNES)*S118 +(cNES+ cOSEX)*N118 + (cNES+cEREX)*O118 + (cNES+cHOEX)*P118))/(1+cDR)^A$5:A$65536)</f>
        <v>168764.0094658983</v>
      </c>
      <c r="X118" s="112">
        <f t="shared" si="35"/>
        <v>980.41249214241031</v>
      </c>
      <c r="Y118" s="32">
        <f>(uNES*L118+ uOCEX*G118+uEREX*'PH + UC'!H118+uHOEX*I118+uNES*S118+ uOCEX*N118+uEREX*O118+uHOEX*P118)/(1+oDR)^A$5:A$65536</f>
        <v>624.94204872544151</v>
      </c>
    </row>
    <row r="119" spans="1:25" x14ac:dyDescent="0.25">
      <c r="A119" s="4">
        <v>113</v>
      </c>
      <c r="C119" s="110">
        <f>IF(male=0,VLOOKUP(((A117:A951/'Life tables'!$I$2)*2)+age,lifetable,13,1),IF(male=1,VLOOKUP(((A117:A951/'Life tables'!$I$2)*2)+age,lifetable,10,1),"error"))</f>
        <v>1.1034968280976276E-4</v>
      </c>
      <c r="F119" s="101">
        <f t="shared" si="18"/>
        <v>161.06960578979061</v>
      </c>
      <c r="G119" s="101">
        <f t="shared" si="19"/>
        <v>16.17977900169674</v>
      </c>
      <c r="H119" s="101">
        <f t="shared" si="20"/>
        <v>0.37025436477560647</v>
      </c>
      <c r="I119" s="101">
        <f t="shared" si="21"/>
        <v>0.37025436477560647</v>
      </c>
      <c r="J119" s="101">
        <f t="shared" si="22"/>
        <v>1.9641128293390056E-2</v>
      </c>
      <c r="K119" s="101">
        <f t="shared" si="23"/>
        <v>2.902391395365906E-2</v>
      </c>
      <c r="L119" s="101">
        <f t="shared" si="30"/>
        <v>144.10065301629561</v>
      </c>
      <c r="M119" s="101">
        <f t="shared" si="24"/>
        <v>819.34288635261964</v>
      </c>
      <c r="N119" s="101">
        <f t="shared" si="25"/>
        <v>78.904495166576879</v>
      </c>
      <c r="O119" s="101">
        <f t="shared" si="26"/>
        <v>1.8834421207674545</v>
      </c>
      <c r="P119" s="101">
        <f t="shared" si="27"/>
        <v>1.8834421207674545</v>
      </c>
      <c r="Q119" s="101">
        <f t="shared" si="28"/>
        <v>9.9536988116577768E-2</v>
      </c>
      <c r="R119" s="101">
        <f t="shared" si="29"/>
        <v>2.1943715420073322E-2</v>
      </c>
      <c r="S119" s="101">
        <f t="shared" si="31"/>
        <v>736.55002624097119</v>
      </c>
      <c r="T119" s="101">
        <f t="shared" si="32"/>
        <v>11.290878783092653</v>
      </c>
      <c r="U119" s="101">
        <f t="shared" si="33"/>
        <v>8.466774820279948</v>
      </c>
      <c r="V119" s="33">
        <f t="shared" si="34"/>
        <v>999.9999999999992</v>
      </c>
      <c r="W119" s="105">
        <f>IF(A119=1,((cPH1_+cPHr+(cNES*L119+(cNES+cOSEX)*G119+(cNES+cEREX)*H119+(cNES+cHOEX)*I119 + (cNES+cNES)*S119 +(cNES+ cOSEX)*N119 + (cNES+cEREX)*O119 + (cNES+cHOEX)*P119)))/(1+cDR)^A$5:A$65536,(cPHr+(cNES*L119+(cNES+cOSEX)*G119+(cNES+cEREX)*H119+(cNES+cHOEX)*I119 + (cNES+cNES)*S119 +(cNES+ cOSEX)*N119 + (cNES+cEREX)*O119 + (cNES+cHOEX)*P119))/(1+cDR)^A$5:A$65536)</f>
        <v>168556.86300335944</v>
      </c>
      <c r="X119" s="112">
        <f t="shared" si="35"/>
        <v>980.24234639662654</v>
      </c>
      <c r="Y119" s="32">
        <f>(uNES*L119+ uOCEX*G119+uEREX*'PH + UC'!H119+uHOEX*I119+uNES*S119+ uOCEX*N119+uEREX*O119+uHOEX*P119)/(1+oDR)^A$5:A$65536</f>
        <v>624.65398503944482</v>
      </c>
    </row>
    <row r="120" spans="1:25" x14ac:dyDescent="0.25">
      <c r="A120" s="4">
        <v>114</v>
      </c>
      <c r="C120" s="110">
        <f>IF(male=0,VLOOKUP(((A118:A952/'Life tables'!$I$2)*2)+age,lifetable,13,1),IF(male=1,VLOOKUP(((A118:A952/'Life tables'!$I$2)*2)+age,lifetable,10,1),"error"))</f>
        <v>1.1034968280976276E-4</v>
      </c>
      <c r="F120" s="101">
        <f t="shared" si="18"/>
        <v>160.82991978886275</v>
      </c>
      <c r="G120" s="101">
        <f t="shared" si="19"/>
        <v>16.155702041268373</v>
      </c>
      <c r="H120" s="101">
        <f t="shared" si="20"/>
        <v>0.36970339311596906</v>
      </c>
      <c r="I120" s="101">
        <f t="shared" si="21"/>
        <v>0.36970339311596906</v>
      </c>
      <c r="J120" s="101">
        <f t="shared" si="22"/>
        <v>1.9611900535171676E-2</v>
      </c>
      <c r="K120" s="101">
        <f t="shared" si="23"/>
        <v>2.8980723769932496E-2</v>
      </c>
      <c r="L120" s="101">
        <f t="shared" si="30"/>
        <v>143.88621833705733</v>
      </c>
      <c r="M120" s="101">
        <f t="shared" si="24"/>
        <v>819.41242660776379</v>
      </c>
      <c r="N120" s="101">
        <f t="shared" si="25"/>
        <v>78.911192043815078</v>
      </c>
      <c r="O120" s="101">
        <f t="shared" si="26"/>
        <v>1.8836019745329649</v>
      </c>
      <c r="P120" s="101">
        <f t="shared" si="27"/>
        <v>1.8836019745329649</v>
      </c>
      <c r="Q120" s="101">
        <f t="shared" si="28"/>
        <v>9.9545436139579113E-2</v>
      </c>
      <c r="R120" s="101">
        <f t="shared" si="29"/>
        <v>2.1945577853487393E-2</v>
      </c>
      <c r="S120" s="101">
        <f t="shared" si="31"/>
        <v>736.6125396008897</v>
      </c>
      <c r="T120" s="101">
        <f t="shared" si="32"/>
        <v>11.410036119767405</v>
      </c>
      <c r="U120" s="101">
        <f t="shared" si="33"/>
        <v>8.517701121903368</v>
      </c>
      <c r="V120" s="33">
        <f t="shared" si="34"/>
        <v>999.99999999999898</v>
      </c>
      <c r="W120" s="105">
        <f>IF(A120=1,((cPH1_+cPHr+(cNES*L120+(cNES+cOSEX)*G120+(cNES+cEREX)*H120+(cNES+cHOEX)*I120 + (cNES+cNES)*S120 +(cNES+ cOSEX)*N120 + (cNES+cEREX)*O120 + (cNES+cHOEX)*P120)))/(1+cDR)^A$5:A$65536,(cPHr+(cNES*L120+(cNES+cOSEX)*G120+(cNES+cEREX)*H120+(cNES+cHOEX)*I120 + (cNES+cNES)*S120 +(cNES+ cOSEX)*N120 + (cNES+cEREX)*O120 + (cNES+cHOEX)*P120))/(1+cDR)^A$5:A$65536)</f>
        <v>168349.25825635178</v>
      </c>
      <c r="X120" s="112">
        <f t="shared" si="35"/>
        <v>980.07226275832829</v>
      </c>
      <c r="Y120" s="32">
        <f>(uNES*L120+ uOCEX*G120+uEREX*'PH + UC'!H120+uHOEX*I120+uNES*S120+ uOCEX*N120+uEREX*O120+uHOEX*P120)/(1+oDR)^A$5:A$65536</f>
        <v>624.36607102037988</v>
      </c>
    </row>
    <row r="121" spans="1:25" x14ac:dyDescent="0.25">
      <c r="A121" s="4">
        <v>115</v>
      </c>
      <c r="C121" s="110">
        <f>IF(male=0,VLOOKUP(((A119:A953/'Life tables'!$I$2)*2)+age,lifetable,13,1),IF(male=1,VLOOKUP(((A119:A953/'Life tables'!$I$2)*2)+age,lifetable,10,1),"error"))</f>
        <v>1.1034968280976276E-4</v>
      </c>
      <c r="F121" s="101">
        <f t="shared" si="18"/>
        <v>160.59976713716171</v>
      </c>
      <c r="G121" s="101">
        <f t="shared" si="19"/>
        <v>16.132582725722042</v>
      </c>
      <c r="H121" s="101">
        <f t="shared" si="20"/>
        <v>0.36917433598294169</v>
      </c>
      <c r="I121" s="101">
        <f t="shared" si="21"/>
        <v>0.36917433598294169</v>
      </c>
      <c r="J121" s="101">
        <f t="shared" si="22"/>
        <v>1.9583835291347686E-2</v>
      </c>
      <c r="K121" s="101">
        <f t="shared" si="23"/>
        <v>2.8939251446669374E-2</v>
      </c>
      <c r="L121" s="101">
        <f t="shared" si="30"/>
        <v>143.68031265273578</v>
      </c>
      <c r="M121" s="101">
        <f t="shared" si="24"/>
        <v>819.47249562116679</v>
      </c>
      <c r="N121" s="101">
        <f t="shared" si="25"/>
        <v>78.916976819952964</v>
      </c>
      <c r="O121" s="101">
        <f t="shared" si="26"/>
        <v>1.8837400565397542</v>
      </c>
      <c r="P121" s="101">
        <f t="shared" si="27"/>
        <v>1.8837400565397542</v>
      </c>
      <c r="Q121" s="101">
        <f t="shared" si="28"/>
        <v>9.9552733558978077E-2</v>
      </c>
      <c r="R121" s="101">
        <f t="shared" si="29"/>
        <v>2.1947186627246994E-2</v>
      </c>
      <c r="S121" s="101">
        <f t="shared" si="31"/>
        <v>736.66653876794805</v>
      </c>
      <c r="T121" s="101">
        <f t="shared" si="32"/>
        <v>11.529172688617731</v>
      </c>
      <c r="U121" s="101">
        <f t="shared" si="33"/>
        <v>8.5685875599772849</v>
      </c>
      <c r="V121" s="33">
        <f t="shared" si="34"/>
        <v>999.99999999999909</v>
      </c>
      <c r="W121" s="105">
        <f>IF(A121=1,((cPH1_+cPHr+(cNES*L121+(cNES+cOSEX)*G121+(cNES+cEREX)*H121+(cNES+cHOEX)*I121 + (cNES+cNES)*S121 +(cNES+ cOSEX)*N121 + (cNES+cEREX)*O121 + (cNES+cHOEX)*P121)))/(1+cDR)^A$5:A$65536,(cPHr+(cNES*L121+(cNES+cOSEX)*G121+(cNES+cEREX)*H121+(cNES+cHOEX)*I121 + (cNES+cNES)*S121 +(cNES+ cOSEX)*N121 + (cNES+cEREX)*O121 + (cNES+cHOEX)*P121))/(1+cDR)^A$5:A$65536)</f>
        <v>168141.22943662107</v>
      </c>
      <c r="X121" s="112">
        <f t="shared" si="35"/>
        <v>979.90223975140418</v>
      </c>
      <c r="Y121" s="32">
        <f>(uNES*L121+ uOCEX*G121+uEREX*'PH + UC'!H121+uHOEX*I121+uNES*S121+ uOCEX*N121+uEREX*O121+uHOEX*P121)/(1+oDR)^A$5:A$65536</f>
        <v>624.07830583030386</v>
      </c>
    </row>
    <row r="122" spans="1:25" x14ac:dyDescent="0.25">
      <c r="A122" s="4">
        <v>116</v>
      </c>
      <c r="C122" s="110">
        <f>IF(male=0,VLOOKUP(((A120:A954/'Life tables'!$I$2)*2)+age,lifetable,13,1),IF(male=1,VLOOKUP(((A120:A954/'Life tables'!$I$2)*2)+age,lifetable,10,1),"error"))</f>
        <v>1.1034968280976276E-4</v>
      </c>
      <c r="F122" s="101">
        <f t="shared" si="18"/>
        <v>160.37872090789719</v>
      </c>
      <c r="G122" s="101">
        <f t="shared" si="19"/>
        <v>16.110378169368154</v>
      </c>
      <c r="H122" s="101">
        <f t="shared" si="20"/>
        <v>0.36866621199020533</v>
      </c>
      <c r="I122" s="101">
        <f t="shared" si="21"/>
        <v>0.36866621199020533</v>
      </c>
      <c r="J122" s="101">
        <f t="shared" si="22"/>
        <v>1.9556880501668615E-2</v>
      </c>
      <c r="K122" s="101">
        <f t="shared" si="23"/>
        <v>2.889942005385944E-2</v>
      </c>
      <c r="L122" s="101">
        <f t="shared" si="30"/>
        <v>143.48255401399308</v>
      </c>
      <c r="M122" s="101">
        <f t="shared" si="24"/>
        <v>819.52351884350708</v>
      </c>
      <c r="N122" s="101">
        <f t="shared" si="25"/>
        <v>78.921890466812656</v>
      </c>
      <c r="O122" s="101">
        <f t="shared" si="26"/>
        <v>1.8838573447809699</v>
      </c>
      <c r="P122" s="101">
        <f t="shared" si="27"/>
        <v>1.8838573447809699</v>
      </c>
      <c r="Q122" s="101">
        <f t="shared" si="28"/>
        <v>9.9558932060192118E-2</v>
      </c>
      <c r="R122" s="101">
        <f t="shared" si="29"/>
        <v>2.1948553135810747E-2</v>
      </c>
      <c r="S122" s="101">
        <f t="shared" si="31"/>
        <v>736.71240620193646</v>
      </c>
      <c r="T122" s="101">
        <f t="shared" si="32"/>
        <v>11.648288501179591</v>
      </c>
      <c r="U122" s="101">
        <f t="shared" si="33"/>
        <v>8.6194355331669552</v>
      </c>
      <c r="V122" s="33">
        <f t="shared" si="34"/>
        <v>999.9999999999992</v>
      </c>
      <c r="W122" s="105">
        <f>IF(A122=1,((cPH1_+cPHr+(cNES*L122+(cNES+cOSEX)*G122+(cNES+cEREX)*H122+(cNES+cHOEX)*I122 + (cNES+cNES)*S122 +(cNES+ cOSEX)*N122 + (cNES+cEREX)*O122 + (cNES+cHOEX)*P122)))/(1+cDR)^A$5:A$65536,(cPHr+(cNES*L122+(cNES+cOSEX)*G122+(cNES+cEREX)*H122+(cNES+cHOEX)*I122 + (cNES+cNES)*S122 +(cNES+ cOSEX)*N122 + (cNES+cEREX)*O122 + (cNES+cHOEX)*P122))/(1+cDR)^A$5:A$65536)</f>
        <v>167932.80916810248</v>
      </c>
      <c r="X122" s="112">
        <f t="shared" si="35"/>
        <v>979.73227596565266</v>
      </c>
      <c r="Y122" s="32">
        <f>(uNES*L122+ uOCEX*G122+uEREX*'PH + UC'!H122+uHOEX*I122+uNES*S122+ uOCEX*N122+uEREX*O122+uHOEX*P122)/(1+oDR)^A$5:A$65536</f>
        <v>623.79068866632531</v>
      </c>
    </row>
    <row r="123" spans="1:25" x14ac:dyDescent="0.25">
      <c r="A123" s="4">
        <v>117</v>
      </c>
      <c r="C123" s="110">
        <f>IF(male=0,VLOOKUP(((A121:A955/'Life tables'!$I$2)*2)+age,lifetable,13,1),IF(male=1,VLOOKUP(((A121:A955/'Life tables'!$I$2)*2)+age,lifetable,10,1),"error"))</f>
        <v>1.1034968280976276E-4</v>
      </c>
      <c r="F123" s="101">
        <f t="shared" si="18"/>
        <v>160.16637330240258</v>
      </c>
      <c r="G123" s="101">
        <f t="shared" si="19"/>
        <v>16.089047407977166</v>
      </c>
      <c r="H123" s="101">
        <f t="shared" si="20"/>
        <v>0.36817808372169364</v>
      </c>
      <c r="I123" s="101">
        <f t="shared" si="21"/>
        <v>0.36817808372169364</v>
      </c>
      <c r="J123" s="101">
        <f t="shared" si="22"/>
        <v>1.9530986438404088E-2</v>
      </c>
      <c r="K123" s="101">
        <f t="shared" si="23"/>
        <v>2.8861156108281869E-2</v>
      </c>
      <c r="L123" s="101">
        <f t="shared" si="30"/>
        <v>143.29257758443532</v>
      </c>
      <c r="M123" s="101">
        <f t="shared" si="24"/>
        <v>819.56590266325009</v>
      </c>
      <c r="N123" s="101">
        <f t="shared" si="25"/>
        <v>78.925972120483848</v>
      </c>
      <c r="O123" s="101">
        <f t="shared" si="26"/>
        <v>1.8839547734310169</v>
      </c>
      <c r="P123" s="101">
        <f t="shared" si="27"/>
        <v>1.8839547734310169</v>
      </c>
      <c r="Q123" s="101">
        <f t="shared" si="28"/>
        <v>9.9564081012886205E-2</v>
      </c>
      <c r="R123" s="101">
        <f t="shared" si="29"/>
        <v>2.1949688263111351E-2</v>
      </c>
      <c r="S123" s="101">
        <f t="shared" si="31"/>
        <v>736.7505072266282</v>
      </c>
      <c r="T123" s="101">
        <f t="shared" si="32"/>
        <v>11.767383568630882</v>
      </c>
      <c r="U123" s="101">
        <f t="shared" si="33"/>
        <v>8.6702463775383478</v>
      </c>
      <c r="V123" s="33">
        <f t="shared" si="34"/>
        <v>999.99999999999909</v>
      </c>
      <c r="W123" s="105">
        <f>IF(A123=1,((cPH1_+cPHr+(cNES*L123+(cNES+cOSEX)*G123+(cNES+cEREX)*H123+(cNES+cHOEX)*I123 + (cNES+cNES)*S123 +(cNES+ cOSEX)*N123 + (cNES+cEREX)*O123 + (cNES+cHOEX)*P123)))/(1+cDR)^A$5:A$65536,(cPHr+(cNES*L123+(cNES+cOSEX)*G123+(cNES+cEREX)*H123+(cNES+cHOEX)*I123 + (cNES+cNES)*S123 +(cNES+ cOSEX)*N123 + (cNES+cEREX)*O123 + (cNES+cHOEX)*P123))/(1+cDR)^A$5:A$65536)</f>
        <v>167724.02855982719</v>
      </c>
      <c r="X123" s="112">
        <f t="shared" si="35"/>
        <v>979.56237005382991</v>
      </c>
      <c r="Y123" s="32">
        <f>(uNES*L123+ uOCEX*G123+uEREX*'PH + UC'!H123+uHOEX*I123+uNES*S123+ uOCEX*N123+uEREX*O123+uHOEX*P123)/(1+oDR)^A$5:A$65536</f>
        <v>623.50321875902921</v>
      </c>
    </row>
    <row r="124" spans="1:25" x14ac:dyDescent="0.25">
      <c r="A124" s="4">
        <v>118</v>
      </c>
      <c r="C124" s="110">
        <f>IF(male=0,VLOOKUP(((A122:A956/'Life tables'!$I$2)*2)+age,lifetable,13,1),IF(male=1,VLOOKUP(((A122:A956/'Life tables'!$I$2)*2)+age,lifetable,10,1),"error"))</f>
        <v>1.1034968280976276E-4</v>
      </c>
      <c r="F124" s="101">
        <f t="shared" si="18"/>
        <v>159.96233479311257</v>
      </c>
      <c r="G124" s="101">
        <f t="shared" si="19"/>
        <v>16.068551312689912</v>
      </c>
      <c r="H124" s="101">
        <f t="shared" si="20"/>
        <v>0.36770905576153634</v>
      </c>
      <c r="I124" s="101">
        <f t="shared" si="21"/>
        <v>0.36770905576153634</v>
      </c>
      <c r="J124" s="101">
        <f t="shared" si="22"/>
        <v>1.9506105601835903E-2</v>
      </c>
      <c r="K124" s="101">
        <f t="shared" si="23"/>
        <v>2.882438941907426E-2</v>
      </c>
      <c r="L124" s="101">
        <f t="shared" si="30"/>
        <v>143.11003487387867</v>
      </c>
      <c r="M124" s="101">
        <f t="shared" si="24"/>
        <v>819.60003526071728</v>
      </c>
      <c r="N124" s="101">
        <f t="shared" si="25"/>
        <v>78.929259163572567</v>
      </c>
      <c r="O124" s="101">
        <f t="shared" si="26"/>
        <v>1.8840332348088256</v>
      </c>
      <c r="P124" s="101">
        <f t="shared" si="27"/>
        <v>1.8840332348088256</v>
      </c>
      <c r="Q124" s="101">
        <f t="shared" si="28"/>
        <v>9.9568227574728718E-2</v>
      </c>
      <c r="R124" s="101">
        <f t="shared" si="29"/>
        <v>2.1950602405429353E-2</v>
      </c>
      <c r="S124" s="101">
        <f t="shared" si="31"/>
        <v>736.78119079754686</v>
      </c>
      <c r="T124" s="101">
        <f t="shared" si="32"/>
        <v>11.886457901807447</v>
      </c>
      <c r="U124" s="101">
        <f t="shared" si="33"/>
        <v>8.7210213693628518</v>
      </c>
      <c r="V124" s="33">
        <f t="shared" si="34"/>
        <v>999.99999999999909</v>
      </c>
      <c r="W124" s="105">
        <f>IF(A124=1,((cPH1_+cPHr+(cNES*L124+(cNES+cOSEX)*G124+(cNES+cEREX)*H124+(cNES+cHOEX)*I124 + (cNES+cNES)*S124 +(cNES+ cOSEX)*N124 + (cNES+cEREX)*O124 + (cNES+cHOEX)*P124)))/(1+cDR)^A$5:A$65536,(cPHr+(cNES*L124+(cNES+cOSEX)*G124+(cNES+cEREX)*H124+(cNES+cHOEX)*I124 + (cNES+cNES)*S124 +(cNES+ cOSEX)*N124 + (cNES+cEREX)*O124 + (cNES+cHOEX)*P124))/(1+cDR)^A$5:A$65536)</f>
        <v>167514.91727548314</v>
      </c>
      <c r="X124" s="112">
        <f t="shared" si="35"/>
        <v>979.3925207288288</v>
      </c>
      <c r="Y124" s="32">
        <f>(uNES*L124+ uOCEX*G124+uEREX*'PH + UC'!H124+uHOEX*I124+uNES*S124+ uOCEX*N124+uEREX*O124+uHOEX*P124)/(1+oDR)^A$5:A$65536</f>
        <v>623.21589537096702</v>
      </c>
    </row>
    <row r="125" spans="1:25" x14ac:dyDescent="0.25">
      <c r="A125" s="4">
        <v>119</v>
      </c>
      <c r="C125" s="110">
        <f>IF(male=0,VLOOKUP(((A123:A957/'Life tables'!$I$2)*2)+age,lifetable,13,1),IF(male=1,VLOOKUP(((A123:A957/'Life tables'!$I$2)*2)+age,lifetable,10,1),"error"))</f>
        <v>1.1034968280976276E-4</v>
      </c>
      <c r="F125" s="101">
        <f t="shared" si="18"/>
        <v>159.76623330493925</v>
      </c>
      <c r="G125" s="101">
        <f t="shared" si="19"/>
        <v>16.048852507785099</v>
      </c>
      <c r="H125" s="101">
        <f t="shared" si="20"/>
        <v>0.36725827281226953</v>
      </c>
      <c r="I125" s="101">
        <f t="shared" si="21"/>
        <v>0.36725827281226953</v>
      </c>
      <c r="J125" s="101">
        <f t="shared" si="22"/>
        <v>1.9482192620433544E-2</v>
      </c>
      <c r="K125" s="101">
        <f t="shared" si="23"/>
        <v>2.8789052940220793E-2</v>
      </c>
      <c r="L125" s="101">
        <f t="shared" si="30"/>
        <v>142.93459300596896</v>
      </c>
      <c r="M125" s="101">
        <f t="shared" si="24"/>
        <v>819.62628742388949</v>
      </c>
      <c r="N125" s="101">
        <f t="shared" si="25"/>
        <v>78.931787303764708</v>
      </c>
      <c r="O125" s="101">
        <f t="shared" si="26"/>
        <v>1.8840935812531572</v>
      </c>
      <c r="P125" s="101">
        <f t="shared" si="27"/>
        <v>1.8840935812531572</v>
      </c>
      <c r="Q125" s="101">
        <f t="shared" si="28"/>
        <v>9.9571416790498149E-2</v>
      </c>
      <c r="R125" s="101">
        <f t="shared" si="29"/>
        <v>2.1951305493242049E-2</v>
      </c>
      <c r="S125" s="101">
        <f t="shared" si="31"/>
        <v>736.80479023533474</v>
      </c>
      <c r="T125" s="101">
        <f t="shared" si="32"/>
        <v>12.005511511218378</v>
      </c>
      <c r="U125" s="101">
        <f t="shared" si="33"/>
        <v>8.7717617277963154</v>
      </c>
      <c r="V125" s="33">
        <f t="shared" si="34"/>
        <v>999.99999999999909</v>
      </c>
      <c r="W125" s="105">
        <f>IF(A125=1,((cPH1_+cPHr+(cNES*L125+(cNES+cOSEX)*G125+(cNES+cEREX)*H125+(cNES+cHOEX)*I125 + (cNES+cNES)*S125 +(cNES+ cOSEX)*N125 + (cNES+cEREX)*O125 + (cNES+cHOEX)*P125)))/(1+cDR)^A$5:A$65536,(cPHr+(cNES*L125+(cNES+cOSEX)*G125+(cNES+cEREX)*H125+(cNES+cHOEX)*I125 + (cNES+cNES)*S125 +(cNES+ cOSEX)*N125 + (cNES+cEREX)*O125 + (cNES+cHOEX)*P125))/(1+cDR)^A$5:A$65536)</f>
        <v>167305.50359978201</v>
      </c>
      <c r="X125" s="112">
        <f t="shared" si="35"/>
        <v>979.22272676098441</v>
      </c>
      <c r="Y125" s="32">
        <f>(uNES*L125+ uOCEX*G125+uEREX*'PH + UC'!H125+uHOEX*I125+uNES*S125+ uOCEX*N125+uEREX*O125+uHOEX*P125)/(1+oDR)^A$5:A$65536</f>
        <v>622.92871779521693</v>
      </c>
    </row>
    <row r="126" spans="1:25" x14ac:dyDescent="0.25">
      <c r="A126" s="4">
        <v>120</v>
      </c>
      <c r="C126" s="110">
        <f>IF(male=0,VLOOKUP(((A124:A958/'Life tables'!$I$2)*2)+age,lifetable,13,1),IF(male=1,VLOOKUP(((A124:A958/'Life tables'!$I$2)*2)+age,lifetable,10,1),"error"))</f>
        <v>1.1034968280976276E-4</v>
      </c>
      <c r="F126" s="101">
        <f t="shared" si="18"/>
        <v>159.5777134333257</v>
      </c>
      <c r="G126" s="101">
        <f t="shared" si="19"/>
        <v>16.029915292131165</v>
      </c>
      <c r="H126" s="101">
        <f t="shared" si="20"/>
        <v>0.36682491789735805</v>
      </c>
      <c r="I126" s="101">
        <f t="shared" si="21"/>
        <v>0.36682491789735805</v>
      </c>
      <c r="J126" s="101">
        <f t="shared" si="22"/>
        <v>1.9459204155502133E-2</v>
      </c>
      <c r="K126" s="101">
        <f t="shared" si="23"/>
        <v>2.8755082629649549E-2</v>
      </c>
      <c r="L126" s="101">
        <f t="shared" si="30"/>
        <v>142.76593401861467</v>
      </c>
      <c r="M126" s="101">
        <f t="shared" si="24"/>
        <v>819.64501332765883</v>
      </c>
      <c r="N126" s="101">
        <f t="shared" si="25"/>
        <v>78.933590648869753</v>
      </c>
      <c r="O126" s="101">
        <f t="shared" si="26"/>
        <v>1.8841366269138886</v>
      </c>
      <c r="P126" s="101">
        <f t="shared" si="27"/>
        <v>1.8841366269138886</v>
      </c>
      <c r="Q126" s="101">
        <f t="shared" si="28"/>
        <v>9.957369168674976E-2</v>
      </c>
      <c r="R126" s="101">
        <f t="shared" si="29"/>
        <v>2.1951807012093486E-2</v>
      </c>
      <c r="S126" s="101">
        <f t="shared" si="31"/>
        <v>736.82162392626242</v>
      </c>
      <c r="T126" s="101">
        <f t="shared" si="32"/>
        <v>12.124544407060631</v>
      </c>
      <c r="U126" s="101">
        <f t="shared" si="33"/>
        <v>8.8224686174380587</v>
      </c>
      <c r="V126" s="33">
        <f t="shared" si="34"/>
        <v>999.9999999999992</v>
      </c>
      <c r="W126" s="105">
        <f>IF(A126=1,((cPH1_+cPHr+(cNES*L126+(cNES+cOSEX)*G126+(cNES+cEREX)*H126+(cNES+cHOEX)*I126 + (cNES+cNES)*S126 +(cNES+ cOSEX)*N126 + (cNES+cEREX)*O126 + (cNES+cHOEX)*P126)))/(1+cDR)^A$5:A$65536,(cPHr+(cNES*L126+(cNES+cOSEX)*G126+(cNES+cEREX)*H126+(cNES+cHOEX)*I126 + (cNES+cNES)*S126 +(cNES+ cOSEX)*N126 + (cNES+cEREX)*O126 + (cNES+cHOEX)*P126))/(1+cDR)^A$5:A$65536)</f>
        <v>167095.81450178064</v>
      </c>
      <c r="X126" s="112">
        <f t="shared" si="35"/>
        <v>979.05298697550052</v>
      </c>
      <c r="Y126" s="32">
        <f>(uNES*L126+ uOCEX*G126+uEREX*'PH + UC'!H126+uHOEX*I126+uNES*S126+ uOCEX*N126+uEREX*O126+uHOEX*P126)/(1+oDR)^A$5:A$65536</f>
        <v>622.6416853540095</v>
      </c>
    </row>
    <row r="127" spans="1:25" x14ac:dyDescent="0.25">
      <c r="A127" s="4">
        <v>121</v>
      </c>
      <c r="C127" s="110">
        <f>IF(male=0,VLOOKUP(((A125:A959/'Life tables'!$I$2)*2)+age,lifetable,13,1),IF(male=1,VLOOKUP(((A125:A959/'Life tables'!$I$2)*2)+age,lifetable,10,1),"error"))</f>
        <v>1.1034968280976276E-4</v>
      </c>
      <c r="F127" s="101">
        <f t="shared" si="18"/>
        <v>159.39643569733448</v>
      </c>
      <c r="G127" s="101">
        <f t="shared" si="19"/>
        <v>16.011705564157449</v>
      </c>
      <c r="H127" s="101">
        <f t="shared" si="20"/>
        <v>0.36640821064425294</v>
      </c>
      <c r="I127" s="101">
        <f t="shared" si="21"/>
        <v>0.36640821064425294</v>
      </c>
      <c r="J127" s="101">
        <f t="shared" si="22"/>
        <v>1.9437098810102669E-2</v>
      </c>
      <c r="K127" s="101">
        <f t="shared" si="23"/>
        <v>2.8722417314642885E-2</v>
      </c>
      <c r="L127" s="101">
        <f t="shared" si="30"/>
        <v>142.60375419576377</v>
      </c>
      <c r="M127" s="101">
        <f t="shared" si="24"/>
        <v>819.65655127816615</v>
      </c>
      <c r="N127" s="101">
        <f t="shared" si="25"/>
        <v>78.934701778502045</v>
      </c>
      <c r="O127" s="101">
        <f t="shared" si="26"/>
        <v>1.8841631494630371</v>
      </c>
      <c r="P127" s="101">
        <f t="shared" si="27"/>
        <v>1.8841631494630371</v>
      </c>
      <c r="Q127" s="101">
        <f t="shared" si="28"/>
        <v>9.9575093362240796E-2</v>
      </c>
      <c r="R127" s="101">
        <f t="shared" si="29"/>
        <v>2.1952116022529385E-2</v>
      </c>
      <c r="S127" s="101">
        <f t="shared" si="31"/>
        <v>736.83199599135321</v>
      </c>
      <c r="T127" s="101">
        <f t="shared" si="32"/>
        <v>12.243556599232974</v>
      </c>
      <c r="U127" s="101">
        <f t="shared" si="33"/>
        <v>8.8731431507752312</v>
      </c>
      <c r="V127" s="33">
        <f t="shared" si="34"/>
        <v>999.99999999999932</v>
      </c>
      <c r="W127" s="105">
        <f>IF(A127=1,((cPH1_+cPHr+(cNES*L127+(cNES+cOSEX)*G127+(cNES+cEREX)*H127+(cNES+cHOEX)*I127 + (cNES+cNES)*S127 +(cNES+ cOSEX)*N127 + (cNES+cEREX)*O127 + (cNES+cHOEX)*P127)))/(1+cDR)^A$5:A$65536,(cPHr+(cNES*L127+(cNES+cOSEX)*G127+(cNES+cEREX)*H127+(cNES+cHOEX)*I127 + (cNES+cNES)*S127 +(cNES+ cOSEX)*N127 + (cNES+cEREX)*O127 + (cNES+cHOEX)*P127))/(1+cDR)^A$5:A$65536)</f>
        <v>166885.87569529479</v>
      </c>
      <c r="X127" s="112">
        <f t="shared" si="35"/>
        <v>978.88330024999107</v>
      </c>
      <c r="Y127" s="32">
        <f>(uNES*L127+ uOCEX*G127+uEREX*'PH + UC'!H127+uHOEX*I127+uNES*S127+ uOCEX*N127+uEREX*O127+uHOEX*P127)/(1+oDR)^A$5:A$65536</f>
        <v>622.35479739741504</v>
      </c>
    </row>
    <row r="128" spans="1:25" x14ac:dyDescent="0.25">
      <c r="A128" s="4">
        <v>122</v>
      </c>
      <c r="C128" s="110">
        <f>IF(male=0,VLOOKUP(((A126:A960/'Life tables'!$I$2)*2)+age,lifetable,13,1),IF(male=1,VLOOKUP(((A126:A960/'Life tables'!$I$2)*2)+age,lifetable,10,1),"error"))</f>
        <v>1.1034968280976276E-4</v>
      </c>
      <c r="F128" s="101">
        <f t="shared" si="18"/>
        <v>159.22207582620098</v>
      </c>
      <c r="G128" s="101">
        <f t="shared" si="19"/>
        <v>15.994190750186984</v>
      </c>
      <c r="H128" s="101">
        <f t="shared" si="20"/>
        <v>0.36600740564437517</v>
      </c>
      <c r="I128" s="101">
        <f t="shared" si="21"/>
        <v>0.36600740564437517</v>
      </c>
      <c r="J128" s="101">
        <f t="shared" si="22"/>
        <v>1.9415837042053012E-2</v>
      </c>
      <c r="K128" s="101">
        <f t="shared" si="23"/>
        <v>2.8690998563277996E-2</v>
      </c>
      <c r="L128" s="101">
        <f t="shared" si="30"/>
        <v>142.4477634291199</v>
      </c>
      <c r="M128" s="101">
        <f t="shared" si="24"/>
        <v>819.66122442379003</v>
      </c>
      <c r="N128" s="101">
        <f t="shared" si="25"/>
        <v>78.9351518125506</v>
      </c>
      <c r="O128" s="101">
        <f t="shared" si="26"/>
        <v>1.8841738917291275</v>
      </c>
      <c r="P128" s="101">
        <f t="shared" si="27"/>
        <v>1.8841738917291275</v>
      </c>
      <c r="Q128" s="101">
        <f t="shared" si="28"/>
        <v>9.9575661074303906E-2</v>
      </c>
      <c r="R128" s="101">
        <f t="shared" si="29"/>
        <v>2.1952241179138902E-2</v>
      </c>
      <c r="S128" s="101">
        <f t="shared" si="31"/>
        <v>736.8361969255277</v>
      </c>
      <c r="T128" s="101">
        <f t="shared" si="32"/>
        <v>12.362548097349331</v>
      </c>
      <c r="U128" s="101">
        <f t="shared" si="33"/>
        <v>8.9237863905176482</v>
      </c>
      <c r="V128" s="33">
        <f t="shared" si="34"/>
        <v>999.99999999999909</v>
      </c>
      <c r="W128" s="105">
        <f>IF(A128=1,((cPH1_+cPHr+(cNES*L128+(cNES+cOSEX)*G128+(cNES+cEREX)*H128+(cNES+cHOEX)*I128 + (cNES+cNES)*S128 +(cNES+ cOSEX)*N128 + (cNES+cEREX)*O128 + (cNES+cHOEX)*P128)))/(1+cDR)^A$5:A$65536,(cPHr+(cNES*L128+(cNES+cOSEX)*G128+(cNES+cEREX)*H128+(cNES+cHOEX)*I128 + (cNES+cNES)*S128 +(cNES+ cOSEX)*N128 + (cNES+cEREX)*O128 + (cNES+cHOEX)*P128))/(1+cDR)^A$5:A$65536)</f>
        <v>166675.71169654062</v>
      </c>
      <c r="X128" s="112">
        <f t="shared" si="35"/>
        <v>978.71366551213214</v>
      </c>
      <c r="Y128" s="32">
        <f>(uNES*L128+ uOCEX*G128+uEREX*'PH + UC'!H128+uHOEX*I128+uNES*S128+ uOCEX*N128+uEREX*O128+uHOEX*P128)/(1+oDR)^A$5:A$65536</f>
        <v>622.06805330208897</v>
      </c>
    </row>
    <row r="129" spans="1:25" x14ac:dyDescent="0.25">
      <c r="A129" s="4">
        <v>123</v>
      </c>
      <c r="C129" s="110">
        <f>IF(male=0,VLOOKUP(((A127:A961/'Life tables'!$I$2)*2)+age,lifetable,13,1),IF(male=1,VLOOKUP(((A127:A961/'Life tables'!$I$2)*2)+age,lifetable,10,1),"error"))</f>
        <v>1.1034968280976276E-4</v>
      </c>
      <c r="F129" s="101">
        <f t="shared" si="18"/>
        <v>159.05432407785202</v>
      </c>
      <c r="G129" s="101">
        <f t="shared" si="19"/>
        <v>15.977339735980264</v>
      </c>
      <c r="H129" s="101">
        <f t="shared" si="20"/>
        <v>0.36562179088657909</v>
      </c>
      <c r="I129" s="101">
        <f t="shared" si="21"/>
        <v>0.36562179088657909</v>
      </c>
      <c r="J129" s="101">
        <f t="shared" si="22"/>
        <v>1.9395381080826765E-2</v>
      </c>
      <c r="K129" s="101">
        <f t="shared" si="23"/>
        <v>2.8660770561627517E-2</v>
      </c>
      <c r="L129" s="101">
        <f t="shared" si="30"/>
        <v>142.29768460845614</v>
      </c>
      <c r="M129" s="101">
        <f t="shared" si="24"/>
        <v>819.65934143428035</v>
      </c>
      <c r="N129" s="101">
        <f t="shared" si="25"/>
        <v>78.934970476581071</v>
      </c>
      <c r="O129" s="101">
        <f t="shared" si="26"/>
        <v>1.8841695632583315</v>
      </c>
      <c r="P129" s="101">
        <f t="shared" si="27"/>
        <v>1.8841695632583315</v>
      </c>
      <c r="Q129" s="101">
        <f t="shared" si="28"/>
        <v>9.9575432321351312E-2</v>
      </c>
      <c r="R129" s="101">
        <f t="shared" si="29"/>
        <v>2.1952190748743241E-2</v>
      </c>
      <c r="S129" s="101">
        <f t="shared" si="31"/>
        <v>736.83450420811255</v>
      </c>
      <c r="T129" s="101">
        <f t="shared" si="32"/>
        <v>12.481518910751509</v>
      </c>
      <c r="U129" s="101">
        <f t="shared" si="33"/>
        <v>8.9743993518280192</v>
      </c>
      <c r="V129" s="33">
        <f t="shared" si="34"/>
        <v>999.99999999999932</v>
      </c>
      <c r="W129" s="105">
        <f>IF(A129=1,((cPH1_+cPHr+(cNES*L129+(cNES+cOSEX)*G129+(cNES+cEREX)*H129+(cNES+cHOEX)*I129 + (cNES+cNES)*S129 +(cNES+ cOSEX)*N129 + (cNES+cEREX)*O129 + (cNES+cHOEX)*P129)))/(1+cDR)^A$5:A$65536,(cPHr+(cNES*L129+(cNES+cOSEX)*G129+(cNES+cEREX)*H129+(cNES+cHOEX)*I129 + (cNES+cNES)*S129 +(cNES+ cOSEX)*N129 + (cNES+cEREX)*O129 + (cNES+cHOEX)*P129))/(1+cDR)^A$5:A$65536)</f>
        <v>166465.34587912995</v>
      </c>
      <c r="X129" s="112">
        <f t="shared" si="35"/>
        <v>978.5440817374199</v>
      </c>
      <c r="Y129" s="32">
        <f>(uNES*L129+ uOCEX*G129+uEREX*'PH + UC'!H129+uHOEX*I129+uNES*S129+ uOCEX*N129+uEREX*O129+uHOEX*P129)/(1+oDR)^A$5:A$65536</f>
        <v>621.78145247007569</v>
      </c>
    </row>
    <row r="130" spans="1:25" x14ac:dyDescent="0.25">
      <c r="A130" s="4">
        <v>124</v>
      </c>
      <c r="C130" s="110">
        <f>IF(male=0,VLOOKUP(((A128:A962/'Life tables'!$I$2)*2)+age,lifetable,13,1),IF(male=1,VLOOKUP(((A128:A962/'Life tables'!$I$2)*2)+age,lifetable,10,1),"error"))</f>
        <v>1.1034968280976276E-4</v>
      </c>
      <c r="F130" s="101">
        <f t="shared" si="18"/>
        <v>158.89288458795789</v>
      </c>
      <c r="G130" s="101">
        <f t="shared" si="19"/>
        <v>15.961122801346162</v>
      </c>
      <c r="H130" s="101">
        <f t="shared" si="20"/>
        <v>0.36525068626080348</v>
      </c>
      <c r="I130" s="101">
        <f t="shared" si="21"/>
        <v>0.36525068626080348</v>
      </c>
      <c r="J130" s="101">
        <f t="shared" si="22"/>
        <v>1.937569484817547E-2</v>
      </c>
      <c r="K130" s="101">
        <f t="shared" si="23"/>
        <v>2.8631679996462014E-2</v>
      </c>
      <c r="L130" s="101">
        <f t="shared" si="30"/>
        <v>142.1532530392455</v>
      </c>
      <c r="M130" s="101">
        <f t="shared" si="24"/>
        <v>819.65119714946184</v>
      </c>
      <c r="N130" s="101">
        <f t="shared" si="25"/>
        <v>78.93418616430742</v>
      </c>
      <c r="O130" s="101">
        <f t="shared" si="26"/>
        <v>1.8841508418056574</v>
      </c>
      <c r="P130" s="101">
        <f t="shared" si="27"/>
        <v>1.8841508418056574</v>
      </c>
      <c r="Q130" s="101">
        <f t="shared" si="28"/>
        <v>9.9574442921681522E-2</v>
      </c>
      <c r="R130" s="101">
        <f t="shared" si="29"/>
        <v>2.1951972627769309E-2</v>
      </c>
      <c r="S130" s="101">
        <f t="shared" si="31"/>
        <v>736.82718288599358</v>
      </c>
      <c r="T130" s="101">
        <f t="shared" si="32"/>
        <v>12.600469048521367</v>
      </c>
      <c r="U130" s="101">
        <f t="shared" si="33"/>
        <v>9.0249830044522508</v>
      </c>
      <c r="V130" s="33">
        <f t="shared" si="34"/>
        <v>999.9999999999992</v>
      </c>
      <c r="W130" s="105">
        <f>IF(A130=1,((cPH1_+cPHr+(cNES*L130+(cNES+cOSEX)*G130+(cNES+cEREX)*H130+(cNES+cHOEX)*I130 + (cNES+cNES)*S130 +(cNES+ cOSEX)*N130 + (cNES+cEREX)*O130 + (cNES+cHOEX)*P130)))/(1+cDR)^A$5:A$65536,(cPHr+(cNES*L130+(cNES+cOSEX)*G130+(cNES+cEREX)*H130+(cNES+cHOEX)*I130 + (cNES+cNES)*S130 +(cNES+ cOSEX)*N130 + (cNES+cEREX)*O130 + (cNES+cHOEX)*P130))/(1+cDR)^A$5:A$65536)</f>
        <v>166254.80052654119</v>
      </c>
      <c r="X130" s="112">
        <f t="shared" si="35"/>
        <v>978.37454794702558</v>
      </c>
      <c r="Y130" s="32">
        <f>(uNES*L130+ uOCEX*G130+uEREX*'PH + UC'!H130+uHOEX*I130+uNES*S130+ uOCEX*N130+uEREX*O130+uHOEX*P130)/(1+oDR)^A$5:A$65536</f>
        <v>621.49499432766356</v>
      </c>
    </row>
    <row r="131" spans="1:25" x14ac:dyDescent="0.25">
      <c r="A131" s="4">
        <v>125</v>
      </c>
      <c r="C131" s="110">
        <f>IF(male=0,VLOOKUP(((A129:A963/'Life tables'!$I$2)*2)+age,lifetable,13,1),IF(male=1,VLOOKUP(((A129:A963/'Life tables'!$I$2)*2)+age,lifetable,10,1),"error"))</f>
        <v>1.1034968280976276E-4</v>
      </c>
      <c r="F131" s="101">
        <f t="shared" si="18"/>
        <v>158.73747474814971</v>
      </c>
      <c r="G131" s="101">
        <f t="shared" si="19"/>
        <v>15.945511557682556</v>
      </c>
      <c r="H131" s="101">
        <f t="shared" si="20"/>
        <v>0.36489344212876557</v>
      </c>
      <c r="I131" s="101">
        <f t="shared" si="21"/>
        <v>0.36489344212876557</v>
      </c>
      <c r="J131" s="101">
        <f t="shared" si="22"/>
        <v>1.9356743882307265E-2</v>
      </c>
      <c r="K131" s="101">
        <f t="shared" si="23"/>
        <v>2.8603675943207972E-2</v>
      </c>
      <c r="L131" s="101">
        <f t="shared" si="30"/>
        <v>142.01421588638411</v>
      </c>
      <c r="M131" s="101">
        <f t="shared" si="24"/>
        <v>819.63707319887578</v>
      </c>
      <c r="N131" s="101">
        <f t="shared" si="25"/>
        <v>78.932825997264644</v>
      </c>
      <c r="O131" s="101">
        <f t="shared" si="26"/>
        <v>1.8841183747593349</v>
      </c>
      <c r="P131" s="101">
        <f t="shared" si="27"/>
        <v>1.8841183747593349</v>
      </c>
      <c r="Q131" s="101">
        <f t="shared" si="28"/>
        <v>9.9572727088756058E-2</v>
      </c>
      <c r="R131" s="101">
        <f t="shared" si="29"/>
        <v>2.1951594358844993E-2</v>
      </c>
      <c r="S131" s="101">
        <f t="shared" si="31"/>
        <v>736.81448613064481</v>
      </c>
      <c r="T131" s="101">
        <f t="shared" si="32"/>
        <v>12.71939851949243</v>
      </c>
      <c r="U131" s="101">
        <f t="shared" si="33"/>
        <v>9.0755382747543045</v>
      </c>
      <c r="V131" s="33">
        <f t="shared" si="34"/>
        <v>999.99999999999909</v>
      </c>
      <c r="W131" s="105">
        <f>IF(A131=1,((cPH1_+cPHr+(cNES*L131+(cNES+cOSEX)*G131+(cNES+cEREX)*H131+(cNES+cHOEX)*I131 + (cNES+cNES)*S131 +(cNES+ cOSEX)*N131 + (cNES+cEREX)*O131 + (cNES+cHOEX)*P131)))/(1+cDR)^A$5:A$65536,(cPHr+(cNES*L131+(cNES+cOSEX)*G131+(cNES+cEREX)*H131+(cNES+cHOEX)*I131 + (cNES+cNES)*S131 +(cNES+ cOSEX)*N131 + (cNES+cEREX)*O131 + (cNES+cHOEX)*P131))/(1+cDR)^A$5:A$65536)</f>
        <v>166044.0968821813</v>
      </c>
      <c r="X131" s="112">
        <f t="shared" si="35"/>
        <v>978.20506320575237</v>
      </c>
      <c r="Y131" s="32">
        <f>(uNES*L131+ uOCEX*G131+uEREX*'PH + UC'!H131+uHOEX*I131+uNES*S131+ uOCEX*N131+uEREX*O131+uHOEX*P131)/(1+oDR)^A$5:A$65536</f>
        <v>621.20867832429576</v>
      </c>
    </row>
    <row r="132" spans="1:25" x14ac:dyDescent="0.25">
      <c r="A132" s="4">
        <v>126</v>
      </c>
      <c r="C132" s="110">
        <f>IF(male=0,VLOOKUP(((A130:A964/'Life tables'!$I$2)*2)+age,lifetable,13,1),IF(male=1,VLOOKUP(((A130:A964/'Life tables'!$I$2)*2)+age,lifetable,10,1),"error"))</f>
        <v>1.1034968280976276E-4</v>
      </c>
      <c r="F132" s="101">
        <f t="shared" si="18"/>
        <v>158.58782461209526</v>
      </c>
      <c r="G132" s="101">
        <f t="shared" si="19"/>
        <v>15.930478888315408</v>
      </c>
      <c r="H132" s="101">
        <f t="shared" si="20"/>
        <v>0.36454943795869432</v>
      </c>
      <c r="I132" s="101">
        <f t="shared" si="21"/>
        <v>0.36454943795869432</v>
      </c>
      <c r="J132" s="101">
        <f t="shared" si="22"/>
        <v>1.9338495265462666E-2</v>
      </c>
      <c r="K132" s="101">
        <f t="shared" si="23"/>
        <v>2.857670975892572E-2</v>
      </c>
      <c r="L132" s="101">
        <f t="shared" si="30"/>
        <v>141.88033164283809</v>
      </c>
      <c r="M132" s="101">
        <f t="shared" si="24"/>
        <v>819.61723859365691</v>
      </c>
      <c r="N132" s="101">
        <f t="shared" si="25"/>
        <v>78.930915881807863</v>
      </c>
      <c r="O132" s="101">
        <f t="shared" si="26"/>
        <v>1.8840727805013748</v>
      </c>
      <c r="P132" s="101">
        <f t="shared" si="27"/>
        <v>1.8840727805013748</v>
      </c>
      <c r="Q132" s="101">
        <f t="shared" si="28"/>
        <v>9.9570317503102926E-2</v>
      </c>
      <c r="R132" s="101">
        <f t="shared" si="29"/>
        <v>2.1951063146650875E-2</v>
      </c>
      <c r="S132" s="101">
        <f t="shared" si="31"/>
        <v>736.79665577019659</v>
      </c>
      <c r="T132" s="101">
        <f t="shared" si="32"/>
        <v>12.838307332260996</v>
      </c>
      <c r="U132" s="101">
        <f t="shared" si="33"/>
        <v>9.1260660476598812</v>
      </c>
      <c r="V132" s="33">
        <f t="shared" si="34"/>
        <v>999.99999999999898</v>
      </c>
      <c r="W132" s="105">
        <f>IF(A132=1,((cPH1_+cPHr+(cNES*L132+(cNES+cOSEX)*G132+(cNES+cEREX)*H132+(cNES+cHOEX)*I132 + (cNES+cNES)*S132 +(cNES+ cOSEX)*N132 + (cNES+cEREX)*O132 + (cNES+cHOEX)*P132)))/(1+cDR)^A$5:A$65536,(cPHr+(cNES*L132+(cNES+cOSEX)*G132+(cNES+cEREX)*H132+(cNES+cHOEX)*I132 + (cNES+cNES)*S132 +(cNES+ cOSEX)*N132 + (cNES+cEREX)*O132 + (cNES+cHOEX)*P132))/(1+cDR)^A$5:A$65536)</f>
        <v>165833.25519715043</v>
      </c>
      <c r="X132" s="112">
        <f t="shared" si="35"/>
        <v>978.03562662007812</v>
      </c>
      <c r="Y132" s="32">
        <f>(uNES*L132+ uOCEX*G132+uEREX*'PH + UC'!H132+uHOEX*I132+uNES*S132+ uOCEX*N132+uEREX*O132+uHOEX*P132)/(1+oDR)^A$5:A$65536</f>
        <v>620.92250393152608</v>
      </c>
    </row>
    <row r="133" spans="1:25" x14ac:dyDescent="0.25">
      <c r="A133" s="4">
        <v>127</v>
      </c>
      <c r="C133" s="110">
        <f>IF(male=0,VLOOKUP(((A131:A965/'Life tables'!$I$2)*2)+age,lifetable,13,1),IF(male=1,VLOOKUP(((A131:A965/'Life tables'!$I$2)*2)+age,lifetable,10,1),"error"))</f>
        <v>1.1034968280976276E-4</v>
      </c>
      <c r="F133" s="101">
        <f t="shared" si="18"/>
        <v>158.44367632818518</v>
      </c>
      <c r="G133" s="101">
        <f t="shared" si="19"/>
        <v>15.915998891510903</v>
      </c>
      <c r="H133" s="101">
        <f t="shared" si="20"/>
        <v>0.36421808102123288</v>
      </c>
      <c r="I133" s="101">
        <f t="shared" si="21"/>
        <v>0.36421808102123288</v>
      </c>
      <c r="J133" s="101">
        <f t="shared" si="22"/>
        <v>1.9320917554735261E-2</v>
      </c>
      <c r="K133" s="101">
        <f t="shared" si="23"/>
        <v>2.8550734980082378E-2</v>
      </c>
      <c r="L133" s="101">
        <f t="shared" si="30"/>
        <v>141.751369622097</v>
      </c>
      <c r="M133" s="101">
        <f t="shared" si="24"/>
        <v>819.59195029189289</v>
      </c>
      <c r="N133" s="101">
        <f t="shared" si="25"/>
        <v>78.928480563557656</v>
      </c>
      <c r="O133" s="101">
        <f t="shared" si="26"/>
        <v>1.8840146497071757</v>
      </c>
      <c r="P133" s="101">
        <f t="shared" si="27"/>
        <v>1.8840146497071757</v>
      </c>
      <c r="Q133" s="101">
        <f t="shared" si="28"/>
        <v>9.956724538099862E-2</v>
      </c>
      <c r="R133" s="101">
        <f t="shared" si="29"/>
        <v>2.1950385873061747E-2</v>
      </c>
      <c r="S133" s="101">
        <f t="shared" si="31"/>
        <v>736.77392279766684</v>
      </c>
      <c r="T133" s="101">
        <f t="shared" si="32"/>
        <v>12.95719549519673</v>
      </c>
      <c r="U133" s="101">
        <f t="shared" si="33"/>
        <v>9.1765671685130261</v>
      </c>
      <c r="V133" s="33">
        <f t="shared" si="34"/>
        <v>999.99999999999898</v>
      </c>
      <c r="W133" s="105">
        <f>IF(A133=1,((cPH1_+cPHr+(cNES*L133+(cNES+cOSEX)*G133+(cNES+cEREX)*H133+(cNES+cHOEX)*I133 + (cNES+cNES)*S133 +(cNES+ cOSEX)*N133 + (cNES+cEREX)*O133 + (cNES+cHOEX)*P133)))/(1+cDR)^A$5:A$65536,(cPHr+(cNES*L133+(cNES+cOSEX)*G133+(cNES+cEREX)*H133+(cNES+cHOEX)*I133 + (cNES+cNES)*S133 +(cNES+ cOSEX)*N133 + (cNES+cEREX)*O133 + (cNES+cHOEX)*P133))/(1+cDR)^A$5:A$65536)</f>
        <v>165622.29477581329</v>
      </c>
      <c r="X133" s="112">
        <f t="shared" si="35"/>
        <v>977.86623733628926</v>
      </c>
      <c r="Y133" s="32">
        <f>(uNES*L133+ uOCEX*G133+uEREX*'PH + UC'!H133+uHOEX*I133+uNES*S133+ uOCEX*N133+uEREX*O133+uHOEX*P133)/(1+oDR)^A$5:A$65536</f>
        <v>620.63647064202405</v>
      </c>
    </row>
    <row r="134" spans="1:25" x14ac:dyDescent="0.25">
      <c r="A134" s="4">
        <v>128</v>
      </c>
      <c r="C134" s="110">
        <f>IF(male=0,VLOOKUP(((A132:A966/'Life tables'!$I$2)*2)+age,lifetable,13,1),IF(male=1,VLOOKUP(((A132:A966/'Life tables'!$I$2)*2)+age,lifetable,10,1),"error"))</f>
        <v>1.1034968280976276E-4</v>
      </c>
      <c r="F134" s="101">
        <f t="shared" si="18"/>
        <v>158.30478359763723</v>
      </c>
      <c r="G134" s="101">
        <f t="shared" si="19"/>
        <v>15.902046826040891</v>
      </c>
      <c r="H134" s="101">
        <f t="shared" si="20"/>
        <v>0.36389880514377099</v>
      </c>
      <c r="I134" s="101">
        <f t="shared" si="21"/>
        <v>0.36389880514377099</v>
      </c>
      <c r="J134" s="101">
        <f t="shared" si="22"/>
        <v>1.9303980715991941E-2</v>
      </c>
      <c r="K134" s="101">
        <f t="shared" si="23"/>
        <v>2.8525707224905068E-2</v>
      </c>
      <c r="L134" s="101">
        <f t="shared" si="30"/>
        <v>141.62710947336791</v>
      </c>
      <c r="M134" s="101">
        <f t="shared" si="24"/>
        <v>819.56145373865195</v>
      </c>
      <c r="N134" s="101">
        <f t="shared" si="25"/>
        <v>78.925543679405891</v>
      </c>
      <c r="O134" s="101">
        <f t="shared" si="26"/>
        <v>1.883944546586896</v>
      </c>
      <c r="P134" s="101">
        <f t="shared" si="27"/>
        <v>1.883944546586896</v>
      </c>
      <c r="Q134" s="101">
        <f t="shared" si="28"/>
        <v>9.9563540540072895E-2</v>
      </c>
      <c r="R134" s="101">
        <f t="shared" si="29"/>
        <v>2.1949569111609661E-2</v>
      </c>
      <c r="S134" s="101">
        <f t="shared" si="31"/>
        <v>736.74650785642064</v>
      </c>
      <c r="T134" s="101">
        <f t="shared" si="32"/>
        <v>13.076063016452796</v>
      </c>
      <c r="U134" s="101">
        <f t="shared" si="33"/>
        <v>9.2270424448495412</v>
      </c>
      <c r="V134" s="33">
        <f t="shared" si="34"/>
        <v>999.99999999999898</v>
      </c>
      <c r="W134" s="105">
        <f>IF(A134=1,((cPH1_+cPHr+(cNES*L134+(cNES+cOSEX)*G134+(cNES+cEREX)*H134+(cNES+cHOEX)*I134 + (cNES+cNES)*S134 +(cNES+ cOSEX)*N134 + (cNES+cEREX)*O134 + (cNES+cHOEX)*P134)))/(1+cDR)^A$5:A$65536,(cPHr+(cNES*L134+(cNES+cOSEX)*G134+(cNES+cEREX)*H134+(cNES+cHOEX)*I134 + (cNES+cNES)*S134 +(cNES+ cOSEX)*N134 + (cNES+cEREX)*O134 + (cNES+cHOEX)*P134))/(1+cDR)^A$5:A$65536)</f>
        <v>165411.23401927971</v>
      </c>
      <c r="X134" s="112">
        <f t="shared" si="35"/>
        <v>977.6968945386966</v>
      </c>
      <c r="Y134" s="32">
        <f>(uNES*L134+ uOCEX*G134+uEREX*'PH + UC'!H134+uHOEX*I134+uNES*S134+ uOCEX*N134+uEREX*O134+uHOEX*P134)/(1+oDR)^A$5:A$65536</f>
        <v>620.35057796862247</v>
      </c>
    </row>
    <row r="135" spans="1:25" x14ac:dyDescent="0.25">
      <c r="A135" s="4">
        <v>129</v>
      </c>
      <c r="C135" s="110">
        <f>IF(male=0,VLOOKUP(((A133:A967/'Life tables'!$I$2)*2)+age,lifetable,13,1),IF(male=1,VLOOKUP(((A133:A967/'Life tables'!$I$2)*2)+age,lifetable,10,1),"error"))</f>
        <v>1.1034968280976276E-4</v>
      </c>
      <c r="F135" s="101">
        <f t="shared" ref="F135:F198" si="36">E134*(1-pCAPH)+(L134+G134+H134+I134)*(1-pCAPH)+(S134+N134+O134+P134)*(pUAPH)</f>
        <v>158.17091115688001</v>
      </c>
      <c r="G135" s="101">
        <f t="shared" ref="G135:G198" si="37">F135*(rrOSEX)</f>
        <v>15.888599059187248</v>
      </c>
      <c r="H135" s="101">
        <f t="shared" ref="H135:H198" si="38">F135*rrEREX</f>
        <v>0.36359106952058823</v>
      </c>
      <c r="I135" s="101">
        <f t="shared" ref="I135:I198" si="39">F135*rrHOEX</f>
        <v>0.36359106952058823</v>
      </c>
      <c r="J135" s="101">
        <f t="shared" ref="J135:J198" si="40">F135*mr + G135*mr + H135*mr+I135*mr</f>
        <v>1.9287656060753805E-2</v>
      </c>
      <c r="K135" s="101">
        <f t="shared" ref="K135:K198" si="41">F135*amr + I135*amrHOEX</f>
        <v>2.8501584100109105E-2</v>
      </c>
      <c r="L135" s="101">
        <f t="shared" si="30"/>
        <v>141.50734071849072</v>
      </c>
      <c r="M135" s="101">
        <f t="shared" ref="M135:M198" si="42">E134*pCAPH+(L134+G134+H134+I134)*pCAPH+(S134+N134+O134+P134)*(1-pUAPH)</f>
        <v>819.52598338181667</v>
      </c>
      <c r="N135" s="101">
        <f t="shared" ref="N135:N198" si="43">M135*rrOSEXc</f>
        <v>78.9221278071916</v>
      </c>
      <c r="O135" s="101">
        <f t="shared" ref="O135:O198" si="44">M135*rrEREXc</f>
        <v>1.8838630100712139</v>
      </c>
      <c r="P135" s="101">
        <f t="shared" ref="P135:P198" si="45">M135*rrHOEXc</f>
        <v>1.8838630100712139</v>
      </c>
      <c r="Q135" s="101">
        <f t="shared" ref="Q135:Q198" si="46">M135*mr + N135*mr + O135*mr+P135*mr</f>
        <v>9.9559231461974332E-2</v>
      </c>
      <c r="R135" s="101">
        <f t="shared" ref="R135:R198" si="47">M135*amrc + P135*amrHOEX</f>
        <v>2.1948619141299058E-2</v>
      </c>
      <c r="S135" s="101">
        <f t="shared" si="31"/>
        <v>736.7146217038794</v>
      </c>
      <c r="T135" s="101">
        <f t="shared" si="32"/>
        <v>13.194909903975525</v>
      </c>
      <c r="U135" s="101">
        <f t="shared" si="33"/>
        <v>9.2774926480909485</v>
      </c>
      <c r="V135" s="33">
        <f t="shared" si="34"/>
        <v>999.99999999999909</v>
      </c>
      <c r="W135" s="105">
        <f>IF(A135=1,((cPH1_+cPHr+(cNES*L135+(cNES+cOSEX)*G135+(cNES+cEREX)*H135+(cNES+cHOEX)*I135 + (cNES+cNES)*S135 +(cNES+ cOSEX)*N135 + (cNES+cEREX)*O135 + (cNES+cHOEX)*P135)))/(1+cDR)^A$5:A$65536,(cPHr+(cNES*L135+(cNES+cOSEX)*G135+(cNES+cEREX)*H135+(cNES+cHOEX)*I135 + (cNES+cNES)*S135 +(cNES+ cOSEX)*N135 + (cNES+cEREX)*O135 + (cNES+cHOEX)*P135))/(1+cDR)^A$5:A$65536)</f>
        <v>165200.09046688778</v>
      </c>
      <c r="X135" s="112">
        <f t="shared" si="35"/>
        <v>977.52759744793264</v>
      </c>
      <c r="Y135" s="32">
        <f>(uNES*L135+ uOCEX*G135+uEREX*'PH + UC'!H135+uHOEX*I135+uNES*S135+ uOCEX*N135+uEREX*O135+uHOEX*P135)/(1+oDR)^A$5:A$65536</f>
        <v>620.0648254434135</v>
      </c>
    </row>
    <row r="136" spans="1:25" x14ac:dyDescent="0.25">
      <c r="A136" s="4">
        <v>130</v>
      </c>
      <c r="C136" s="110">
        <f>IF(male=0,VLOOKUP(((A134:A968/'Life tables'!$I$2)*2)+age,lifetable,13,1),IF(male=1,VLOOKUP(((A134:A968/'Life tables'!$I$2)*2)+age,lifetable,10,1),"error"))</f>
        <v>1.1034968280976276E-4</v>
      </c>
      <c r="F136" s="101">
        <f t="shared" si="36"/>
        <v>158.04183428312771</v>
      </c>
      <c r="G136" s="101">
        <f t="shared" si="37"/>
        <v>15.875633017075815</v>
      </c>
      <c r="H136" s="101">
        <f t="shared" si="38"/>
        <v>0.36329435757630774</v>
      </c>
      <c r="I136" s="101">
        <f t="shared" si="39"/>
        <v>0.36329435757630774</v>
      </c>
      <c r="J136" s="101">
        <f t="shared" si="40"/>
        <v>1.9271916185904993E-2</v>
      </c>
      <c r="K136" s="101">
        <f t="shared" si="41"/>
        <v>2.8478325111805106E-2</v>
      </c>
      <c r="L136" s="101">
        <f t="shared" ref="L136:L199" si="48">F136-SUM(G136:K136)</f>
        <v>141.39186230960158</v>
      </c>
      <c r="M136" s="101">
        <f t="shared" si="42"/>
        <v>819.48576316480478</v>
      </c>
      <c r="N136" s="101">
        <f t="shared" si="43"/>
        <v>78.918254513151126</v>
      </c>
      <c r="O136" s="101">
        <f t="shared" si="44"/>
        <v>1.8837705549439547</v>
      </c>
      <c r="P136" s="101">
        <f t="shared" si="45"/>
        <v>1.8837705549439547</v>
      </c>
      <c r="Q136" s="101">
        <f t="shared" si="46"/>
        <v>9.9554345352227791E-2</v>
      </c>
      <c r="R136" s="101">
        <f t="shared" si="47"/>
        <v>2.1947541959802832E-2</v>
      </c>
      <c r="S136" s="101">
        <f t="shared" ref="S136:S199" si="49">M136-SUM(N136:R136)</f>
        <v>736.6784656544537</v>
      </c>
      <c r="T136" s="101">
        <f t="shared" ref="T136:T199" si="50">J136+Q136+T135</f>
        <v>13.313736165513657</v>
      </c>
      <c r="U136" s="101">
        <f t="shared" ref="U136:U199" si="51">K136+R136+U135</f>
        <v>9.3279185151625565</v>
      </c>
      <c r="V136" s="33">
        <f t="shared" ref="V136:V199" si="52">SUM(G136:I136,L136,N136,O136,P136,S136,T136,U136)</f>
        <v>999.99999999999898</v>
      </c>
      <c r="W136" s="105">
        <f>IF(A136=1,((cPH1_+cPHr+(cNES*L136+(cNES+cOSEX)*G136+(cNES+cEREX)*H136+(cNES+cHOEX)*I136 + (cNES+cNES)*S136 +(cNES+ cOSEX)*N136 + (cNES+cEREX)*O136 + (cNES+cHOEX)*P136)))/(1+cDR)^A$5:A$65536,(cPHr+(cNES*L136+(cNES+cOSEX)*G136+(cNES+cEREX)*H136+(cNES+cHOEX)*I136 + (cNES+cNES)*S136 +(cNES+ cOSEX)*N136 + (cNES+cEREX)*O136 + (cNES+cHOEX)*P136))/(1+cDR)^A$5:A$65536)</f>
        <v>164988.88083578434</v>
      </c>
      <c r="X136" s="112">
        <f t="shared" ref="X136:X199" si="53">(L136+G136+H136+I136+N136+O136+P136+S136)</f>
        <v>977.35834531932278</v>
      </c>
      <c r="Y136" s="32">
        <f>(uNES*L136+ uOCEX*G136+uEREX*'PH + UC'!H136+uHOEX*I136+uNES*S136+ uOCEX*N136+uEREX*O136+uHOEX*P136)/(1+oDR)^A$5:A$65536</f>
        <v>619.779212616878</v>
      </c>
    </row>
    <row r="137" spans="1:25" x14ac:dyDescent="0.25">
      <c r="A137" s="4">
        <v>131</v>
      </c>
      <c r="C137" s="110">
        <f>IF(male=0,VLOOKUP(((A135:A969/'Life tables'!$I$2)*2)+age,lifetable,13,1),IF(male=1,VLOOKUP(((A135:A969/'Life tables'!$I$2)*2)+age,lifetable,10,1),"error"))</f>
        <v>1.2085130128736132E-4</v>
      </c>
      <c r="F137" s="101">
        <f t="shared" si="36"/>
        <v>157.91733832210781</v>
      </c>
      <c r="G137" s="101">
        <f t="shared" si="37"/>
        <v>15.863127137235676</v>
      </c>
      <c r="H137" s="101">
        <f t="shared" si="38"/>
        <v>0.36300817588027312</v>
      </c>
      <c r="I137" s="101">
        <f t="shared" si="39"/>
        <v>0.36300817588027312</v>
      </c>
      <c r="J137" s="101">
        <f t="shared" si="40"/>
        <v>2.1089335409951171E-2</v>
      </c>
      <c r="K137" s="101">
        <f t="shared" si="41"/>
        <v>2.8455891580397977E-2</v>
      </c>
      <c r="L137" s="101">
        <f t="shared" si="48"/>
        <v>141.27864960612123</v>
      </c>
      <c r="M137" s="101">
        <f t="shared" si="42"/>
        <v>819.44100699721491</v>
      </c>
      <c r="N137" s="101">
        <f t="shared" si="43"/>
        <v>78.91394439724229</v>
      </c>
      <c r="O137" s="101">
        <f t="shared" si="44"/>
        <v>1.8836676729239763</v>
      </c>
      <c r="P137" s="101">
        <f t="shared" si="45"/>
        <v>1.8836676729239763</v>
      </c>
      <c r="Q137" s="101">
        <f t="shared" si="46"/>
        <v>0.109022652272896</v>
      </c>
      <c r="R137" s="101">
        <f t="shared" si="47"/>
        <v>2.194634329606724E-2</v>
      </c>
      <c r="S137" s="101">
        <f t="shared" si="49"/>
        <v>736.62875825855576</v>
      </c>
      <c r="T137" s="101">
        <f t="shared" si="50"/>
        <v>13.443848153196504</v>
      </c>
      <c r="U137" s="101">
        <f t="shared" si="51"/>
        <v>9.3783207500390215</v>
      </c>
      <c r="V137" s="33">
        <f t="shared" si="52"/>
        <v>999.99999999999898</v>
      </c>
      <c r="W137" s="105">
        <f>IF(A137=1,((cPH1_+cPHr+(cNES*L137+(cNES+cOSEX)*G137+(cNES+cEREX)*H137+(cNES+cHOEX)*I137 + (cNES+cNES)*S137 +(cNES+ cOSEX)*N137 + (cNES+cEREX)*O137 + (cNES+cHOEX)*P137)))/(1+cDR)^A$5:A$65536,(cPHr+(cNES*L137+(cNES+cOSEX)*G137+(cNES+cEREX)*H137+(cNES+cHOEX)*I137 + (cNES+cNES)*S137 +(cNES+ cOSEX)*N137 + (cNES+cEREX)*O137 + (cNES+cHOEX)*P137))/(1+cDR)^A$5:A$65536)</f>
        <v>164775.96882485336</v>
      </c>
      <c r="X137" s="112">
        <f t="shared" si="53"/>
        <v>977.17783109676338</v>
      </c>
      <c r="Y137" s="32">
        <f>(uNES*L137+ uOCEX*G137+uEREX*'PH + UC'!H137+uHOEX*I137+uNES*S137+ uOCEX*N137+uEREX*O137+uHOEX*P137)/(1+oDR)^A$5:A$65536</f>
        <v>619.48645481542678</v>
      </c>
    </row>
    <row r="138" spans="1:25" x14ac:dyDescent="0.25">
      <c r="A138" s="4">
        <v>132</v>
      </c>
      <c r="C138" s="110">
        <f>IF(male=0,VLOOKUP(((A136:A970/'Life tables'!$I$2)*2)+age,lifetable,13,1),IF(male=1,VLOOKUP(((A136:A970/'Life tables'!$I$2)*2)+age,lifetable,10,1),"error"))</f>
        <v>1.2085130128736132E-4</v>
      </c>
      <c r="F138" s="101">
        <f t="shared" si="36"/>
        <v>157.79538674172591</v>
      </c>
      <c r="G138" s="101">
        <f t="shared" si="37"/>
        <v>15.850876845755717</v>
      </c>
      <c r="H138" s="101">
        <f t="shared" si="38"/>
        <v>0.362727843009858</v>
      </c>
      <c r="I138" s="101">
        <f t="shared" si="39"/>
        <v>0.362727843009858</v>
      </c>
      <c r="J138" s="101">
        <f t="shared" si="40"/>
        <v>2.1073049181917096E-2</v>
      </c>
      <c r="K138" s="101">
        <f t="shared" si="41"/>
        <v>2.8433916533286134E-2</v>
      </c>
      <c r="L138" s="101">
        <f t="shared" si="48"/>
        <v>141.16954724423528</v>
      </c>
      <c r="M138" s="101">
        <f t="shared" si="42"/>
        <v>819.38244435503748</v>
      </c>
      <c r="N138" s="101">
        <f t="shared" si="43"/>
        <v>78.908304687917166</v>
      </c>
      <c r="O138" s="101">
        <f t="shared" si="44"/>
        <v>1.8835330536469708</v>
      </c>
      <c r="P138" s="101">
        <f t="shared" si="45"/>
        <v>1.8835330536469708</v>
      </c>
      <c r="Q138" s="101">
        <f t="shared" si="46"/>
        <v>0.10901486079734157</v>
      </c>
      <c r="R138" s="101">
        <f t="shared" si="47"/>
        <v>2.1944774866078289E-2</v>
      </c>
      <c r="S138" s="101">
        <f t="shared" si="49"/>
        <v>736.576113924163</v>
      </c>
      <c r="T138" s="101">
        <f t="shared" si="50"/>
        <v>13.573936063175761</v>
      </c>
      <c r="U138" s="101">
        <f t="shared" si="51"/>
        <v>9.4286994414383862</v>
      </c>
      <c r="V138" s="33">
        <f t="shared" si="52"/>
        <v>999.99999999999898</v>
      </c>
      <c r="W138" s="105">
        <f>IF(A138=1,((cPH1_+cPHr+(cNES*L138+(cNES+cOSEX)*G138+(cNES+cEREX)*H138+(cNES+cHOEX)*I138 + (cNES+cNES)*S138 +(cNES+ cOSEX)*N138 + (cNES+cEREX)*O138 + (cNES+cHOEX)*P138)))/(1+cDR)^A$5:A$65536,(cPHr+(cNES*L138+(cNES+cOSEX)*G138+(cNES+cEREX)*H138+(cNES+cHOEX)*I138 + (cNES+cNES)*S138 +(cNES+ cOSEX)*N138 + (cNES+cEREX)*O138 + (cNES+cHOEX)*P138))/(1+cDR)^A$5:A$65536)</f>
        <v>164562.7727836211</v>
      </c>
      <c r="X138" s="112">
        <f t="shared" si="53"/>
        <v>976.99736449538477</v>
      </c>
      <c r="Y138" s="32">
        <f>(uNES*L138+ uOCEX*G138+uEREX*'PH + UC'!H138+uHOEX*I138+uNES*S138+ uOCEX*N138+uEREX*O138+uHOEX*P138)/(1+oDR)^A$5:A$65536</f>
        <v>619.19395914243478</v>
      </c>
    </row>
    <row r="139" spans="1:25" x14ac:dyDescent="0.25">
      <c r="A139" s="4">
        <v>133</v>
      </c>
      <c r="C139" s="110">
        <f>IF(male=0,VLOOKUP(((A137:A971/'Life tables'!$I$2)*2)+age,lifetable,13,1),IF(male=1,VLOOKUP(((A137:A971/'Life tables'!$I$2)*2)+age,lifetable,10,1),"error"))</f>
        <v>1.2085130128736132E-4</v>
      </c>
      <c r="F139" s="101">
        <f t="shared" si="36"/>
        <v>157.67761815262784</v>
      </c>
      <c r="G139" s="101">
        <f t="shared" si="37"/>
        <v>15.83904674450474</v>
      </c>
      <c r="H139" s="101">
        <f t="shared" si="38"/>
        <v>0.36245712567660809</v>
      </c>
      <c r="I139" s="101">
        <f t="shared" si="39"/>
        <v>0.36245712567660809</v>
      </c>
      <c r="J139" s="101">
        <f t="shared" si="40"/>
        <v>2.1057321578459274E-2</v>
      </c>
      <c r="K139" s="101">
        <f t="shared" si="41"/>
        <v>2.8412695239674182E-2</v>
      </c>
      <c r="L139" s="101">
        <f t="shared" si="48"/>
        <v>141.06418713995174</v>
      </c>
      <c r="M139" s="101">
        <f t="shared" si="42"/>
        <v>819.31974634275684</v>
      </c>
      <c r="N139" s="101">
        <f t="shared" si="43"/>
        <v>78.902266733491302</v>
      </c>
      <c r="O139" s="101">
        <f t="shared" si="44"/>
        <v>1.8833889283006906</v>
      </c>
      <c r="P139" s="101">
        <f t="shared" si="45"/>
        <v>1.8833889283006906</v>
      </c>
      <c r="Q139" s="101">
        <f t="shared" si="46"/>
        <v>0.10900651913084856</v>
      </c>
      <c r="R139" s="101">
        <f t="shared" si="47"/>
        <v>2.1943095682232544E-2</v>
      </c>
      <c r="S139" s="101">
        <f t="shared" si="49"/>
        <v>736.51975213785113</v>
      </c>
      <c r="T139" s="101">
        <f t="shared" si="50"/>
        <v>13.70399990388507</v>
      </c>
      <c r="U139" s="101">
        <f t="shared" si="51"/>
        <v>9.4790552323602935</v>
      </c>
      <c r="V139" s="33">
        <f t="shared" si="52"/>
        <v>999.99999999999898</v>
      </c>
      <c r="W139" s="105">
        <f>IF(A139=1,((cPH1_+cPHr+(cNES*L139+(cNES+cOSEX)*G139+(cNES+cEREX)*H139+(cNES+cHOEX)*I139 + (cNES+cNES)*S139 +(cNES+ cOSEX)*N139 + (cNES+cEREX)*O139 + (cNES+cHOEX)*P139)))/(1+cDR)^A$5:A$65536,(cPHr+(cNES*L139+(cNES+cOSEX)*G139+(cNES+cEREX)*H139+(cNES+cHOEX)*I139 + (cNES+cNES)*S139 +(cNES+ cOSEX)*N139 + (cNES+cEREX)*O139 + (cNES+cHOEX)*P139))/(1+cDR)^A$5:A$65536)</f>
        <v>164349.56114485508</v>
      </c>
      <c r="X139" s="112">
        <f t="shared" si="53"/>
        <v>976.81694486375352</v>
      </c>
      <c r="Y139" s="32">
        <f>(uNES*L139+ uOCEX*G139+uEREX*'PH + UC'!H139+uHOEX*I139+uNES*S139+ uOCEX*N139+uEREX*O139+uHOEX*P139)/(1+oDR)^A$5:A$65536</f>
        <v>618.90160860550918</v>
      </c>
    </row>
    <row r="140" spans="1:25" x14ac:dyDescent="0.25">
      <c r="A140" s="4">
        <v>134</v>
      </c>
      <c r="C140" s="110">
        <f>IF(male=0,VLOOKUP(((A138:A972/'Life tables'!$I$2)*2)+age,lifetable,13,1),IF(male=1,VLOOKUP(((A138:A972/'Life tables'!$I$2)*2)+age,lifetable,10,1),"error"))</f>
        <v>1.2085130128736132E-4</v>
      </c>
      <c r="F140" s="101">
        <f t="shared" si="36"/>
        <v>157.56384532884681</v>
      </c>
      <c r="G140" s="101">
        <f t="shared" si="37"/>
        <v>15.827618026242535</v>
      </c>
      <c r="H140" s="101">
        <f t="shared" si="38"/>
        <v>0.36219559349993691</v>
      </c>
      <c r="I140" s="101">
        <f t="shared" si="39"/>
        <v>0.36219559349993691</v>
      </c>
      <c r="J140" s="101">
        <f t="shared" si="40"/>
        <v>2.1042127596172404E-2</v>
      </c>
      <c r="K140" s="101">
        <f t="shared" si="41"/>
        <v>2.8392193962406546E-2</v>
      </c>
      <c r="L140" s="101">
        <f t="shared" si="48"/>
        <v>140.96240179404583</v>
      </c>
      <c r="M140" s="101">
        <f t="shared" si="42"/>
        <v>819.25309953490682</v>
      </c>
      <c r="N140" s="101">
        <f t="shared" si="43"/>
        <v>78.895848501496545</v>
      </c>
      <c r="O140" s="101">
        <f t="shared" si="44"/>
        <v>1.8832357257682586</v>
      </c>
      <c r="P140" s="101">
        <f t="shared" si="45"/>
        <v>1.8832357257682586</v>
      </c>
      <c r="Q140" s="101">
        <f t="shared" si="46"/>
        <v>0.10899765209625391</v>
      </c>
      <c r="R140" s="101">
        <f t="shared" si="47"/>
        <v>2.1941310741386073E-2</v>
      </c>
      <c r="S140" s="101">
        <f t="shared" si="49"/>
        <v>736.45984061903619</v>
      </c>
      <c r="T140" s="101">
        <f t="shared" si="50"/>
        <v>13.834039683577496</v>
      </c>
      <c r="U140" s="101">
        <f t="shared" si="51"/>
        <v>9.5293887370640853</v>
      </c>
      <c r="V140" s="33">
        <f t="shared" si="52"/>
        <v>999.99999999999909</v>
      </c>
      <c r="W140" s="105">
        <f>IF(A140=1,((cPH1_+cPHr+(cNES*L140+(cNES+cOSEX)*G140+(cNES+cEREX)*H140+(cNES+cHOEX)*I140 + (cNES+cNES)*S140 +(cNES+ cOSEX)*N140 + (cNES+cEREX)*O140 + (cNES+cHOEX)*P140)))/(1+cDR)^A$5:A$65536,(cPHr+(cNES*L140+(cNES+cOSEX)*G140+(cNES+cEREX)*H140+(cNES+cHOEX)*I140 + (cNES+cNES)*S140 +(cNES+ cOSEX)*N140 + (cNES+cEREX)*O140 + (cNES+cHOEX)*P140))/(1+cDR)^A$5:A$65536)</f>
        <v>164136.34769845611</v>
      </c>
      <c r="X140" s="112">
        <f t="shared" si="53"/>
        <v>976.63657157935745</v>
      </c>
      <c r="Y140" s="32">
        <f>(uNES*L140+ uOCEX*G140+uEREX*'PH + UC'!H140+uHOEX*I140+uNES*S140+ uOCEX*N140+uEREX*O140+uHOEX*P140)/(1+oDR)^A$5:A$65536</f>
        <v>618.60940281574051</v>
      </c>
    </row>
    <row r="141" spans="1:25" x14ac:dyDescent="0.25">
      <c r="A141" s="4">
        <v>135</v>
      </c>
      <c r="C141" s="110">
        <f>IF(male=0,VLOOKUP(((A139:A973/'Life tables'!$I$2)*2)+age,lifetable,13,1),IF(male=1,VLOOKUP(((A139:A973/'Life tables'!$I$2)*2)+age,lifetable,10,1),"error"))</f>
        <v>1.2085130128736132E-4</v>
      </c>
      <c r="F141" s="101">
        <f t="shared" si="36"/>
        <v>157.45388943497721</v>
      </c>
      <c r="G141" s="101">
        <f t="shared" si="37"/>
        <v>15.816572726578325</v>
      </c>
      <c r="H141" s="101">
        <f t="shared" si="38"/>
        <v>0.36194283538683175</v>
      </c>
      <c r="I141" s="101">
        <f t="shared" si="39"/>
        <v>0.36194283538683175</v>
      </c>
      <c r="J141" s="101">
        <f t="shared" si="40"/>
        <v>2.1027443352182758E-2</v>
      </c>
      <c r="K141" s="101">
        <f t="shared" si="41"/>
        <v>2.837238047626358E-2</v>
      </c>
      <c r="L141" s="101">
        <f t="shared" si="48"/>
        <v>140.86403121379678</v>
      </c>
      <c r="M141" s="101">
        <f t="shared" si="42"/>
        <v>819.18268214438024</v>
      </c>
      <c r="N141" s="101">
        <f t="shared" si="43"/>
        <v>78.889067154220584</v>
      </c>
      <c r="O141" s="101">
        <f t="shared" si="44"/>
        <v>1.883073855711703</v>
      </c>
      <c r="P141" s="101">
        <f t="shared" si="45"/>
        <v>1.883073855711703</v>
      </c>
      <c r="Q141" s="101">
        <f t="shared" si="46"/>
        <v>0.10898828340391875</v>
      </c>
      <c r="R141" s="101">
        <f t="shared" si="47"/>
        <v>2.1939424816452717E-2</v>
      </c>
      <c r="S141" s="101">
        <f t="shared" si="49"/>
        <v>736.39653957051587</v>
      </c>
      <c r="T141" s="101">
        <f t="shared" si="50"/>
        <v>13.964055410333597</v>
      </c>
      <c r="U141" s="101">
        <f t="shared" si="51"/>
        <v>9.579700542356802</v>
      </c>
      <c r="V141" s="33">
        <f t="shared" si="52"/>
        <v>999.99999999999898</v>
      </c>
      <c r="W141" s="105">
        <f>IF(A141=1,((cPH1_+cPHr+(cNES*L141+(cNES+cOSEX)*G141+(cNES+cEREX)*H141+(cNES+cHOEX)*I141 + (cNES+cNES)*S141 +(cNES+ cOSEX)*N141 + (cNES+cEREX)*O141 + (cNES+cHOEX)*P141)))/(1+cDR)^A$5:A$65536,(cPHr+(cNES*L141+(cNES+cOSEX)*G141+(cNES+cEREX)*H141+(cNES+cHOEX)*I141 + (cNES+cNES)*S141 +(cNES+ cOSEX)*N141 + (cNES+cEREX)*O141 + (cNES+cHOEX)*P141))/(1+cDR)^A$5:A$65536)</f>
        <v>163923.1455837517</v>
      </c>
      <c r="X141" s="112">
        <f t="shared" si="53"/>
        <v>976.45624404730859</v>
      </c>
      <c r="Y141" s="32">
        <f>(uNES*L141+ uOCEX*G141+uEREX*'PH + UC'!H141+uHOEX*I141+uNES*S141+ uOCEX*N141+uEREX*O141+uHOEX*P141)/(1+oDR)^A$5:A$65536</f>
        <v>618.31734139884873</v>
      </c>
    </row>
    <row r="142" spans="1:25" x14ac:dyDescent="0.25">
      <c r="A142" s="4">
        <v>136</v>
      </c>
      <c r="C142" s="110">
        <f>IF(male=0,VLOOKUP(((A140:A974/'Life tables'!$I$2)*2)+age,lifetable,13,1),IF(male=1,VLOOKUP(((A140:A974/'Life tables'!$I$2)*2)+age,lifetable,10,1),"error"))</f>
        <v>1.2085130128736132E-4</v>
      </c>
      <c r="F142" s="101">
        <f t="shared" si="36"/>
        <v>157.34757965014825</v>
      </c>
      <c r="G142" s="101">
        <f t="shared" si="37"/>
        <v>15.805893686198136</v>
      </c>
      <c r="H142" s="101">
        <f t="shared" si="38"/>
        <v>0.36169845866747324</v>
      </c>
      <c r="I142" s="101">
        <f t="shared" si="39"/>
        <v>0.36169845866747324</v>
      </c>
      <c r="J142" s="101">
        <f t="shared" si="40"/>
        <v>2.1013246033931079E-2</v>
      </c>
      <c r="K142" s="101">
        <f t="shared" si="41"/>
        <v>2.835322400020357E-2</v>
      </c>
      <c r="L142" s="101">
        <f t="shared" si="48"/>
        <v>140.76892257658102</v>
      </c>
      <c r="M142" s="101">
        <f t="shared" si="42"/>
        <v>819.1086643971604</v>
      </c>
      <c r="N142" s="101">
        <f t="shared" si="43"/>
        <v>78.881939084794425</v>
      </c>
      <c r="O142" s="101">
        <f t="shared" si="44"/>
        <v>1.882903709433362</v>
      </c>
      <c r="P142" s="101">
        <f t="shared" si="45"/>
        <v>1.882903709433362</v>
      </c>
      <c r="Q142" s="101">
        <f t="shared" si="46"/>
        <v>0.10897843570158477</v>
      </c>
      <c r="R142" s="101">
        <f t="shared" si="47"/>
        <v>2.193744246644019E-2</v>
      </c>
      <c r="S142" s="101">
        <f t="shared" si="49"/>
        <v>736.33000201533127</v>
      </c>
      <c r="T142" s="101">
        <f t="shared" si="50"/>
        <v>14.094047092069113</v>
      </c>
      <c r="U142" s="101">
        <f t="shared" si="51"/>
        <v>9.6299912088234461</v>
      </c>
      <c r="V142" s="33">
        <f t="shared" si="52"/>
        <v>999.99999999999898</v>
      </c>
      <c r="W142" s="105">
        <f>IF(A142=1,((cPH1_+cPHr+(cNES*L142+(cNES+cOSEX)*G142+(cNES+cEREX)*H142+(cNES+cHOEX)*I142 + (cNES+cNES)*S142 +(cNES+ cOSEX)*N142 + (cNES+cEREX)*O142 + (cNES+cHOEX)*P142)))/(1+cDR)^A$5:A$65536,(cPHr+(cNES*L142+(cNES+cOSEX)*G142+(cNES+cEREX)*H142+(cNES+cHOEX)*I142 + (cNES+cNES)*S142 +(cNES+ cOSEX)*N142 + (cNES+cEREX)*O142 + (cNES+cHOEX)*P142))/(1+cDR)^A$5:A$65536)</f>
        <v>163709.96731938986</v>
      </c>
      <c r="X142" s="112">
        <f t="shared" si="53"/>
        <v>976.27596169910646</v>
      </c>
      <c r="Y142" s="32">
        <f>(uNES*L142+ uOCEX*G142+uEREX*'PH + UC'!H142+uHOEX*I142+uNES*S142+ uOCEX*N142+uEREX*O142+uHOEX*P142)/(1+oDR)^A$5:A$65536</f>
        <v>618.0254239945283</v>
      </c>
    </row>
    <row r="143" spans="1:25" x14ac:dyDescent="0.25">
      <c r="A143" s="4">
        <v>137</v>
      </c>
      <c r="C143" s="110">
        <f>IF(male=0,VLOOKUP(((A141:A975/'Life tables'!$I$2)*2)+age,lifetable,13,1),IF(male=1,VLOOKUP(((A141:A975/'Life tables'!$I$2)*2)+age,lifetable,10,1),"error"))</f>
        <v>1.2085130128736132E-4</v>
      </c>
      <c r="F143" s="101">
        <f t="shared" si="36"/>
        <v>157.24475280884948</v>
      </c>
      <c r="G143" s="101">
        <f t="shared" si="37"/>
        <v>15.795564514784951</v>
      </c>
      <c r="H143" s="101">
        <f t="shared" si="38"/>
        <v>0.36146208826959292</v>
      </c>
      <c r="I143" s="101">
        <f t="shared" si="39"/>
        <v>0.36146208826959292</v>
      </c>
      <c r="J143" s="101">
        <f t="shared" si="40"/>
        <v>2.0999513851206013E-2</v>
      </c>
      <c r="K143" s="101">
        <f t="shared" si="41"/>
        <v>2.8334695132641322E-2</v>
      </c>
      <c r="L143" s="101">
        <f t="shared" si="48"/>
        <v>140.6769299085415</v>
      </c>
      <c r="M143" s="101">
        <f t="shared" si="42"/>
        <v>819.03120889025695</v>
      </c>
      <c r="N143" s="101">
        <f t="shared" si="43"/>
        <v>78.874479951662394</v>
      </c>
      <c r="O143" s="101">
        <f t="shared" si="44"/>
        <v>1.882725660698678</v>
      </c>
      <c r="P143" s="101">
        <f t="shared" si="45"/>
        <v>1.882725660698678</v>
      </c>
      <c r="Q143" s="101">
        <f t="shared" si="46"/>
        <v>0.10896813062199559</v>
      </c>
      <c r="R143" s="101">
        <f t="shared" si="47"/>
        <v>2.1935368046036328E-2</v>
      </c>
      <c r="S143" s="101">
        <f t="shared" si="49"/>
        <v>736.26037411852917</v>
      </c>
      <c r="T143" s="101">
        <f t="shared" si="50"/>
        <v>14.224014736542314</v>
      </c>
      <c r="U143" s="101">
        <f t="shared" si="51"/>
        <v>9.6802612720021237</v>
      </c>
      <c r="V143" s="33">
        <f t="shared" si="52"/>
        <v>999.99999999999898</v>
      </c>
      <c r="W143" s="105">
        <f>IF(A143=1,((cPH1_+cPHr+(cNES*L143+(cNES+cOSEX)*G143+(cNES+cEREX)*H143+(cNES+cHOEX)*I143 + (cNES+cNES)*S143 +(cNES+ cOSEX)*N143 + (cNES+cEREX)*O143 + (cNES+cHOEX)*P143)))/(1+cDR)^A$5:A$65536,(cPHr+(cNES*L143+(cNES+cOSEX)*G143+(cNES+cEREX)*H143+(cNES+cHOEX)*I143 + (cNES+cNES)*S143 +(cNES+ cOSEX)*N143 + (cNES+cEREX)*O143 + (cNES+cHOEX)*P143))/(1+cDR)^A$5:A$65536)</f>
        <v>163496.82483185935</v>
      </c>
      <c r="X143" s="112">
        <f t="shared" si="53"/>
        <v>976.09572399145463</v>
      </c>
      <c r="Y143" s="32">
        <f>(uNES*L143+ uOCEX*G143+uEREX*'PH + UC'!H143+uHOEX*I143+uNES*S143+ uOCEX*N143+uEREX*O143+uHOEX*P143)/(1+oDR)^A$5:A$65536</f>
        <v>617.73365025581757</v>
      </c>
    </row>
    <row r="144" spans="1:25" x14ac:dyDescent="0.25">
      <c r="A144" s="4">
        <v>138</v>
      </c>
      <c r="C144" s="110">
        <f>IF(male=0,VLOOKUP(((A142:A976/'Life tables'!$I$2)*2)+age,lifetable,13,1),IF(male=1,VLOOKUP(((A142:A976/'Life tables'!$I$2)*2)+age,lifetable,10,1),"error"))</f>
        <v>1.2085130128736132E-4</v>
      </c>
      <c r="F144" s="101">
        <f t="shared" si="36"/>
        <v>157.14525305785301</v>
      </c>
      <c r="G144" s="101">
        <f t="shared" si="37"/>
        <v>15.785569556555851</v>
      </c>
      <c r="H144" s="101">
        <f t="shared" si="38"/>
        <v>0.36123336592983252</v>
      </c>
      <c r="I144" s="101">
        <f t="shared" si="39"/>
        <v>0.36123336592983252</v>
      </c>
      <c r="J144" s="101">
        <f t="shared" si="40"/>
        <v>2.0986225990327234E-2</v>
      </c>
      <c r="K144" s="101">
        <f t="shared" si="41"/>
        <v>2.831676578962734E-2</v>
      </c>
      <c r="L144" s="101">
        <f t="shared" si="48"/>
        <v>140.58791377765755</v>
      </c>
      <c r="M144" s="101">
        <f t="shared" si="42"/>
        <v>818.95047093360154</v>
      </c>
      <c r="N144" s="101">
        <f t="shared" si="43"/>
        <v>78.866704711507396</v>
      </c>
      <c r="O144" s="101">
        <f t="shared" si="44"/>
        <v>1.8825400665221221</v>
      </c>
      <c r="P144" s="101">
        <f t="shared" si="45"/>
        <v>1.8825400665221221</v>
      </c>
      <c r="Q144" s="101">
        <f t="shared" si="46"/>
        <v>0.10895738882838445</v>
      </c>
      <c r="R144" s="101">
        <f t="shared" si="47"/>
        <v>2.1933205714765799E-2</v>
      </c>
      <c r="S144" s="101">
        <f t="shared" si="49"/>
        <v>736.18779549450676</v>
      </c>
      <c r="T144" s="101">
        <f t="shared" si="50"/>
        <v>14.353958351361026</v>
      </c>
      <c r="U144" s="101">
        <f t="shared" si="51"/>
        <v>9.7305112435065162</v>
      </c>
      <c r="V144" s="33">
        <f t="shared" si="52"/>
        <v>999.99999999999898</v>
      </c>
      <c r="W144" s="105">
        <f>IF(A144=1,((cPH1_+cPHr+(cNES*L144+(cNES+cOSEX)*G144+(cNES+cEREX)*H144+(cNES+cHOEX)*I144 + (cNES+cNES)*S144 +(cNES+ cOSEX)*N144 + (cNES+cEREX)*O144 + (cNES+cHOEX)*P144)))/(1+cDR)^A$5:A$65536,(cPHr+(cNES*L144+(cNES+cOSEX)*G144+(cNES+cEREX)*H144+(cNES+cHOEX)*I144 + (cNES+cNES)*S144 +(cNES+ cOSEX)*N144 + (cNES+cEREX)*O144 + (cNES+cHOEX)*P144))/(1+cDR)^A$5:A$65536)</f>
        <v>163283.7294827009</v>
      </c>
      <c r="X144" s="112">
        <f t="shared" si="53"/>
        <v>975.91553040513145</v>
      </c>
      <c r="Y144" s="32">
        <f>(uNES*L144+ uOCEX*G144+uEREX*'PH + UC'!H144+uHOEX*I144+uNES*S144+ uOCEX*N144+uEREX*O144+uHOEX*P144)/(1+oDR)^A$5:A$65536</f>
        <v>617.44201984849838</v>
      </c>
    </row>
    <row r="145" spans="1:25" x14ac:dyDescent="0.25">
      <c r="A145" s="4">
        <v>139</v>
      </c>
      <c r="C145" s="110">
        <f>IF(male=0,VLOOKUP(((A143:A977/'Life tables'!$I$2)*2)+age,lifetable,13,1),IF(male=1,VLOOKUP(((A143:A977/'Life tables'!$I$2)*2)+age,lifetable,10,1),"error"))</f>
        <v>1.2085130128736132E-4</v>
      </c>
      <c r="F145" s="101">
        <f t="shared" si="36"/>
        <v>157.04893152851037</v>
      </c>
      <c r="G145" s="101">
        <f t="shared" si="37"/>
        <v>15.775893857343528</v>
      </c>
      <c r="H145" s="101">
        <f t="shared" si="38"/>
        <v>0.36101194944044518</v>
      </c>
      <c r="I145" s="101">
        <f t="shared" si="39"/>
        <v>0.36101194944044518</v>
      </c>
      <c r="J145" s="101">
        <f t="shared" si="40"/>
        <v>2.0973362570381772E-2</v>
      </c>
      <c r="K145" s="101">
        <f t="shared" si="41"/>
        <v>2.8299409145797379E-2</v>
      </c>
      <c r="L145" s="101">
        <f t="shared" si="48"/>
        <v>140.50174100056978</v>
      </c>
      <c r="M145" s="101">
        <f t="shared" si="42"/>
        <v>818.86659887662108</v>
      </c>
      <c r="N145" s="101">
        <f t="shared" si="43"/>
        <v>78.858627650700669</v>
      </c>
      <c r="O145" s="101">
        <f t="shared" si="44"/>
        <v>1.8823472679178948</v>
      </c>
      <c r="P145" s="101">
        <f t="shared" si="45"/>
        <v>1.8823472679178948</v>
      </c>
      <c r="Q145" s="101">
        <f t="shared" si="46"/>
        <v>0.10894623005792321</v>
      </c>
      <c r="R145" s="101">
        <f t="shared" si="47"/>
        <v>2.1930959445736396E-2</v>
      </c>
      <c r="S145" s="101">
        <f t="shared" si="49"/>
        <v>736.11239950058098</v>
      </c>
      <c r="T145" s="101">
        <f t="shared" si="50"/>
        <v>14.483877943989331</v>
      </c>
      <c r="U145" s="101">
        <f t="shared" si="51"/>
        <v>9.7807416120980495</v>
      </c>
      <c r="V145" s="33">
        <f t="shared" si="52"/>
        <v>999.99999999999909</v>
      </c>
      <c r="W145" s="105">
        <f>IF(A145=1,((cPH1_+cPHr+(cNES*L145+(cNES+cOSEX)*G145+(cNES+cEREX)*H145+(cNES+cHOEX)*I145 + (cNES+cNES)*S145 +(cNES+ cOSEX)*N145 + (cNES+cEREX)*O145 + (cNES+cHOEX)*P145)))/(1+cDR)^A$5:A$65536,(cPHr+(cNES*L145+(cNES+cOSEX)*G145+(cNES+cEREX)*H145+(cNES+cHOEX)*I145 + (cNES+cNES)*S145 +(cNES+ cOSEX)*N145 + (cNES+cEREX)*O145 + (cNES+cHOEX)*P145))/(1+cDR)^A$5:A$65536)</f>
        <v>163070.69209446918</v>
      </c>
      <c r="X145" s="112">
        <f t="shared" si="53"/>
        <v>975.73538044391171</v>
      </c>
      <c r="Y145" s="32">
        <f>(uNES*L145+ uOCEX*G145+uEREX*'PH + UC'!H145+uHOEX*I145+uNES*S145+ uOCEX*N145+uEREX*O145+uHOEX*P145)/(1+oDR)^A$5:A$65536</f>
        <v>617.15053245052377</v>
      </c>
    </row>
    <row r="146" spans="1:25" x14ac:dyDescent="0.25">
      <c r="A146" s="4">
        <v>140</v>
      </c>
      <c r="C146" s="110">
        <f>IF(male=0,VLOOKUP(((A144:A978/'Life tables'!$I$2)*2)+age,lifetable,13,1),IF(male=1,VLOOKUP(((A144:A978/'Life tables'!$I$2)*2)+age,lifetable,10,1),"error"))</f>
        <v>1.2085130128736132E-4</v>
      </c>
      <c r="F146" s="101">
        <f t="shared" si="36"/>
        <v>156.95564602373625</v>
      </c>
      <c r="G146" s="101">
        <f t="shared" si="37"/>
        <v>15.766523133153163</v>
      </c>
      <c r="H146" s="101">
        <f t="shared" si="38"/>
        <v>0.36079751192975806</v>
      </c>
      <c r="I146" s="101">
        <f t="shared" si="39"/>
        <v>0.36079751192975806</v>
      </c>
      <c r="J146" s="101">
        <f t="shared" si="40"/>
        <v>2.0960904601421738E-2</v>
      </c>
      <c r="K146" s="101">
        <f t="shared" si="41"/>
        <v>2.828259957796854E-2</v>
      </c>
      <c r="L146" s="101">
        <f t="shared" si="48"/>
        <v>140.41828436254417</v>
      </c>
      <c r="M146" s="101">
        <f t="shared" si="42"/>
        <v>818.77973442017537</v>
      </c>
      <c r="N146" s="101">
        <f t="shared" si="43"/>
        <v>78.85026241534203</v>
      </c>
      <c r="O146" s="101">
        <f t="shared" si="44"/>
        <v>1.882147590616984</v>
      </c>
      <c r="P146" s="101">
        <f t="shared" si="45"/>
        <v>1.882147590616984</v>
      </c>
      <c r="Q146" s="101">
        <f t="shared" si="46"/>
        <v>0.10893467316322419</v>
      </c>
      <c r="R146" s="101">
        <f t="shared" si="47"/>
        <v>2.1928633033993387E-2</v>
      </c>
      <c r="S146" s="101">
        <f t="shared" si="49"/>
        <v>736.03431351740221</v>
      </c>
      <c r="T146" s="101">
        <f t="shared" si="50"/>
        <v>14.613773521753977</v>
      </c>
      <c r="U146" s="101">
        <f t="shared" si="51"/>
        <v>9.8309528447100121</v>
      </c>
      <c r="V146" s="33">
        <f t="shared" si="52"/>
        <v>999.99999999999909</v>
      </c>
      <c r="W146" s="105">
        <f>IF(A146=1,((cPH1_+cPHr+(cNES*L146+(cNES+cOSEX)*G146+(cNES+cEREX)*H146+(cNES+cHOEX)*I146 + (cNES+cNES)*S146 +(cNES+ cOSEX)*N146 + (cNES+cEREX)*O146 + (cNES+cHOEX)*P146)))/(1+cDR)^A$5:A$65536,(cPHr+(cNES*L146+(cNES+cOSEX)*G146+(cNES+cEREX)*H146+(cNES+cHOEX)*I146 + (cNES+cNES)*S146 +(cNES+ cOSEX)*N146 + (cNES+cEREX)*O146 + (cNES+cHOEX)*P146))/(1+cDR)^A$5:A$65536)</f>
        <v>162857.72297550229</v>
      </c>
      <c r="X146" s="112">
        <f t="shared" si="53"/>
        <v>975.55527363353508</v>
      </c>
      <c r="Y146" s="32">
        <f>(uNES*L146+ uOCEX*G146+uEREX*'PH + UC'!H146+uHOEX*I146+uNES*S146+ uOCEX*N146+uEREX*O146+uHOEX*P146)/(1+oDR)^A$5:A$65536</f>
        <v>616.85918775146968</v>
      </c>
    </row>
    <row r="147" spans="1:25" x14ac:dyDescent="0.25">
      <c r="A147" s="4">
        <v>141</v>
      </c>
      <c r="C147" s="110">
        <f>IF(male=0,VLOOKUP(((A145:A979/'Life tables'!$I$2)*2)+age,lifetable,13,1),IF(male=1,VLOOKUP(((A145:A979/'Life tables'!$I$2)*2)+age,lifetable,10,1),"error"))</f>
        <v>1.2085130128736132E-4</v>
      </c>
      <c r="F147" s="101">
        <f t="shared" si="36"/>
        <v>156.86526071901955</v>
      </c>
      <c r="G147" s="101">
        <f t="shared" si="37"/>
        <v>15.75744374012835</v>
      </c>
      <c r="H147" s="101">
        <f t="shared" si="38"/>
        <v>0.36058974117487957</v>
      </c>
      <c r="I147" s="101">
        <f t="shared" si="39"/>
        <v>0.36058974117487957</v>
      </c>
      <c r="J147" s="101">
        <f t="shared" si="40"/>
        <v>2.0948833944535328E-2</v>
      </c>
      <c r="K147" s="101">
        <f t="shared" si="41"/>
        <v>2.8266312611263E-2</v>
      </c>
      <c r="L147" s="101">
        <f t="shared" si="48"/>
        <v>140.33742234998564</v>
      </c>
      <c r="M147" s="101">
        <f t="shared" si="42"/>
        <v>818.69001291451559</v>
      </c>
      <c r="N147" s="101">
        <f t="shared" si="43"/>
        <v>78.841622039953918</v>
      </c>
      <c r="O147" s="101">
        <f t="shared" si="44"/>
        <v>1.8819413457520893</v>
      </c>
      <c r="P147" s="101">
        <f t="shared" si="45"/>
        <v>1.8819413457520893</v>
      </c>
      <c r="Q147" s="101">
        <f t="shared" si="46"/>
        <v>0.10892273615198184</v>
      </c>
      <c r="R147" s="101">
        <f t="shared" si="47"/>
        <v>2.1926230104499456E-2</v>
      </c>
      <c r="S147" s="101">
        <f t="shared" si="49"/>
        <v>735.95365921680104</v>
      </c>
      <c r="T147" s="101">
        <f t="shared" si="50"/>
        <v>14.743645091850494</v>
      </c>
      <c r="U147" s="101">
        <f t="shared" si="51"/>
        <v>9.8811453874257751</v>
      </c>
      <c r="V147" s="33">
        <f t="shared" si="52"/>
        <v>999.9999999999992</v>
      </c>
      <c r="W147" s="105">
        <f>IF(A147=1,((cPH1_+cPHr+(cNES*L147+(cNES+cOSEX)*G147+(cNES+cEREX)*H147+(cNES+cHOEX)*I147 + (cNES+cNES)*S147 +(cNES+ cOSEX)*N147 + (cNES+cEREX)*O147 + (cNES+cHOEX)*P147)))/(1+cDR)^A$5:A$65536,(cPHr+(cNES*L147+(cNES+cOSEX)*G147+(cNES+cEREX)*H147+(cNES+cHOEX)*I147 + (cNES+cNES)*S147 +(cNES+ cOSEX)*N147 + (cNES+cEREX)*O147 + (cNES+cHOEX)*P147))/(1+cDR)^A$5:A$65536)</f>
        <v>162644.83194355408</v>
      </c>
      <c r="X147" s="112">
        <f t="shared" si="53"/>
        <v>975.37520952072293</v>
      </c>
      <c r="Y147" s="32">
        <f>(uNES*L147+ uOCEX*G147+uEREX*'PH + UC'!H147+uHOEX*I147+uNES*S147+ uOCEX*N147+uEREX*O147+uHOEX*P147)/(1+oDR)^A$5:A$65536</f>
        <v>616.56798545201264</v>
      </c>
    </row>
    <row r="148" spans="1:25" x14ac:dyDescent="0.25">
      <c r="A148" s="4">
        <v>142</v>
      </c>
      <c r="C148" s="110">
        <f>IF(male=0,VLOOKUP(((A146:A980/'Life tables'!$I$2)*2)+age,lifetable,13,1),IF(male=1,VLOOKUP(((A146:A980/'Life tables'!$I$2)*2)+age,lifetable,10,1),"error"))</f>
        <v>1.2085130128736132E-4</v>
      </c>
      <c r="F148" s="101">
        <f t="shared" si="36"/>
        <v>156.77764587683416</v>
      </c>
      <c r="G148" s="101">
        <f t="shared" si="37"/>
        <v>15.748642645863065</v>
      </c>
      <c r="H148" s="101">
        <f t="shared" si="38"/>
        <v>0.36038833894520872</v>
      </c>
      <c r="I148" s="101">
        <f t="shared" si="39"/>
        <v>0.36038833894520872</v>
      </c>
      <c r="J148" s="101">
        <f t="shared" si="40"/>
        <v>2.0937133273707352E-2</v>
      </c>
      <c r="K148" s="101">
        <f t="shared" si="41"/>
        <v>2.8250524867646298E-2</v>
      </c>
      <c r="L148" s="101">
        <f t="shared" si="48"/>
        <v>140.25903889493932</v>
      </c>
      <c r="M148" s="101">
        <f t="shared" si="42"/>
        <v>818.59756364388886</v>
      </c>
      <c r="N148" s="101">
        <f t="shared" si="43"/>
        <v>78.832718974889431</v>
      </c>
      <c r="O148" s="101">
        <f t="shared" si="44"/>
        <v>1.8817288305118487</v>
      </c>
      <c r="P148" s="101">
        <f t="shared" si="45"/>
        <v>1.8817288305118487</v>
      </c>
      <c r="Q148" s="101">
        <f t="shared" si="46"/>
        <v>0.1089104362248384</v>
      </c>
      <c r="R148" s="101">
        <f t="shared" si="47"/>
        <v>2.1923754119757027E-2</v>
      </c>
      <c r="S148" s="101">
        <f t="shared" si="49"/>
        <v>735.87055281763116</v>
      </c>
      <c r="T148" s="101">
        <f t="shared" si="50"/>
        <v>14.87349266134904</v>
      </c>
      <c r="U148" s="101">
        <f t="shared" si="51"/>
        <v>9.9313196664131791</v>
      </c>
      <c r="V148" s="33">
        <f t="shared" si="52"/>
        <v>999.99999999999932</v>
      </c>
      <c r="W148" s="105">
        <f>IF(A148=1,((cPH1_+cPHr+(cNES*L148+(cNES+cOSEX)*G148+(cNES+cEREX)*H148+(cNES+cHOEX)*I148 + (cNES+cNES)*S148 +(cNES+ cOSEX)*N148 + (cNES+cEREX)*O148 + (cNES+cHOEX)*P148)))/(1+cDR)^A$5:A$65536,(cPHr+(cNES*L148+(cNES+cOSEX)*G148+(cNES+cEREX)*H148+(cNES+cHOEX)*I148 + (cNES+cNES)*S148 +(cNES+ cOSEX)*N148 + (cNES+cEREX)*O148 + (cNES+cHOEX)*P148))/(1+cDR)^A$5:A$65536)</f>
        <v>162432.0283483419</v>
      </c>
      <c r="X148" s="112">
        <f t="shared" si="53"/>
        <v>975.19518767223713</v>
      </c>
      <c r="Y148" s="32">
        <f>(uNES*L148+ uOCEX*G148+uEREX*'PH + UC'!H148+uHOEX*I148+uNES*S148+ uOCEX*N148+uEREX*O148+uHOEX*P148)/(1+oDR)^A$5:A$65536</f>
        <v>616.27692526343128</v>
      </c>
    </row>
    <row r="149" spans="1:25" x14ac:dyDescent="0.25">
      <c r="A149" s="4">
        <v>143</v>
      </c>
      <c r="C149" s="110">
        <f>IF(male=0,VLOOKUP(((A147:A981/'Life tables'!$I$2)*2)+age,lifetable,13,1),IF(male=1,VLOOKUP(((A147:A981/'Life tables'!$I$2)*2)+age,lifetable,10,1),"error"))</f>
        <v>1.2085130128736132E-4</v>
      </c>
      <c r="F149" s="101">
        <f t="shared" si="36"/>
        <v>156.69267757384813</v>
      </c>
      <c r="G149" s="101">
        <f t="shared" si="37"/>
        <v>15.740107401999259</v>
      </c>
      <c r="H149" s="101">
        <f t="shared" si="38"/>
        <v>0.36019302037536499</v>
      </c>
      <c r="I149" s="101">
        <f t="shared" si="39"/>
        <v>0.36019302037536499</v>
      </c>
      <c r="J149" s="101">
        <f t="shared" si="40"/>
        <v>2.0925786039388904E-2</v>
      </c>
      <c r="K149" s="101">
        <f t="shared" si="41"/>
        <v>2.8235214016771846E-2</v>
      </c>
      <c r="L149" s="101">
        <f t="shared" si="48"/>
        <v>140.18302313104198</v>
      </c>
      <c r="M149" s="101">
        <f t="shared" si="42"/>
        <v>818.50251009838894</v>
      </c>
      <c r="N149" s="101">
        <f t="shared" si="43"/>
        <v>78.823565112512156</v>
      </c>
      <c r="O149" s="101">
        <f t="shared" si="44"/>
        <v>1.8815103287657484</v>
      </c>
      <c r="P149" s="101">
        <f t="shared" si="45"/>
        <v>1.8815103287657484</v>
      </c>
      <c r="Q149" s="101">
        <f t="shared" si="46"/>
        <v>0.10889778981155196</v>
      </c>
      <c r="R149" s="101">
        <f t="shared" si="47"/>
        <v>2.192120838708898E-2</v>
      </c>
      <c r="S149" s="101">
        <f t="shared" si="49"/>
        <v>735.78510533014662</v>
      </c>
      <c r="T149" s="101">
        <f t="shared" si="50"/>
        <v>15.00331623719998</v>
      </c>
      <c r="U149" s="101">
        <f t="shared" si="51"/>
        <v>9.9814760888170397</v>
      </c>
      <c r="V149" s="33">
        <f t="shared" si="52"/>
        <v>999.99999999999943</v>
      </c>
      <c r="W149" s="105">
        <f>IF(A149=1,((cPH1_+cPHr+(cNES*L149+(cNES+cOSEX)*G149+(cNES+cEREX)*H149+(cNES+cHOEX)*I149 + (cNES+cNES)*S149 +(cNES+ cOSEX)*N149 + (cNES+cEREX)*O149 + (cNES+cHOEX)*P149)))/(1+cDR)^A$5:A$65536,(cPHr+(cNES*L149+(cNES+cOSEX)*G149+(cNES+cEREX)*H149+(cNES+cHOEX)*I149 + (cNES+cNES)*S149 +(cNES+ cOSEX)*N149 + (cNES+cEREX)*O149 + (cNES+cHOEX)*P149))/(1+cDR)^A$5:A$65536)</f>
        <v>162219.32109305833</v>
      </c>
      <c r="X149" s="112">
        <f t="shared" si="53"/>
        <v>975.01520767398233</v>
      </c>
      <c r="Y149" s="32">
        <f>(uNES*L149+ uOCEX*G149+uEREX*'PH + UC'!H149+uHOEX*I149+uNES*S149+ uOCEX*N149+uEREX*O149+uHOEX*P149)/(1+oDR)^A$5:A$65536</f>
        <v>615.98600690712783</v>
      </c>
    </row>
    <row r="150" spans="1:25" x14ac:dyDescent="0.25">
      <c r="A150" s="4">
        <v>144</v>
      </c>
      <c r="C150" s="110">
        <f>IF(male=0,VLOOKUP(((A148:A982/'Life tables'!$I$2)*2)+age,lifetable,13,1),IF(male=1,VLOOKUP(((A148:A982/'Life tables'!$I$2)*2)+age,lifetable,10,1),"error"))</f>
        <v>1.2085130128736132E-4</v>
      </c>
      <c r="F150" s="101">
        <f t="shared" si="36"/>
        <v>156.61023744035856</v>
      </c>
      <c r="G150" s="101">
        <f t="shared" si="37"/>
        <v>15.731826118052538</v>
      </c>
      <c r="H150" s="101">
        <f t="shared" si="38"/>
        <v>0.36000351336622116</v>
      </c>
      <c r="I150" s="101">
        <f t="shared" si="39"/>
        <v>0.36000351336622116</v>
      </c>
      <c r="J150" s="101">
        <f t="shared" si="40"/>
        <v>2.0914776433699774E-2</v>
      </c>
      <c r="K150" s="101">
        <f t="shared" si="41"/>
        <v>2.8220358729028405E-2</v>
      </c>
      <c r="L150" s="101">
        <f t="shared" si="48"/>
        <v>140.10926916041086</v>
      </c>
      <c r="M150" s="101">
        <f t="shared" si="42"/>
        <v>818.40497023362366</v>
      </c>
      <c r="N150" s="101">
        <f t="shared" si="43"/>
        <v>78.814171812202716</v>
      </c>
      <c r="O150" s="101">
        <f t="shared" si="44"/>
        <v>1.881286111661026</v>
      </c>
      <c r="P150" s="101">
        <f t="shared" si="45"/>
        <v>1.881286111661026</v>
      </c>
      <c r="Q150" s="101">
        <f t="shared" si="46"/>
        <v>0.10888481260554414</v>
      </c>
      <c r="R150" s="101">
        <f t="shared" si="47"/>
        <v>2.1918596065593092E-2</v>
      </c>
      <c r="S150" s="101">
        <f t="shared" si="49"/>
        <v>735.69742278942772</v>
      </c>
      <c r="T150" s="101">
        <f t="shared" si="50"/>
        <v>15.133115826239225</v>
      </c>
      <c r="U150" s="101">
        <f t="shared" si="51"/>
        <v>10.03161504361166</v>
      </c>
      <c r="V150" s="33">
        <f t="shared" si="52"/>
        <v>999.99999999999909</v>
      </c>
      <c r="W150" s="105">
        <f>IF(A150=1,((cPH1_+cPHr+(cNES*L150+(cNES+cOSEX)*G150+(cNES+cEREX)*H150+(cNES+cHOEX)*I150 + (cNES+cNES)*S150 +(cNES+ cOSEX)*N150 + (cNES+cEREX)*O150 + (cNES+cHOEX)*P150)))/(1+cDR)^A$5:A$65536,(cPHr+(cNES*L150+(cNES+cOSEX)*G150+(cNES+cEREX)*H150+(cNES+cHOEX)*I150 + (cNES+cNES)*S150 +(cNES+ cOSEX)*N150 + (cNES+cEREX)*O150 + (cNES+cHOEX)*P150))/(1+cDR)^A$5:A$65536)</f>
        <v>162006.7186548961</v>
      </c>
      <c r="X150" s="112">
        <f t="shared" si="53"/>
        <v>974.83526913014828</v>
      </c>
      <c r="Y150" s="32">
        <f>(uNES*L150+ uOCEX*G150+uEREX*'PH + UC'!H150+uHOEX*I150+uNES*S150+ uOCEX*N150+uEREX*O150+uHOEX*P150)/(1+oDR)^A$5:A$65536</f>
        <v>615.69523011417459</v>
      </c>
    </row>
    <row r="151" spans="1:25" x14ac:dyDescent="0.25">
      <c r="A151" s="4">
        <v>145</v>
      </c>
      <c r="C151" s="110">
        <f>IF(male=0,VLOOKUP(((A149:A983/'Life tables'!$I$2)*2)+age,lifetable,13,1),IF(male=1,VLOOKUP(((A149:A983/'Life tables'!$I$2)*2)+age,lifetable,10,1),"error"))</f>
        <v>1.2085130128736132E-4</v>
      </c>
      <c r="F151" s="101">
        <f t="shared" si="36"/>
        <v>156.53021241140345</v>
      </c>
      <c r="G151" s="101">
        <f t="shared" si="37"/>
        <v>15.72378743641084</v>
      </c>
      <c r="H151" s="101">
        <f t="shared" si="38"/>
        <v>0.3598195580127786</v>
      </c>
      <c r="I151" s="101">
        <f t="shared" si="39"/>
        <v>0.3598195580127786</v>
      </c>
      <c r="J151" s="101">
        <f t="shared" si="40"/>
        <v>2.0904089357190275E-2</v>
      </c>
      <c r="K151" s="101">
        <f t="shared" si="41"/>
        <v>2.8205938630691769E-2</v>
      </c>
      <c r="L151" s="101">
        <f t="shared" si="48"/>
        <v>140.03767583097917</v>
      </c>
      <c r="M151" s="101">
        <f t="shared" si="42"/>
        <v>818.30505671874482</v>
      </c>
      <c r="N151" s="101">
        <f t="shared" si="43"/>
        <v>78.804549924244512</v>
      </c>
      <c r="O151" s="101">
        <f t="shared" si="44"/>
        <v>1.8810564381928221</v>
      </c>
      <c r="P151" s="101">
        <f t="shared" si="45"/>
        <v>1.8810564381928221</v>
      </c>
      <c r="Q151" s="101">
        <f t="shared" si="46"/>
        <v>0.10887151959689925</v>
      </c>
      <c r="R151" s="101">
        <f t="shared" si="47"/>
        <v>2.1915920172784795E-2</v>
      </c>
      <c r="S151" s="101">
        <f t="shared" si="49"/>
        <v>735.60760647834491</v>
      </c>
      <c r="T151" s="101">
        <f t="shared" si="50"/>
        <v>15.262891435193314</v>
      </c>
      <c r="U151" s="101">
        <f t="shared" si="51"/>
        <v>10.081736902415138</v>
      </c>
      <c r="V151" s="33">
        <f t="shared" si="52"/>
        <v>999.99999999999909</v>
      </c>
      <c r="W151" s="105">
        <f>IF(A151=1,((cPH1_+cPHr+(cNES*L151+(cNES+cOSEX)*G151+(cNES+cEREX)*H151+(cNES+cHOEX)*I151 + (cNES+cNES)*S151 +(cNES+ cOSEX)*N151 + (cNES+cEREX)*O151 + (cNES+cHOEX)*P151)))/(1+cDR)^A$5:A$65536,(cPHr+(cNES*L151+(cNES+cOSEX)*G151+(cNES+cEREX)*H151+(cNES+cHOEX)*I151 + (cNES+cNES)*S151 +(cNES+ cOSEX)*N151 + (cNES+cEREX)*O151 + (cNES+cHOEX)*P151))/(1+cDR)^A$5:A$65536)</f>
        <v>161794.22910462922</v>
      </c>
      <c r="X151" s="112">
        <f t="shared" si="53"/>
        <v>974.65537166239062</v>
      </c>
      <c r="Y151" s="32">
        <f>(uNES*L151+ uOCEX*G151+uEREX*'PH + UC'!H151+uHOEX*I151+uNES*S151+ uOCEX*N151+uEREX*O151+uHOEX*P151)/(1+oDR)^A$5:A$65536</f>
        <v>615.40459462487934</v>
      </c>
    </row>
    <row r="152" spans="1:25" x14ac:dyDescent="0.25">
      <c r="A152" s="4">
        <v>146</v>
      </c>
      <c r="C152" s="110">
        <f>IF(male=0,VLOOKUP(((A150:A984/'Life tables'!$I$2)*2)+age,lifetable,13,1),IF(male=1,VLOOKUP(((A150:A984/'Life tables'!$I$2)*2)+age,lifetable,10,1),"error"))</f>
        <v>1.2085130128736132E-4</v>
      </c>
      <c r="F152" s="101">
        <f t="shared" si="36"/>
        <v>156.4524944890276</v>
      </c>
      <c r="G152" s="101">
        <f t="shared" si="37"/>
        <v>15.715980508453534</v>
      </c>
      <c r="H152" s="101">
        <f t="shared" si="38"/>
        <v>0.35964090605768217</v>
      </c>
      <c r="I152" s="101">
        <f t="shared" si="39"/>
        <v>0.35964090605768217</v>
      </c>
      <c r="J152" s="101">
        <f t="shared" si="40"/>
        <v>2.0893710387092597E-2</v>
      </c>
      <c r="K152" s="101">
        <f t="shared" si="41"/>
        <v>2.8191934261086259E-2</v>
      </c>
      <c r="L152" s="101">
        <f t="shared" si="48"/>
        <v>139.96814652381053</v>
      </c>
      <c r="M152" s="101">
        <f t="shared" si="42"/>
        <v>818.20287717336294</v>
      </c>
      <c r="N152" s="101">
        <f t="shared" si="43"/>
        <v>78.794709812639226</v>
      </c>
      <c r="O152" s="101">
        <f t="shared" si="44"/>
        <v>1.8808215557487824</v>
      </c>
      <c r="P152" s="101">
        <f t="shared" si="45"/>
        <v>1.8808215557487824</v>
      </c>
      <c r="Q152" s="101">
        <f t="shared" si="46"/>
        <v>0.10885792510388456</v>
      </c>
      <c r="R152" s="101">
        <f t="shared" si="47"/>
        <v>2.1913183590942249E-2</v>
      </c>
      <c r="S152" s="101">
        <f t="shared" si="49"/>
        <v>735.51575314053127</v>
      </c>
      <c r="T152" s="101">
        <f t="shared" si="50"/>
        <v>15.392643070684292</v>
      </c>
      <c r="U152" s="101">
        <f t="shared" si="51"/>
        <v>10.131842020267166</v>
      </c>
      <c r="V152" s="33">
        <f t="shared" si="52"/>
        <v>999.99999999999886</v>
      </c>
      <c r="W152" s="105">
        <f>IF(A152=1,((cPH1_+cPHr+(cNES*L152+(cNES+cOSEX)*G152+(cNES+cEREX)*H152+(cNES+cHOEX)*I152 + (cNES+cNES)*S152 +(cNES+ cOSEX)*N152 + (cNES+cEREX)*O152 + (cNES+cHOEX)*P152)))/(1+cDR)^A$5:A$65536,(cPHr+(cNES*L152+(cNES+cOSEX)*G152+(cNES+cEREX)*H152+(cNES+cHOEX)*I152 + (cNES+cNES)*S152 +(cNES+ cOSEX)*N152 + (cNES+cEREX)*O152 + (cNES+cHOEX)*P152))/(1+cDR)^A$5:A$65536)</f>
        <v>161581.86012529704</v>
      </c>
      <c r="X152" s="112">
        <f t="shared" si="53"/>
        <v>974.47551490904743</v>
      </c>
      <c r="Y152" s="32">
        <f>(uNES*L152+ uOCEX*G152+uEREX*'PH + UC'!H152+uHOEX*I152+uNES*S152+ uOCEX*N152+uEREX*O152+uHOEX*P152)/(1+oDR)^A$5:A$65536</f>
        <v>615.11410018836875</v>
      </c>
    </row>
    <row r="153" spans="1:25" x14ac:dyDescent="0.25">
      <c r="A153" s="4">
        <v>147</v>
      </c>
      <c r="C153" s="110">
        <f>IF(male=0,VLOOKUP(((A151:A985/'Life tables'!$I$2)*2)+age,lifetable,13,1),IF(male=1,VLOOKUP(((A151:A985/'Life tables'!$I$2)*2)+age,lifetable,10,1),"error"))</f>
        <v>1.2085130128736132E-4</v>
      </c>
      <c r="F153" s="101">
        <f t="shared" si="36"/>
        <v>156.3769805152028</v>
      </c>
      <c r="G153" s="101">
        <f t="shared" si="37"/>
        <v>15.708394971740793</v>
      </c>
      <c r="H153" s="101">
        <f t="shared" si="38"/>
        <v>0.35946732036922729</v>
      </c>
      <c r="I153" s="101">
        <f t="shared" si="39"/>
        <v>0.35946732036922729</v>
      </c>
      <c r="J153" s="101">
        <f t="shared" si="40"/>
        <v>2.0883625746995128E-2</v>
      </c>
      <c r="K153" s="101">
        <f t="shared" si="41"/>
        <v>2.8178327031666138E-2</v>
      </c>
      <c r="L153" s="101">
        <f t="shared" si="48"/>
        <v>139.9005889499449</v>
      </c>
      <c r="M153" s="101">
        <f t="shared" si="42"/>
        <v>818.09853439384472</v>
      </c>
      <c r="N153" s="101">
        <f t="shared" si="43"/>
        <v>78.784661376899692</v>
      </c>
      <c r="O153" s="101">
        <f t="shared" si="44"/>
        <v>1.8805817006292518</v>
      </c>
      <c r="P153" s="101">
        <f t="shared" si="45"/>
        <v>1.8805817006292518</v>
      </c>
      <c r="Q153" s="101">
        <f t="shared" si="46"/>
        <v>0.10884404280305818</v>
      </c>
      <c r="R153" s="101">
        <f t="shared" si="47"/>
        <v>2.1910389073167058E-2</v>
      </c>
      <c r="S153" s="101">
        <f t="shared" si="49"/>
        <v>735.42195518381027</v>
      </c>
      <c r="T153" s="101">
        <f t="shared" si="50"/>
        <v>15.522370739234345</v>
      </c>
      <c r="U153" s="101">
        <f t="shared" si="51"/>
        <v>10.181930736371999</v>
      </c>
      <c r="V153" s="33">
        <f t="shared" si="52"/>
        <v>999.99999999999898</v>
      </c>
      <c r="W153" s="105">
        <f>IF(A153=1,((cPH1_+cPHr+(cNES*L153+(cNES+cOSEX)*G153+(cNES+cEREX)*H153+(cNES+cHOEX)*I153 + (cNES+cNES)*S153 +(cNES+ cOSEX)*N153 + (cNES+cEREX)*O153 + (cNES+cHOEX)*P153)))/(1+cDR)^A$5:A$65536,(cPHr+(cNES*L153+(cNES+cOSEX)*G153+(cNES+cEREX)*H153+(cNES+cHOEX)*I153 + (cNES+cNES)*S153 +(cNES+ cOSEX)*N153 + (cNES+cEREX)*O153 + (cNES+cHOEX)*P153))/(1+cDR)^A$5:A$65536)</f>
        <v>161369.6190300282</v>
      </c>
      <c r="X153" s="112">
        <f t="shared" si="53"/>
        <v>974.29569852439261</v>
      </c>
      <c r="Y153" s="32">
        <f>(uNES*L153+ uOCEX*G153+uEREX*'PH + UC'!H153+uHOEX*I153+uNES*S153+ uOCEX*N153+uEREX*O153+uHOEX*P153)/(1+oDR)^A$5:A$65536</f>
        <v>614.8237465621944</v>
      </c>
    </row>
    <row r="154" spans="1:25" x14ac:dyDescent="0.25">
      <c r="A154" s="4">
        <v>148</v>
      </c>
      <c r="C154" s="110">
        <f>IF(male=0,VLOOKUP(((A152:A986/'Life tables'!$I$2)*2)+age,lifetable,13,1),IF(male=1,VLOOKUP(((A152:A986/'Life tables'!$I$2)*2)+age,lifetable,10,1),"error"))</f>
        <v>1.2085130128736132E-4</v>
      </c>
      <c r="F154" s="101">
        <f t="shared" si="36"/>
        <v>156.30357195492468</v>
      </c>
      <c r="G154" s="101">
        <f t="shared" si="37"/>
        <v>15.701020928225203</v>
      </c>
      <c r="H154" s="101">
        <f t="shared" si="38"/>
        <v>0.35929857444275903</v>
      </c>
      <c r="I154" s="101">
        <f t="shared" si="39"/>
        <v>0.35929857444275903</v>
      </c>
      <c r="J154" s="101">
        <f t="shared" si="40"/>
        <v>2.0873822277875674E-2</v>
      </c>
      <c r="K154" s="101">
        <f t="shared" si="41"/>
        <v>2.8165099186930772E-2</v>
      </c>
      <c r="L154" s="101">
        <f t="shared" si="48"/>
        <v>139.83491495634917</v>
      </c>
      <c r="M154" s="101">
        <f t="shared" si="42"/>
        <v>817.99212656946793</v>
      </c>
      <c r="N154" s="101">
        <f t="shared" si="43"/>
        <v>78.774414072866094</v>
      </c>
      <c r="O154" s="101">
        <f t="shared" si="44"/>
        <v>1.8803370985441559</v>
      </c>
      <c r="P154" s="101">
        <f t="shared" si="45"/>
        <v>1.8803370985441559</v>
      </c>
      <c r="Q154" s="101">
        <f t="shared" si="46"/>
        <v>0.10882988575802739</v>
      </c>
      <c r="R154" s="101">
        <f t="shared" si="47"/>
        <v>2.1907539249173363E-2</v>
      </c>
      <c r="S154" s="101">
        <f t="shared" si="49"/>
        <v>735.32630087450627</v>
      </c>
      <c r="T154" s="101">
        <f t="shared" si="50"/>
        <v>15.652074447270248</v>
      </c>
      <c r="U154" s="101">
        <f t="shared" si="51"/>
        <v>10.232003374808103</v>
      </c>
      <c r="V154" s="33">
        <f t="shared" si="52"/>
        <v>999.99999999999886</v>
      </c>
      <c r="W154" s="105">
        <f>IF(A154=1,((cPH1_+cPHr+(cNES*L154+(cNES+cOSEX)*G154+(cNES+cEREX)*H154+(cNES+cHOEX)*I154 + (cNES+cNES)*S154 +(cNES+ cOSEX)*N154 + (cNES+cEREX)*O154 + (cNES+cHOEX)*P154)))/(1+cDR)^A$5:A$65536,(cPHr+(cNES*L154+(cNES+cOSEX)*G154+(cNES+cEREX)*H154+(cNES+cHOEX)*I154 + (cNES+cNES)*S154 +(cNES+ cOSEX)*N154 + (cNES+cEREX)*O154 + (cNES+cHOEX)*P154))/(1+cDR)^A$5:A$65536)</f>
        <v>161157.51277904832</v>
      </c>
      <c r="X154" s="112">
        <f t="shared" si="53"/>
        <v>974.11592217792054</v>
      </c>
      <c r="Y154" s="32">
        <f>(uNES*L154+ uOCEX*G154+uEREX*'PH + UC'!H154+uHOEX*I154+uNES*S154+ uOCEX*N154+uEREX*O154+uHOEX*P154)/(1+oDR)^A$5:A$65536</f>
        <v>614.53353351195176</v>
      </c>
    </row>
    <row r="155" spans="1:25" x14ac:dyDescent="0.25">
      <c r="A155" s="4">
        <v>149</v>
      </c>
      <c r="C155" s="110">
        <f>IF(male=0,VLOOKUP(((A153:A987/'Life tables'!$I$2)*2)+age,lifetable,13,1),IF(male=1,VLOOKUP(((A153:A987/'Life tables'!$I$2)*2)+age,lifetable,10,1),"error"))</f>
        <v>1.2085130128736132E-4</v>
      </c>
      <c r="F155" s="101">
        <f t="shared" si="36"/>
        <v>156.23217468903002</v>
      </c>
      <c r="G155" s="101">
        <f t="shared" si="37"/>
        <v>15.693848923439841</v>
      </c>
      <c r="H155" s="101">
        <f t="shared" si="38"/>
        <v>0.35913445192441723</v>
      </c>
      <c r="I155" s="101">
        <f t="shared" si="39"/>
        <v>0.35913445192441723</v>
      </c>
      <c r="J155" s="101">
        <f t="shared" si="40"/>
        <v>2.0864287410432975E-2</v>
      </c>
      <c r="K155" s="101">
        <f t="shared" si="41"/>
        <v>2.8152233767091368E-2</v>
      </c>
      <c r="L155" s="101">
        <f t="shared" si="48"/>
        <v>139.77104034056381</v>
      </c>
      <c r="M155" s="101">
        <f t="shared" si="42"/>
        <v>817.88374748889055</v>
      </c>
      <c r="N155" s="101">
        <f t="shared" si="43"/>
        <v>78.763976932589387</v>
      </c>
      <c r="O155" s="101">
        <f t="shared" si="44"/>
        <v>1.8800879650876146</v>
      </c>
      <c r="P155" s="101">
        <f t="shared" si="45"/>
        <v>1.8800879650876146</v>
      </c>
      <c r="Q155" s="101">
        <f t="shared" si="46"/>
        <v>0.10881546644691828</v>
      </c>
      <c r="R155" s="101">
        <f t="shared" si="47"/>
        <v>2.190463663081749E-2</v>
      </c>
      <c r="S155" s="101">
        <f t="shared" si="49"/>
        <v>735.22887452304826</v>
      </c>
      <c r="T155" s="101">
        <f t="shared" si="50"/>
        <v>15.781754201127599</v>
      </c>
      <c r="U155" s="101">
        <f t="shared" si="51"/>
        <v>10.282060245206011</v>
      </c>
      <c r="V155" s="33">
        <f t="shared" si="52"/>
        <v>999.99999999999898</v>
      </c>
      <c r="W155" s="105">
        <f>IF(A155=1,((cPH1_+cPHr+(cNES*L155+(cNES+cOSEX)*G155+(cNES+cEREX)*H155+(cNES+cHOEX)*I155 + (cNES+cNES)*S155 +(cNES+ cOSEX)*N155 + (cNES+cEREX)*O155 + (cNES+cHOEX)*P155)))/(1+cDR)^A$5:A$65536,(cPHr+(cNES*L155+(cNES+cOSEX)*G155+(cNES+cEREX)*H155+(cNES+cHOEX)*I155 + (cNES+cNES)*S155 +(cNES+ cOSEX)*N155 + (cNES+cEREX)*O155 + (cNES+cHOEX)*P155))/(1+cDR)^A$5:A$65536)</f>
        <v>160945.54799590498</v>
      </c>
      <c r="X155" s="112">
        <f t="shared" si="53"/>
        <v>973.93618555366538</v>
      </c>
      <c r="Y155" s="32">
        <f>(uNES*L155+ uOCEX*G155+uEREX*'PH + UC'!H155+uHOEX*I155+uNES*S155+ uOCEX*N155+uEREX*O155+uHOEX*P155)/(1+oDR)^A$5:A$65536</f>
        <v>614.24346081092028</v>
      </c>
    </row>
    <row r="156" spans="1:25" x14ac:dyDescent="0.25">
      <c r="A156" s="4">
        <v>150</v>
      </c>
      <c r="C156" s="110">
        <f>IF(male=0,VLOOKUP(((A154:A988/'Life tables'!$I$2)*2)+age,lifetable,13,1),IF(male=1,VLOOKUP(((A154:A988/'Life tables'!$I$2)*2)+age,lifetable,10,1),"error"))</f>
        <v>1.2085130128736132E-4</v>
      </c>
      <c r="F156" s="101">
        <f t="shared" si="36"/>
        <v>156.16269881629904</v>
      </c>
      <c r="G156" s="101">
        <f t="shared" si="37"/>
        <v>15.686869926619023</v>
      </c>
      <c r="H156" s="101">
        <f t="shared" si="38"/>
        <v>0.35897474615622404</v>
      </c>
      <c r="I156" s="101">
        <f t="shared" si="39"/>
        <v>0.35897474615622404</v>
      </c>
      <c r="J156" s="101">
        <f t="shared" si="40"/>
        <v>2.0855009138658058E-2</v>
      </c>
      <c r="K156" s="101">
        <f t="shared" si="41"/>
        <v>2.8139714572410834E-2</v>
      </c>
      <c r="L156" s="101">
        <f t="shared" si="48"/>
        <v>139.70888467365651</v>
      </c>
      <c r="M156" s="101">
        <f t="shared" si="42"/>
        <v>817.77348673736617</v>
      </c>
      <c r="N156" s="101">
        <f t="shared" si="43"/>
        <v>78.753358583323617</v>
      </c>
      <c r="O156" s="101">
        <f t="shared" si="44"/>
        <v>1.8798345061912873</v>
      </c>
      <c r="P156" s="101">
        <f t="shared" si="45"/>
        <v>1.8798345061912873</v>
      </c>
      <c r="Q156" s="101">
        <f t="shared" si="46"/>
        <v>0.10880079678861447</v>
      </c>
      <c r="R156" s="101">
        <f t="shared" si="47"/>
        <v>2.1901683617379826E-2</v>
      </c>
      <c r="S156" s="101">
        <f t="shared" si="49"/>
        <v>735.12975666125396</v>
      </c>
      <c r="T156" s="101">
        <f t="shared" si="50"/>
        <v>15.911410007054872</v>
      </c>
      <c r="U156" s="101">
        <f t="shared" si="51"/>
        <v>10.332101643395802</v>
      </c>
      <c r="V156" s="33">
        <f t="shared" si="52"/>
        <v>999.99999999999886</v>
      </c>
      <c r="W156" s="105">
        <f>IF(A156=1,((cPH1_+cPHr+(cNES*L156+(cNES+cOSEX)*G156+(cNES+cEREX)*H156+(cNES+cHOEX)*I156 + (cNES+cNES)*S156 +(cNES+ cOSEX)*N156 + (cNES+cEREX)*O156 + (cNES+cHOEX)*P156)))/(1+cDR)^A$5:A$65536,(cPHr+(cNES*L156+(cNES+cOSEX)*G156+(cNES+cEREX)*H156+(cNES+cHOEX)*I156 + (cNES+cNES)*S156 +(cNES+ cOSEX)*N156 + (cNES+cEREX)*O156 + (cNES+cHOEX)*P156))/(1+cDR)^A$5:A$65536)</f>
        <v>160733.73098294882</v>
      </c>
      <c r="X156" s="112">
        <f t="shared" si="53"/>
        <v>973.75648834954814</v>
      </c>
      <c r="Y156" s="32">
        <f>(uNES*L156+ uOCEX*G156+uEREX*'PH + UC'!H156+uHOEX*I156+uNES*S156+ uOCEX*N156+uEREX*O156+uHOEX*P156)/(1+oDR)^A$5:A$65536</f>
        <v>613.95352823971871</v>
      </c>
    </row>
    <row r="157" spans="1:25" x14ac:dyDescent="0.25">
      <c r="A157" s="4">
        <v>151</v>
      </c>
      <c r="C157" s="110">
        <f>IF(male=0,VLOOKUP(((A155:A989/'Life tables'!$I$2)*2)+age,lifetable,13,1),IF(male=1,VLOOKUP(((A155:A989/'Life tables'!$I$2)*2)+age,lifetable,10,1),"error"))</f>
        <v>1.2085130128736132E-4</v>
      </c>
      <c r="F157" s="101">
        <f t="shared" si="36"/>
        <v>156.09505846442696</v>
      </c>
      <c r="G157" s="101">
        <f t="shared" si="37"/>
        <v>15.680075311710015</v>
      </c>
      <c r="H157" s="101">
        <f t="shared" si="38"/>
        <v>0.35881925974156004</v>
      </c>
      <c r="I157" s="101">
        <f t="shared" si="39"/>
        <v>0.35881925974156004</v>
      </c>
      <c r="J157" s="101">
        <f t="shared" si="40"/>
        <v>2.0845975994590198E-2</v>
      </c>
      <c r="K157" s="101">
        <f t="shared" si="41"/>
        <v>2.8127526129141822E-2</v>
      </c>
      <c r="L157" s="101">
        <f t="shared" si="48"/>
        <v>139.64837113111008</v>
      </c>
      <c r="M157" s="101">
        <f t="shared" si="42"/>
        <v>817.66142988512115</v>
      </c>
      <c r="N157" s="101">
        <f t="shared" si="43"/>
        <v>78.742567265666963</v>
      </c>
      <c r="O157" s="101">
        <f t="shared" si="44"/>
        <v>1.8795769185573989</v>
      </c>
      <c r="P157" s="101">
        <f t="shared" si="45"/>
        <v>1.8795769185573989</v>
      </c>
      <c r="Q157" s="101">
        <f t="shared" si="46"/>
        <v>0.10878588816781959</v>
      </c>
      <c r="R157" s="101">
        <f t="shared" si="47"/>
        <v>2.1898682500609921E-2</v>
      </c>
      <c r="S157" s="101">
        <f t="shared" si="49"/>
        <v>735.02902421167096</v>
      </c>
      <c r="T157" s="101">
        <f t="shared" si="50"/>
        <v>16.041041871217281</v>
      </c>
      <c r="U157" s="101">
        <f t="shared" si="51"/>
        <v>10.382127852025555</v>
      </c>
      <c r="V157" s="33">
        <f t="shared" si="52"/>
        <v>999.99999999999875</v>
      </c>
      <c r="W157" s="105">
        <f>IF(A157=1,((cPH1_+cPHr+(cNES*L157+(cNES+cOSEX)*G157+(cNES+cEREX)*H157+(cNES+cHOEX)*I157 + (cNES+cNES)*S157 +(cNES+ cOSEX)*N157 + (cNES+cEREX)*O157 + (cNES+cHOEX)*P157)))/(1+cDR)^A$5:A$65536,(cPHr+(cNES*L157+(cNES+cOSEX)*G157+(cNES+cEREX)*H157+(cNES+cHOEX)*I157 + (cNES+cNES)*S157 +(cNES+ cOSEX)*N157 + (cNES+cEREX)*O157 + (cNES+cHOEX)*P157))/(1+cDR)^A$5:A$65536)</f>
        <v>160522.06773610367</v>
      </c>
      <c r="X157" s="112">
        <f t="shared" si="53"/>
        <v>973.57683027675591</v>
      </c>
      <c r="Y157" s="32">
        <f>(uNES*L157+ uOCEX*G157+uEREX*'PH + UC'!H157+uHOEX*I157+uNES*S157+ uOCEX*N157+uEREX*O157+uHOEX*P157)/(1+oDR)^A$5:A$65536</f>
        <v>613.66373558597422</v>
      </c>
    </row>
    <row r="158" spans="1:25" x14ac:dyDescent="0.25">
      <c r="A158" s="4">
        <v>152</v>
      </c>
      <c r="C158" s="110">
        <f>IF(male=0,VLOOKUP(((A156:A990/'Life tables'!$I$2)*2)+age,lifetable,13,1),IF(male=1,VLOOKUP(((A156:A990/'Life tables'!$I$2)*2)+age,lifetable,10,1),"error"))</f>
        <v>1.2085130128736132E-4</v>
      </c>
      <c r="F158" s="101">
        <f t="shared" si="36"/>
        <v>156.02917160946612</v>
      </c>
      <c r="G158" s="101">
        <f t="shared" si="37"/>
        <v>15.673456839235609</v>
      </c>
      <c r="H158" s="101">
        <f t="shared" si="38"/>
        <v>0.35866780413011201</v>
      </c>
      <c r="I158" s="101">
        <f t="shared" si="39"/>
        <v>0.35866780413011201</v>
      </c>
      <c r="J158" s="101">
        <f t="shared" si="40"/>
        <v>2.0837177024203919E-2</v>
      </c>
      <c r="K158" s="101">
        <f t="shared" si="41"/>
        <v>2.8115653656991143E-2</v>
      </c>
      <c r="L158" s="101">
        <f t="shared" si="48"/>
        <v>139.5894263312891</v>
      </c>
      <c r="M158" s="101">
        <f t="shared" si="42"/>
        <v>817.54765866728974</v>
      </c>
      <c r="N158" s="101">
        <f t="shared" si="43"/>
        <v>78.73161085088995</v>
      </c>
      <c r="O158" s="101">
        <f t="shared" si="44"/>
        <v>1.8793153900723607</v>
      </c>
      <c r="P158" s="101">
        <f t="shared" si="45"/>
        <v>1.8793153900723607</v>
      </c>
      <c r="Q158" s="101">
        <f t="shared" si="46"/>
        <v>0.10877075145899688</v>
      </c>
      <c r="R158" s="101">
        <f t="shared" si="47"/>
        <v>2.1895635469545552E-2</v>
      </c>
      <c r="S158" s="101">
        <f t="shared" si="49"/>
        <v>734.92675064932655</v>
      </c>
      <c r="T158" s="101">
        <f t="shared" si="50"/>
        <v>16.170649799700481</v>
      </c>
      <c r="U158" s="101">
        <f t="shared" si="51"/>
        <v>10.432139141152092</v>
      </c>
      <c r="V158" s="33">
        <f t="shared" si="52"/>
        <v>999.99999999999875</v>
      </c>
      <c r="W158" s="105">
        <f>IF(A158=1,((cPH1_+cPHr+(cNES*L158+(cNES+cOSEX)*G158+(cNES+cEREX)*H158+(cNES+cHOEX)*I158 + (cNES+cNES)*S158 +(cNES+ cOSEX)*N158 + (cNES+cEREX)*O158 + (cNES+cHOEX)*P158)))/(1+cDR)^A$5:A$65536,(cPHr+(cNES*L158+(cNES+cOSEX)*G158+(cNES+cEREX)*H158+(cNES+cHOEX)*I158 + (cNES+cNES)*S158 +(cNES+ cOSEX)*N158 + (cNES+cEREX)*O158 + (cNES+cHOEX)*P158))/(1+cDR)^A$5:A$65536)</f>
        <v>160310.56395895826</v>
      </c>
      <c r="X158" s="112">
        <f t="shared" si="53"/>
        <v>973.39721105914612</v>
      </c>
      <c r="Y158" s="32">
        <f>(uNES*L158+ uOCEX*G158+uEREX*'PH + UC'!H158+uHOEX*I158+uNES*S158+ uOCEX*N158+uEREX*O158+uHOEX*P158)/(1+oDR)^A$5:A$65536</f>
        <v>613.37408264400813</v>
      </c>
    </row>
    <row r="159" spans="1:25" x14ac:dyDescent="0.25">
      <c r="A159" s="4">
        <v>153</v>
      </c>
      <c r="C159" s="110">
        <f>IF(male=0,VLOOKUP(((A157:A991/'Life tables'!$I$2)*2)+age,lifetable,13,1),IF(male=1,VLOOKUP(((A157:A991/'Life tables'!$I$2)*2)+age,lifetable,10,1),"error"))</f>
        <v>1.2085130128736132E-4</v>
      </c>
      <c r="F159" s="101">
        <f t="shared" si="36"/>
        <v>155.96495990336075</v>
      </c>
      <c r="G159" s="101">
        <f t="shared" si="37"/>
        <v>15.667006638969628</v>
      </c>
      <c r="H159" s="101">
        <f t="shared" si="38"/>
        <v>0.35852019922142281</v>
      </c>
      <c r="I159" s="101">
        <f t="shared" si="39"/>
        <v>0.35852019922142281</v>
      </c>
      <c r="J159" s="101">
        <f t="shared" si="40"/>
        <v>2.0828601764376918E-2</v>
      </c>
      <c r="K159" s="101">
        <f t="shared" si="41"/>
        <v>2.8104083038042384E-2</v>
      </c>
      <c r="L159" s="101">
        <f t="shared" si="48"/>
        <v>139.53198018114585</v>
      </c>
      <c r="M159" s="101">
        <f t="shared" si="42"/>
        <v>817.43225115578548</v>
      </c>
      <c r="N159" s="101">
        <f t="shared" si="43"/>
        <v>78.720496857487007</v>
      </c>
      <c r="O159" s="101">
        <f t="shared" si="44"/>
        <v>1.8790501002018551</v>
      </c>
      <c r="P159" s="101">
        <f t="shared" si="45"/>
        <v>1.8790501002018551</v>
      </c>
      <c r="Q159" s="101">
        <f t="shared" si="46"/>
        <v>0.10875539704923587</v>
      </c>
      <c r="R159" s="101">
        <f t="shared" si="47"/>
        <v>2.1892544615115774E-2</v>
      </c>
      <c r="S159" s="101">
        <f t="shared" si="49"/>
        <v>734.82300615623046</v>
      </c>
      <c r="T159" s="101">
        <f t="shared" si="50"/>
        <v>16.300233798514093</v>
      </c>
      <c r="U159" s="101">
        <f t="shared" si="51"/>
        <v>10.48213576880525</v>
      </c>
      <c r="V159" s="33">
        <f t="shared" si="52"/>
        <v>999.99999999999886</v>
      </c>
      <c r="W159" s="105">
        <f>IF(A159=1,((cPH1_+cPHr+(cNES*L159+(cNES+cOSEX)*G159+(cNES+cEREX)*H159+(cNES+cHOEX)*I159 + (cNES+cNES)*S159 +(cNES+ cOSEX)*N159 + (cNES+cEREX)*O159 + (cNES+cHOEX)*P159)))/(1+cDR)^A$5:A$65536,(cPHr+(cNES*L159+(cNES+cOSEX)*G159+(cNES+cEREX)*H159+(cNES+cHOEX)*I159 + (cNES+cNES)*S159 +(cNES+ cOSEX)*N159 + (cNES+cEREX)*O159 + (cNES+cHOEX)*P159))/(1+cDR)^A$5:A$65536)</f>
        <v>160099.22507621074</v>
      </c>
      <c r="X159" s="112">
        <f t="shared" si="53"/>
        <v>973.21763043267947</v>
      </c>
      <c r="Y159" s="32">
        <f>(uNES*L159+ uOCEX*G159+uEREX*'PH + UC'!H159+uHOEX*I159+uNES*S159+ uOCEX*N159+uEREX*O159+uHOEX*P159)/(1+oDR)^A$5:A$65536</f>
        <v>613.08456921453705</v>
      </c>
    </row>
    <row r="160" spans="1:25" x14ac:dyDescent="0.25">
      <c r="A160" s="4">
        <v>154</v>
      </c>
      <c r="C160" s="110">
        <f>IF(male=0,VLOOKUP(((A158:A992/'Life tables'!$I$2)*2)+age,lifetable,13,1),IF(male=1,VLOOKUP(((A158:A992/'Life tables'!$I$2)*2)+age,lifetable,10,1),"error"))</f>
        <v>1.2085130128736132E-4</v>
      </c>
      <c r="F160" s="101">
        <f t="shared" si="36"/>
        <v>155.90234850921036</v>
      </c>
      <c r="G160" s="101">
        <f t="shared" si="37"/>
        <v>15.660717193388793</v>
      </c>
      <c r="H160" s="101">
        <f t="shared" si="38"/>
        <v>0.35837627298620794</v>
      </c>
      <c r="I160" s="101">
        <f t="shared" si="39"/>
        <v>0.35837627298620794</v>
      </c>
      <c r="J160" s="101">
        <f t="shared" si="40"/>
        <v>2.0820240220889973E-2</v>
      </c>
      <c r="K160" s="101">
        <f t="shared" si="41"/>
        <v>2.809280078707127E-2</v>
      </c>
      <c r="L160" s="101">
        <f t="shared" si="48"/>
        <v>139.47596572884117</v>
      </c>
      <c r="M160" s="101">
        <f t="shared" si="42"/>
        <v>817.31528192346923</v>
      </c>
      <c r="N160" s="101">
        <f t="shared" si="43"/>
        <v>78.709232466986194</v>
      </c>
      <c r="O160" s="101">
        <f t="shared" si="44"/>
        <v>1.8787812203682133</v>
      </c>
      <c r="P160" s="101">
        <f t="shared" si="45"/>
        <v>1.8787812203682133</v>
      </c>
      <c r="Q160" s="101">
        <f t="shared" si="46"/>
        <v>0.10873983486009405</v>
      </c>
      <c r="R160" s="101">
        <f t="shared" si="47"/>
        <v>2.1889411934537712E-2</v>
      </c>
      <c r="S160" s="101">
        <f t="shared" si="49"/>
        <v>734.71785776895194</v>
      </c>
      <c r="T160" s="101">
        <f t="shared" si="50"/>
        <v>16.429793873595077</v>
      </c>
      <c r="U160" s="101">
        <f t="shared" si="51"/>
        <v>10.532117981526859</v>
      </c>
      <c r="V160" s="33">
        <f t="shared" si="52"/>
        <v>999.99999999999886</v>
      </c>
      <c r="W160" s="105">
        <f>IF(A160=1,((cPH1_+cPHr+(cNES*L160+(cNES+cOSEX)*G160+(cNES+cEREX)*H160+(cNES+cHOEX)*I160 + (cNES+cNES)*S160 +(cNES+ cOSEX)*N160 + (cNES+cEREX)*O160 + (cNES+cHOEX)*P160)))/(1+cDR)^A$5:A$65536,(cPHr+(cNES*L160+(cNES+cOSEX)*G160+(cNES+cEREX)*H160+(cNES+cHOEX)*I160 + (cNES+cNES)*S160 +(cNES+ cOSEX)*N160 + (cNES+cEREX)*O160 + (cNES+cHOEX)*P160))/(1+cDR)^A$5:A$65536)</f>
        <v>159888.05624649645</v>
      </c>
      <c r="X160" s="112">
        <f t="shared" si="53"/>
        <v>973.03808814487695</v>
      </c>
      <c r="Y160" s="32">
        <f>(uNES*L160+ uOCEX*G160+uEREX*'PH + UC'!H160+uHOEX*I160+uNES*S160+ uOCEX*N160+uEREX*O160+uHOEX*P160)/(1+oDR)^A$5:A$65536</f>
        <v>612.79519510438308</v>
      </c>
    </row>
    <row r="161" spans="1:25" x14ac:dyDescent="0.25">
      <c r="A161" s="4">
        <v>155</v>
      </c>
      <c r="C161" s="110">
        <f>IF(male=0,VLOOKUP(((A159:A993/'Life tables'!$I$2)*2)+age,lifetable,13,1),IF(male=1,VLOOKUP(((A159:A993/'Life tables'!$I$2)*2)+age,lifetable,10,1),"error"))</f>
        <v>1.2085130128736132E-4</v>
      </c>
      <c r="F161" s="101">
        <f t="shared" si="36"/>
        <v>155.84126594391577</v>
      </c>
      <c r="G161" s="101">
        <f t="shared" si="37"/>
        <v>15.654581321866186</v>
      </c>
      <c r="H161" s="101">
        <f t="shared" si="38"/>
        <v>0.35823586110464212</v>
      </c>
      <c r="I161" s="101">
        <f t="shared" si="39"/>
        <v>0.35823586110464212</v>
      </c>
      <c r="J161" s="101">
        <f t="shared" si="40"/>
        <v>2.0812082847412899E-2</v>
      </c>
      <c r="K161" s="101">
        <f t="shared" si="41"/>
        <v>2.8081794023191234E-2</v>
      </c>
      <c r="L161" s="101">
        <f t="shared" si="48"/>
        <v>139.4213190229697</v>
      </c>
      <c r="M161" s="101">
        <f t="shared" si="42"/>
        <v>817.19682220096126</v>
      </c>
      <c r="N161" s="101">
        <f t="shared" si="43"/>
        <v>78.697824539050586</v>
      </c>
      <c r="O161" s="101">
        <f t="shared" si="44"/>
        <v>1.8785089143108809</v>
      </c>
      <c r="P161" s="101">
        <f t="shared" si="45"/>
        <v>1.8785089143108809</v>
      </c>
      <c r="Q161" s="101">
        <f t="shared" si="46"/>
        <v>0.10872407436846006</v>
      </c>
      <c r="R161" s="101">
        <f t="shared" si="47"/>
        <v>2.1886239335516283E-2</v>
      </c>
      <c r="S161" s="101">
        <f t="shared" si="49"/>
        <v>734.61136951958497</v>
      </c>
      <c r="T161" s="101">
        <f t="shared" si="50"/>
        <v>16.559330030810951</v>
      </c>
      <c r="U161" s="101">
        <f t="shared" si="51"/>
        <v>10.582086014885567</v>
      </c>
      <c r="V161" s="33">
        <f t="shared" si="52"/>
        <v>999.99999999999909</v>
      </c>
      <c r="W161" s="105">
        <f>IF(A161=1,((cPH1_+cPHr+(cNES*L161+(cNES+cOSEX)*G161+(cNES+cEREX)*H161+(cNES+cHOEX)*I161 + (cNES+cNES)*S161 +(cNES+ cOSEX)*N161 + (cNES+cEREX)*O161 + (cNES+cHOEX)*P161)))/(1+cDR)^A$5:A$65536,(cPHr+(cNES*L161+(cNES+cOSEX)*G161+(cNES+cEREX)*H161+(cNES+cHOEX)*I161 + (cNES+cNES)*S161 +(cNES+ cOSEX)*N161 + (cNES+cEREX)*O161 + (cNES+cHOEX)*P161))/(1+cDR)^A$5:A$65536)</f>
        <v>159677.06237462632</v>
      </c>
      <c r="X161" s="112">
        <f t="shared" si="53"/>
        <v>972.8585839543025</v>
      </c>
      <c r="Y161" s="32">
        <f>(uNES*L161+ uOCEX*G161+uEREX*'PH + UC'!H161+uHOEX*I161+uNES*S161+ uOCEX*N161+uEREX*O161+uHOEX*P161)/(1+oDR)^A$5:A$65536</f>
        <v>612.50596012620201</v>
      </c>
    </row>
    <row r="162" spans="1:25" x14ac:dyDescent="0.25">
      <c r="A162" s="4">
        <v>156</v>
      </c>
      <c r="C162" s="110">
        <f>IF(male=0,VLOOKUP(((A160:A994/'Life tables'!$I$2)*2)+age,lifetable,13,1),IF(male=1,VLOOKUP(((A160:A994/'Life tables'!$I$2)*2)+age,lifetable,10,1),"error"))</f>
        <v>1.2085130128736132E-4</v>
      </c>
      <c r="F162" s="101">
        <f t="shared" si="36"/>
        <v>155.78164392787747</v>
      </c>
      <c r="G162" s="101">
        <f t="shared" si="37"/>
        <v>15.648592165573135</v>
      </c>
      <c r="H162" s="101">
        <f t="shared" si="38"/>
        <v>0.35809880662085758</v>
      </c>
      <c r="I162" s="101">
        <f t="shared" si="39"/>
        <v>0.35809880662085758</v>
      </c>
      <c r="J162" s="101">
        <f t="shared" si="40"/>
        <v>2.0804120525432249E-2</v>
      </c>
      <c r="K162" s="101">
        <f t="shared" si="41"/>
        <v>2.807105044276987E-2</v>
      </c>
      <c r="L162" s="101">
        <f t="shared" si="48"/>
        <v>139.36797897809441</v>
      </c>
      <c r="M162" s="101">
        <f t="shared" si="42"/>
        <v>817.07694002642484</v>
      </c>
      <c r="N162" s="101">
        <f t="shared" si="43"/>
        <v>78.686279625902714</v>
      </c>
      <c r="O162" s="101">
        <f t="shared" si="44"/>
        <v>1.878233338430731</v>
      </c>
      <c r="P162" s="101">
        <f t="shared" si="45"/>
        <v>1.878233338430731</v>
      </c>
      <c r="Q162" s="101">
        <f t="shared" si="46"/>
        <v>0.10870812462648158</v>
      </c>
      <c r="R162" s="101">
        <f t="shared" si="47"/>
        <v>2.1883028640255747E-2</v>
      </c>
      <c r="S162" s="101">
        <f t="shared" si="49"/>
        <v>734.50360257039392</v>
      </c>
      <c r="T162" s="101">
        <f t="shared" si="50"/>
        <v>16.688842275962866</v>
      </c>
      <c r="U162" s="101">
        <f t="shared" si="51"/>
        <v>10.632040093968593</v>
      </c>
      <c r="V162" s="33">
        <f t="shared" si="52"/>
        <v>999.99999999999886</v>
      </c>
      <c r="W162" s="105">
        <f>IF(A162=1,((cPH1_+cPHr+(cNES*L162+(cNES+cOSEX)*G162+(cNES+cEREX)*H162+(cNES+cHOEX)*I162 + (cNES+cNES)*S162 +(cNES+ cOSEX)*N162 + (cNES+cEREX)*O162 + (cNES+cHOEX)*P162)))/(1+cDR)^A$5:A$65536,(cPHr+(cNES*L162+(cNES+cOSEX)*G162+(cNES+cEREX)*H162+(cNES+cHOEX)*I162 + (cNES+cNES)*S162 +(cNES+ cOSEX)*N162 + (cNES+cEREX)*O162 + (cNES+cHOEX)*P162))/(1+cDR)^A$5:A$65536)</f>
        <v>159466.24812326356</v>
      </c>
      <c r="X162" s="112">
        <f t="shared" si="53"/>
        <v>972.67911763006737</v>
      </c>
      <c r="Y162" s="32">
        <f>(uNES*L162+ uOCEX*G162+uEREX*'PH + UC'!H162+uHOEX*I162+uNES*S162+ uOCEX*N162+uEREX*O162+uHOEX*P162)/(1+oDR)^A$5:A$65536</f>
        <v>612.21686409822075</v>
      </c>
    </row>
    <row r="163" spans="1:25" x14ac:dyDescent="0.25">
      <c r="A163" s="4">
        <v>157</v>
      </c>
      <c r="C163" s="110">
        <f>IF(male=0,VLOOKUP(((A161:A995/'Life tables'!$I$2)*2)+age,lifetable,13,1),IF(male=1,VLOOKUP(((A161:A995/'Life tables'!$I$2)*2)+age,lifetable,10,1),"error"))</f>
        <v>1.3243321503420002E-4</v>
      </c>
      <c r="F163" s="101">
        <f t="shared" si="36"/>
        <v>155.72341724142933</v>
      </c>
      <c r="G163" s="101">
        <f t="shared" si="37"/>
        <v>15.642743173057678</v>
      </c>
      <c r="H163" s="101">
        <f t="shared" si="38"/>
        <v>0.35796495961292496</v>
      </c>
      <c r="I163" s="101">
        <f t="shared" si="39"/>
        <v>0.35796495961292496</v>
      </c>
      <c r="J163" s="101">
        <f t="shared" si="40"/>
        <v>2.2789384472699226E-2</v>
      </c>
      <c r="K163" s="101">
        <f t="shared" si="41"/>
        <v>2.8060558293559034E-2</v>
      </c>
      <c r="L163" s="101">
        <f t="shared" si="48"/>
        <v>139.31389420637953</v>
      </c>
      <c r="M163" s="101">
        <f t="shared" si="42"/>
        <v>816.95570038863798</v>
      </c>
      <c r="N163" s="101">
        <f t="shared" si="43"/>
        <v>78.67460398610271</v>
      </c>
      <c r="O163" s="101">
        <f t="shared" si="44"/>
        <v>1.8779546421189455</v>
      </c>
      <c r="P163" s="101">
        <f t="shared" si="45"/>
        <v>1.8779546421189455</v>
      </c>
      <c r="Q163" s="101">
        <f t="shared" si="46"/>
        <v>0.11910860783229447</v>
      </c>
      <c r="R163" s="101">
        <f t="shared" si="47"/>
        <v>2.1879781589291443E-2</v>
      </c>
      <c r="S163" s="101">
        <f t="shared" si="49"/>
        <v>734.38419872887584</v>
      </c>
      <c r="T163" s="101">
        <f t="shared" si="50"/>
        <v>16.83074026826786</v>
      </c>
      <c r="U163" s="101">
        <f t="shared" si="51"/>
        <v>10.681980433851443</v>
      </c>
      <c r="V163" s="33">
        <f t="shared" si="52"/>
        <v>999.99999999999875</v>
      </c>
      <c r="W163" s="105">
        <f>IF(A163=1,((cPH1_+cPHr+(cNES*L163+(cNES+cOSEX)*G163+(cNES+cEREX)*H163+(cNES+cHOEX)*I163 + (cNES+cNES)*S163 +(cNES+ cOSEX)*N163 + (cNES+cEREX)*O163 + (cNES+cHOEX)*P163)))/(1+cDR)^A$5:A$65536,(cPHr+(cNES*L163+(cNES+cOSEX)*G163+(cNES+cEREX)*H163+(cNES+cHOEX)*I163 + (cNES+cNES)*S163 +(cNES+ cOSEX)*N163 + (cNES+cEREX)*O163 + (cNES+cHOEX)*P163))/(1+cDR)^A$5:A$65536)</f>
        <v>159253.85646177185</v>
      </c>
      <c r="X163" s="112">
        <f t="shared" si="53"/>
        <v>972.48727929787947</v>
      </c>
      <c r="Y163" s="32">
        <f>(uNES*L163+ uOCEX*G163+uEREX*'PH + UC'!H163+uHOEX*I163+uNES*S163+ uOCEX*N163+uEREX*O163+uHOEX*P163)/(1+oDR)^A$5:A$65536</f>
        <v>611.91997135000395</v>
      </c>
    </row>
    <row r="164" spans="1:25" x14ac:dyDescent="0.25">
      <c r="A164" s="4">
        <v>158</v>
      </c>
      <c r="C164" s="110">
        <f>IF(male=0,VLOOKUP(((A162:A996/'Life tables'!$I$2)*2)+age,lifetable,13,1),IF(male=1,VLOOKUP(((A162:A996/'Life tables'!$I$2)*2)+age,lifetable,10,1),"error"))</f>
        <v>1.3243321503420002E-4</v>
      </c>
      <c r="F164" s="101">
        <f t="shared" si="36"/>
        <v>155.66453094176526</v>
      </c>
      <c r="G164" s="101">
        <f t="shared" si="37"/>
        <v>15.636827921014188</v>
      </c>
      <c r="H164" s="101">
        <f t="shared" si="38"/>
        <v>0.35782959633709649</v>
      </c>
      <c r="I164" s="101">
        <f t="shared" si="39"/>
        <v>0.35782959633709649</v>
      </c>
      <c r="J164" s="101">
        <f t="shared" si="40"/>
        <v>2.278076674167976E-2</v>
      </c>
      <c r="K164" s="101">
        <f t="shared" si="41"/>
        <v>2.8049947285441648E-2</v>
      </c>
      <c r="L164" s="101">
        <f t="shared" si="48"/>
        <v>139.26121311404975</v>
      </c>
      <c r="M164" s="101">
        <f t="shared" si="42"/>
        <v>816.8227483561144</v>
      </c>
      <c r="N164" s="101">
        <f t="shared" si="43"/>
        <v>78.66180041731316</v>
      </c>
      <c r="O164" s="101">
        <f t="shared" si="44"/>
        <v>1.8776490222590949</v>
      </c>
      <c r="P164" s="101">
        <f t="shared" si="45"/>
        <v>1.8776490222590949</v>
      </c>
      <c r="Q164" s="101">
        <f t="shared" si="46"/>
        <v>0.1190892240009621</v>
      </c>
      <c r="R164" s="101">
        <f t="shared" si="47"/>
        <v>2.1876220855910081E-2</v>
      </c>
      <c r="S164" s="101">
        <f t="shared" si="49"/>
        <v>734.26468444942623</v>
      </c>
      <c r="T164" s="101">
        <f t="shared" si="50"/>
        <v>16.972610259010501</v>
      </c>
      <c r="U164" s="101">
        <f t="shared" si="51"/>
        <v>10.731906601992796</v>
      </c>
      <c r="V164" s="33">
        <f t="shared" si="52"/>
        <v>999.99999999999898</v>
      </c>
      <c r="W164" s="105">
        <f>IF(A164=1,((cPH1_+cPHr+(cNES*L164+(cNES+cOSEX)*G164+(cNES+cEREX)*H164+(cNES+cHOEX)*I164 + (cNES+cNES)*S164 +(cNES+ cOSEX)*N164 + (cNES+cEREX)*O164 + (cNES+cHOEX)*P164)))/(1+cDR)^A$5:A$65536,(cPHr+(cNES*L164+(cNES+cOSEX)*G164+(cNES+cEREX)*H164+(cNES+cHOEX)*I164 + (cNES+cNES)*S164 +(cNES+ cOSEX)*N164 + (cNES+cEREX)*O164 + (cNES+cHOEX)*P164))/(1+cDR)^A$5:A$65536)</f>
        <v>159041.38805905907</v>
      </c>
      <c r="X164" s="112">
        <f t="shared" si="53"/>
        <v>972.29548313899568</v>
      </c>
      <c r="Y164" s="32">
        <f>(uNES*L164+ uOCEX*G164+uEREX*'PH + UC'!H164+uHOEX*I164+uNES*S164+ uOCEX*N164+uEREX*O164+uHOEX*P164)/(1+oDR)^A$5:A$65536</f>
        <v>611.62335168346874</v>
      </c>
    </row>
    <row r="165" spans="1:25" x14ac:dyDescent="0.25">
      <c r="A165" s="4">
        <v>159</v>
      </c>
      <c r="C165" s="110">
        <f>IF(male=0,VLOOKUP(((A163:A997/'Life tables'!$I$2)*2)+age,lifetable,13,1),IF(male=1,VLOOKUP(((A163:A997/'Life tables'!$I$2)*2)+age,lifetable,10,1),"error"))</f>
        <v>1.3243321503420002E-4</v>
      </c>
      <c r="F165" s="101">
        <f t="shared" si="36"/>
        <v>155.60691989738851</v>
      </c>
      <c r="G165" s="101">
        <f t="shared" si="37"/>
        <v>15.63104077103327</v>
      </c>
      <c r="H165" s="101">
        <f t="shared" si="38"/>
        <v>0.35769716451959016</v>
      </c>
      <c r="I165" s="101">
        <f t="shared" si="39"/>
        <v>0.35769716451959016</v>
      </c>
      <c r="J165" s="101">
        <f t="shared" si="40"/>
        <v>2.2772335638230879E-2</v>
      </c>
      <c r="K165" s="101">
        <f t="shared" si="41"/>
        <v>2.8039566071763423E-2</v>
      </c>
      <c r="L165" s="101">
        <f t="shared" si="48"/>
        <v>139.20967289560605</v>
      </c>
      <c r="M165" s="101">
        <f t="shared" si="42"/>
        <v>816.68856324160731</v>
      </c>
      <c r="N165" s="101">
        <f t="shared" si="43"/>
        <v>78.648878100056976</v>
      </c>
      <c r="O165" s="101">
        <f t="shared" si="44"/>
        <v>1.8773405678856547</v>
      </c>
      <c r="P165" s="101">
        <f t="shared" si="45"/>
        <v>1.8773405678856547</v>
      </c>
      <c r="Q165" s="101">
        <f t="shared" si="46"/>
        <v>0.11906966039160954</v>
      </c>
      <c r="R165" s="101">
        <f t="shared" si="47"/>
        <v>2.187262709801531E-2</v>
      </c>
      <c r="S165" s="101">
        <f t="shared" si="49"/>
        <v>734.14406171828944</v>
      </c>
      <c r="T165" s="101">
        <f t="shared" si="50"/>
        <v>17.114452255040341</v>
      </c>
      <c r="U165" s="101">
        <f t="shared" si="51"/>
        <v>10.781818795162573</v>
      </c>
      <c r="V165" s="33">
        <f t="shared" si="52"/>
        <v>999.9999999999992</v>
      </c>
      <c r="W165" s="105">
        <f>IF(A165=1,((cPH1_+cPHr+(cNES*L165+(cNES+cOSEX)*G165+(cNES+cEREX)*H165+(cNES+cHOEX)*I165 + (cNES+cNES)*S165 +(cNES+ cOSEX)*N165 + (cNES+cEREX)*O165 + (cNES+cHOEX)*P165)))/(1+cDR)^A$5:A$65536,(cPHr+(cNES*L165+(cNES+cOSEX)*G165+(cNES+cEREX)*H165+(cNES+cHOEX)*I165 + (cNES+cNES)*S165 +(cNES+ cOSEX)*N165 + (cNES+cEREX)*O165 + (cNES+cHOEX)*P165))/(1+cDR)^A$5:A$65536)</f>
        <v>158829.11728995532</v>
      </c>
      <c r="X165" s="112">
        <f t="shared" si="53"/>
        <v>972.10372894979616</v>
      </c>
      <c r="Y165" s="32">
        <f>(uNES*L165+ uOCEX*G165+uEREX*'PH + UC'!H165+uHOEX*I165+uNES*S165+ uOCEX*N165+uEREX*O165+uHOEX*P165)/(1+oDR)^A$5:A$65536</f>
        <v>611.32687791921057</v>
      </c>
    </row>
    <row r="166" spans="1:25" x14ac:dyDescent="0.25">
      <c r="A166" s="4">
        <v>160</v>
      </c>
      <c r="C166" s="110">
        <f>IF(male=0,VLOOKUP(((A164:A998/'Life tables'!$I$2)*2)+age,lifetable,13,1),IF(male=1,VLOOKUP(((A164:A998/'Life tables'!$I$2)*2)+age,lifetable,10,1),"error"))</f>
        <v>1.3243321503420002E-4</v>
      </c>
      <c r="F166" s="101">
        <f t="shared" si="36"/>
        <v>155.55052721062575</v>
      </c>
      <c r="G166" s="101">
        <f t="shared" si="37"/>
        <v>15.625376007624558</v>
      </c>
      <c r="H166" s="101">
        <f t="shared" si="38"/>
        <v>0.35756753336843067</v>
      </c>
      <c r="I166" s="101">
        <f t="shared" si="39"/>
        <v>0.35756753336843067</v>
      </c>
      <c r="J166" s="101">
        <f t="shared" si="40"/>
        <v>2.2764082835647615E-2</v>
      </c>
      <c r="K166" s="101">
        <f t="shared" si="41"/>
        <v>2.8029404399856472E-2</v>
      </c>
      <c r="L166" s="101">
        <f t="shared" si="48"/>
        <v>139.15922264902883</v>
      </c>
      <c r="M166" s="101">
        <f t="shared" si="42"/>
        <v>816.5532017391705</v>
      </c>
      <c r="N166" s="101">
        <f t="shared" si="43"/>
        <v>78.635842494094348</v>
      </c>
      <c r="O166" s="101">
        <f t="shared" si="44"/>
        <v>1.877029409322535</v>
      </c>
      <c r="P166" s="101">
        <f t="shared" si="45"/>
        <v>1.877029409322535</v>
      </c>
      <c r="Q166" s="101">
        <f t="shared" si="46"/>
        <v>0.11904992526998461</v>
      </c>
      <c r="R166" s="101">
        <f t="shared" si="47"/>
        <v>2.1869001833992419E-2</v>
      </c>
      <c r="S166" s="101">
        <f t="shared" si="49"/>
        <v>734.02238149932714</v>
      </c>
      <c r="T166" s="101">
        <f t="shared" si="50"/>
        <v>17.256266263145974</v>
      </c>
      <c r="U166" s="101">
        <f t="shared" si="51"/>
        <v>10.831717201396422</v>
      </c>
      <c r="V166" s="33">
        <f t="shared" si="52"/>
        <v>999.9999999999992</v>
      </c>
      <c r="W166" s="105">
        <f>IF(A166=1,((cPH1_+cPHr+(cNES*L166+(cNES+cOSEX)*G166+(cNES+cEREX)*H166+(cNES+cHOEX)*I166 + (cNES+cNES)*S166 +(cNES+ cOSEX)*N166 + (cNES+cEREX)*O166 + (cNES+cHOEX)*P166)))/(1+cDR)^A$5:A$65536,(cPHr+(cNES*L166+(cNES+cOSEX)*G166+(cNES+cEREX)*H166+(cNES+cHOEX)*I166 + (cNES+cNES)*S166 +(cNES+ cOSEX)*N166 + (cNES+cEREX)*O166 + (cNES+cHOEX)*P166))/(1+cDR)^A$5:A$65536)</f>
        <v>158617.04794819749</v>
      </c>
      <c r="X166" s="112">
        <f t="shared" si="53"/>
        <v>971.91201653545681</v>
      </c>
      <c r="Y166" s="32">
        <f>(uNES*L166+ uOCEX*G166+uEREX*'PH + UC'!H166+uHOEX*I166+uNES*S166+ uOCEX*N166+uEREX*O166+uHOEX*P166)/(1+oDR)^A$5:A$65536</f>
        <v>611.03054988985934</v>
      </c>
    </row>
    <row r="167" spans="1:25" x14ac:dyDescent="0.25">
      <c r="A167" s="4">
        <v>161</v>
      </c>
      <c r="C167" s="110">
        <f>IF(male=0,VLOOKUP(((A165:A999/'Life tables'!$I$2)*2)+age,lifetable,13,1),IF(male=1,VLOOKUP(((A165:A999/'Life tables'!$I$2)*2)+age,lifetable,10,1),"error"))</f>
        <v>1.3243321503420002E-4</v>
      </c>
      <c r="F167" s="101">
        <f t="shared" si="36"/>
        <v>155.49529853433759</v>
      </c>
      <c r="G167" s="101">
        <f t="shared" si="37"/>
        <v>15.619828171504162</v>
      </c>
      <c r="H167" s="101">
        <f t="shared" si="38"/>
        <v>0.35744057795461315</v>
      </c>
      <c r="I167" s="101">
        <f t="shared" si="39"/>
        <v>0.35744057795461315</v>
      </c>
      <c r="J167" s="101">
        <f t="shared" si="40"/>
        <v>2.2756000380483549E-2</v>
      </c>
      <c r="K167" s="101">
        <f t="shared" si="41"/>
        <v>2.8019452476645994E-2</v>
      </c>
      <c r="L167" s="101">
        <f t="shared" si="48"/>
        <v>139.10981375406709</v>
      </c>
      <c r="M167" s="101">
        <f t="shared" si="42"/>
        <v>816.41671800111919</v>
      </c>
      <c r="N167" s="101">
        <f t="shared" si="43"/>
        <v>78.622698814410597</v>
      </c>
      <c r="O167" s="101">
        <f t="shared" si="44"/>
        <v>1.8767156710508939</v>
      </c>
      <c r="P167" s="101">
        <f t="shared" si="45"/>
        <v>1.8767156710508939</v>
      </c>
      <c r="Q167" s="101">
        <f t="shared" si="46"/>
        <v>0.11903002653126071</v>
      </c>
      <c r="R167" s="101">
        <f t="shared" si="47"/>
        <v>2.1865346514153616E-2</v>
      </c>
      <c r="S167" s="101">
        <f t="shared" si="49"/>
        <v>733.89969247156137</v>
      </c>
      <c r="T167" s="101">
        <f t="shared" si="50"/>
        <v>17.39805229005772</v>
      </c>
      <c r="U167" s="101">
        <f t="shared" si="51"/>
        <v>10.881602000387222</v>
      </c>
      <c r="V167" s="33">
        <f t="shared" si="52"/>
        <v>999.99999999999932</v>
      </c>
      <c r="W167" s="105">
        <f>IF(A167=1,((cPH1_+cPHr+(cNES*L167+(cNES+cOSEX)*G167+(cNES+cEREX)*H167+(cNES+cHOEX)*I167 + (cNES+cNES)*S167 +(cNES+ cOSEX)*N167 + (cNES+cEREX)*O167 + (cNES+cHOEX)*P167)))/(1+cDR)^A$5:A$65536,(cPHr+(cNES*L167+(cNES+cOSEX)*G167+(cNES+cEREX)*H167+(cNES+cHOEX)*I167 + (cNES+cNES)*S167 +(cNES+ cOSEX)*N167 + (cNES+cEREX)*O167 + (cNES+cHOEX)*P167))/(1+cDR)^A$5:A$65536)</f>
        <v>158405.18363596639</v>
      </c>
      <c r="X167" s="112">
        <f t="shared" si="53"/>
        <v>971.72034570955429</v>
      </c>
      <c r="Y167" s="32">
        <f>(uNES*L167+ uOCEX*G167+uEREX*'PH + UC'!H167+uHOEX*I167+uNES*S167+ uOCEX*N167+uEREX*O167+uHOEX*P167)/(1+oDR)^A$5:A$65536</f>
        <v>610.7343674324859</v>
      </c>
    </row>
    <row r="168" spans="1:25" x14ac:dyDescent="0.25">
      <c r="A168" s="4">
        <v>162</v>
      </c>
      <c r="C168" s="110">
        <f>IF(male=0,VLOOKUP(((A166:A1000/'Life tables'!$I$2)*2)+age,lifetable,13,1),IF(male=1,VLOOKUP(((A166:A1000/'Life tables'!$I$2)*2)+age,lifetable,10,1),"error"))</f>
        <v>1.3243321503420002E-4</v>
      </c>
      <c r="F168" s="101">
        <f t="shared" si="36"/>
        <v>155.44118195758386</v>
      </c>
      <c r="G168" s="101">
        <f t="shared" si="37"/>
        <v>15.614392048109496</v>
      </c>
      <c r="H168" s="101">
        <f t="shared" si="38"/>
        <v>0.3573161789492792</v>
      </c>
      <c r="I168" s="101">
        <f t="shared" si="39"/>
        <v>0.3573161789492792</v>
      </c>
      <c r="J168" s="101">
        <f t="shared" si="40"/>
        <v>2.2748080675818478E-2</v>
      </c>
      <c r="K168" s="101">
        <f t="shared" si="41"/>
        <v>2.800970094804775E-2</v>
      </c>
      <c r="L168" s="101">
        <f t="shared" si="48"/>
        <v>139.06139976995195</v>
      </c>
      <c r="M168" s="101">
        <f t="shared" si="42"/>
        <v>816.27916375197037</v>
      </c>
      <c r="N168" s="101">
        <f t="shared" si="43"/>
        <v>78.609452042188749</v>
      </c>
      <c r="O168" s="101">
        <f t="shared" si="44"/>
        <v>1.8763994719710548</v>
      </c>
      <c r="P168" s="101">
        <f t="shared" si="45"/>
        <v>1.8763994719710548</v>
      </c>
      <c r="Q168" s="101">
        <f t="shared" si="46"/>
        <v>0.11900997171664869</v>
      </c>
      <c r="R168" s="101">
        <f t="shared" si="47"/>
        <v>2.1861662523789606E-2</v>
      </c>
      <c r="S168" s="101">
        <f t="shared" si="49"/>
        <v>733.77604113159907</v>
      </c>
      <c r="T168" s="101">
        <f t="shared" si="50"/>
        <v>17.539810342450188</v>
      </c>
      <c r="U168" s="101">
        <f t="shared" si="51"/>
        <v>10.931473363859059</v>
      </c>
      <c r="V168" s="33">
        <f t="shared" si="52"/>
        <v>999.9999999999992</v>
      </c>
      <c r="W168" s="105">
        <f>IF(A168=1,((cPH1_+cPHr+(cNES*L168+(cNES+cOSEX)*G168+(cNES+cEREX)*H168+(cNES+cHOEX)*I168 + (cNES+cNES)*S168 +(cNES+ cOSEX)*N168 + (cNES+cEREX)*O168 + (cNES+cHOEX)*P168)))/(1+cDR)^A$5:A$65536,(cPHr+(cNES*L168+(cNES+cOSEX)*G168+(cNES+cEREX)*H168+(cNES+cHOEX)*I168 + (cNES+cNES)*S168 +(cNES+ cOSEX)*N168 + (cNES+cEREX)*O168 + (cNES+cHOEX)*P168))/(1+cDR)^A$5:A$65536)</f>
        <v>158193.52777270856</v>
      </c>
      <c r="X168" s="112">
        <f t="shared" si="53"/>
        <v>971.52871629368997</v>
      </c>
      <c r="Y168" s="32">
        <f>(uNES*L168+ uOCEX*G168+uEREX*'PH + UC'!H168+uHOEX*I168+uNES*S168+ uOCEX*N168+uEREX*O168+uHOEX*P168)/(1+oDR)^A$5:A$65536</f>
        <v>610.43833038840251</v>
      </c>
    </row>
    <row r="169" spans="1:25" x14ac:dyDescent="0.25">
      <c r="A169" s="4">
        <v>163</v>
      </c>
      <c r="C169" s="110">
        <f>IF(male=0,VLOOKUP(((A167:A1001/'Life tables'!$I$2)*2)+age,lifetable,13,1),IF(male=1,VLOOKUP(((A167:A1001/'Life tables'!$I$2)*2)+age,lifetable,10,1),"error"))</f>
        <v>1.3243321503420002E-4</v>
      </c>
      <c r="F169" s="101">
        <f t="shared" si="36"/>
        <v>155.38812789641491</v>
      </c>
      <c r="G169" s="101">
        <f t="shared" si="37"/>
        <v>15.609062656629042</v>
      </c>
      <c r="H169" s="101">
        <f t="shared" si="38"/>
        <v>0.35719422237267645</v>
      </c>
      <c r="I169" s="101">
        <f t="shared" si="39"/>
        <v>0.35719422237267645</v>
      </c>
      <c r="J169" s="101">
        <f t="shared" si="40"/>
        <v>2.2740316465276255E-2</v>
      </c>
      <c r="K169" s="101">
        <f t="shared" si="41"/>
        <v>2.8000140879289221E-2</v>
      </c>
      <c r="L169" s="101">
        <f t="shared" si="48"/>
        <v>139.01393633769595</v>
      </c>
      <c r="M169" s="101">
        <f t="shared" si="42"/>
        <v>816.14058839727488</v>
      </c>
      <c r="N169" s="101">
        <f t="shared" si="43"/>
        <v>78.596106935290393</v>
      </c>
      <c r="O169" s="101">
        <f t="shared" si="44"/>
        <v>1.8760809256526805</v>
      </c>
      <c r="P169" s="101">
        <f t="shared" si="45"/>
        <v>1.8760809256526805</v>
      </c>
      <c r="Q169" s="101">
        <f t="shared" si="46"/>
        <v>0.11898976802926418</v>
      </c>
      <c r="R169" s="101">
        <f t="shared" si="47"/>
        <v>2.1857951186084325E-2</v>
      </c>
      <c r="S169" s="101">
        <f t="shared" si="49"/>
        <v>733.65147189146376</v>
      </c>
      <c r="T169" s="101">
        <f t="shared" si="50"/>
        <v>17.681540426944728</v>
      </c>
      <c r="U169" s="101">
        <f t="shared" si="51"/>
        <v>10.981331455924433</v>
      </c>
      <c r="V169" s="33">
        <f t="shared" si="52"/>
        <v>999.99999999999898</v>
      </c>
      <c r="W169" s="105">
        <f>IF(A169=1,((cPH1_+cPHr+(cNES*L169+(cNES+cOSEX)*G169+(cNES+cEREX)*H169+(cNES+cHOEX)*I169 + (cNES+cNES)*S169 +(cNES+ cOSEX)*N169 + (cNES+cEREX)*O169 + (cNES+cHOEX)*P169)))/(1+cDR)^A$5:A$65536,(cPHr+(cNES*L169+(cNES+cOSEX)*G169+(cNES+cEREX)*H169+(cNES+cHOEX)*I169 + (cNES+cNES)*S169 +(cNES+ cOSEX)*N169 + (cNES+cEREX)*O169 + (cNES+cHOEX)*P169))/(1+cDR)^A$5:A$65536)</f>
        <v>157982.08360355088</v>
      </c>
      <c r="X169" s="112">
        <f t="shared" si="53"/>
        <v>971.33712811712985</v>
      </c>
      <c r="Y169" s="32">
        <f>(uNES*L169+ uOCEX*G169+uEREX*'PH + UC'!H169+uHOEX*I169+uNES*S169+ uOCEX*N169+uEREX*O169+uHOEX*P169)/(1+oDR)^A$5:A$65536</f>
        <v>610.14243860297358</v>
      </c>
    </row>
    <row r="170" spans="1:25" x14ac:dyDescent="0.25">
      <c r="A170" s="4">
        <v>164</v>
      </c>
      <c r="C170" s="110">
        <f>IF(male=0,VLOOKUP(((A168:A1002/'Life tables'!$I$2)*2)+age,lifetable,13,1),IF(male=1,VLOOKUP(((A168:A1002/'Life tables'!$I$2)*2)+age,lifetable,10,1),"error"))</f>
        <v>1.3243321503420002E-4</v>
      </c>
      <c r="F170" s="101">
        <f t="shared" si="36"/>
        <v>155.33608898955816</v>
      </c>
      <c r="G170" s="101">
        <f t="shared" si="37"/>
        <v>15.60383523952385</v>
      </c>
      <c r="H170" s="101">
        <f t="shared" si="38"/>
        <v>0.35707459935437086</v>
      </c>
      <c r="I170" s="101">
        <f t="shared" si="39"/>
        <v>0.35707459935437086</v>
      </c>
      <c r="J170" s="101">
        <f t="shared" si="40"/>
        <v>2.2732700817758973E-2</v>
      </c>
      <c r="K170" s="101">
        <f t="shared" si="41"/>
        <v>2.7990763736112846E-2</v>
      </c>
      <c r="L170" s="101">
        <f t="shared" si="48"/>
        <v>138.9673810867717</v>
      </c>
      <c r="M170" s="101">
        <f t="shared" si="42"/>
        <v>816.00103912757174</v>
      </c>
      <c r="N170" s="101">
        <f t="shared" si="43"/>
        <v>78.582668038266704</v>
      </c>
      <c r="O170" s="101">
        <f t="shared" si="44"/>
        <v>1.8757601405737361</v>
      </c>
      <c r="P170" s="101">
        <f t="shared" si="45"/>
        <v>1.8757601405737361</v>
      </c>
      <c r="Q170" s="101">
        <f t="shared" si="46"/>
        <v>0.11896942234928368</v>
      </c>
      <c r="R170" s="101">
        <f t="shared" si="47"/>
        <v>2.1854213764899069E-2</v>
      </c>
      <c r="S170" s="101">
        <f t="shared" si="49"/>
        <v>733.52602717204343</v>
      </c>
      <c r="T170" s="101">
        <f t="shared" si="50"/>
        <v>17.823242550111772</v>
      </c>
      <c r="U170" s="101">
        <f t="shared" si="51"/>
        <v>11.031176433425445</v>
      </c>
      <c r="V170" s="33">
        <f t="shared" si="52"/>
        <v>999.99999999999909</v>
      </c>
      <c r="W170" s="105">
        <f>IF(A170=1,((cPH1_+cPHr+(cNES*L170+(cNES+cOSEX)*G170+(cNES+cEREX)*H170+(cNES+cHOEX)*I170 + (cNES+cNES)*S170 +(cNES+ cOSEX)*N170 + (cNES+cEREX)*O170 + (cNES+cHOEX)*P170)))/(1+cDR)^A$5:A$65536,(cPHr+(cNES*L170+(cNES+cOSEX)*G170+(cNES+cEREX)*H170+(cNES+cHOEX)*I170 + (cNES+cNES)*S170 +(cNES+ cOSEX)*N170 + (cNES+cEREX)*O170 + (cNES+cHOEX)*P170))/(1+cDR)^A$5:A$65536)</f>
        <v>157770.85420733018</v>
      </c>
      <c r="X170" s="112">
        <f t="shared" si="53"/>
        <v>971.14558101646185</v>
      </c>
      <c r="Y170" s="32">
        <f>(uNES*L170+ uOCEX*G170+uEREX*'PH + UC'!H170+uHOEX*I170+uNES*S170+ uOCEX*N170+uEREX*O170+uHOEX*P170)/(1+oDR)^A$5:A$65536</f>
        <v>609.84669192543447</v>
      </c>
    </row>
    <row r="171" spans="1:25" x14ac:dyDescent="0.25">
      <c r="A171" s="4">
        <v>165</v>
      </c>
      <c r="C171" s="110">
        <f>IF(male=0,VLOOKUP(((A169:A1003/'Life tables'!$I$2)*2)+age,lifetable,13,1),IF(male=1,VLOOKUP(((A169:A1003/'Life tables'!$I$2)*2)+age,lifetable,10,1),"error"))</f>
        <v>1.3243321503420002E-4</v>
      </c>
      <c r="F171" s="101">
        <f t="shared" si="36"/>
        <v>155.28501999878071</v>
      </c>
      <c r="G171" s="101">
        <f t="shared" si="37"/>
        <v>15.598705252518746</v>
      </c>
      <c r="H171" s="101">
        <f t="shared" si="38"/>
        <v>0.35695720590420799</v>
      </c>
      <c r="I171" s="101">
        <f t="shared" si="39"/>
        <v>0.35695720590420799</v>
      </c>
      <c r="J171" s="101">
        <f t="shared" si="40"/>
        <v>2.272522711286554E-2</v>
      </c>
      <c r="K171" s="101">
        <f t="shared" si="41"/>
        <v>2.7981561366821901E-2</v>
      </c>
      <c r="L171" s="101">
        <f t="shared" si="48"/>
        <v>138.92169354597385</v>
      </c>
      <c r="M171" s="101">
        <f t="shared" si="42"/>
        <v>815.86056101768122</v>
      </c>
      <c r="N171" s="101">
        <f t="shared" si="43"/>
        <v>78.569139691920512</v>
      </c>
      <c r="O171" s="101">
        <f t="shared" si="44"/>
        <v>1.8754372203487355</v>
      </c>
      <c r="P171" s="101">
        <f t="shared" si="45"/>
        <v>1.8754372203487355</v>
      </c>
      <c r="Q171" s="101">
        <f t="shared" si="46"/>
        <v>0.11894894124842104</v>
      </c>
      <c r="R171" s="101">
        <f t="shared" si="47"/>
        <v>2.1850451467431753E-2</v>
      </c>
      <c r="S171" s="101">
        <f t="shared" si="49"/>
        <v>733.39974749234739</v>
      </c>
      <c r="T171" s="101">
        <f t="shared" si="50"/>
        <v>17.964916718473059</v>
      </c>
      <c r="U171" s="101">
        <f t="shared" si="51"/>
        <v>11.081008446259698</v>
      </c>
      <c r="V171" s="33">
        <f t="shared" si="52"/>
        <v>999.9999999999992</v>
      </c>
      <c r="W171" s="105">
        <f>IF(A171=1,((cPH1_+cPHr+(cNES*L171+(cNES+cOSEX)*G171+(cNES+cEREX)*H171+(cNES+cHOEX)*I171 + (cNES+cNES)*S171 +(cNES+ cOSEX)*N171 + (cNES+cEREX)*O171 + (cNES+cHOEX)*P171)))/(1+cDR)^A$5:A$65536,(cPHr+(cNES*L171+(cNES+cOSEX)*G171+(cNES+cEREX)*H171+(cNES+cHOEX)*I171 + (cNES+cNES)*S171 +(cNES+ cOSEX)*N171 + (cNES+cEREX)*O171 + (cNES+cHOEX)*P171))/(1+cDR)^A$5:A$65536)</f>
        <v>157559.84250425274</v>
      </c>
      <c r="X171" s="112">
        <f t="shared" si="53"/>
        <v>970.9540748352664</v>
      </c>
      <c r="Y171" s="32">
        <f>(uNES*L171+ uOCEX*G171+uEREX*'PH + UC'!H171+uHOEX*I171+uNES*S171+ uOCEX*N171+uEREX*O171+uHOEX*P171)/(1+oDR)^A$5:A$65536</f>
        <v>609.55109020871794</v>
      </c>
    </row>
    <row r="172" spans="1:25" x14ac:dyDescent="0.25">
      <c r="A172" s="4">
        <v>166</v>
      </c>
      <c r="C172" s="110">
        <f>IF(male=0,VLOOKUP(((A170:A1004/'Life tables'!$I$2)*2)+age,lifetable,13,1),IF(male=1,VLOOKUP(((A170:A1004/'Life tables'!$I$2)*2)+age,lifetable,10,1),"error"))</f>
        <v>1.3243321503420002E-4</v>
      </c>
      <c r="F172" s="101">
        <f t="shared" si="36"/>
        <v>155.23487771371862</v>
      </c>
      <c r="G172" s="101">
        <f t="shared" si="37"/>
        <v>15.593668355042238</v>
      </c>
      <c r="H172" s="101">
        <f t="shared" si="38"/>
        <v>0.35684194269354186</v>
      </c>
      <c r="I172" s="101">
        <f t="shared" si="39"/>
        <v>0.35684194269354186</v>
      </c>
      <c r="J172" s="101">
        <f t="shared" si="40"/>
        <v>2.2717889026963867E-2</v>
      </c>
      <c r="K172" s="101">
        <f t="shared" si="41"/>
        <v>2.7972525985131197E-2</v>
      </c>
      <c r="L172" s="101">
        <f t="shared" si="48"/>
        <v>138.87683505827721</v>
      </c>
      <c r="M172" s="101">
        <f t="shared" si="42"/>
        <v>815.71919712154784</v>
      </c>
      <c r="N172" s="101">
        <f t="shared" si="43"/>
        <v>78.555526042439965</v>
      </c>
      <c r="O172" s="101">
        <f t="shared" si="44"/>
        <v>1.8751122639467599</v>
      </c>
      <c r="P172" s="101">
        <f t="shared" si="45"/>
        <v>1.8751122639467599</v>
      </c>
      <c r="Q172" s="101">
        <f t="shared" si="46"/>
        <v>0.11892833100375515</v>
      </c>
      <c r="R172" s="101">
        <f t="shared" si="47"/>
        <v>2.1846665446757021E-2</v>
      </c>
      <c r="S172" s="101">
        <f t="shared" si="49"/>
        <v>733.27267155476386</v>
      </c>
      <c r="T172" s="101">
        <f t="shared" si="50"/>
        <v>18.106562938503778</v>
      </c>
      <c r="U172" s="101">
        <f t="shared" si="51"/>
        <v>11.130827637691587</v>
      </c>
      <c r="V172" s="33">
        <f t="shared" si="52"/>
        <v>999.9999999999992</v>
      </c>
      <c r="W172" s="105">
        <f>IF(A172=1,((cPH1_+cPHr+(cNES*L172+(cNES+cOSEX)*G172+(cNES+cEREX)*H172+(cNES+cHOEX)*I172 + (cNES+cNES)*S172 +(cNES+ cOSEX)*N172 + (cNES+cEREX)*O172 + (cNES+cHOEX)*P172)))/(1+cDR)^A$5:A$65536,(cPHr+(cNES*L172+(cNES+cOSEX)*G172+(cNES+cEREX)*H172+(cNES+cHOEX)*I172 + (cNES+cNES)*S172 +(cNES+ cOSEX)*N172 + (cNES+cEREX)*O172 + (cNES+cHOEX)*P172))/(1+cDR)^A$5:A$65536)</f>
        <v>157349.05126320326</v>
      </c>
      <c r="X172" s="112">
        <f t="shared" si="53"/>
        <v>970.76260942380384</v>
      </c>
      <c r="Y172" s="32">
        <f>(uNES*L172+ uOCEX*G172+uEREX*'PH + UC'!H172+uHOEX*I172+uNES*S172+ uOCEX*N172+uEREX*O172+uHOEX*P172)/(1+oDR)^A$5:A$65536</f>
        <v>609.25563330928901</v>
      </c>
    </row>
    <row r="173" spans="1:25" x14ac:dyDescent="0.25">
      <c r="A173" s="4">
        <v>167</v>
      </c>
      <c r="C173" s="110">
        <f>IF(male=0,VLOOKUP(((A171:A1005/'Life tables'!$I$2)*2)+age,lifetable,13,1),IF(male=1,VLOOKUP(((A171:A1005/'Life tables'!$I$2)*2)+age,lifetable,10,1),"error"))</f>
        <v>1.3243321503420002E-4</v>
      </c>
      <c r="F173" s="101">
        <f t="shared" si="36"/>
        <v>155.18562086097242</v>
      </c>
      <c r="G173" s="101">
        <f t="shared" si="37"/>
        <v>15.588720401094969</v>
      </c>
      <c r="H173" s="101">
        <f t="shared" si="38"/>
        <v>0.35672871484627072</v>
      </c>
      <c r="I173" s="101">
        <f t="shared" si="39"/>
        <v>0.35672871484627072</v>
      </c>
      <c r="J173" s="101">
        <f t="shared" si="40"/>
        <v>2.271068051988745E-2</v>
      </c>
      <c r="K173" s="101">
        <f t="shared" si="41"/>
        <v>2.796365015378658E-2</v>
      </c>
      <c r="L173" s="101">
        <f t="shared" si="48"/>
        <v>138.83276869951123</v>
      </c>
      <c r="M173" s="101">
        <f t="shared" si="42"/>
        <v>815.5769885628315</v>
      </c>
      <c r="N173" s="101">
        <f t="shared" si="43"/>
        <v>78.54183105012261</v>
      </c>
      <c r="O173" s="101">
        <f t="shared" si="44"/>
        <v>1.8747853658997014</v>
      </c>
      <c r="P173" s="101">
        <f t="shared" si="45"/>
        <v>1.8747853658997014</v>
      </c>
      <c r="Q173" s="101">
        <f t="shared" si="46"/>
        <v>0.11890759761093779</v>
      </c>
      <c r="R173" s="101">
        <f t="shared" si="47"/>
        <v>2.1842856804252464E-2</v>
      </c>
      <c r="S173" s="101">
        <f t="shared" si="49"/>
        <v>733.14483632649433</v>
      </c>
      <c r="T173" s="101">
        <f t="shared" si="50"/>
        <v>18.248181216634602</v>
      </c>
      <c r="U173" s="101">
        <f t="shared" si="51"/>
        <v>11.180634144649625</v>
      </c>
      <c r="V173" s="33">
        <f t="shared" si="52"/>
        <v>999.99999999999932</v>
      </c>
      <c r="W173" s="105">
        <f>IF(A173=1,((cPH1_+cPHr+(cNES*L173+(cNES+cOSEX)*G173+(cNES+cEREX)*H173+(cNES+cHOEX)*I173 + (cNES+cNES)*S173 +(cNES+ cOSEX)*N173 + (cNES+cEREX)*O173 + (cNES+cHOEX)*P173)))/(1+cDR)^A$5:A$65536,(cPHr+(cNES*L173+(cNES+cOSEX)*G173+(cNES+cEREX)*H173+(cNES+cHOEX)*I173 + (cNES+cNES)*S173 +(cNES+ cOSEX)*N173 + (cNES+cEREX)*O173 + (cNES+cHOEX)*P173))/(1+cDR)^A$5:A$65536)</f>
        <v>157138.48310871708</v>
      </c>
      <c r="X173" s="112">
        <f t="shared" si="53"/>
        <v>970.57118463871507</v>
      </c>
      <c r="Y173" s="32">
        <f>(uNES*L173+ uOCEX*G173+uEREX*'PH + UC'!H173+uHOEX*I173+uNES*S173+ uOCEX*N173+uEREX*O173+uHOEX*P173)/(1+oDR)^A$5:A$65536</f>
        <v>608.96032108698785</v>
      </c>
    </row>
    <row r="174" spans="1:25" x14ac:dyDescent="0.25">
      <c r="A174" s="4">
        <v>168</v>
      </c>
      <c r="C174" s="110">
        <f>IF(male=0,VLOOKUP(((A172:A1006/'Life tables'!$I$2)*2)+age,lifetable,13,1),IF(male=1,VLOOKUP(((A172:A1006/'Life tables'!$I$2)*2)+age,lifetable,10,1),"error"))</f>
        <v>1.3243321503420002E-4</v>
      </c>
      <c r="F174" s="101">
        <f t="shared" si="36"/>
        <v>155.13721001727754</v>
      </c>
      <c r="G174" s="101">
        <f t="shared" si="37"/>
        <v>15.583857430527505</v>
      </c>
      <c r="H174" s="101">
        <f t="shared" si="38"/>
        <v>0.35661743173923999</v>
      </c>
      <c r="I174" s="101">
        <f t="shared" si="39"/>
        <v>0.35661743173923999</v>
      </c>
      <c r="J174" s="101">
        <f t="shared" si="40"/>
        <v>2.2703595822228265E-2</v>
      </c>
      <c r="K174" s="101">
        <f t="shared" si="41"/>
        <v>2.7954926768918687E-2</v>
      </c>
      <c r="L174" s="101">
        <f t="shared" si="48"/>
        <v>138.7894592006804</v>
      </c>
      <c r="M174" s="101">
        <f t="shared" si="42"/>
        <v>815.43397462143753</v>
      </c>
      <c r="N174" s="101">
        <f t="shared" si="43"/>
        <v>78.528058497708429</v>
      </c>
      <c r="O174" s="101">
        <f t="shared" si="44"/>
        <v>1.8744566165011711</v>
      </c>
      <c r="P174" s="101">
        <f t="shared" si="45"/>
        <v>1.8744566165011711</v>
      </c>
      <c r="Q174" s="101">
        <f t="shared" si="46"/>
        <v>0.11888674679680927</v>
      </c>
      <c r="R174" s="101">
        <f t="shared" si="47"/>
        <v>2.1839026591916059E-2</v>
      </c>
      <c r="S174" s="101">
        <f t="shared" si="49"/>
        <v>733.01627711733806</v>
      </c>
      <c r="T174" s="101">
        <f t="shared" si="50"/>
        <v>18.389771559253639</v>
      </c>
      <c r="U174" s="101">
        <f t="shared" si="51"/>
        <v>11.23042809801046</v>
      </c>
      <c r="V174" s="33">
        <f t="shared" si="52"/>
        <v>999.9999999999992</v>
      </c>
      <c r="W174" s="105">
        <f>IF(A174=1,((cPH1_+cPHr+(cNES*L174+(cNES+cOSEX)*G174+(cNES+cEREX)*H174+(cNES+cHOEX)*I174 + (cNES+cNES)*S174 +(cNES+ cOSEX)*N174 + (cNES+cEREX)*O174 + (cNES+cHOEX)*P174)))/(1+cDR)^A$5:A$65536,(cPHr+(cNES*L174+(cNES+cOSEX)*G174+(cNES+cEREX)*H174+(cNES+cHOEX)*I174 + (cNES+cNES)*S174 +(cNES+ cOSEX)*N174 + (cNES+cEREX)*O174 + (cNES+cHOEX)*P174))/(1+cDR)^A$5:A$65536)</f>
        <v>156928.14052763316</v>
      </c>
      <c r="X174" s="112">
        <f t="shared" si="53"/>
        <v>970.37980034273517</v>
      </c>
      <c r="Y174" s="32">
        <f>(uNES*L174+ uOCEX*G174+uEREX*'PH + UC'!H174+uHOEX*I174+uNES*S174+ uOCEX*N174+uEREX*O174+uHOEX*P174)/(1+oDR)^A$5:A$65536</f>
        <v>608.66515340487763</v>
      </c>
    </row>
    <row r="175" spans="1:25" x14ac:dyDescent="0.25">
      <c r="A175" s="4">
        <v>169</v>
      </c>
      <c r="C175" s="110">
        <f>IF(male=0,VLOOKUP(((A173:A1007/'Life tables'!$I$2)*2)+age,lifetable,13,1),IF(male=1,VLOOKUP(((A173:A1007/'Life tables'!$I$2)*2)+age,lifetable,10,1),"error"))</f>
        <v>1.3243321503420002E-4</v>
      </c>
      <c r="F175" s="101">
        <f t="shared" si="36"/>
        <v>155.08960752656731</v>
      </c>
      <c r="G175" s="101">
        <f t="shared" si="37"/>
        <v>15.579075660709137</v>
      </c>
      <c r="H175" s="101">
        <f t="shared" si="38"/>
        <v>0.35650800681159317</v>
      </c>
      <c r="I175" s="101">
        <f t="shared" si="39"/>
        <v>0.35650800681159317</v>
      </c>
      <c r="J175" s="101">
        <f t="shared" si="40"/>
        <v>2.2696629423199329E-2</v>
      </c>
      <c r="K175" s="101">
        <f t="shared" si="41"/>
        <v>2.7946349045098115E-2</v>
      </c>
      <c r="L175" s="101">
        <f t="shared" si="48"/>
        <v>138.74687287376668</v>
      </c>
      <c r="M175" s="101">
        <f t="shared" si="42"/>
        <v>815.29019281616809</v>
      </c>
      <c r="N175" s="101">
        <f t="shared" si="43"/>
        <v>78.514211998339377</v>
      </c>
      <c r="O175" s="101">
        <f t="shared" si="44"/>
        <v>1.874126101996493</v>
      </c>
      <c r="P175" s="101">
        <f t="shared" si="45"/>
        <v>1.874126101996493</v>
      </c>
      <c r="Q175" s="101">
        <f t="shared" si="46"/>
        <v>0.11886578403144867</v>
      </c>
      <c r="R175" s="101">
        <f t="shared" si="47"/>
        <v>2.183517581457977E-2</v>
      </c>
      <c r="S175" s="101">
        <f t="shared" si="49"/>
        <v>732.88702765398966</v>
      </c>
      <c r="T175" s="101">
        <f t="shared" si="50"/>
        <v>18.531333972708286</v>
      </c>
      <c r="U175" s="101">
        <f t="shared" si="51"/>
        <v>11.280209622870139</v>
      </c>
      <c r="V175" s="33">
        <f t="shared" si="52"/>
        <v>999.99999999999943</v>
      </c>
      <c r="W175" s="105">
        <f>IF(A175=1,((cPH1_+cPHr+(cNES*L175+(cNES+cOSEX)*G175+(cNES+cEREX)*H175+(cNES+cHOEX)*I175 + (cNES+cNES)*S175 +(cNES+ cOSEX)*N175 + (cNES+cEREX)*O175 + (cNES+cHOEX)*P175)))/(1+cDR)^A$5:A$65536,(cPHr+(cNES*L175+(cNES+cOSEX)*G175+(cNES+cEREX)*H175+(cNES+cHOEX)*I175 + (cNES+cNES)*S175 +(cNES+ cOSEX)*N175 + (cNES+cEREX)*O175 + (cNES+cHOEX)*P175))/(1+cDR)^A$5:A$65536)</f>
        <v>156718.02587544036</v>
      </c>
      <c r="X175" s="112">
        <f t="shared" si="53"/>
        <v>970.188456404421</v>
      </c>
      <c r="Y175" s="32">
        <f>(uNES*L175+ uOCEX*G175+uEREX*'PH + UC'!H175+uHOEX*I175+uNES*S175+ uOCEX*N175+uEREX*O175+uHOEX*P175)/(1+oDR)^A$5:A$65536</f>
        <v>608.3701301291029</v>
      </c>
    </row>
    <row r="176" spans="1:25" x14ac:dyDescent="0.25">
      <c r="A176" s="4">
        <v>170</v>
      </c>
      <c r="C176" s="110">
        <f>IF(male=0,VLOOKUP(((A174:A1008/'Life tables'!$I$2)*2)+age,lifetable,13,1),IF(male=1,VLOOKUP(((A174:A1008/'Life tables'!$I$2)*2)+age,lifetable,10,1),"error"))</f>
        <v>1.3243321503420002E-4</v>
      </c>
      <c r="F176" s="101">
        <f t="shared" si="36"/>
        <v>155.04277742075359</v>
      </c>
      <c r="G176" s="101">
        <f t="shared" si="37"/>
        <v>15.574371478570139</v>
      </c>
      <c r="H176" s="101">
        <f t="shared" si="38"/>
        <v>0.35640035738266823</v>
      </c>
      <c r="I176" s="101">
        <f t="shared" si="39"/>
        <v>0.35640035738266823</v>
      </c>
      <c r="J176" s="101">
        <f t="shared" si="40"/>
        <v>2.2689776059041308E-2</v>
      </c>
      <c r="K176" s="101">
        <f t="shared" si="41"/>
        <v>2.7937910501060502E-2</v>
      </c>
      <c r="L176" s="101">
        <f t="shared" si="48"/>
        <v>138.70497754085801</v>
      </c>
      <c r="M176" s="101">
        <f t="shared" si="42"/>
        <v>815.14567898366738</v>
      </c>
      <c r="N176" s="101">
        <f t="shared" si="43"/>
        <v>78.500295003161909</v>
      </c>
      <c r="O176" s="101">
        <f t="shared" si="44"/>
        <v>1.8737939047641756</v>
      </c>
      <c r="P176" s="101">
        <f t="shared" si="45"/>
        <v>1.8737939047641756</v>
      </c>
      <c r="Q176" s="101">
        <f t="shared" si="46"/>
        <v>0.11884471453968369</v>
      </c>
      <c r="R176" s="101">
        <f t="shared" si="47"/>
        <v>2.1831305432023846E-2</v>
      </c>
      <c r="S176" s="101">
        <f t="shared" si="49"/>
        <v>732.75712015100544</v>
      </c>
      <c r="T176" s="101">
        <f t="shared" si="50"/>
        <v>18.672868463307012</v>
      </c>
      <c r="U176" s="101">
        <f t="shared" si="51"/>
        <v>11.329978838803223</v>
      </c>
      <c r="V176" s="33">
        <f t="shared" si="52"/>
        <v>999.99999999999943</v>
      </c>
      <c r="W176" s="105">
        <f>IF(A176=1,((cPH1_+cPHr+(cNES*L176+(cNES+cOSEX)*G176+(cNES+cEREX)*H176+(cNES+cHOEX)*I176 + (cNES+cNES)*S176 +(cNES+ cOSEX)*N176 + (cNES+cEREX)*O176 + (cNES+cHOEX)*P176)))/(1+cDR)^A$5:A$65536,(cPHr+(cNES*L176+(cNES+cOSEX)*G176+(cNES+cEREX)*H176+(cNES+cHOEX)*I176 + (cNES+cNES)*S176 +(cNES+ cOSEX)*N176 + (cNES+cEREX)*O176 + (cNES+cHOEX)*P176))/(1+cDR)^A$5:A$65536)</f>
        <v>156508.14138233321</v>
      </c>
      <c r="X176" s="112">
        <f t="shared" si="53"/>
        <v>969.99715269788919</v>
      </c>
      <c r="Y176" s="32">
        <f>(uNES*L176+ uOCEX*G176+uEREX*'PH + UC'!H176+uHOEX*I176+uNES*S176+ uOCEX*N176+uEREX*O176+uHOEX*P176)/(1+oDR)^A$5:A$65536</f>
        <v>608.07525112874907</v>
      </c>
    </row>
    <row r="177" spans="1:25" x14ac:dyDescent="0.25">
      <c r="A177" s="4">
        <v>171</v>
      </c>
      <c r="C177" s="110">
        <f>IF(male=0,VLOOKUP(((A175:A1009/'Life tables'!$I$2)*2)+age,lifetable,13,1),IF(male=1,VLOOKUP(((A175:A1009/'Life tables'!$I$2)*2)+age,lifetable,10,1),"error"))</f>
        <v>1.3243321503420002E-4</v>
      </c>
      <c r="F177" s="101">
        <f t="shared" si="36"/>
        <v>154.99668534405887</v>
      </c>
      <c r="G177" s="101">
        <f t="shared" si="37"/>
        <v>15.569741433000752</v>
      </c>
      <c r="H177" s="101">
        <f t="shared" si="38"/>
        <v>0.35629440447805838</v>
      </c>
      <c r="I177" s="101">
        <f t="shared" si="39"/>
        <v>0.35629440447805838</v>
      </c>
      <c r="J177" s="101">
        <f t="shared" si="40"/>
        <v>2.2683030701948922E-2</v>
      </c>
      <c r="K177" s="101">
        <f t="shared" si="41"/>
        <v>2.7929604946071569E-2</v>
      </c>
      <c r="L177" s="101">
        <f t="shared" si="48"/>
        <v>138.66374246645398</v>
      </c>
      <c r="M177" s="101">
        <f t="shared" si="42"/>
        <v>815.00046735383035</v>
      </c>
      <c r="N177" s="101">
        <f t="shared" si="43"/>
        <v>78.486310808589096</v>
      </c>
      <c r="O177" s="101">
        <f t="shared" si="44"/>
        <v>1.8734601034892564</v>
      </c>
      <c r="P177" s="101">
        <f t="shared" si="45"/>
        <v>1.8734601034892564</v>
      </c>
      <c r="Q177" s="101">
        <f t="shared" si="46"/>
        <v>0.11882354331208503</v>
      </c>
      <c r="R177" s="101">
        <f t="shared" si="47"/>
        <v>2.1827416360996433E-2</v>
      </c>
      <c r="S177" s="101">
        <f t="shared" si="49"/>
        <v>732.62658537858965</v>
      </c>
      <c r="T177" s="101">
        <f t="shared" si="50"/>
        <v>18.814375037321046</v>
      </c>
      <c r="U177" s="101">
        <f t="shared" si="51"/>
        <v>11.379735860110291</v>
      </c>
      <c r="V177" s="33">
        <f t="shared" si="52"/>
        <v>999.99999999999943</v>
      </c>
      <c r="W177" s="105">
        <f>IF(A177=1,((cPH1_+cPHr+(cNES*L177+(cNES+cOSEX)*G177+(cNES+cEREX)*H177+(cNES+cHOEX)*I177 + (cNES+cNES)*S177 +(cNES+ cOSEX)*N177 + (cNES+cEREX)*O177 + (cNES+cHOEX)*P177)))/(1+cDR)^A$5:A$65536,(cPHr+(cNES*L177+(cNES+cOSEX)*G177+(cNES+cEREX)*H177+(cNES+cHOEX)*I177 + (cNES+cNES)*S177 +(cNES+ cOSEX)*N177 + (cNES+cEREX)*O177 + (cNES+cHOEX)*P177))/(1+cDR)^A$5:A$65536)</f>
        <v>156298.48915898916</v>
      </c>
      <c r="X177" s="112">
        <f t="shared" si="53"/>
        <v>969.80588910256813</v>
      </c>
      <c r="Y177" s="32">
        <f>(uNES*L177+ uOCEX*G177+uEREX*'PH + UC'!H177+uHOEX*I177+uNES*S177+ uOCEX*N177+uEREX*O177+uHOEX*P177)/(1+oDR)^A$5:A$65536</f>
        <v>607.78051627571381</v>
      </c>
    </row>
    <row r="178" spans="1:25" x14ac:dyDescent="0.25">
      <c r="A178" s="4">
        <v>172</v>
      </c>
      <c r="C178" s="110">
        <f>IF(male=0,VLOOKUP(((A176:A1010/'Life tables'!$I$2)*2)+age,lifetable,13,1),IF(male=1,VLOOKUP(((A176:A1010/'Life tables'!$I$2)*2)+age,lifetable,10,1),"error"))</f>
        <v>1.3243321503420002E-4</v>
      </c>
      <c r="F178" s="101">
        <f t="shared" si="36"/>
        <v>154.95129848074012</v>
      </c>
      <c r="G178" s="101">
        <f t="shared" si="37"/>
        <v>15.565182227590912</v>
      </c>
      <c r="H178" s="101">
        <f t="shared" si="38"/>
        <v>0.35619007266346903</v>
      </c>
      <c r="I178" s="101">
        <f t="shared" si="39"/>
        <v>0.35619007266346903</v>
      </c>
      <c r="J178" s="101">
        <f t="shared" si="40"/>
        <v>2.2676388549493602E-2</v>
      </c>
      <c r="K178" s="101">
        <f t="shared" si="41"/>
        <v>2.7921426466903317E-2</v>
      </c>
      <c r="L178" s="101">
        <f t="shared" si="48"/>
        <v>138.62313829280589</v>
      </c>
      <c r="M178" s="101">
        <f t="shared" si="42"/>
        <v>814.85459062182815</v>
      </c>
      <c r="N178" s="101">
        <f t="shared" si="43"/>
        <v>78.472262563236754</v>
      </c>
      <c r="O178" s="101">
        <f t="shared" si="44"/>
        <v>1.8731247733288692</v>
      </c>
      <c r="P178" s="101">
        <f t="shared" si="45"/>
        <v>1.8731247733288692</v>
      </c>
      <c r="Q178" s="101">
        <f t="shared" si="46"/>
        <v>0.11880227511546723</v>
      </c>
      <c r="R178" s="101">
        <f t="shared" si="47"/>
        <v>2.1823509477142577E-2</v>
      </c>
      <c r="S178" s="101">
        <f t="shared" si="49"/>
        <v>732.49545272734099</v>
      </c>
      <c r="T178" s="101">
        <f t="shared" si="50"/>
        <v>18.955853700986008</v>
      </c>
      <c r="U178" s="101">
        <f t="shared" si="51"/>
        <v>11.429480796054337</v>
      </c>
      <c r="V178" s="33">
        <f t="shared" si="52"/>
        <v>999.99999999999966</v>
      </c>
      <c r="W178" s="105">
        <f>IF(A178=1,((cPH1_+cPHr+(cNES*L178+(cNES+cOSEX)*G178+(cNES+cEREX)*H178+(cNES+cHOEX)*I178 + (cNES+cNES)*S178 +(cNES+ cOSEX)*N178 + (cNES+cEREX)*O178 + (cNES+cHOEX)*P178)))/(1+cDR)^A$5:A$65536,(cPHr+(cNES*L178+(cNES+cOSEX)*G178+(cNES+cEREX)*H178+(cNES+cHOEX)*I178 + (cNES+cNES)*S178 +(cNES+ cOSEX)*N178 + (cNES+cEREX)*O178 + (cNES+cHOEX)*P178))/(1+cDR)^A$5:A$65536)</f>
        <v>156089.07120208029</v>
      </c>
      <c r="X178" s="112">
        <f t="shared" si="53"/>
        <v>969.61466550295927</v>
      </c>
      <c r="Y178" s="32">
        <f>(uNES*L178+ uOCEX*G178+uEREX*'PH + UC'!H178+uHOEX*I178+uNES*S178+ uOCEX*N178+uEREX*O178+uHOEX*P178)/(1+oDR)^A$5:A$65536</f>
        <v>607.48592544458143</v>
      </c>
    </row>
    <row r="179" spans="1:25" x14ac:dyDescent="0.25">
      <c r="A179" s="4">
        <v>173</v>
      </c>
      <c r="C179" s="110">
        <f>IF(male=0,VLOOKUP(((A177:A1011/'Life tables'!$I$2)*2)+age,lifetable,13,1),IF(male=1,VLOOKUP(((A177:A1011/'Life tables'!$I$2)*2)+age,lifetable,10,1),"error"))</f>
        <v>1.3243321503420002E-4</v>
      </c>
      <c r="F179" s="101">
        <f t="shared" si="36"/>
        <v>154.90658548605276</v>
      </c>
      <c r="G179" s="101">
        <f t="shared" si="37"/>
        <v>15.560690713695426</v>
      </c>
      <c r="H179" s="101">
        <f t="shared" si="38"/>
        <v>0.35608728988602317</v>
      </c>
      <c r="I179" s="101">
        <f t="shared" si="39"/>
        <v>0.35608728988602317</v>
      </c>
      <c r="J179" s="101">
        <f t="shared" si="40"/>
        <v>2.2669845014520462E-2</v>
      </c>
      <c r="K179" s="101">
        <f t="shared" si="41"/>
        <v>2.7913369415394108E-2</v>
      </c>
      <c r="L179" s="101">
        <f t="shared" si="48"/>
        <v>138.58313697815538</v>
      </c>
      <c r="M179" s="101">
        <f t="shared" si="42"/>
        <v>814.70808001690648</v>
      </c>
      <c r="N179" s="101">
        <f t="shared" si="43"/>
        <v>78.458153274548891</v>
      </c>
      <c r="O179" s="101">
        <f t="shared" si="44"/>
        <v>1.8727879860703907</v>
      </c>
      <c r="P179" s="101">
        <f t="shared" si="45"/>
        <v>1.8727879860703907</v>
      </c>
      <c r="Q179" s="101">
        <f t="shared" si="46"/>
        <v>0.11878091450291924</v>
      </c>
      <c r="R179" s="101">
        <f t="shared" si="47"/>
        <v>2.1819585616846753E-2</v>
      </c>
      <c r="S179" s="101">
        <f t="shared" si="49"/>
        <v>732.36375027009706</v>
      </c>
      <c r="T179" s="101">
        <f t="shared" si="50"/>
        <v>19.097304460503448</v>
      </c>
      <c r="U179" s="101">
        <f t="shared" si="51"/>
        <v>11.479213751086577</v>
      </c>
      <c r="V179" s="33">
        <f t="shared" si="52"/>
        <v>999.99999999999966</v>
      </c>
      <c r="W179" s="105">
        <f>IF(A179=1,((cPH1_+cPHr+(cNES*L179+(cNES+cOSEX)*G179+(cNES+cEREX)*H179+(cNES+cHOEX)*I179 + (cNES+cNES)*S179 +(cNES+ cOSEX)*N179 + (cNES+cEREX)*O179 + (cNES+cHOEX)*P179)))/(1+cDR)^A$5:A$65536,(cPHr+(cNES*L179+(cNES+cOSEX)*G179+(cNES+cEREX)*H179+(cNES+cHOEX)*I179 + (cNES+cNES)*S179 +(cNES+ cOSEX)*N179 + (cNES+cEREX)*O179 + (cNES+cHOEX)*P179))/(1+cDR)^A$5:A$65536)</f>
        <v>155879.88939953191</v>
      </c>
      <c r="X179" s="112">
        <f t="shared" si="53"/>
        <v>969.42348178840962</v>
      </c>
      <c r="Y179" s="32">
        <f>(uNES*L179+ uOCEX*G179+uEREX*'PH + UC'!H179+uHOEX*I179+uNES*S179+ uOCEX*N179+uEREX*O179+uHOEX*P179)/(1+oDR)^A$5:A$65536</f>
        <v>607.19147851250159</v>
      </c>
    </row>
    <row r="180" spans="1:25" x14ac:dyDescent="0.25">
      <c r="A180" s="4">
        <v>174</v>
      </c>
      <c r="C180" s="110">
        <f>IF(male=0,VLOOKUP(((A178:A1012/'Life tables'!$I$2)*2)+age,lifetable,13,1),IF(male=1,VLOOKUP(((A178:A1012/'Life tables'!$I$2)*2)+age,lifetable,10,1),"error"))</f>
        <v>1.3243321503420002E-4</v>
      </c>
      <c r="F180" s="101">
        <f t="shared" si="36"/>
        <v>154.86251642030939</v>
      </c>
      <c r="G180" s="101">
        <f t="shared" si="37"/>
        <v>15.556263883810029</v>
      </c>
      <c r="H180" s="101">
        <f t="shared" si="38"/>
        <v>0.35598598732268072</v>
      </c>
      <c r="I180" s="101">
        <f t="shared" si="39"/>
        <v>0.35598598732268072</v>
      </c>
      <c r="J180" s="101">
        <f t="shared" si="40"/>
        <v>2.2663395715498073E-2</v>
      </c>
      <c r="K180" s="101">
        <f t="shared" si="41"/>
        <v>2.7905428396566366E-2</v>
      </c>
      <c r="L180" s="101">
        <f t="shared" si="48"/>
        <v>138.54371173774194</v>
      </c>
      <c r="M180" s="101">
        <f t="shared" si="42"/>
        <v>814.56096536810026</v>
      </c>
      <c r="N180" s="101">
        <f t="shared" si="43"/>
        <v>78.443985815126211</v>
      </c>
      <c r="O180" s="101">
        <f t="shared" si="44"/>
        <v>1.8724498102825016</v>
      </c>
      <c r="P180" s="101">
        <f t="shared" si="45"/>
        <v>1.8724498102825016</v>
      </c>
      <c r="Q180" s="101">
        <f t="shared" si="46"/>
        <v>0.11875946582338531</v>
      </c>
      <c r="R180" s="101">
        <f t="shared" si="47"/>
        <v>2.1815645578992883E-2</v>
      </c>
      <c r="S180" s="101">
        <f t="shared" si="49"/>
        <v>732.23150482100664</v>
      </c>
      <c r="T180" s="101">
        <f t="shared" si="50"/>
        <v>19.238727322042333</v>
      </c>
      <c r="U180" s="101">
        <f t="shared" si="51"/>
        <v>11.528934825062137</v>
      </c>
      <c r="V180" s="33">
        <f t="shared" si="52"/>
        <v>999.99999999999966</v>
      </c>
      <c r="W180" s="105">
        <f>IF(A180=1,((cPH1_+cPHr+(cNES*L180+(cNES+cOSEX)*G180+(cNES+cEREX)*H180+(cNES+cHOEX)*I180 + (cNES+cNES)*S180 +(cNES+ cOSEX)*N180 + (cNES+cEREX)*O180 + (cNES+cHOEX)*P180)))/(1+cDR)^A$5:A$65536,(cPHr+(cNES*L180+(cNES+cOSEX)*G180+(cNES+cEREX)*H180+(cNES+cHOEX)*I180 + (cNES+cNES)*S180 +(cNES+ cOSEX)*N180 + (cNES+cEREX)*O180 + (cNES+cHOEX)*P180))/(1+cDR)^A$5:A$65536)</f>
        <v>155670.94553554038</v>
      </c>
      <c r="X180" s="112">
        <f t="shared" si="53"/>
        <v>969.23233785289517</v>
      </c>
      <c r="Y180" s="32">
        <f>(uNES*L180+ uOCEX*G180+uEREX*'PH + UC'!H180+uHOEX*I180+uNES*S180+ uOCEX*N180+uEREX*O180+uHOEX*P180)/(1+oDR)^A$5:A$65536</f>
        <v>606.89717535907641</v>
      </c>
    </row>
    <row r="181" spans="1:25" x14ac:dyDescent="0.25">
      <c r="A181" s="4">
        <v>175</v>
      </c>
      <c r="C181" s="110">
        <f>IF(male=0,VLOOKUP(((A179:A1013/'Life tables'!$I$2)*2)+age,lifetable,13,1),IF(male=1,VLOOKUP(((A179:A1013/'Life tables'!$I$2)*2)+age,lifetable,10,1),"error"))</f>
        <v>1.3243321503420002E-4</v>
      </c>
      <c r="F181" s="101">
        <f t="shared" si="36"/>
        <v>154.81906268589432</v>
      </c>
      <c r="G181" s="101">
        <f t="shared" si="37"/>
        <v>15.551898865244381</v>
      </c>
      <c r="H181" s="101">
        <f t="shared" si="38"/>
        <v>0.35588609923545228</v>
      </c>
      <c r="I181" s="101">
        <f t="shared" si="39"/>
        <v>0.35588609923545228</v>
      </c>
      <c r="J181" s="101">
        <f t="shared" si="40"/>
        <v>2.2657036467300835E-2</v>
      </c>
      <c r="K181" s="101">
        <f t="shared" si="41"/>
        <v>2.7897598257276935E-2</v>
      </c>
      <c r="L181" s="101">
        <f t="shared" si="48"/>
        <v>138.50483698745447</v>
      </c>
      <c r="M181" s="101">
        <f t="shared" si="42"/>
        <v>814.41327516700096</v>
      </c>
      <c r="N181" s="101">
        <f t="shared" si="43"/>
        <v>78.4297629287707</v>
      </c>
      <c r="O181" s="101">
        <f t="shared" si="44"/>
        <v>1.8721103114594713</v>
      </c>
      <c r="P181" s="101">
        <f t="shared" si="45"/>
        <v>1.8721103114594713</v>
      </c>
      <c r="Q181" s="101">
        <f t="shared" si="46"/>
        <v>0.11873793323081627</v>
      </c>
      <c r="R181" s="101">
        <f t="shared" si="47"/>
        <v>2.1811690126645352E-2</v>
      </c>
      <c r="S181" s="101">
        <f t="shared" si="49"/>
        <v>732.09874199195383</v>
      </c>
      <c r="T181" s="101">
        <f t="shared" si="50"/>
        <v>19.380122291740449</v>
      </c>
      <c r="U181" s="101">
        <f t="shared" si="51"/>
        <v>11.57864411344606</v>
      </c>
      <c r="V181" s="33">
        <f t="shared" si="52"/>
        <v>999.99999999999977</v>
      </c>
      <c r="W181" s="105">
        <f>IF(A181=1,((cPH1_+cPHr+(cNES*L181+(cNES+cOSEX)*G181+(cNES+cEREX)*H181+(cNES+cHOEX)*I181 + (cNES+cNES)*S181 +(cNES+ cOSEX)*N181 + (cNES+cEREX)*O181 + (cNES+cHOEX)*P181)))/(1+cDR)^A$5:A$65536,(cPHr+(cNES*L181+(cNES+cOSEX)*G181+(cNES+cEREX)*H181+(cNES+cHOEX)*I181 + (cNES+cNES)*S181 +(cNES+ cOSEX)*N181 + (cNES+cEREX)*O181 + (cNES+cHOEX)*P181))/(1+cDR)^A$5:A$65536)</f>
        <v>155462.2412953591</v>
      </c>
      <c r="X181" s="112">
        <f t="shared" si="53"/>
        <v>969.04123359481321</v>
      </c>
      <c r="Y181" s="32">
        <f>(uNES*L181+ uOCEX*G181+uEREX*'PH + UC'!H181+uHOEX*I181+uNES*S181+ uOCEX*N181+uEREX*O181+uHOEX*P181)/(1+oDR)^A$5:A$65536</f>
        <v>606.60301586625133</v>
      </c>
    </row>
    <row r="182" spans="1:25" x14ac:dyDescent="0.25">
      <c r="A182" s="4">
        <v>176</v>
      </c>
      <c r="C182" s="110">
        <f>IF(male=0,VLOOKUP(((A180:A1014/'Life tables'!$I$2)*2)+age,lifetable,13,1),IF(male=1,VLOOKUP(((A180:A1014/'Life tables'!$I$2)*2)+age,lifetable,10,1),"error"))</f>
        <v>1.3243321503420002E-4</v>
      </c>
      <c r="F182" s="101">
        <f t="shared" si="36"/>
        <v>154.77619696710192</v>
      </c>
      <c r="G182" s="101">
        <f t="shared" si="37"/>
        <v>15.547592914078677</v>
      </c>
      <c r="H182" s="101">
        <f t="shared" si="38"/>
        <v>0.35578756283310431</v>
      </c>
      <c r="I182" s="101">
        <f t="shared" si="39"/>
        <v>0.35578756283310431</v>
      </c>
      <c r="J182" s="101">
        <f t="shared" si="40"/>
        <v>2.2650763272404634E-2</v>
      </c>
      <c r="K182" s="101">
        <f t="shared" si="41"/>
        <v>2.7889874075376249E-2</v>
      </c>
      <c r="L182" s="101">
        <f t="shared" si="48"/>
        <v>138.46648829000927</v>
      </c>
      <c r="M182" s="101">
        <f t="shared" si="42"/>
        <v>814.2650366277112</v>
      </c>
      <c r="N182" s="101">
        <f t="shared" si="43"/>
        <v>78.415487236259395</v>
      </c>
      <c r="O182" s="101">
        <f t="shared" si="44"/>
        <v>1.8717695521589759</v>
      </c>
      <c r="P182" s="101">
        <f t="shared" si="45"/>
        <v>1.8717695521589759</v>
      </c>
      <c r="Q182" s="101">
        <f t="shared" si="46"/>
        <v>0.1187163206929106</v>
      </c>
      <c r="R182" s="101">
        <f t="shared" si="47"/>
        <v>2.180771998865472E-2</v>
      </c>
      <c r="S182" s="101">
        <f t="shared" si="49"/>
        <v>731.96548624645231</v>
      </c>
      <c r="T182" s="101">
        <f t="shared" si="50"/>
        <v>19.521489375705762</v>
      </c>
      <c r="U182" s="101">
        <f t="shared" si="51"/>
        <v>11.628341707510092</v>
      </c>
      <c r="V182" s="33">
        <f t="shared" si="52"/>
        <v>999.99999999999966</v>
      </c>
      <c r="W182" s="105">
        <f>IF(A182=1,((cPH1_+cPHr+(cNES*L182+(cNES+cOSEX)*G182+(cNES+cEREX)*H182+(cNES+cHOEX)*I182 + (cNES+cNES)*S182 +(cNES+ cOSEX)*N182 + (cNES+cEREX)*O182 + (cNES+cHOEX)*P182)))/(1+cDR)^A$5:A$65536,(cPHr+(cNES*L182+(cNES+cOSEX)*G182+(cNES+cEREX)*H182+(cNES+cHOEX)*I182 + (cNES+cNES)*S182 +(cNES+ cOSEX)*N182 + (cNES+cEREX)*O182 + (cNES+cHOEX)*P182))/(1+cDR)^A$5:A$65536)</f>
        <v>155253.77826986578</v>
      </c>
      <c r="X182" s="112">
        <f t="shared" si="53"/>
        <v>968.85016891678379</v>
      </c>
      <c r="Y182" s="32">
        <f>(uNES*L182+ uOCEX*G182+uEREX*'PH + UC'!H182+uHOEX*I182+uNES*S182+ uOCEX*N182+uEREX*O182+uHOEX*P182)/(1+oDR)^A$5:A$65536</f>
        <v>606.30899991820991</v>
      </c>
    </row>
    <row r="183" spans="1:25" x14ac:dyDescent="0.25">
      <c r="A183" s="4">
        <v>177</v>
      </c>
      <c r="C183" s="110">
        <f>IF(male=0,VLOOKUP(((A181:A1015/'Life tables'!$I$2)*2)+age,lifetable,13,1),IF(male=1,VLOOKUP(((A181:A1015/'Life tables'!$I$2)*2)+age,lifetable,10,1),"error"))</f>
        <v>1.3243321503420002E-4</v>
      </c>
      <c r="F183" s="101">
        <f t="shared" si="36"/>
        <v>154.73389317267151</v>
      </c>
      <c r="G183" s="101">
        <f t="shared" si="37"/>
        <v>15.543343409391179</v>
      </c>
      <c r="H183" s="101">
        <f t="shared" si="38"/>
        <v>0.35569031813906271</v>
      </c>
      <c r="I183" s="101">
        <f t="shared" si="39"/>
        <v>0.35569031813906271</v>
      </c>
      <c r="J183" s="101">
        <f t="shared" si="40"/>
        <v>2.2644572312477046E-2</v>
      </c>
      <c r="K183" s="101">
        <f t="shared" si="41"/>
        <v>2.7882251149353419E-2</v>
      </c>
      <c r="L183" s="101">
        <f t="shared" si="48"/>
        <v>138.42864230354039</v>
      </c>
      <c r="M183" s="101">
        <f t="shared" si="42"/>
        <v>814.11627574411227</v>
      </c>
      <c r="N183" s="101">
        <f t="shared" si="43"/>
        <v>78.401161240859395</v>
      </c>
      <c r="O183" s="101">
        <f t="shared" si="44"/>
        <v>1.8714275921337413</v>
      </c>
      <c r="P183" s="101">
        <f t="shared" si="45"/>
        <v>1.8714275921337413</v>
      </c>
      <c r="Q183" s="101">
        <f t="shared" si="46"/>
        <v>0.1186946319994638</v>
      </c>
      <c r="R183" s="101">
        <f t="shared" si="47"/>
        <v>2.1803735861191473E-2</v>
      </c>
      <c r="S183" s="101">
        <f t="shared" si="49"/>
        <v>731.83176095112469</v>
      </c>
      <c r="T183" s="101">
        <f t="shared" si="50"/>
        <v>19.662828580017703</v>
      </c>
      <c r="U183" s="101">
        <f t="shared" si="51"/>
        <v>11.678027694520637</v>
      </c>
      <c r="V183" s="33">
        <f t="shared" si="52"/>
        <v>999.99999999999966</v>
      </c>
      <c r="W183" s="105">
        <f>IF(A183=1,((cPH1_+cPHr+(cNES*L183+(cNES+cOSEX)*G183+(cNES+cEREX)*H183+(cNES+cHOEX)*I183 + (cNES+cNES)*S183 +(cNES+ cOSEX)*N183 + (cNES+cEREX)*O183 + (cNES+cHOEX)*P183)))/(1+cDR)^A$5:A$65536,(cPHr+(cNES*L183+(cNES+cOSEX)*G183+(cNES+cEREX)*H183+(cNES+cHOEX)*I183 + (cNES+cNES)*S183 +(cNES+ cOSEX)*N183 + (cNES+cEREX)*O183 + (cNES+cHOEX)*P183))/(1+cDR)^A$5:A$65536)</f>
        <v>155045.55795991942</v>
      </c>
      <c r="X183" s="112">
        <f t="shared" si="53"/>
        <v>968.65914372546126</v>
      </c>
      <c r="Y183" s="32">
        <f>(uNES*L183+ uOCEX*G183+uEREX*'PH + UC'!H183+uHOEX*I183+uNES*S183+ uOCEX*N183+uEREX*O183+uHOEX*P183)/(1+oDR)^A$5:A$65536</f>
        <v>606.01512740127646</v>
      </c>
    </row>
    <row r="184" spans="1:25" x14ac:dyDescent="0.25">
      <c r="A184" s="4">
        <v>178</v>
      </c>
      <c r="C184" s="110">
        <f>IF(male=0,VLOOKUP(((A182:A1016/'Life tables'!$I$2)*2)+age,lifetable,13,1),IF(male=1,VLOOKUP(((A182:A1016/'Life tables'!$I$2)*2)+age,lifetable,10,1),"error"))</f>
        <v>1.3243321503420002E-4</v>
      </c>
      <c r="F184" s="101">
        <f t="shared" si="36"/>
        <v>154.6921263808984</v>
      </c>
      <c r="G184" s="101">
        <f t="shared" si="37"/>
        <v>15.539147847744491</v>
      </c>
      <c r="H184" s="101">
        <f t="shared" si="38"/>
        <v>0.35559430786523832</v>
      </c>
      <c r="I184" s="101">
        <f t="shared" si="39"/>
        <v>0.35559430786523832</v>
      </c>
      <c r="J184" s="101">
        <f t="shared" si="40"/>
        <v>2.2638459940344642E-2</v>
      </c>
      <c r="K184" s="101">
        <f t="shared" si="41"/>
        <v>2.7874724988445537E-2</v>
      </c>
      <c r="L184" s="101">
        <f t="shared" si="48"/>
        <v>138.39127673249465</v>
      </c>
      <c r="M184" s="101">
        <f t="shared" si="42"/>
        <v>813.96701734456292</v>
      </c>
      <c r="N184" s="101">
        <f t="shared" si="43"/>
        <v>78.38678733359545</v>
      </c>
      <c r="O184" s="101">
        <f t="shared" si="44"/>
        <v>1.8710844884572806</v>
      </c>
      <c r="P184" s="101">
        <f t="shared" si="45"/>
        <v>1.8710844884572806</v>
      </c>
      <c r="Q184" s="101">
        <f t="shared" si="46"/>
        <v>0.11867287077034312</v>
      </c>
      <c r="R184" s="101">
        <f t="shared" si="47"/>
        <v>2.1799738409210963E-2</v>
      </c>
      <c r="S184" s="101">
        <f t="shared" si="49"/>
        <v>731.6975884248734</v>
      </c>
      <c r="T184" s="101">
        <f t="shared" si="50"/>
        <v>19.804139910728392</v>
      </c>
      <c r="U184" s="101">
        <f t="shared" si="51"/>
        <v>11.727702157918293</v>
      </c>
      <c r="V184" s="33">
        <f t="shared" si="52"/>
        <v>999.99999999999977</v>
      </c>
      <c r="W184" s="105">
        <f>IF(A184=1,((cPH1_+cPHr+(cNES*L184+(cNES+cOSEX)*G184+(cNES+cEREX)*H184+(cNES+cHOEX)*I184 + (cNES+cNES)*S184 +(cNES+ cOSEX)*N184 + (cNES+cEREX)*O184 + (cNES+cHOEX)*P184)))/(1+cDR)^A$5:A$65536,(cPHr+(cNES*L184+(cNES+cOSEX)*G184+(cNES+cEREX)*H184+(cNES+cHOEX)*I184 + (cNES+cNES)*S184 +(cNES+ cOSEX)*N184 + (cNES+cEREX)*O184 + (cNES+cHOEX)*P184))/(1+cDR)^A$5:A$65536)</f>
        <v>154837.58178051747</v>
      </c>
      <c r="X184" s="112">
        <f t="shared" si="53"/>
        <v>968.46815793135306</v>
      </c>
      <c r="Y184" s="32">
        <f>(uNES*L184+ uOCEX*G184+uEREX*'PH + UC'!H184+uHOEX*I184+uNES*S184+ uOCEX*N184+uEREX*O184+uHOEX*P184)/(1+oDR)^A$5:A$65536</f>
        <v>605.72139820381869</v>
      </c>
    </row>
    <row r="185" spans="1:25" x14ac:dyDescent="0.25">
      <c r="A185" s="4">
        <v>179</v>
      </c>
      <c r="C185" s="110">
        <f>IF(male=0,VLOOKUP(((A183:A1017/'Life tables'!$I$2)*2)+age,lifetable,13,1),IF(male=1,VLOOKUP(((A183:A1017/'Life tables'!$I$2)*2)+age,lifetable,10,1),"error"))</f>
        <v>1.3243321503420002E-4</v>
      </c>
      <c r="F185" s="101">
        <f t="shared" si="36"/>
        <v>154.65087278720557</v>
      </c>
      <c r="G185" s="101">
        <f t="shared" si="37"/>
        <v>15.535003837919032</v>
      </c>
      <c r="H185" s="101">
        <f t="shared" si="38"/>
        <v>0.35549947729150871</v>
      </c>
      <c r="I185" s="101">
        <f t="shared" si="39"/>
        <v>0.35549947729150871</v>
      </c>
      <c r="J185" s="101">
        <f t="shared" si="40"/>
        <v>2.2632422672320348E-2</v>
      </c>
      <c r="K185" s="101">
        <f t="shared" si="41"/>
        <v>2.786729130319034E-2</v>
      </c>
      <c r="L185" s="101">
        <f t="shared" si="48"/>
        <v>138.35437028072801</v>
      </c>
      <c r="M185" s="101">
        <f t="shared" si="42"/>
        <v>813.81728514414749</v>
      </c>
      <c r="N185" s="101">
        <f t="shared" si="43"/>
        <v>78.372367798281545</v>
      </c>
      <c r="O185" s="101">
        <f t="shared" si="44"/>
        <v>1.8707402956439969</v>
      </c>
      <c r="P185" s="101">
        <f t="shared" si="45"/>
        <v>1.8707402956439969</v>
      </c>
      <c r="Q185" s="101">
        <f t="shared" si="46"/>
        <v>0.11865104046310532</v>
      </c>
      <c r="R185" s="101">
        <f t="shared" si="47"/>
        <v>2.179572826785273E-2</v>
      </c>
      <c r="S185" s="101">
        <f t="shared" si="49"/>
        <v>731.56298998584703</v>
      </c>
      <c r="T185" s="101">
        <f t="shared" si="50"/>
        <v>19.945423373863818</v>
      </c>
      <c r="U185" s="101">
        <f t="shared" si="51"/>
        <v>11.777365177489335</v>
      </c>
      <c r="V185" s="33">
        <f t="shared" si="52"/>
        <v>999.99999999999977</v>
      </c>
      <c r="W185" s="105">
        <f>IF(A185=1,((cPH1_+cPHr+(cNES*L185+(cNES+cOSEX)*G185+(cNES+cEREX)*H185+(cNES+cHOEX)*I185 + (cNES+cNES)*S185 +(cNES+ cOSEX)*N185 + (cNES+cEREX)*O185 + (cNES+cHOEX)*P185)))/(1+cDR)^A$5:A$65536,(cPHr+(cNES*L185+(cNES+cOSEX)*G185+(cNES+cEREX)*H185+(cNES+cHOEX)*I185 + (cNES+cNES)*S185 +(cNES+ cOSEX)*N185 + (cNES+cEREX)*O185 + (cNES+cHOEX)*P185))/(1+cDR)^A$5:A$65536)</f>
        <v>154629.85106476172</v>
      </c>
      <c r="X185" s="112">
        <f t="shared" si="53"/>
        <v>968.27721144864665</v>
      </c>
      <c r="Y185" s="32">
        <f>(uNES*L185+ uOCEX*G185+uEREX*'PH + UC'!H185+uHOEX*I185+uNES*S185+ uOCEX*N185+uEREX*O185+uHOEX*P185)/(1+oDR)^A$5:A$65536</f>
        <v>605.42781221615837</v>
      </c>
    </row>
    <row r="186" spans="1:25" x14ac:dyDescent="0.25">
      <c r="A186" s="4">
        <v>180</v>
      </c>
      <c r="C186" s="110">
        <f>IF(male=0,VLOOKUP(((A184:A1018/'Life tables'!$I$2)*2)+age,lifetable,13,1),IF(male=1,VLOOKUP(((A184:A1018/'Life tables'!$I$2)*2)+age,lifetable,10,1),"error"))</f>
        <v>1.3243321503420002E-4</v>
      </c>
      <c r="F186" s="101">
        <f t="shared" si="36"/>
        <v>154.6101096540655</v>
      </c>
      <c r="G186" s="101">
        <f t="shared" si="37"/>
        <v>15.530909095882574</v>
      </c>
      <c r="H186" s="101">
        <f t="shared" si="38"/>
        <v>0.35540577415060243</v>
      </c>
      <c r="I186" s="101">
        <f t="shared" si="39"/>
        <v>0.35540577415060243</v>
      </c>
      <c r="J186" s="101">
        <f t="shared" si="40"/>
        <v>2.26264571808747E-2</v>
      </c>
      <c r="K186" s="101">
        <f t="shared" si="41"/>
        <v>2.7859945996402395E-2</v>
      </c>
      <c r="L186" s="101">
        <f t="shared" si="48"/>
        <v>138.31790260670445</v>
      </c>
      <c r="M186" s="101">
        <f t="shared" si="42"/>
        <v>813.66710179458096</v>
      </c>
      <c r="N186" s="101">
        <f t="shared" si="43"/>
        <v>78.357904816326908</v>
      </c>
      <c r="O186" s="101">
        <f t="shared" si="44"/>
        <v>1.8703950657639028</v>
      </c>
      <c r="P186" s="101">
        <f t="shared" si="45"/>
        <v>1.8703950657639028</v>
      </c>
      <c r="Q186" s="101">
        <f t="shared" si="46"/>
        <v>0.1186291443802725</v>
      </c>
      <c r="R186" s="101">
        <f t="shared" si="47"/>
        <v>2.1791706043777056E-2</v>
      </c>
      <c r="S186" s="101">
        <f t="shared" si="49"/>
        <v>731.42798599630214</v>
      </c>
      <c r="T186" s="101">
        <f t="shared" si="50"/>
        <v>20.086678975424967</v>
      </c>
      <c r="U186" s="101">
        <f t="shared" si="51"/>
        <v>11.827016829529514</v>
      </c>
      <c r="V186" s="33">
        <f t="shared" si="52"/>
        <v>999.99999999999966</v>
      </c>
      <c r="W186" s="105">
        <f>IF(A186=1,((cPH1_+cPHr+(cNES*L186+(cNES+cOSEX)*G186+(cNES+cEREX)*H186+(cNES+cHOEX)*I186 + (cNES+cNES)*S186 +(cNES+ cOSEX)*N186 + (cNES+cEREX)*O186 + (cNES+cHOEX)*P186)))/(1+cDR)^A$5:A$65536,(cPHr+(cNES*L186+(cNES+cOSEX)*G186+(cNES+cEREX)*H186+(cNES+cHOEX)*I186 + (cNES+cNES)*S186 +(cNES+ cOSEX)*N186 + (cNES+cEREX)*O186 + (cNES+cHOEX)*P186))/(1+cDR)^A$5:A$65536)</f>
        <v>154422.36706764199</v>
      </c>
      <c r="X186" s="112">
        <f t="shared" si="53"/>
        <v>968.08630419504516</v>
      </c>
      <c r="Y186" s="32">
        <f>(uNES*L186+ uOCEX*G186+uEREX*'PH + UC'!H186+uHOEX*I186+uNES*S186+ uOCEX*N186+uEREX*O186+uHOEX*P186)/(1+oDR)^A$5:A$65536</f>
        <v>605.13436933048331</v>
      </c>
    </row>
    <row r="187" spans="1:25" x14ac:dyDescent="0.25">
      <c r="A187" s="4">
        <v>181</v>
      </c>
      <c r="C187" s="110">
        <f>IF(male=0,VLOOKUP(((A185:A1019/'Life tables'!$I$2)*2)+age,lifetable,13,1),IF(male=1,VLOOKUP(((A185:A1019/'Life tables'!$I$2)*2)+age,lifetable,10,1),"error"))</f>
        <v>1.3243321503420002E-4</v>
      </c>
      <c r="F187" s="101">
        <f t="shared" si="36"/>
        <v>154.56981526316693</v>
      </c>
      <c r="G187" s="101">
        <f t="shared" si="37"/>
        <v>15.526861439985298</v>
      </c>
      <c r="H187" s="101">
        <f t="shared" si="38"/>
        <v>0.35531314851814361</v>
      </c>
      <c r="I187" s="101">
        <f t="shared" si="39"/>
        <v>0.35531314851814361</v>
      </c>
      <c r="J187" s="101">
        <f t="shared" si="40"/>
        <v>2.2620560287635719E-2</v>
      </c>
      <c r="K187" s="101">
        <f t="shared" si="41"/>
        <v>2.7852685154553802E-2</v>
      </c>
      <c r="L187" s="101">
        <f t="shared" si="48"/>
        <v>138.28185428070316</v>
      </c>
      <c r="M187" s="101">
        <f t="shared" si="42"/>
        <v>813.51648893187814</v>
      </c>
      <c r="N187" s="101">
        <f t="shared" si="43"/>
        <v>78.34340047132666</v>
      </c>
      <c r="O187" s="101">
        <f t="shared" si="44"/>
        <v>1.8700488485521971</v>
      </c>
      <c r="P187" s="101">
        <f t="shared" si="45"/>
        <v>1.8700488485521971</v>
      </c>
      <c r="Q187" s="101">
        <f t="shared" si="46"/>
        <v>0.11860718567628201</v>
      </c>
      <c r="R187" s="101">
        <f t="shared" si="47"/>
        <v>2.1787672316441645E-2</v>
      </c>
      <c r="S187" s="101">
        <f t="shared" si="49"/>
        <v>731.29259590545439</v>
      </c>
      <c r="T187" s="101">
        <f t="shared" si="50"/>
        <v>20.227906721388884</v>
      </c>
      <c r="U187" s="101">
        <f t="shared" si="51"/>
        <v>11.876657187000509</v>
      </c>
      <c r="V187" s="33">
        <f t="shared" si="52"/>
        <v>999.99999999999966</v>
      </c>
      <c r="W187" s="105">
        <f>IF(A187=1,((cPH1_+cPHr+(cNES*L187+(cNES+cOSEX)*G187+(cNES+cEREX)*H187+(cNES+cHOEX)*I187 + (cNES+cNES)*S187 +(cNES+ cOSEX)*N187 + (cNES+cEREX)*O187 + (cNES+cHOEX)*P187)))/(1+cDR)^A$5:A$65536,(cPHr+(cNES*L187+(cNES+cOSEX)*G187+(cNES+cEREX)*H187+(cNES+cHOEX)*I187 + (cNES+cNES)*S187 +(cNES+ cOSEX)*N187 + (cNES+cEREX)*O187 + (cNES+cHOEX)*P187))/(1+cDR)^A$5:A$65536)</f>
        <v>154215.13096964662</v>
      </c>
      <c r="X187" s="112">
        <f t="shared" si="53"/>
        <v>967.89543609161024</v>
      </c>
      <c r="Y187" s="32">
        <f>(uNES*L187+ uOCEX*G187+uEREX*'PH + UC'!H187+uHOEX*I187+uNES*S187+ uOCEX*N187+uEREX*O187+uHOEX*P187)/(1+oDR)^A$5:A$65536</f>
        <v>604.84106944076723</v>
      </c>
    </row>
    <row r="188" spans="1:25" x14ac:dyDescent="0.25">
      <c r="A188" s="4">
        <v>182</v>
      </c>
      <c r="C188" s="110">
        <f>IF(male=0,VLOOKUP(((A186:A1020/'Life tables'!$I$2)*2)+age,lifetable,13,1),IF(male=1,VLOOKUP(((A186:A1020/'Life tables'!$I$2)*2)+age,lifetable,10,1),"error"))</f>
        <v>1.3243321503420002E-4</v>
      </c>
      <c r="F188" s="101">
        <f t="shared" si="36"/>
        <v>154.52996886972582</v>
      </c>
      <c r="G188" s="101">
        <f t="shared" si="37"/>
        <v>15.522858786370232</v>
      </c>
      <c r="H188" s="101">
        <f t="shared" si="38"/>
        <v>0.35522155270762557</v>
      </c>
      <c r="I188" s="101">
        <f t="shared" si="39"/>
        <v>0.35522155270762557</v>
      </c>
      <c r="J188" s="101">
        <f t="shared" si="40"/>
        <v>2.2614728956702548E-2</v>
      </c>
      <c r="K188" s="101">
        <f t="shared" si="41"/>
        <v>2.7845505039541245E-2</v>
      </c>
      <c r="L188" s="101">
        <f t="shared" si="48"/>
        <v>138.2462067439441</v>
      </c>
      <c r="M188" s="101">
        <f t="shared" si="42"/>
        <v>813.36546722188427</v>
      </c>
      <c r="N188" s="101">
        <f t="shared" si="43"/>
        <v>78.328856753446459</v>
      </c>
      <c r="O188" s="101">
        <f t="shared" si="44"/>
        <v>1.8697016915139284</v>
      </c>
      <c r="P188" s="101">
        <f t="shared" si="45"/>
        <v>1.8697016915139284</v>
      </c>
      <c r="Q188" s="101">
        <f t="shared" si="46"/>
        <v>0.11858516736412475</v>
      </c>
      <c r="R188" s="101">
        <f t="shared" si="47"/>
        <v>2.1783627639321044E-2</v>
      </c>
      <c r="S188" s="101">
        <f t="shared" si="49"/>
        <v>731.15683829040654</v>
      </c>
      <c r="T188" s="101">
        <f t="shared" si="50"/>
        <v>20.369106617709711</v>
      </c>
      <c r="U188" s="101">
        <f t="shared" si="51"/>
        <v>11.926286319679372</v>
      </c>
      <c r="V188" s="33">
        <f t="shared" si="52"/>
        <v>999.99999999999943</v>
      </c>
      <c r="W188" s="105">
        <f>IF(A188=1,((cPH1_+cPHr+(cNES*L188+(cNES+cOSEX)*G188+(cNES+cEREX)*H188+(cNES+cHOEX)*I188 + (cNES+cNES)*S188 +(cNES+ cOSEX)*N188 + (cNES+cEREX)*O188 + (cNES+cHOEX)*P188)))/(1+cDR)^A$5:A$65536,(cPHr+(cNES*L188+(cNES+cOSEX)*G188+(cNES+cEREX)*H188+(cNES+cHOEX)*I188 + (cNES+cNES)*S188 +(cNES+ cOSEX)*N188 + (cNES+cEREX)*O188 + (cNES+cHOEX)*P188))/(1+cDR)^A$5:A$65536)</f>
        <v>154008.14388020631</v>
      </c>
      <c r="X188" s="112">
        <f t="shared" si="53"/>
        <v>967.70460706261042</v>
      </c>
      <c r="Y188" s="32">
        <f>(uNES*L188+ uOCEX*G188+uEREX*'PH + UC'!H188+uHOEX*I188+uNES*S188+ uOCEX*N188+uEREX*O188+uHOEX*P188)/(1+oDR)^A$5:A$65536</f>
        <v>604.54791244268847</v>
      </c>
    </row>
    <row r="189" spans="1:25" x14ac:dyDescent="0.25">
      <c r="A189" s="4">
        <v>183</v>
      </c>
      <c r="C189" s="110">
        <f>IF(male=0,VLOOKUP(((A187:A1021/'Life tables'!$I$2)*2)+age,lifetable,13,1),IF(male=1,VLOOKUP(((A187:A1021/'Life tables'!$I$2)*2)+age,lifetable,10,1),"error"))</f>
        <v>1.4551982218569126E-4</v>
      </c>
      <c r="F189" s="101">
        <f t="shared" si="36"/>
        <v>154.49055065884437</v>
      </c>
      <c r="G189" s="101">
        <f t="shared" si="37"/>
        <v>15.518899144589421</v>
      </c>
      <c r="H189" s="101">
        <f t="shared" si="38"/>
        <v>0.3551309411700922</v>
      </c>
      <c r="I189" s="101">
        <f t="shared" si="39"/>
        <v>0.3551309411700922</v>
      </c>
      <c r="J189" s="101">
        <f t="shared" si="40"/>
        <v>2.4843102088106309E-2</v>
      </c>
      <c r="K189" s="101">
        <f t="shared" si="41"/>
        <v>2.7838402080822118E-2</v>
      </c>
      <c r="L189" s="101">
        <f t="shared" si="48"/>
        <v>138.20870812774584</v>
      </c>
      <c r="M189" s="101">
        <f t="shared" si="42"/>
        <v>813.21405640376588</v>
      </c>
      <c r="N189" s="101">
        <f t="shared" si="43"/>
        <v>78.314275563610821</v>
      </c>
      <c r="O189" s="101">
        <f t="shared" si="44"/>
        <v>1.8693536400239672</v>
      </c>
      <c r="P189" s="101">
        <f t="shared" si="45"/>
        <v>1.8693536400239672</v>
      </c>
      <c r="Q189" s="101">
        <f t="shared" si="46"/>
        <v>0.13027910035999551</v>
      </c>
      <c r="R189" s="101">
        <f t="shared" si="47"/>
        <v>2.1779572541071393E-2</v>
      </c>
      <c r="S189" s="101">
        <f t="shared" si="49"/>
        <v>731.00901488720604</v>
      </c>
      <c r="T189" s="101">
        <f t="shared" si="50"/>
        <v>20.524228820157813</v>
      </c>
      <c r="U189" s="101">
        <f t="shared" si="51"/>
        <v>11.975904294301266</v>
      </c>
      <c r="V189" s="33">
        <f t="shared" si="52"/>
        <v>999.99999999999932</v>
      </c>
      <c r="W189" s="105">
        <f>IF(A189=1,((cPH1_+cPHr+(cNES*L189+(cNES+cOSEX)*G189+(cNES+cEREX)*H189+(cNES+cHOEX)*I189 + (cNES+cNES)*S189 +(cNES+ cOSEX)*N189 + (cNES+cEREX)*O189 + (cNES+cHOEX)*P189)))/(1+cDR)^A$5:A$65536,(cPHr+(cNES*L189+(cNES+cOSEX)*G189+(cNES+cEREX)*H189+(cNES+cHOEX)*I189 + (cNES+cNES)*S189 +(cNES+ cOSEX)*N189 + (cNES+cEREX)*O189 + (cNES+cHOEX)*P189))/(1+cDR)^A$5:A$65536)</f>
        <v>153799.48457420422</v>
      </c>
      <c r="X189" s="112">
        <f t="shared" si="53"/>
        <v>967.49986688554031</v>
      </c>
      <c r="Y189" s="32">
        <f>(uNES*L189+ uOCEX*G189+uEREX*'PH + UC'!H189+uHOEX*I189+uNES*S189+ uOCEX*N189+uEREX*O189+uHOEX*P189)/(1+oDR)^A$5:A$65536</f>
        <v>604.24604411425184</v>
      </c>
    </row>
    <row r="190" spans="1:25" x14ac:dyDescent="0.25">
      <c r="A190" s="4">
        <v>184</v>
      </c>
      <c r="C190" s="110">
        <f>IF(male=0,VLOOKUP(((A188:A1022/'Life tables'!$I$2)*2)+age,lifetable,13,1),IF(male=1,VLOOKUP(((A188:A1022/'Life tables'!$I$2)*2)+age,lifetable,10,1),"error"))</f>
        <v>1.4551982218569126E-4</v>
      </c>
      <c r="F190" s="101">
        <f t="shared" si="36"/>
        <v>154.44930772396887</v>
      </c>
      <c r="G190" s="101">
        <f t="shared" si="37"/>
        <v>15.514756205464471</v>
      </c>
      <c r="H190" s="101">
        <f t="shared" si="38"/>
        <v>0.35503613509802834</v>
      </c>
      <c r="I190" s="101">
        <f t="shared" si="39"/>
        <v>0.35503613509802834</v>
      </c>
      <c r="J190" s="101">
        <f t="shared" si="40"/>
        <v>2.4836469951466524E-2</v>
      </c>
      <c r="K190" s="101">
        <f t="shared" si="41"/>
        <v>2.7830970316230944E-2</v>
      </c>
      <c r="L190" s="101">
        <f t="shared" si="48"/>
        <v>138.17181180804064</v>
      </c>
      <c r="M190" s="101">
        <f t="shared" si="42"/>
        <v>813.05055916157153</v>
      </c>
      <c r="N190" s="101">
        <f t="shared" si="43"/>
        <v>78.298530424949888</v>
      </c>
      <c r="O190" s="101">
        <f t="shared" si="44"/>
        <v>1.8689778051961958</v>
      </c>
      <c r="P190" s="101">
        <f t="shared" si="45"/>
        <v>1.8689778051961958</v>
      </c>
      <c r="Q190" s="101">
        <f t="shared" si="46"/>
        <v>0.13025290765777067</v>
      </c>
      <c r="R190" s="101">
        <f t="shared" si="47"/>
        <v>2.1775193743117038E-2</v>
      </c>
      <c r="S190" s="101">
        <f t="shared" si="49"/>
        <v>730.86204502482838</v>
      </c>
      <c r="T190" s="101">
        <f t="shared" si="50"/>
        <v>20.679318197767049</v>
      </c>
      <c r="U190" s="101">
        <f t="shared" si="51"/>
        <v>12.025510458360614</v>
      </c>
      <c r="V190" s="33">
        <f t="shared" si="52"/>
        <v>999.99999999999955</v>
      </c>
      <c r="W190" s="105">
        <f>IF(A190=1,((cPH1_+cPHr+(cNES*L190+(cNES+cOSEX)*G190+(cNES+cEREX)*H190+(cNES+cHOEX)*I190 + (cNES+cNES)*S190 +(cNES+ cOSEX)*N190 + (cNES+cEREX)*O190 + (cNES+cHOEX)*P190)))/(1+cDR)^A$5:A$65536,(cPHr+(cNES*L190+(cNES+cOSEX)*G190+(cNES+cEREX)*H190+(cNES+cHOEX)*I190 + (cNES+cNES)*S190 +(cNES+ cOSEX)*N190 + (cNES+cEREX)*O190 + (cNES+cHOEX)*P190))/(1+cDR)^A$5:A$65536)</f>
        <v>153590.78731255539</v>
      </c>
      <c r="X190" s="112">
        <f t="shared" si="53"/>
        <v>967.29517134387186</v>
      </c>
      <c r="Y190" s="32">
        <f>(uNES*L190+ uOCEX*G190+uEREX*'PH + UC'!H190+uHOEX*I190+uNES*S190+ uOCEX*N190+uEREX*O190+uHOEX*P190)/(1+oDR)^A$5:A$65536</f>
        <v>603.94446875682183</v>
      </c>
    </row>
    <row r="191" spans="1:25" x14ac:dyDescent="0.25">
      <c r="A191" s="4">
        <v>185</v>
      </c>
      <c r="C191" s="110">
        <f>IF(male=0,VLOOKUP(((A189:A1023/'Life tables'!$I$2)*2)+age,lifetable,13,1),IF(male=1,VLOOKUP(((A189:A1023/'Life tables'!$I$2)*2)+age,lifetable,10,1),"error"))</f>
        <v>1.4551982218569126E-4</v>
      </c>
      <c r="F191" s="101">
        <f t="shared" si="36"/>
        <v>154.4084574288498</v>
      </c>
      <c r="G191" s="101">
        <f t="shared" si="37"/>
        <v>15.510652707824802</v>
      </c>
      <c r="H191" s="101">
        <f t="shared" si="38"/>
        <v>0.35494223159589927</v>
      </c>
      <c r="I191" s="101">
        <f t="shared" si="39"/>
        <v>0.35494223159589927</v>
      </c>
      <c r="J191" s="101">
        <f t="shared" si="40"/>
        <v>2.4829900953895836E-2</v>
      </c>
      <c r="K191" s="101">
        <f t="shared" si="41"/>
        <v>2.7823609303303E-2</v>
      </c>
      <c r="L191" s="101">
        <f t="shared" si="48"/>
        <v>138.135266747576</v>
      </c>
      <c r="M191" s="101">
        <f t="shared" si="42"/>
        <v>812.88671391502203</v>
      </c>
      <c r="N191" s="101">
        <f t="shared" si="43"/>
        <v>78.282751772715557</v>
      </c>
      <c r="O191" s="101">
        <f t="shared" si="44"/>
        <v>1.8686011704029011</v>
      </c>
      <c r="P191" s="101">
        <f t="shared" si="45"/>
        <v>1.8686011704029011</v>
      </c>
      <c r="Q191" s="101">
        <f t="shared" si="46"/>
        <v>0.1302266592043031</v>
      </c>
      <c r="R191" s="101">
        <f t="shared" si="47"/>
        <v>2.1770805624878504E-2</v>
      </c>
      <c r="S191" s="101">
        <f t="shared" si="49"/>
        <v>730.71476233667147</v>
      </c>
      <c r="T191" s="101">
        <f t="shared" si="50"/>
        <v>20.834374757925247</v>
      </c>
      <c r="U191" s="101">
        <f t="shared" si="51"/>
        <v>12.075104873288796</v>
      </c>
      <c r="V191" s="33">
        <f t="shared" si="52"/>
        <v>999.99999999999943</v>
      </c>
      <c r="W191" s="105">
        <f>IF(A191=1,((cPH1_+cPHr+(cNES*L191+(cNES+cOSEX)*G191+(cNES+cEREX)*H191+(cNES+cHOEX)*I191 + (cNES+cNES)*S191 +(cNES+ cOSEX)*N191 + (cNES+cEREX)*O191 + (cNES+cHOEX)*P191)))/(1+cDR)^A$5:A$65536,(cPHr+(cNES*L191+(cNES+cOSEX)*G191+(cNES+cEREX)*H191+(cNES+cHOEX)*I191 + (cNES+cNES)*S191 +(cNES+ cOSEX)*N191 + (cNES+cEREX)*O191 + (cNES+cHOEX)*P191))/(1+cDR)^A$5:A$65536)</f>
        <v>153382.34794685466</v>
      </c>
      <c r="X191" s="112">
        <f t="shared" si="53"/>
        <v>967.09052036878552</v>
      </c>
      <c r="Y191" s="32">
        <f>(uNES*L191+ uOCEX*G191+uEREX*'PH + UC'!H191+uHOEX*I191+uNES*S191+ uOCEX*N191+uEREX*O191+uHOEX*P191)/(1+oDR)^A$5:A$65536</f>
        <v>603.64304455310491</v>
      </c>
    </row>
    <row r="192" spans="1:25" x14ac:dyDescent="0.25">
      <c r="A192" s="4">
        <v>186</v>
      </c>
      <c r="C192" s="110">
        <f>IF(male=0,VLOOKUP(((A190:A1024/'Life tables'!$I$2)*2)+age,lifetable,13,1),IF(male=1,VLOOKUP(((A190:A1024/'Life tables'!$I$2)*2)+age,lifetable,10,1),"error"))</f>
        <v>1.4551982218569126E-4</v>
      </c>
      <c r="F192" s="101">
        <f t="shared" si="36"/>
        <v>154.36798247512786</v>
      </c>
      <c r="G192" s="101">
        <f t="shared" si="37"/>
        <v>15.506586914014022</v>
      </c>
      <c r="H192" s="101">
        <f t="shared" si="38"/>
        <v>0.35484919089957329</v>
      </c>
      <c r="I192" s="101">
        <f t="shared" si="39"/>
        <v>0.35484919089957329</v>
      </c>
      <c r="J192" s="101">
        <f t="shared" si="40"/>
        <v>2.4823392313703681E-2</v>
      </c>
      <c r="K192" s="101">
        <f t="shared" si="41"/>
        <v>2.7816315924962975E-2</v>
      </c>
      <c r="L192" s="101">
        <f t="shared" si="48"/>
        <v>138.09905747107604</v>
      </c>
      <c r="M192" s="101">
        <f t="shared" si="42"/>
        <v>812.72253789365766</v>
      </c>
      <c r="N192" s="101">
        <f t="shared" si="43"/>
        <v>78.266941266149885</v>
      </c>
      <c r="O192" s="101">
        <f t="shared" si="44"/>
        <v>1.8682237752500193</v>
      </c>
      <c r="P192" s="101">
        <f t="shared" si="45"/>
        <v>1.8682237752500193</v>
      </c>
      <c r="Q192" s="101">
        <f t="shared" si="46"/>
        <v>0.13020035775981179</v>
      </c>
      <c r="R192" s="101">
        <f t="shared" si="47"/>
        <v>2.1766408647798913E-2</v>
      </c>
      <c r="S192" s="101">
        <f t="shared" si="49"/>
        <v>730.56718231060017</v>
      </c>
      <c r="T192" s="101">
        <f t="shared" si="50"/>
        <v>20.989398507998761</v>
      </c>
      <c r="U192" s="101">
        <f t="shared" si="51"/>
        <v>12.124687597861557</v>
      </c>
      <c r="V192" s="33">
        <f t="shared" si="52"/>
        <v>999.99999999999966</v>
      </c>
      <c r="W192" s="105">
        <f>IF(A192=1,((cPH1_+cPHr+(cNES*L192+(cNES+cOSEX)*G192+(cNES+cEREX)*H192+(cNES+cHOEX)*I192 + (cNES+cNES)*S192 +(cNES+ cOSEX)*N192 + (cNES+cEREX)*O192 + (cNES+cHOEX)*P192)))/(1+cDR)^A$5:A$65536,(cPHr+(cNES*L192+(cNES+cOSEX)*G192+(cNES+cEREX)*H192+(cNES+cHOEX)*I192 + (cNES+cNES)*S192 +(cNES+ cOSEX)*N192 + (cNES+cEREX)*O192 + (cNES+cHOEX)*P192))/(1+cDR)^A$5:A$65536)</f>
        <v>153174.16732361965</v>
      </c>
      <c r="X192" s="112">
        <f t="shared" si="53"/>
        <v>966.88591389413932</v>
      </c>
      <c r="Y192" s="32">
        <f>(uNES*L192+ uOCEX*G192+uEREX*'PH + UC'!H192+uHOEX*I192+uNES*S192+ uOCEX*N192+uEREX*O192+uHOEX*P192)/(1+oDR)^A$5:A$65536</f>
        <v>603.34177139849635</v>
      </c>
    </row>
    <row r="193" spans="1:25" x14ac:dyDescent="0.25">
      <c r="A193" s="4">
        <v>187</v>
      </c>
      <c r="C193" s="110">
        <f>IF(male=0,VLOOKUP(((A191:A1025/'Life tables'!$I$2)*2)+age,lifetable,13,1),IF(male=1,VLOOKUP(((A191:A1025/'Life tables'!$I$2)*2)+age,lifetable,10,1),"error"))</f>
        <v>1.4551982218569126E-4</v>
      </c>
      <c r="F193" s="101">
        <f t="shared" si="36"/>
        <v>154.32786634006146</v>
      </c>
      <c r="G193" s="101">
        <f t="shared" si="37"/>
        <v>15.502557164288158</v>
      </c>
      <c r="H193" s="101">
        <f t="shared" si="38"/>
        <v>0.35475697502784853</v>
      </c>
      <c r="I193" s="101">
        <f t="shared" si="39"/>
        <v>0.35475697502784853</v>
      </c>
      <c r="J193" s="101">
        <f t="shared" si="40"/>
        <v>2.481694137392397E-2</v>
      </c>
      <c r="K193" s="101">
        <f t="shared" si="41"/>
        <v>2.7809087203897874E-2</v>
      </c>
      <c r="L193" s="101">
        <f t="shared" si="48"/>
        <v>138.06316919713979</v>
      </c>
      <c r="M193" s="101">
        <f t="shared" si="42"/>
        <v>812.5580475540778</v>
      </c>
      <c r="N193" s="101">
        <f t="shared" si="43"/>
        <v>78.251100490059045</v>
      </c>
      <c r="O193" s="101">
        <f t="shared" si="44"/>
        <v>1.8678456575667095</v>
      </c>
      <c r="P193" s="101">
        <f t="shared" si="45"/>
        <v>1.8678456575667095</v>
      </c>
      <c r="Q193" s="101">
        <f t="shared" si="46"/>
        <v>0.13017400596068873</v>
      </c>
      <c r="R193" s="101">
        <f t="shared" si="47"/>
        <v>2.1762003252620395E-2</v>
      </c>
      <c r="S193" s="101">
        <f t="shared" si="49"/>
        <v>730.41931973967201</v>
      </c>
      <c r="T193" s="101">
        <f t="shared" si="50"/>
        <v>21.144389455333375</v>
      </c>
      <c r="U193" s="101">
        <f t="shared" si="51"/>
        <v>12.174258688318076</v>
      </c>
      <c r="V193" s="33">
        <f t="shared" si="52"/>
        <v>999.99999999999955</v>
      </c>
      <c r="W193" s="105">
        <f>IF(A193=1,((cPH1_+cPHr+(cNES*L193+(cNES+cOSEX)*G193+(cNES+cEREX)*H193+(cNES+cHOEX)*I193 + (cNES+cNES)*S193 +(cNES+ cOSEX)*N193 + (cNES+cEREX)*O193 + (cNES+cHOEX)*P193)))/(1+cDR)^A$5:A$65536,(cPHr+(cNES*L193+(cNES+cOSEX)*G193+(cNES+cEREX)*H193+(cNES+cHOEX)*I193 + (cNES+cNES)*S193 +(cNES+ cOSEX)*N193 + (cNES+cEREX)*O193 + (cNES+cHOEX)*P193))/(1+cDR)^A$5:A$65536)</f>
        <v>152966.24623320741</v>
      </c>
      <c r="X193" s="112">
        <f t="shared" si="53"/>
        <v>966.6813518563481</v>
      </c>
      <c r="Y193" s="32">
        <f>(uNES*L193+ uOCEX*G193+uEREX*'PH + UC'!H193+uHOEX*I193+uNES*S193+ uOCEX*N193+uEREX*O193+uHOEX*P193)/(1+oDR)^A$5:A$65536</f>
        <v>603.04064918975916</v>
      </c>
    </row>
    <row r="194" spans="1:25" x14ac:dyDescent="0.25">
      <c r="A194" s="4">
        <v>188</v>
      </c>
      <c r="C194" s="110">
        <f>IF(male=0,VLOOKUP(((A192:A1026/'Life tables'!$I$2)*2)+age,lifetable,13,1),IF(male=1,VLOOKUP(((A192:A1026/'Life tables'!$I$2)*2)+age,lifetable,10,1),"error"))</f>
        <v>1.4551982218569126E-4</v>
      </c>
      <c r="F194" s="101">
        <f t="shared" si="36"/>
        <v>154.28809324174705</v>
      </c>
      <c r="G194" s="101">
        <f t="shared" si="37"/>
        <v>15.498561873321966</v>
      </c>
      <c r="H194" s="101">
        <f t="shared" si="38"/>
        <v>0.35466554770250464</v>
      </c>
      <c r="I194" s="101">
        <f t="shared" si="39"/>
        <v>0.35466554770250464</v>
      </c>
      <c r="J194" s="101">
        <f t="shared" si="40"/>
        <v>2.4810545596722251E-2</v>
      </c>
      <c r="K194" s="101">
        <f t="shared" si="41"/>
        <v>2.78019202962899E-2</v>
      </c>
      <c r="L194" s="101">
        <f t="shared" si="48"/>
        <v>138.02758780712705</v>
      </c>
      <c r="M194" s="101">
        <f t="shared" si="42"/>
        <v>812.39325861460088</v>
      </c>
      <c r="N194" s="101">
        <f t="shared" si="43"/>
        <v>78.235230958151178</v>
      </c>
      <c r="O194" s="101">
        <f t="shared" si="44"/>
        <v>1.8674668534850276</v>
      </c>
      <c r="P194" s="101">
        <f t="shared" si="45"/>
        <v>1.8674668534850276</v>
      </c>
      <c r="Q194" s="101">
        <f t="shared" si="46"/>
        <v>0.13014760632505132</v>
      </c>
      <c r="R194" s="101">
        <f t="shared" si="47"/>
        <v>2.1757589860312378E-2</v>
      </c>
      <c r="S194" s="101">
        <f t="shared" si="49"/>
        <v>730.27118875329427</v>
      </c>
      <c r="T194" s="101">
        <f t="shared" si="50"/>
        <v>21.29934760725515</v>
      </c>
      <c r="U194" s="101">
        <f t="shared" si="51"/>
        <v>12.223818198474678</v>
      </c>
      <c r="V194" s="33">
        <f t="shared" si="52"/>
        <v>999.99999999999932</v>
      </c>
      <c r="W194" s="105">
        <f>IF(A194=1,((cPH1_+cPHr+(cNES*L194+(cNES+cOSEX)*G194+(cNES+cEREX)*H194+(cNES+cHOEX)*I194 + (cNES+cNES)*S194 +(cNES+ cOSEX)*N194 + (cNES+cEREX)*O194 + (cNES+cHOEX)*P194)))/(1+cDR)^A$5:A$65536,(cPHr+(cNES*L194+(cNES+cOSEX)*G194+(cNES+cEREX)*H194+(cNES+cHOEX)*I194 + (cNES+cNES)*S194 +(cNES+ cOSEX)*N194 + (cNES+cEREX)*O194 + (cNES+cHOEX)*P194))/(1+cDR)^A$5:A$65536)</f>
        <v>152758.58541241818</v>
      </c>
      <c r="X194" s="112">
        <f t="shared" si="53"/>
        <v>966.47683419426949</v>
      </c>
      <c r="Y194" s="32">
        <f>(uNES*L194+ uOCEX*G194+uEREX*'PH + UC'!H194+uHOEX*I194+uNES*S194+ uOCEX*N194+uEREX*O194+uHOEX*P194)/(1+oDR)^A$5:A$65536</f>
        <v>602.73967782496504</v>
      </c>
    </row>
    <row r="195" spans="1:25" x14ac:dyDescent="0.25">
      <c r="A195" s="4">
        <v>189</v>
      </c>
      <c r="C195" s="110">
        <f>IF(male=0,VLOOKUP(((A193:A1027/'Life tables'!$I$2)*2)+age,lifetable,13,1),IF(male=1,VLOOKUP(((A193:A1027/'Life tables'!$I$2)*2)+age,lifetable,10,1),"error"))</f>
        <v>1.4551982218569126E-4</v>
      </c>
      <c r="F195" s="101">
        <f t="shared" si="36"/>
        <v>154.24864810589889</v>
      </c>
      <c r="G195" s="101">
        <f t="shared" si="37"/>
        <v>15.494599526871898</v>
      </c>
      <c r="H195" s="101">
        <f t="shared" si="38"/>
        <v>0.35457487427193818</v>
      </c>
      <c r="I195" s="101">
        <f t="shared" si="39"/>
        <v>0.35457487427193818</v>
      </c>
      <c r="J195" s="101">
        <f t="shared" si="40"/>
        <v>2.4804202558053701E-2</v>
      </c>
      <c r="K195" s="101">
        <f t="shared" si="41"/>
        <v>2.7794812485830354E-2</v>
      </c>
      <c r="L195" s="101">
        <f t="shared" si="48"/>
        <v>137.99229981543922</v>
      </c>
      <c r="M195" s="101">
        <f t="shared" si="42"/>
        <v>812.22818608837053</v>
      </c>
      <c r="N195" s="101">
        <f t="shared" si="43"/>
        <v>78.219334116224516</v>
      </c>
      <c r="O195" s="101">
        <f t="shared" si="44"/>
        <v>1.867087397516028</v>
      </c>
      <c r="P195" s="101">
        <f t="shared" si="45"/>
        <v>1.867087397516028</v>
      </c>
      <c r="Q195" s="101">
        <f t="shared" si="46"/>
        <v>0.13012116125804576</v>
      </c>
      <c r="R195" s="101">
        <f t="shared" si="47"/>
        <v>2.1753168872958233E-2</v>
      </c>
      <c r="S195" s="101">
        <f t="shared" si="49"/>
        <v>730.12280284698295</v>
      </c>
      <c r="T195" s="101">
        <f t="shared" si="50"/>
        <v>21.454272971071251</v>
      </c>
      <c r="U195" s="101">
        <f t="shared" si="51"/>
        <v>12.273366179833467</v>
      </c>
      <c r="V195" s="33">
        <f t="shared" si="52"/>
        <v>999.99999999999932</v>
      </c>
      <c r="W195" s="105">
        <f>IF(A195=1,((cPH1_+cPHr+(cNES*L195+(cNES+cOSEX)*G195+(cNES+cEREX)*H195+(cNES+cHOEX)*I195 + (cNES+cNES)*S195 +(cNES+ cOSEX)*N195 + (cNES+cEREX)*O195 + (cNES+cHOEX)*P195)))/(1+cDR)^A$5:A$65536,(cPHr+(cNES*L195+(cNES+cOSEX)*G195+(cNES+cEREX)*H195+(cNES+cHOEX)*I195 + (cNES+cNES)*S195 +(cNES+ cOSEX)*N195 + (cNES+cEREX)*O195 + (cNES+cHOEX)*P195))/(1+cDR)^A$5:A$65536)</f>
        <v>152551.18554697873</v>
      </c>
      <c r="X195" s="112">
        <f t="shared" si="53"/>
        <v>966.27236084909453</v>
      </c>
      <c r="Y195" s="32">
        <f>(uNES*L195+ uOCEX*G195+uEREX*'PH + UC'!H195+uHOEX*I195+uNES*S195+ uOCEX*N195+uEREX*O195+uHOEX*P195)/(1+oDR)^A$5:A$65536</f>
        <v>602.43885720343621</v>
      </c>
    </row>
    <row r="196" spans="1:25" x14ac:dyDescent="0.25">
      <c r="A196" s="4">
        <v>190</v>
      </c>
      <c r="C196" s="110">
        <f>IF(male=0,VLOOKUP(((A194:A1028/'Life tables'!$I$2)*2)+age,lifetable,13,1),IF(male=1,VLOOKUP(((A194:A1028/'Life tables'!$I$2)*2)+age,lifetable,10,1),"error"))</f>
        <v>1.4551982218569126E-4</v>
      </c>
      <c r="F196" s="101">
        <f t="shared" si="36"/>
        <v>154.20951653411856</v>
      </c>
      <c r="G196" s="101">
        <f t="shared" si="37"/>
        <v>15.490668678588696</v>
      </c>
      <c r="H196" s="101">
        <f t="shared" si="38"/>
        <v>0.35448492163822337</v>
      </c>
      <c r="I196" s="101">
        <f t="shared" si="39"/>
        <v>0.35448492163822337</v>
      </c>
      <c r="J196" s="101">
        <f t="shared" si="40"/>
        <v>2.4797909942560637E-2</v>
      </c>
      <c r="K196" s="101">
        <f t="shared" si="41"/>
        <v>2.7787761178001951E-2</v>
      </c>
      <c r="L196" s="101">
        <f t="shared" si="48"/>
        <v>137.95729234113287</v>
      </c>
      <c r="M196" s="101">
        <f t="shared" si="42"/>
        <v>812.06284431497591</v>
      </c>
      <c r="N196" s="101">
        <f t="shared" si="43"/>
        <v>78.203411345212587</v>
      </c>
      <c r="O196" s="101">
        <f t="shared" si="44"/>
        <v>1.8667073226224506</v>
      </c>
      <c r="P196" s="101">
        <f t="shared" si="45"/>
        <v>1.8667073226224506</v>
      </c>
      <c r="Q196" s="101">
        <f t="shared" si="46"/>
        <v>0.13009467305691327</v>
      </c>
      <c r="R196" s="101">
        <f t="shared" si="47"/>
        <v>2.1748740674602141E-2</v>
      </c>
      <c r="S196" s="101">
        <f t="shared" si="49"/>
        <v>729.97417491078693</v>
      </c>
      <c r="T196" s="101">
        <f t="shared" si="50"/>
        <v>21.609165554070724</v>
      </c>
      <c r="U196" s="101">
        <f t="shared" si="51"/>
        <v>12.32290268168607</v>
      </c>
      <c r="V196" s="33">
        <f t="shared" si="52"/>
        <v>999.99999999999932</v>
      </c>
      <c r="W196" s="105">
        <f>IF(A196=1,((cPH1_+cPHr+(cNES*L196+(cNES+cOSEX)*G196+(cNES+cEREX)*H196+(cNES+cHOEX)*I196 + (cNES+cNES)*S196 +(cNES+ cOSEX)*N196 + (cNES+cEREX)*O196 + (cNES+cHOEX)*P196)))/(1+cDR)^A$5:A$65536,(cPHr+(cNES*L196+(cNES+cOSEX)*G196+(cNES+cEREX)*H196+(cNES+cHOEX)*I196 + (cNES+cNES)*S196 +(cNES+ cOSEX)*N196 + (cNES+cEREX)*O196 + (cNES+cHOEX)*P196))/(1+cDR)^A$5:A$65536)</f>
        <v>152344.04727391287</v>
      </c>
      <c r="X196" s="112">
        <f t="shared" si="53"/>
        <v>966.06793176424253</v>
      </c>
      <c r="Y196" s="32">
        <f>(uNES*L196+ uOCEX*G196+uEREX*'PH + UC'!H196+uHOEX*I196+uNES*S196+ uOCEX*N196+uEREX*O196+uHOEX*P196)/(1+oDR)^A$5:A$65536</f>
        <v>602.13818722569113</v>
      </c>
    </row>
    <row r="197" spans="1:25" x14ac:dyDescent="0.25">
      <c r="A197" s="4">
        <v>191</v>
      </c>
      <c r="C197" s="110">
        <f>IF(male=0,VLOOKUP(((A195:A1029/'Life tables'!$I$2)*2)+age,lifetable,13,1),IF(male=1,VLOOKUP(((A195:A1029/'Life tables'!$I$2)*2)+age,lifetable,10,1),"error"))</f>
        <v>1.4551982218569126E-4</v>
      </c>
      <c r="F197" s="101">
        <f t="shared" si="36"/>
        <v>154.17068477358706</v>
      </c>
      <c r="G197" s="101">
        <f t="shared" si="37"/>
        <v>15.486767946972909</v>
      </c>
      <c r="H197" s="101">
        <f t="shared" si="38"/>
        <v>0.35439565818744251</v>
      </c>
      <c r="I197" s="101">
        <f t="shared" si="39"/>
        <v>0.35439565818744251</v>
      </c>
      <c r="J197" s="101">
        <f t="shared" si="40"/>
        <v>2.4791665538698843E-2</v>
      </c>
      <c r="K197" s="101">
        <f t="shared" si="41"/>
        <v>2.7780763894617484E-2</v>
      </c>
      <c r="L197" s="101">
        <f t="shared" si="48"/>
        <v>137.92255308080595</v>
      </c>
      <c r="M197" s="101">
        <f t="shared" si="42"/>
        <v>811.89724699065528</v>
      </c>
      <c r="N197" s="101">
        <f t="shared" si="43"/>
        <v>78.1874639640928</v>
      </c>
      <c r="O197" s="101">
        <f t="shared" si="44"/>
        <v>1.8663266602881499</v>
      </c>
      <c r="P197" s="101">
        <f t="shared" si="45"/>
        <v>1.8663266602881499</v>
      </c>
      <c r="Q197" s="101">
        <f t="shared" si="46"/>
        <v>0.13006814391582841</v>
      </c>
      <c r="R197" s="101">
        <f t="shared" si="47"/>
        <v>2.1744305632057998E-2</v>
      </c>
      <c r="S197" s="101">
        <f t="shared" si="49"/>
        <v>729.82531725643832</v>
      </c>
      <c r="T197" s="101">
        <f t="shared" si="50"/>
        <v>21.764025363525253</v>
      </c>
      <c r="U197" s="101">
        <f t="shared" si="51"/>
        <v>12.372427751212745</v>
      </c>
      <c r="V197" s="33">
        <f t="shared" si="52"/>
        <v>999.99999999999909</v>
      </c>
      <c r="W197" s="105">
        <f>IF(A197=1,((cPH1_+cPHr+(cNES*L197+(cNES+cOSEX)*G197+(cNES+cEREX)*H197+(cNES+cHOEX)*I197 + (cNES+cNES)*S197 +(cNES+ cOSEX)*N197 + (cNES+cEREX)*O197 + (cNES+cHOEX)*P197)))/(1+cDR)^A$5:A$65536,(cPHr+(cNES*L197+(cNES+cOSEX)*G197+(cNES+cEREX)*H197+(cNES+cHOEX)*I197 + (cNES+cNES)*S197 +(cNES+ cOSEX)*N197 + (cNES+cEREX)*O197 + (cNES+cHOEX)*P197))/(1+cDR)^A$5:A$65536)</f>
        <v>152137.17118380129</v>
      </c>
      <c r="X197" s="112">
        <f t="shared" si="53"/>
        <v>965.86354688526114</v>
      </c>
      <c r="Y197" s="32">
        <f>(uNES*L197+ uOCEX*G197+uEREX*'PH + UC'!H197+uHOEX*I197+uNES*S197+ uOCEX*N197+uEREX*O197+uHOEX*P197)/(1+oDR)^A$5:A$65536</f>
        <v>601.83766779339135</v>
      </c>
    </row>
    <row r="198" spans="1:25" x14ac:dyDescent="0.25">
      <c r="A198" s="4">
        <v>192</v>
      </c>
      <c r="C198" s="110">
        <f>IF(male=0,VLOOKUP(((A196:A1030/'Life tables'!$I$2)*2)+age,lifetable,13,1),IF(male=1,VLOOKUP(((A196:A1030/'Life tables'!$I$2)*2)+age,lifetable,10,1),"error"))</f>
        <v>1.4551982218569126E-4</v>
      </c>
      <c r="F198" s="101">
        <f t="shared" si="36"/>
        <v>154.13213968811613</v>
      </c>
      <c r="G198" s="101">
        <f t="shared" si="37"/>
        <v>15.482896012466934</v>
      </c>
      <c r="H198" s="101">
        <f t="shared" si="38"/>
        <v>0.35430705372314097</v>
      </c>
      <c r="I198" s="101">
        <f t="shared" si="39"/>
        <v>0.35430705372314097</v>
      </c>
      <c r="J198" s="101">
        <f t="shared" si="40"/>
        <v>2.4785467234082377E-2</v>
      </c>
      <c r="K198" s="101">
        <f t="shared" si="41"/>
        <v>2.7773818268603444E-2</v>
      </c>
      <c r="L198" s="101">
        <f t="shared" si="48"/>
        <v>137.88807028270023</v>
      </c>
      <c r="M198" s="101">
        <f t="shared" si="42"/>
        <v>811.7314071971449</v>
      </c>
      <c r="N198" s="101">
        <f t="shared" si="43"/>
        <v>78.171493232664687</v>
      </c>
      <c r="O198" s="101">
        <f t="shared" si="44"/>
        <v>1.8659454405844098</v>
      </c>
      <c r="P198" s="101">
        <f t="shared" si="45"/>
        <v>1.8659454405844098</v>
      </c>
      <c r="Q198" s="101">
        <f t="shared" si="46"/>
        <v>0.1300415759305209</v>
      </c>
      <c r="R198" s="101">
        <f t="shared" si="47"/>
        <v>2.1739864095682043E-2</v>
      </c>
      <c r="S198" s="101">
        <f t="shared" si="49"/>
        <v>729.67624164328515</v>
      </c>
      <c r="T198" s="101">
        <f t="shared" si="50"/>
        <v>21.918852406689854</v>
      </c>
      <c r="U198" s="101">
        <f t="shared" si="51"/>
        <v>12.421941433577031</v>
      </c>
      <c r="V198" s="33">
        <f t="shared" si="52"/>
        <v>999.99999999999898</v>
      </c>
      <c r="W198" s="105">
        <f>IF(A198=1,((cPH1_+cPHr+(cNES*L198+(cNES+cOSEX)*G198+(cNES+cEREX)*H198+(cNES+cHOEX)*I198 + (cNES+cNES)*S198 +(cNES+ cOSEX)*N198 + (cNES+cEREX)*O198 + (cNES+cHOEX)*P198)))/(1+cDR)^A$5:A$65536,(cPHr+(cNES*L198+(cNES+cOSEX)*G198+(cNES+cEREX)*H198+(cNES+cHOEX)*I198 + (cNES+cNES)*S198 +(cNES+ cOSEX)*N198 + (cNES+cEREX)*O198 + (cNES+cHOEX)*P198))/(1+cDR)^A$5:A$65536)</f>
        <v>151930.55782293947</v>
      </c>
      <c r="X198" s="112">
        <f t="shared" si="53"/>
        <v>965.65920615973209</v>
      </c>
      <c r="Y198" s="32">
        <f>(uNES*L198+ uOCEX*G198+uEREX*'PH + UC'!H198+uHOEX*I198+uNES*S198+ uOCEX*N198+uEREX*O198+uHOEX*P198)/(1+oDR)^A$5:A$65536</f>
        <v>601.53729880929268</v>
      </c>
    </row>
    <row r="199" spans="1:25" x14ac:dyDescent="0.25">
      <c r="A199" s="4">
        <v>193</v>
      </c>
      <c r="C199" s="110">
        <f>IF(male=0,VLOOKUP(((A197:A1031/'Life tables'!$I$2)*2)+age,lifetable,13,1),IF(male=1,VLOOKUP(((A197:A1031/'Life tables'!$I$2)*2)+age,lifetable,10,1),"error"))</f>
        <v>1.4551982218569126E-4</v>
      </c>
      <c r="F199" s="101">
        <f t="shared" ref="F199:F262" si="54">E198*(1-pCAPH)+(L198+G198+H198+I198)*(1-pCAPH)+(S198+N198+O198+P198)*(pUAPH)</f>
        <v>154.09386873049789</v>
      </c>
      <c r="G199" s="101">
        <f t="shared" ref="G199:G262" si="55">F199*(rrOSEX)</f>
        <v>15.479051614677481</v>
      </c>
      <c r="H199" s="101">
        <f t="shared" ref="H199:H262" si="56">F199*rrEREX</f>
        <v>0.35421907940276681</v>
      </c>
      <c r="I199" s="101">
        <f t="shared" ref="I199:I262" si="57">F199*rrHOEX</f>
        <v>0.35421907940276681</v>
      </c>
      <c r="J199" s="101">
        <f t="shared" ref="J199:J262" si="58">F199*mr + G199*mr + H199*mr+I199*mr</f>
        <v>2.4779313011037245E-2</v>
      </c>
      <c r="K199" s="101">
        <f t="shared" ref="K199:K262" si="59">F199*amr + I199*amrHOEX</f>
        <v>2.7766922039017549E-2</v>
      </c>
      <c r="L199" s="101">
        <f t="shared" si="48"/>
        <v>137.85383272196481</v>
      </c>
      <c r="M199" s="101">
        <f t="shared" ref="M199:M262" si="60">E198*pCAPH+(L198+G198+H198+I198)*pCAPH+(S198+N198+O198+P198)*(1-pUAPH)</f>
        <v>811.56533742923421</v>
      </c>
      <c r="N199" s="101">
        <f t="shared" ref="N199:N262" si="61">M199*rrOSEXc</f>
        <v>78.155500354203568</v>
      </c>
      <c r="O199" s="101">
        <f t="shared" ref="O199:O262" si="62">M199*rrEREXc</f>
        <v>1.8655636922332872</v>
      </c>
      <c r="P199" s="101">
        <f t="shared" ref="P199:P262" si="63">M199*rrHOEXc</f>
        <v>1.8655636922332872</v>
      </c>
      <c r="Q199" s="101">
        <f t="shared" ref="Q199:Q262" si="64">M199*mr + N199*mr + O199*mr+P199*mr</f>
        <v>0.13001497110268986</v>
      </c>
      <c r="R199" s="101">
        <f t="shared" ref="R199:R262" si="65">M199*amrc + P199*amrHOEX</f>
        <v>2.1735416400110858E-2</v>
      </c>
      <c r="S199" s="101">
        <f t="shared" si="49"/>
        <v>729.52695930306129</v>
      </c>
      <c r="T199" s="101">
        <f t="shared" si="50"/>
        <v>22.073646690803582</v>
      </c>
      <c r="U199" s="101">
        <f t="shared" si="51"/>
        <v>12.471443772016158</v>
      </c>
      <c r="V199" s="33">
        <f t="shared" si="52"/>
        <v>999.99999999999898</v>
      </c>
      <c r="W199" s="105">
        <f>IF(A199=1,((cPH1_+cPHr+(cNES*L199+(cNES+cOSEX)*G199+(cNES+cEREX)*H199+(cNES+cHOEX)*I199 + (cNES+cNES)*S199 +(cNES+ cOSEX)*N199 + (cNES+cEREX)*O199 + (cNES+cHOEX)*P199)))/(1+cDR)^A$5:A$65536,(cPHr+(cNES*L199+(cNES+cOSEX)*G199+(cNES+cEREX)*H199+(cNES+cHOEX)*I199 + (cNES+cNES)*S199 +(cNES+ cOSEX)*N199 + (cNES+cEREX)*O199 + (cNES+cHOEX)*P199))/(1+cDR)^A$5:A$65536)</f>
        <v>151724.20769539452</v>
      </c>
      <c r="X199" s="112">
        <f t="shared" si="53"/>
        <v>965.45490953717922</v>
      </c>
      <c r="Y199" s="32">
        <f>(uNES*L199+ uOCEX*G199+uEREX*'PH + UC'!H199+uHOEX*I199+uNES*S199+ uOCEX*N199+uEREX*O199+uHOEX*P199)/(1+oDR)^A$5:A$65536</f>
        <v>601.23708017719753</v>
      </c>
    </row>
    <row r="200" spans="1:25" x14ac:dyDescent="0.25">
      <c r="A200" s="4">
        <v>194</v>
      </c>
      <c r="C200" s="110">
        <f>IF(male=0,VLOOKUP(((A198:A1032/'Life tables'!$I$2)*2)+age,lifetable,13,1),IF(male=1,VLOOKUP(((A198:A1032/'Life tables'!$I$2)*2)+age,lifetable,10,1),"error"))</f>
        <v>1.4551982218569126E-4</v>
      </c>
      <c r="F200" s="101">
        <f t="shared" si="54"/>
        <v>154.05585991609382</v>
      </c>
      <c r="G200" s="101">
        <f t="shared" si="55"/>
        <v>15.475233549722526</v>
      </c>
      <c r="H200" s="101">
        <f t="shared" si="56"/>
        <v>0.3541317076769589</v>
      </c>
      <c r="I200" s="101">
        <f t="shared" si="57"/>
        <v>0.3541317076769589</v>
      </c>
      <c r="J200" s="101">
        <f t="shared" si="58"/>
        <v>2.4773200942354336E-2</v>
      </c>
      <c r="K200" s="101">
        <f t="shared" si="59"/>
        <v>2.7760073046289621E-2</v>
      </c>
      <c r="L200" s="101">
        <f t="shared" ref="L200:L263" si="66">F200-SUM(G200:K200)</f>
        <v>137.81982967702874</v>
      </c>
      <c r="M200" s="101">
        <f t="shared" si="60"/>
        <v>811.39904962108551</v>
      </c>
      <c r="N200" s="101">
        <f t="shared" si="61"/>
        <v>78.139486477995121</v>
      </c>
      <c r="O200" s="101">
        <f t="shared" si="62"/>
        <v>1.8651814426681126</v>
      </c>
      <c r="P200" s="101">
        <f t="shared" si="63"/>
        <v>1.8651814426681126</v>
      </c>
      <c r="Q200" s="101">
        <f t="shared" si="64"/>
        <v>0.12998833134422055</v>
      </c>
      <c r="R200" s="101">
        <f t="shared" si="65"/>
        <v>2.1730962864966268E-2</v>
      </c>
      <c r="S200" s="101">
        <f t="shared" ref="S200:S263" si="67">M200-SUM(N200:R200)</f>
        <v>729.37748096354494</v>
      </c>
      <c r="T200" s="101">
        <f t="shared" ref="T200:T263" si="68">J200+Q200+T199</f>
        <v>22.228408223090156</v>
      </c>
      <c r="U200" s="101">
        <f t="shared" ref="U200:U263" si="69">K200+R200+U199</f>
        <v>12.520934807927414</v>
      </c>
      <c r="V200" s="33">
        <f t="shared" ref="V200:V263" si="70">SUM(G200:I200,L200,N200,O200,P200,S200,T200,U200)</f>
        <v>999.99999999999909</v>
      </c>
      <c r="W200" s="105">
        <f>IF(A200=1,((cPH1_+cPHr+(cNES*L200+(cNES+cOSEX)*G200+(cNES+cEREX)*H200+(cNES+cHOEX)*I200 + (cNES+cNES)*S200 +(cNES+ cOSEX)*N200 + (cNES+cEREX)*O200 + (cNES+cHOEX)*P200)))/(1+cDR)^A$5:A$65536,(cPHr+(cNES*L200+(cNES+cOSEX)*G200+(cNES+cEREX)*H200+(cNES+cHOEX)*I200 + (cNES+cNES)*S200 +(cNES+ cOSEX)*N200 + (cNES+cEREX)*O200 + (cNES+cHOEX)*P200))/(1+cDR)^A$5:A$65536)</f>
        <v>151518.12126496914</v>
      </c>
      <c r="X200" s="112">
        <f t="shared" ref="X200:X263" si="71">(L200+G200+H200+I200+N200+O200+P200+S200)</f>
        <v>965.2506569689815</v>
      </c>
      <c r="Y200" s="32">
        <f>(uNES*L200+ uOCEX*G200+uEREX*'PH + UC'!H200+uHOEX*I200+uNES*S200+ uOCEX*N200+uEREX*O200+uHOEX*P200)/(1+oDR)^A$5:A$65536</f>
        <v>600.93701180190794</v>
      </c>
    </row>
    <row r="201" spans="1:25" x14ac:dyDescent="0.25">
      <c r="A201" s="4">
        <v>195</v>
      </c>
      <c r="C201" s="110">
        <f>IF(male=0,VLOOKUP(((A199:A1033/'Life tables'!$I$2)*2)+age,lifetable,13,1),IF(male=1,VLOOKUP(((A199:A1033/'Life tables'!$I$2)*2)+age,lifetable,10,1),"error"))</f>
        <v>1.4551982218569126E-4</v>
      </c>
      <c r="F201" s="101">
        <f t="shared" si="54"/>
        <v>154.01810179760878</v>
      </c>
      <c r="G201" s="101">
        <f t="shared" si="55"/>
        <v>15.471440667697316</v>
      </c>
      <c r="H201" s="101">
        <f t="shared" si="56"/>
        <v>0.35404491223155965</v>
      </c>
      <c r="I201" s="101">
        <f t="shared" si="57"/>
        <v>0.35404491223155965</v>
      </c>
      <c r="J201" s="101">
        <f t="shared" si="58"/>
        <v>2.4767129187232881E-2</v>
      </c>
      <c r="K201" s="101">
        <f t="shared" si="59"/>
        <v>2.7753269227675993E-2</v>
      </c>
      <c r="L201" s="101">
        <f t="shared" si="66"/>
        <v>137.78605090703343</v>
      </c>
      <c r="M201" s="101">
        <f t="shared" si="60"/>
        <v>811.23255517137272</v>
      </c>
      <c r="N201" s="101">
        <f t="shared" si="61"/>
        <v>78.123452701756321</v>
      </c>
      <c r="O201" s="101">
        <f t="shared" si="62"/>
        <v>1.8647987180912762</v>
      </c>
      <c r="P201" s="101">
        <f t="shared" si="63"/>
        <v>1.8647987180912762</v>
      </c>
      <c r="Q201" s="101">
        <f t="shared" si="64"/>
        <v>0.12996165848121147</v>
      </c>
      <c r="R201" s="101">
        <f t="shared" si="65"/>
        <v>2.1726503795528582E-2</v>
      </c>
      <c r="S201" s="101">
        <f t="shared" si="67"/>
        <v>729.22781687115707</v>
      </c>
      <c r="T201" s="101">
        <f t="shared" si="68"/>
        <v>22.383137010758599</v>
      </c>
      <c r="U201" s="101">
        <f t="shared" si="69"/>
        <v>12.570414580950619</v>
      </c>
      <c r="V201" s="33">
        <f t="shared" si="70"/>
        <v>999.99999999999886</v>
      </c>
      <c r="W201" s="105">
        <f>IF(A201=1,((cPH1_+cPHr+(cNES*L201+(cNES+cOSEX)*G201+(cNES+cEREX)*H201+(cNES+cHOEX)*I201 + (cNES+cNES)*S201 +(cNES+ cOSEX)*N201 + (cNES+cEREX)*O201 + (cNES+cHOEX)*P201)))/(1+cDR)^A$5:A$65536,(cPHr+(cNES*L201+(cNES+cOSEX)*G201+(cNES+cEREX)*H201+(cNES+cHOEX)*I201 + (cNES+cNES)*S201 +(cNES+ cOSEX)*N201 + (cNES+cEREX)*O201 + (cNES+cHOEX)*P201))/(1+cDR)^A$5:A$65536)</f>
        <v>151312.29895707418</v>
      </c>
      <c r="X201" s="112">
        <f t="shared" si="71"/>
        <v>965.04644840828973</v>
      </c>
      <c r="Y201" s="32">
        <f>(uNES*L201+ uOCEX*G201+uEREX*'PH + UC'!H201+uHOEX*I201+uNES*S201+ uOCEX*N201+uEREX*O201+uHOEX*P201)/(1+oDR)^A$5:A$65536</f>
        <v>600.63709358918345</v>
      </c>
    </row>
    <row r="202" spans="1:25" x14ac:dyDescent="0.25">
      <c r="A202" s="4">
        <v>196</v>
      </c>
      <c r="C202" s="110">
        <f>IF(male=0,VLOOKUP(((A200:A1034/'Life tables'!$I$2)*2)+age,lifetable,13,1),IF(male=1,VLOOKUP(((A200:A1034/'Life tables'!$I$2)*2)+age,lifetable,10,1),"error"))</f>
        <v>1.4551982218569126E-4</v>
      </c>
      <c r="F202" s="101">
        <f t="shared" si="54"/>
        <v>153.98058344099528</v>
      </c>
      <c r="G202" s="101">
        <f t="shared" si="55"/>
        <v>15.467671870253895</v>
      </c>
      <c r="H202" s="101">
        <f t="shared" si="56"/>
        <v>0.35395866793222558</v>
      </c>
      <c r="I202" s="101">
        <f t="shared" si="57"/>
        <v>0.35395866793222558</v>
      </c>
      <c r="J202" s="101">
        <f t="shared" si="58"/>
        <v>2.4761095987405758E-2</v>
      </c>
      <c r="K202" s="101">
        <f t="shared" si="59"/>
        <v>2.7746508612917588E-2</v>
      </c>
      <c r="L202" s="101">
        <f t="shared" si="66"/>
        <v>137.75248663027662</v>
      </c>
      <c r="M202" s="101">
        <f t="shared" si="60"/>
        <v>811.0658649672946</v>
      </c>
      <c r="N202" s="101">
        <f t="shared" si="61"/>
        <v>78.107400073948014</v>
      </c>
      <c r="O202" s="101">
        <f t="shared" si="62"/>
        <v>1.8644155435294301</v>
      </c>
      <c r="P202" s="101">
        <f t="shared" si="63"/>
        <v>1.8644155435294301</v>
      </c>
      <c r="Q202" s="101">
        <f t="shared" si="64"/>
        <v>0.12993495425782142</v>
      </c>
      <c r="R202" s="101">
        <f t="shared" si="65"/>
        <v>2.1722039483379751E-2</v>
      </c>
      <c r="S202" s="101">
        <f t="shared" si="67"/>
        <v>729.07797681254647</v>
      </c>
      <c r="T202" s="101">
        <f t="shared" si="68"/>
        <v>22.537833061003827</v>
      </c>
      <c r="U202" s="101">
        <f t="shared" si="69"/>
        <v>12.619883129046917</v>
      </c>
      <c r="V202" s="33">
        <f t="shared" si="70"/>
        <v>999.99999999999909</v>
      </c>
      <c r="W202" s="105">
        <f>IF(A202=1,((cPH1_+cPHr+(cNES*L202+(cNES+cOSEX)*G202+(cNES+cEREX)*H202+(cNES+cHOEX)*I202 + (cNES+cNES)*S202 +(cNES+ cOSEX)*N202 + (cNES+cEREX)*O202 + (cNES+cHOEX)*P202)))/(1+cDR)^A$5:A$65536,(cPHr+(cNES*L202+(cNES+cOSEX)*G202+(cNES+cEREX)*H202+(cNES+cHOEX)*I202 + (cNES+cNES)*S202 +(cNES+ cOSEX)*N202 + (cNES+cEREX)*O202 + (cNES+cHOEX)*P202))/(1+cDR)^A$5:A$65536)</f>
        <v>151106.74116051596</v>
      </c>
      <c r="X202" s="112">
        <f t="shared" si="71"/>
        <v>964.8422838099483</v>
      </c>
      <c r="Y202" s="32">
        <f>(uNES*L202+ uOCEX*G202+uEREX*'PH + UC'!H202+uHOEX*I202+uNES*S202+ uOCEX*N202+uEREX*O202+uHOEX*P202)/(1+oDR)^A$5:A$65536</f>
        <v>600.33732544569943</v>
      </c>
    </row>
    <row r="203" spans="1:25" x14ac:dyDescent="0.25">
      <c r="A203" s="4">
        <v>197</v>
      </c>
      <c r="C203" s="110">
        <f>IF(male=0,VLOOKUP(((A201:A1035/'Life tables'!$I$2)*2)+age,lifetable,13,1),IF(male=1,VLOOKUP(((A201:A1035/'Life tables'!$I$2)*2)+age,lifetable,10,1),"error"))</f>
        <v>1.4551982218569126E-4</v>
      </c>
      <c r="F203" s="101">
        <f t="shared" si="54"/>
        <v>153.94329440243916</v>
      </c>
      <c r="G203" s="101">
        <f t="shared" si="55"/>
        <v>15.463926108289277</v>
      </c>
      <c r="H203" s="101">
        <f t="shared" si="56"/>
        <v>0.35387295077152364</v>
      </c>
      <c r="I203" s="101">
        <f t="shared" si="57"/>
        <v>0.35387295077152364</v>
      </c>
      <c r="J203" s="101">
        <f t="shared" si="58"/>
        <v>2.4755099663438588E-2</v>
      </c>
      <c r="K203" s="101">
        <f t="shared" si="59"/>
        <v>2.7739789320092849E-2</v>
      </c>
      <c r="L203" s="101">
        <f t="shared" si="66"/>
        <v>137.7191275036233</v>
      </c>
      <c r="M203" s="101">
        <f t="shared" si="60"/>
        <v>810.89898940750913</v>
      </c>
      <c r="N203" s="101">
        <f t="shared" si="61"/>
        <v>78.09132959598351</v>
      </c>
      <c r="O203" s="101">
        <f t="shared" si="62"/>
        <v>1.8640319428862051</v>
      </c>
      <c r="P203" s="101">
        <f t="shared" si="63"/>
        <v>1.8640319428862051</v>
      </c>
      <c r="Q203" s="101">
        <f t="shared" si="64"/>
        <v>0.12990822033994368</v>
      </c>
      <c r="R203" s="101">
        <f t="shared" si="65"/>
        <v>2.1717570207017568E-2</v>
      </c>
      <c r="S203" s="101">
        <f t="shared" si="67"/>
        <v>728.92797013520624</v>
      </c>
      <c r="T203" s="101">
        <f t="shared" si="68"/>
        <v>22.69249638100721</v>
      </c>
      <c r="U203" s="101">
        <f t="shared" si="69"/>
        <v>12.669340488574028</v>
      </c>
      <c r="V203" s="33">
        <f t="shared" si="70"/>
        <v>999.99999999999898</v>
      </c>
      <c r="W203" s="105">
        <f>IF(A203=1,((cPH1_+cPHr+(cNES*L203+(cNES+cOSEX)*G203+(cNES+cEREX)*H203+(cNES+cHOEX)*I203 + (cNES+cNES)*S203 +(cNES+ cOSEX)*N203 + (cNES+cEREX)*O203 + (cNES+cHOEX)*P203)))/(1+cDR)^A$5:A$65536,(cPHr+(cNES*L203+(cNES+cOSEX)*G203+(cNES+cEREX)*H203+(cNES+cHOEX)*I203 + (cNES+cNES)*S203 +(cNES+ cOSEX)*N203 + (cNES+cEREX)*O203 + (cNES+cHOEX)*P203))/(1+cDR)^A$5:A$65536)</f>
        <v>150901.4482292005</v>
      </c>
      <c r="X203" s="112">
        <f t="shared" si="71"/>
        <v>964.63816313041775</v>
      </c>
      <c r="Y203" s="32">
        <f>(uNES*L203+ uOCEX*G203+uEREX*'PH + UC'!H203+uHOEX*I203+uNES*S203+ uOCEX*N203+uEREX*O203+uHOEX*P203)/(1+oDR)^A$5:A$65536</f>
        <v>600.03770727900678</v>
      </c>
    </row>
    <row r="204" spans="1:25" x14ac:dyDescent="0.25">
      <c r="A204" s="4">
        <v>198</v>
      </c>
      <c r="C204" s="110">
        <f>IF(male=0,VLOOKUP(((A202:A1036/'Life tables'!$I$2)*2)+age,lifetable,13,1),IF(male=1,VLOOKUP(((A202:A1036/'Life tables'!$I$2)*2)+age,lifetable,10,1),"error"))</f>
        <v>1.4551982218569126E-4</v>
      </c>
      <c r="F204" s="101">
        <f t="shared" si="54"/>
        <v>153.90622470637655</v>
      </c>
      <c r="G204" s="101">
        <f t="shared" si="55"/>
        <v>15.460202379737186</v>
      </c>
      <c r="H204" s="101">
        <f t="shared" si="56"/>
        <v>0.35378773781839823</v>
      </c>
      <c r="I204" s="101">
        <f t="shared" si="57"/>
        <v>0.35378773781839823</v>
      </c>
      <c r="J204" s="101">
        <f t="shared" si="58"/>
        <v>2.4749138611194734E-2</v>
      </c>
      <c r="K204" s="101">
        <f t="shared" si="59"/>
        <v>2.7733109551656501E-2</v>
      </c>
      <c r="L204" s="101">
        <f t="shared" si="66"/>
        <v>137.6859646028397</v>
      </c>
      <c r="M204" s="101">
        <f t="shared" si="60"/>
        <v>810.73193842404123</v>
      </c>
      <c r="N204" s="101">
        <f t="shared" si="61"/>
        <v>78.075242224338297</v>
      </c>
      <c r="O204" s="101">
        <f t="shared" si="62"/>
        <v>1.8636479389925731</v>
      </c>
      <c r="P204" s="101">
        <f t="shared" si="63"/>
        <v>1.8636479389925731</v>
      </c>
      <c r="Q204" s="101">
        <f t="shared" si="64"/>
        <v>0.12988145831871561</v>
      </c>
      <c r="R204" s="101">
        <f t="shared" si="65"/>
        <v>2.1713096232442428E-2</v>
      </c>
      <c r="S204" s="101">
        <f t="shared" si="67"/>
        <v>728.77780576716668</v>
      </c>
      <c r="T204" s="101">
        <f t="shared" si="68"/>
        <v>22.847126977937119</v>
      </c>
      <c r="U204" s="101">
        <f t="shared" si="69"/>
        <v>12.718786694358126</v>
      </c>
      <c r="V204" s="33">
        <f t="shared" si="70"/>
        <v>999.99999999999909</v>
      </c>
      <c r="W204" s="105">
        <f>IF(A204=1,((cPH1_+cPHr+(cNES*L204+(cNES+cOSEX)*G204+(cNES+cEREX)*H204+(cNES+cHOEX)*I204 + (cNES+cNES)*S204 +(cNES+ cOSEX)*N204 + (cNES+cEREX)*O204 + (cNES+cHOEX)*P204)))/(1+cDR)^A$5:A$65536,(cPHr+(cNES*L204+(cNES+cOSEX)*G204+(cNES+cEREX)*H204+(cNES+cHOEX)*I204 + (cNES+cNES)*S204 +(cNES+ cOSEX)*N204 + (cNES+cEREX)*O204 + (cNES+cHOEX)*P204))/(1+cDR)^A$5:A$65536)</f>
        <v>150696.42048376065</v>
      </c>
      <c r="X204" s="112">
        <f t="shared" si="71"/>
        <v>964.43408632770388</v>
      </c>
      <c r="Y204" s="32">
        <f>(uNES*L204+ uOCEX*G204+uEREX*'PH + UC'!H204+uHOEX*I204+uNES*S204+ uOCEX*N204+uEREX*O204+uHOEX*P204)/(1+oDR)^A$5:A$65536</f>
        <v>599.73823899749527</v>
      </c>
    </row>
    <row r="205" spans="1:25" x14ac:dyDescent="0.25">
      <c r="A205" s="4">
        <v>199</v>
      </c>
      <c r="C205" s="110">
        <f>IF(male=0,VLOOKUP(((A203:A1037/'Life tables'!$I$2)*2)+age,lifetable,13,1),IF(male=1,VLOOKUP(((A203:A1037/'Life tables'!$I$2)*2)+age,lifetable,10,1),"error"))</f>
        <v>1.4551982218569126E-4</v>
      </c>
      <c r="F205" s="101">
        <f t="shared" si="54"/>
        <v>153.86936482449715</v>
      </c>
      <c r="G205" s="101">
        <f t="shared" si="55"/>
        <v>15.456499727458919</v>
      </c>
      <c r="H205" s="101">
        <f t="shared" si="56"/>
        <v>0.35370300716990599</v>
      </c>
      <c r="I205" s="101">
        <f t="shared" si="57"/>
        <v>0.35370300716990599</v>
      </c>
      <c r="J205" s="101">
        <f t="shared" si="58"/>
        <v>2.4743211298458908E-2</v>
      </c>
      <c r="K205" s="101">
        <f t="shared" si="59"/>
        <v>2.7726467590656077E-2</v>
      </c>
      <c r="L205" s="101">
        <f t="shared" si="66"/>
        <v>137.6529894038093</v>
      </c>
      <c r="M205" s="101">
        <f t="shared" si="60"/>
        <v>810.56472150320678</v>
      </c>
      <c r="N205" s="101">
        <f t="shared" si="61"/>
        <v>78.059138872565157</v>
      </c>
      <c r="O205" s="101">
        <f t="shared" si="62"/>
        <v>1.863263553654944</v>
      </c>
      <c r="P205" s="101">
        <f t="shared" si="63"/>
        <v>1.863263553654944</v>
      </c>
      <c r="Q205" s="101">
        <f t="shared" si="64"/>
        <v>0.12985466971387077</v>
      </c>
      <c r="R205" s="101">
        <f t="shared" si="65"/>
        <v>2.1708617813717704E-2</v>
      </c>
      <c r="S205" s="101">
        <f t="shared" si="67"/>
        <v>728.6274922358042</v>
      </c>
      <c r="T205" s="101">
        <f t="shared" si="68"/>
        <v>23.001724858949448</v>
      </c>
      <c r="U205" s="101">
        <f t="shared" si="69"/>
        <v>12.7682217797625</v>
      </c>
      <c r="V205" s="33">
        <f t="shared" si="70"/>
        <v>999.9999999999992</v>
      </c>
      <c r="W205" s="105">
        <f>IF(A205=1,((cPH1_+cPHr+(cNES*L205+(cNES+cOSEX)*G205+(cNES+cEREX)*H205+(cNES+cHOEX)*I205 + (cNES+cNES)*S205 +(cNES+ cOSEX)*N205 + (cNES+cEREX)*O205 + (cNES+cHOEX)*P205)))/(1+cDR)^A$5:A$65536,(cPHr+(cNES*L205+(cNES+cOSEX)*G205+(cNES+cEREX)*H205+(cNES+cHOEX)*I205 + (cNES+cNES)*S205 +(cNES+ cOSEX)*N205 + (cNES+cEREX)*O205 + (cNES+cHOEX)*P205))/(1+cDR)^A$5:A$65536)</f>
        <v>150491.65821310744</v>
      </c>
      <c r="X205" s="112">
        <f t="shared" si="71"/>
        <v>964.23005336128722</v>
      </c>
      <c r="Y205" s="32">
        <f>(uNES*L205+ uOCEX*G205+uEREX*'PH + UC'!H205+uHOEX*I205+uNES*S205+ uOCEX*N205+uEREX*O205+uHOEX*P205)/(1+oDR)^A$5:A$65536</f>
        <v>599.43892051035596</v>
      </c>
    </row>
    <row r="206" spans="1:25" x14ac:dyDescent="0.25">
      <c r="A206" s="4">
        <v>200</v>
      </c>
      <c r="C206" s="110">
        <f>IF(male=0,VLOOKUP(((A204:A1038/'Life tables'!$I$2)*2)+age,lifetable,13,1),IF(male=1,VLOOKUP(((A204:A1038/'Life tables'!$I$2)*2)+age,lifetable,10,1),"error"))</f>
        <v>1.4551982218569126E-4</v>
      </c>
      <c r="F206" s="101">
        <f t="shared" si="54"/>
        <v>153.83270565568853</v>
      </c>
      <c r="G206" s="101">
        <f t="shared" si="55"/>
        <v>15.452817237228679</v>
      </c>
      <c r="H206" s="101">
        <f t="shared" si="56"/>
        <v>0.35361873790511278</v>
      </c>
      <c r="I206" s="101">
        <f t="shared" si="57"/>
        <v>0.35361873790511278</v>
      </c>
      <c r="J206" s="101">
        <f t="shared" si="58"/>
        <v>2.4737316261712043E-2</v>
      </c>
      <c r="K206" s="101">
        <f t="shared" si="59"/>
        <v>2.7719861797117953E-2</v>
      </c>
      <c r="L206" s="101">
        <f t="shared" si="66"/>
        <v>137.62019376459079</v>
      </c>
      <c r="M206" s="101">
        <f t="shared" si="60"/>
        <v>810.3973477055988</v>
      </c>
      <c r="N206" s="101">
        <f t="shared" si="61"/>
        <v>78.043020413218841</v>
      </c>
      <c r="O206" s="101">
        <f t="shared" si="62"/>
        <v>1.8628788077011089</v>
      </c>
      <c r="P206" s="101">
        <f t="shared" si="63"/>
        <v>1.8628788077011089</v>
      </c>
      <c r="Q206" s="101">
        <f t="shared" si="64"/>
        <v>0.12982785597694074</v>
      </c>
      <c r="R206" s="101">
        <f t="shared" si="65"/>
        <v>2.1704135193505013E-2</v>
      </c>
      <c r="S206" s="101">
        <f t="shared" si="67"/>
        <v>728.47703768580732</v>
      </c>
      <c r="T206" s="101">
        <f t="shared" si="68"/>
        <v>23.156290031188099</v>
      </c>
      <c r="U206" s="101">
        <f t="shared" si="69"/>
        <v>12.817645776753123</v>
      </c>
      <c r="V206" s="33">
        <f t="shared" si="70"/>
        <v>999.99999999999932</v>
      </c>
      <c r="W206" s="105">
        <f>IF(A206=1,((cPH1_+cPHr+(cNES*L206+(cNES+cOSEX)*G206+(cNES+cEREX)*H206+(cNES+cHOEX)*I206 + (cNES+cNES)*S206 +(cNES+ cOSEX)*N206 + (cNES+cEREX)*O206 + (cNES+cHOEX)*P206)))/(1+cDR)^A$5:A$65536,(cPHr+(cNES*L206+(cNES+cOSEX)*G206+(cNES+cEREX)*H206+(cNES+cHOEX)*I206 + (cNES+cNES)*S206 +(cNES+ cOSEX)*N206 + (cNES+cEREX)*O206 + (cNES+cHOEX)*P206))/(1+cDR)^A$5:A$65536)</f>
        <v>150287.16167591044</v>
      </c>
      <c r="X206" s="112">
        <f t="shared" si="71"/>
        <v>964.02606419205813</v>
      </c>
      <c r="Y206" s="32">
        <f>(uNES*L206+ uOCEX*G206+uEREX*'PH + UC'!H206+uHOEX*I206+uNES*S206+ uOCEX*N206+uEREX*O206+uHOEX*P206)/(1+oDR)^A$5:A$65536</f>
        <v>599.1397517275467</v>
      </c>
    </row>
    <row r="207" spans="1:25" x14ac:dyDescent="0.25">
      <c r="A207" s="4">
        <v>201</v>
      </c>
      <c r="C207" s="110">
        <f>IF(male=0,VLOOKUP(((A205:A1039/'Life tables'!$I$2)*2)+age,lifetable,13,1),IF(male=1,VLOOKUP(((A205:A1039/'Life tables'!$I$2)*2)+age,lifetable,10,1),"error"))</f>
        <v>1.4551982218569126E-4</v>
      </c>
      <c r="F207" s="101">
        <f t="shared" si="54"/>
        <v>153.79623850688012</v>
      </c>
      <c r="G207" s="101">
        <f t="shared" si="55"/>
        <v>15.449154035809338</v>
      </c>
      <c r="H207" s="101">
        <f t="shared" si="56"/>
        <v>0.35353491004105964</v>
      </c>
      <c r="I207" s="101">
        <f t="shared" si="57"/>
        <v>0.35353491004105964</v>
      </c>
      <c r="J207" s="101">
        <f t="shared" si="58"/>
        <v>2.4731452103050906E-2</v>
      </c>
      <c r="K207" s="101">
        <f t="shared" si="59"/>
        <v>2.7713290604595563E-2</v>
      </c>
      <c r="L207" s="101">
        <f t="shared" si="66"/>
        <v>137.58756990828101</v>
      </c>
      <c r="M207" s="101">
        <f t="shared" si="60"/>
        <v>810.22982568517807</v>
      </c>
      <c r="N207" s="101">
        <f t="shared" si="61"/>
        <v>78.026887679694511</v>
      </c>
      <c r="O207" s="101">
        <f t="shared" si="62"/>
        <v>1.8624937210241244</v>
      </c>
      <c r="P207" s="101">
        <f t="shared" si="63"/>
        <v>1.8624937210241244</v>
      </c>
      <c r="Q207" s="101">
        <f t="shared" si="64"/>
        <v>0.12980101849431358</v>
      </c>
      <c r="R207" s="101">
        <f t="shared" si="65"/>
        <v>2.1699648603575525E-2</v>
      </c>
      <c r="S207" s="101">
        <f t="shared" si="67"/>
        <v>728.32644989633741</v>
      </c>
      <c r="T207" s="101">
        <f t="shared" si="68"/>
        <v>23.310822501785463</v>
      </c>
      <c r="U207" s="101">
        <f t="shared" si="69"/>
        <v>12.867058715961294</v>
      </c>
      <c r="V207" s="33">
        <f t="shared" si="70"/>
        <v>999.99999999999932</v>
      </c>
      <c r="W207" s="105">
        <f>IF(A207=1,((cPH1_+cPHr+(cNES*L207+(cNES+cOSEX)*G207+(cNES+cEREX)*H207+(cNES+cHOEX)*I207 + (cNES+cNES)*S207 +(cNES+ cOSEX)*N207 + (cNES+cEREX)*O207 + (cNES+cHOEX)*P207)))/(1+cDR)^A$5:A$65536,(cPHr+(cNES*L207+(cNES+cOSEX)*G207+(cNES+cEREX)*H207+(cNES+cHOEX)*I207 + (cNES+cNES)*S207 +(cNES+ cOSEX)*N207 + (cNES+cEREX)*O207 + (cNES+cHOEX)*P207))/(1+cDR)^A$5:A$65536)</f>
        <v>150082.93110201013</v>
      </c>
      <c r="X207" s="112">
        <f t="shared" si="71"/>
        <v>963.82211878225257</v>
      </c>
      <c r="Y207" s="32">
        <f>(uNES*L207+ uOCEX*G207+uEREX*'PH + UC'!H207+uHOEX*I207+uNES*S207+ uOCEX*N207+uEREX*O207+uHOEX*P207)/(1+oDR)^A$5:A$65536</f>
        <v>598.84073255976148</v>
      </c>
    </row>
    <row r="208" spans="1:25" x14ac:dyDescent="0.25">
      <c r="A208" s="4">
        <v>202</v>
      </c>
      <c r="C208" s="110">
        <f>IF(male=0,VLOOKUP(((A206:A1040/'Life tables'!$I$2)*2)+age,lifetable,13,1),IF(male=1,VLOOKUP(((A206:A1040/'Life tables'!$I$2)*2)+age,lifetable,10,1),"error"))</f>
        <v>1.4551982218569126E-4</v>
      </c>
      <c r="F208" s="101">
        <f t="shared" si="54"/>
        <v>153.75995507474585</v>
      </c>
      <c r="G208" s="101">
        <f t="shared" si="55"/>
        <v>15.44550928911441</v>
      </c>
      <c r="H208" s="101">
        <f t="shared" si="56"/>
        <v>0.35345150449070223</v>
      </c>
      <c r="I208" s="101">
        <f t="shared" si="57"/>
        <v>0.35345150449070223</v>
      </c>
      <c r="J208" s="101">
        <f t="shared" si="58"/>
        <v>2.4725617487245766E-2</v>
      </c>
      <c r="K208" s="101">
        <f t="shared" si="59"/>
        <v>2.7706752516872275E-2</v>
      </c>
      <c r="L208" s="101">
        <f t="shared" si="66"/>
        <v>137.55511040664592</v>
      </c>
      <c r="M208" s="101">
        <f t="shared" si="60"/>
        <v>810.0621637075069</v>
      </c>
      <c r="N208" s="101">
        <f t="shared" si="61"/>
        <v>78.010741467983721</v>
      </c>
      <c r="O208" s="101">
        <f t="shared" si="62"/>
        <v>1.8621083126242264</v>
      </c>
      <c r="P208" s="101">
        <f t="shared" si="63"/>
        <v>1.8621083126242264</v>
      </c>
      <c r="Q208" s="101">
        <f t="shared" si="64"/>
        <v>0.12977415859015479</v>
      </c>
      <c r="R208" s="101">
        <f t="shared" si="65"/>
        <v>2.1695158265298276E-2</v>
      </c>
      <c r="S208" s="101">
        <f t="shared" si="67"/>
        <v>728.17573629741923</v>
      </c>
      <c r="T208" s="101">
        <f t="shared" si="68"/>
        <v>23.465322277862864</v>
      </c>
      <c r="U208" s="101">
        <f t="shared" si="69"/>
        <v>12.916460626743465</v>
      </c>
      <c r="V208" s="33">
        <f t="shared" si="70"/>
        <v>999.99999999999955</v>
      </c>
      <c r="W208" s="105">
        <f>IF(A208=1,((cPH1_+cPHr+(cNES*L208+(cNES+cOSEX)*G208+(cNES+cEREX)*H208+(cNES+cHOEX)*I208 + (cNES+cNES)*S208 +(cNES+ cOSEX)*N208 + (cNES+cEREX)*O208 + (cNES+cHOEX)*P208)))/(1+cDR)^A$5:A$65536,(cPHr+(cNES*L208+(cNES+cOSEX)*G208+(cNES+cEREX)*H208+(cNES+cHOEX)*I208 + (cNES+cNES)*S208 +(cNES+ cOSEX)*N208 + (cNES+cEREX)*O208 + (cNES+cHOEX)*P208))/(1+cDR)^A$5:A$65536)</f>
        <v>149878.9666937656</v>
      </c>
      <c r="X208" s="112">
        <f t="shared" si="71"/>
        <v>963.61821709539311</v>
      </c>
      <c r="Y208" s="32">
        <f>(uNES*L208+ uOCEX*G208+uEREX*'PH + UC'!H208+uHOEX*I208+uNES*S208+ uOCEX*N208+uEREX*O208+uHOEX*P208)/(1+oDR)^A$5:A$65536</f>
        <v>598.54186291839608</v>
      </c>
    </row>
    <row r="209" spans="1:25" x14ac:dyDescent="0.25">
      <c r="A209" s="4">
        <v>203</v>
      </c>
      <c r="C209" s="110">
        <f>IF(male=0,VLOOKUP(((A207:A1041/'Life tables'!$I$2)*2)+age,lifetable,13,1),IF(male=1,VLOOKUP(((A207:A1041/'Life tables'!$I$2)*2)+age,lifetable,10,1),"error"))</f>
        <v>1.4551982218569126E-4</v>
      </c>
      <c r="F209" s="101">
        <f t="shared" si="54"/>
        <v>153.72384742822783</v>
      </c>
      <c r="G209" s="101">
        <f t="shared" si="55"/>
        <v>15.441882200452534</v>
      </c>
      <c r="H209" s="101">
        <f t="shared" si="56"/>
        <v>0.35336850302273737</v>
      </c>
      <c r="I209" s="101">
        <f t="shared" si="57"/>
        <v>0.35336850302273737</v>
      </c>
      <c r="J209" s="101">
        <f t="shared" si="58"/>
        <v>2.4719811138930074E-2</v>
      </c>
      <c r="K209" s="101">
        <f t="shared" si="59"/>
        <v>2.7700246104812289E-2</v>
      </c>
      <c r="L209" s="101">
        <f t="shared" si="66"/>
        <v>137.52280816448609</v>
      </c>
      <c r="M209" s="101">
        <f t="shared" si="60"/>
        <v>809.89436966716528</v>
      </c>
      <c r="N209" s="101">
        <f t="shared" si="61"/>
        <v>77.994582538351651</v>
      </c>
      <c r="O209" s="101">
        <f t="shared" si="62"/>
        <v>1.8617226006488652</v>
      </c>
      <c r="P209" s="101">
        <f t="shared" si="63"/>
        <v>1.8617226006488652</v>
      </c>
      <c r="Q209" s="101">
        <f t="shared" si="64"/>
        <v>0.12974727752919754</v>
      </c>
      <c r="R209" s="101">
        <f t="shared" si="65"/>
        <v>2.1690664390106616E-2</v>
      </c>
      <c r="S209" s="101">
        <f t="shared" si="67"/>
        <v>728.02490398559667</v>
      </c>
      <c r="T209" s="101">
        <f t="shared" si="68"/>
        <v>23.619789366530991</v>
      </c>
      <c r="U209" s="101">
        <f t="shared" si="69"/>
        <v>12.965851537238384</v>
      </c>
      <c r="V209" s="33">
        <f t="shared" si="70"/>
        <v>999.99999999999943</v>
      </c>
      <c r="W209" s="105">
        <f>IF(A209=1,((cPH1_+cPHr+(cNES*L209+(cNES+cOSEX)*G209+(cNES+cEREX)*H209+(cNES+cHOEX)*I209 + (cNES+cNES)*S209 +(cNES+ cOSEX)*N209 + (cNES+cEREX)*O209 + (cNES+cHOEX)*P209)))/(1+cDR)^A$5:A$65536,(cPHr+(cNES*L209+(cNES+cOSEX)*G209+(cNES+cEREX)*H209+(cNES+cHOEX)*I209 + (cNES+cNES)*S209 +(cNES+ cOSEX)*N209 + (cNES+cEREX)*O209 + (cNES+cHOEX)*P209))/(1+cDR)^A$5:A$65536)</f>
        <v>149675.26862733968</v>
      </c>
      <c r="X209" s="112">
        <f t="shared" si="71"/>
        <v>963.41435909623021</v>
      </c>
      <c r="Y209" s="32">
        <f>(uNES*L209+ uOCEX*G209+uEREX*'PH + UC'!H209+uHOEX*I209+uNES*S209+ uOCEX*N209+uEREX*O209+uHOEX*P209)/(1+oDR)^A$5:A$65536</f>
        <v>598.24314271551941</v>
      </c>
    </row>
    <row r="210" spans="1:25" x14ac:dyDescent="0.25">
      <c r="A210" s="4">
        <v>204</v>
      </c>
      <c r="C210" s="110">
        <f>IF(male=0,VLOOKUP(((A208:A1042/'Life tables'!$I$2)*2)+age,lifetable,13,1),IF(male=1,VLOOKUP(((A208:A1042/'Life tables'!$I$2)*2)+age,lifetable,10,1),"error"))</f>
        <v>1.4551982218569126E-4</v>
      </c>
      <c r="F210" s="101">
        <f t="shared" si="54"/>
        <v>153.68790799184305</v>
      </c>
      <c r="G210" s="101">
        <f t="shared" si="55"/>
        <v>15.438272008850587</v>
      </c>
      <c r="H210" s="101">
        <f t="shared" si="56"/>
        <v>0.35328588822323009</v>
      </c>
      <c r="I210" s="101">
        <f t="shared" si="57"/>
        <v>0.35328588822323009</v>
      </c>
      <c r="J210" s="101">
        <f t="shared" si="58"/>
        <v>2.4714031839916068E-2</v>
      </c>
      <c r="K210" s="101">
        <f t="shared" si="59"/>
        <v>2.769377000335255E-2</v>
      </c>
      <c r="L210" s="101">
        <f t="shared" si="66"/>
        <v>137.49065640470272</v>
      </c>
      <c r="M210" s="101">
        <f t="shared" si="60"/>
        <v>809.72645110438714</v>
      </c>
      <c r="N210" s="101">
        <f t="shared" si="61"/>
        <v>77.978411616939141</v>
      </c>
      <c r="O210" s="101">
        <f t="shared" si="62"/>
        <v>1.8613366024309481</v>
      </c>
      <c r="P210" s="101">
        <f t="shared" si="63"/>
        <v>1.8613366024309481</v>
      </c>
      <c r="Q210" s="101">
        <f t="shared" si="64"/>
        <v>0.12972037651940779</v>
      </c>
      <c r="R210" s="101">
        <f t="shared" si="65"/>
        <v>2.1686167179943781E-2</v>
      </c>
      <c r="S210" s="101">
        <f t="shared" si="67"/>
        <v>727.8739597388867</v>
      </c>
      <c r="T210" s="101">
        <f t="shared" si="68"/>
        <v>23.774223774890316</v>
      </c>
      <c r="U210" s="101">
        <f t="shared" si="69"/>
        <v>13.015231474421681</v>
      </c>
      <c r="V210" s="33">
        <f t="shared" si="70"/>
        <v>999.99999999999943</v>
      </c>
      <c r="W210" s="105">
        <f>IF(A210=1,((cPH1_+cPHr+(cNES*L210+(cNES+cOSEX)*G210+(cNES+cEREX)*H210+(cNES+cHOEX)*I210 + (cNES+cNES)*S210 +(cNES+ cOSEX)*N210 + (cNES+cEREX)*O210 + (cNES+cHOEX)*P210)))/(1+cDR)^A$5:A$65536,(cPHr+(cNES*L210+(cNES+cOSEX)*G210+(cNES+cEREX)*H210+(cNES+cHOEX)*I210 + (cNES+cNES)*S210 +(cNES+ cOSEX)*N210 + (cNES+cEREX)*O210 + (cNES+cHOEX)*P210))/(1+cDR)^A$5:A$65536)</f>
        <v>149471.83705392579</v>
      </c>
      <c r="X210" s="112">
        <f t="shared" si="71"/>
        <v>963.21054475068752</v>
      </c>
      <c r="Y210" s="32">
        <f>(uNES*L210+ uOCEX*G210+uEREX*'PH + UC'!H210+uHOEX*I210+uNES*S210+ uOCEX*N210+uEREX*O210+uHOEX*P210)/(1+oDR)^A$5:A$65536</f>
        <v>597.94457186384454</v>
      </c>
    </row>
    <row r="211" spans="1:25" x14ac:dyDescent="0.25">
      <c r="A211" s="4">
        <v>205</v>
      </c>
      <c r="C211" s="110">
        <f>IF(male=0,VLOOKUP(((A209:A1043/'Life tables'!$I$2)*2)+age,lifetable,13,1),IF(male=1,VLOOKUP(((A209:A1043/'Life tables'!$I$2)*2)+age,lifetable,10,1),"error"))</f>
        <v>1.4551982218569126E-4</v>
      </c>
      <c r="F211" s="101">
        <f t="shared" si="54"/>
        <v>153.65212952973883</v>
      </c>
      <c r="G211" s="101">
        <f t="shared" si="55"/>
        <v>15.434677987452023</v>
      </c>
      <c r="H211" s="101">
        <f t="shared" si="56"/>
        <v>0.35320364345896132</v>
      </c>
      <c r="I211" s="101">
        <f t="shared" si="57"/>
        <v>0.35320364345896132</v>
      </c>
      <c r="J211" s="101">
        <f t="shared" si="58"/>
        <v>2.4708278426630786E-2</v>
      </c>
      <c r="K211" s="101">
        <f t="shared" si="59"/>
        <v>2.7687322908629651E-2</v>
      </c>
      <c r="L211" s="101">
        <f t="shared" si="66"/>
        <v>137.45864865403362</v>
      </c>
      <c r="M211" s="101">
        <f t="shared" si="60"/>
        <v>809.55841522094863</v>
      </c>
      <c r="N211" s="101">
        <f t="shared" si="61"/>
        <v>77.962229397292845</v>
      </c>
      <c r="O211" s="101">
        <f t="shared" si="62"/>
        <v>1.860950334525362</v>
      </c>
      <c r="P211" s="101">
        <f t="shared" si="63"/>
        <v>1.860950334525362</v>
      </c>
      <c r="Q211" s="101">
        <f t="shared" si="64"/>
        <v>0.12969345671452961</v>
      </c>
      <c r="R211" s="101">
        <f t="shared" si="65"/>
        <v>2.1681666827688392E-2</v>
      </c>
      <c r="S211" s="101">
        <f t="shared" si="67"/>
        <v>727.72291003106284</v>
      </c>
      <c r="T211" s="101">
        <f t="shared" si="68"/>
        <v>23.928625510031477</v>
      </c>
      <c r="U211" s="101">
        <f t="shared" si="69"/>
        <v>13.064600464157998</v>
      </c>
      <c r="V211" s="33">
        <f t="shared" si="70"/>
        <v>999.99999999999955</v>
      </c>
      <c r="W211" s="105">
        <f>IF(A211=1,((cPH1_+cPHr+(cNES*L211+(cNES+cOSEX)*G211+(cNES+cEREX)*H211+(cNES+cHOEX)*I211 + (cNES+cNES)*S211 +(cNES+ cOSEX)*N211 + (cNES+cEREX)*O211 + (cNES+cHOEX)*P211)))/(1+cDR)^A$5:A$65536,(cPHr+(cNES*L211+(cNES+cOSEX)*G211+(cNES+cEREX)*H211+(cNES+cHOEX)*I211 + (cNES+cNES)*S211 +(cNES+ cOSEX)*N211 + (cNES+cEREX)*O211 + (cNES+cHOEX)*P211))/(1+cDR)^A$5:A$65536)</f>
        <v>149268.67210091738</v>
      </c>
      <c r="X211" s="112">
        <f t="shared" si="71"/>
        <v>963.00677402581005</v>
      </c>
      <c r="Y211" s="32">
        <f>(uNES*L211+ uOCEX*G211+uEREX*'PH + UC'!H211+uHOEX*I211+uNES*S211+ uOCEX*N211+uEREX*O211+uHOEX*P211)/(1+oDR)^A$5:A$65536</f>
        <v>597.64615027670175</v>
      </c>
    </row>
    <row r="212" spans="1:25" x14ac:dyDescent="0.25">
      <c r="A212" s="4">
        <v>206</v>
      </c>
      <c r="C212" s="110">
        <f>IF(male=0,VLOOKUP(((A210:A1044/'Life tables'!$I$2)*2)+age,lifetable,13,1),IF(male=1,VLOOKUP(((A210:A1044/'Life tables'!$I$2)*2)+age,lifetable,10,1),"error"))</f>
        <v>1.4551982218569126E-4</v>
      </c>
      <c r="F212" s="101">
        <f t="shared" si="54"/>
        <v>153.61650513046365</v>
      </c>
      <c r="G212" s="101">
        <f t="shared" si="55"/>
        <v>15.431099441987071</v>
      </c>
      <c r="H212" s="101">
        <f t="shared" si="56"/>
        <v>0.35312175284242031</v>
      </c>
      <c r="I212" s="101">
        <f t="shared" si="57"/>
        <v>0.35312175284242031</v>
      </c>
      <c r="J212" s="101">
        <f t="shared" si="58"/>
        <v>2.4702549787667137E-2</v>
      </c>
      <c r="K212" s="101">
        <f t="shared" si="59"/>
        <v>2.7680903575235595E-2</v>
      </c>
      <c r="L212" s="101">
        <f t="shared" si="66"/>
        <v>137.42677872942883</v>
      </c>
      <c r="M212" s="101">
        <f t="shared" si="60"/>
        <v>809.39026889534637</v>
      </c>
      <c r="N212" s="101">
        <f t="shared" si="61"/>
        <v>77.946036541826899</v>
      </c>
      <c r="O212" s="101">
        <f t="shared" si="62"/>
        <v>1.8605638127438628</v>
      </c>
      <c r="P212" s="101">
        <f t="shared" si="63"/>
        <v>1.8605638127438628</v>
      </c>
      <c r="Q212" s="101">
        <f t="shared" si="64"/>
        <v>0.12966651921651695</v>
      </c>
      <c r="R212" s="101">
        <f t="shared" si="65"/>
        <v>2.1677163517560966E-2</v>
      </c>
      <c r="S212" s="101">
        <f t="shared" si="67"/>
        <v>727.57176104529765</v>
      </c>
      <c r="T212" s="101">
        <f t="shared" si="68"/>
        <v>24.08299457903566</v>
      </c>
      <c r="U212" s="101">
        <f t="shared" si="69"/>
        <v>13.113958531250795</v>
      </c>
      <c r="V212" s="33">
        <f t="shared" si="70"/>
        <v>999.99999999999943</v>
      </c>
      <c r="W212" s="105">
        <f>IF(A212=1,((cPH1_+cPHr+(cNES*L212+(cNES+cOSEX)*G212+(cNES+cEREX)*H212+(cNES+cHOEX)*I212 + (cNES+cNES)*S212 +(cNES+ cOSEX)*N212 + (cNES+cEREX)*O212 + (cNES+cHOEX)*P212)))/(1+cDR)^A$5:A$65536,(cPHr+(cNES*L212+(cNES+cOSEX)*G212+(cNES+cEREX)*H212+(cNES+cHOEX)*I212 + (cNES+cNES)*S212 +(cNES+ cOSEX)*N212 + (cNES+cEREX)*O212 + (cNES+cHOEX)*P212))/(1+cDR)^A$5:A$65536)</f>
        <v>149065.77387302503</v>
      </c>
      <c r="X212" s="112">
        <f t="shared" si="71"/>
        <v>962.80304688971296</v>
      </c>
      <c r="Y212" s="32">
        <f>(uNES*L212+ uOCEX*G212+uEREX*'PH + UC'!H212+uHOEX*I212+uNES*S212+ uOCEX*N212+uEREX*O212+uHOEX*P212)/(1+oDR)^A$5:A$65536</f>
        <v>597.34787786801235</v>
      </c>
    </row>
    <row r="213" spans="1:25" x14ac:dyDescent="0.25">
      <c r="A213" s="4">
        <v>207</v>
      </c>
      <c r="C213" s="110">
        <f>IF(male=0,VLOOKUP(((A211:A1045/'Life tables'!$I$2)*2)+age,lifetable,13,1),IF(male=1,VLOOKUP(((A211:A1045/'Life tables'!$I$2)*2)+age,lifetable,10,1),"error"))</f>
        <v>1.4551982218569126E-4</v>
      </c>
      <c r="F213" s="101">
        <f t="shared" si="54"/>
        <v>153.58102819242023</v>
      </c>
      <c r="G213" s="101">
        <f t="shared" si="55"/>
        <v>15.427535709311469</v>
      </c>
      <c r="H213" s="101">
        <f t="shared" si="56"/>
        <v>0.35304020119836532</v>
      </c>
      <c r="I213" s="101">
        <f t="shared" si="57"/>
        <v>0.35304020119836532</v>
      </c>
      <c r="J213" s="101">
        <f t="shared" si="58"/>
        <v>2.4696844861444609E-2</v>
      </c>
      <c r="K213" s="101">
        <f t="shared" si="59"/>
        <v>2.7674510813596533E-2</v>
      </c>
      <c r="L213" s="101">
        <f t="shared" si="66"/>
        <v>137.39504072503701</v>
      </c>
      <c r="M213" s="101">
        <f t="shared" si="60"/>
        <v>809.2220186972927</v>
      </c>
      <c r="N213" s="101">
        <f t="shared" si="61"/>
        <v>77.929833683218831</v>
      </c>
      <c r="O213" s="101">
        <f t="shared" si="62"/>
        <v>1.8601770521883982</v>
      </c>
      <c r="P213" s="101">
        <f t="shared" si="63"/>
        <v>1.8601770521883982</v>
      </c>
      <c r="Q213" s="101">
        <f t="shared" si="64"/>
        <v>0.1296395650778554</v>
      </c>
      <c r="R213" s="101">
        <f t="shared" si="65"/>
        <v>2.1672657425512134E-2</v>
      </c>
      <c r="S213" s="101">
        <f t="shared" si="67"/>
        <v>727.42051868719363</v>
      </c>
      <c r="T213" s="101">
        <f t="shared" si="68"/>
        <v>24.237330988974961</v>
      </c>
      <c r="U213" s="101">
        <f t="shared" si="69"/>
        <v>13.163305699489904</v>
      </c>
      <c r="V213" s="33">
        <f t="shared" si="70"/>
        <v>999.99999999999932</v>
      </c>
      <c r="W213" s="105">
        <f>IF(A213=1,((cPH1_+cPHr+(cNES*L213+(cNES+cOSEX)*G213+(cNES+cEREX)*H213+(cNES+cHOEX)*I213 + (cNES+cNES)*S213 +(cNES+ cOSEX)*N213 + (cNES+cEREX)*O213 + (cNES+cHOEX)*P213)))/(1+cDR)^A$5:A$65536,(cPHr+(cNES*L213+(cNES+cOSEX)*G213+(cNES+cEREX)*H213+(cNES+cHOEX)*I213 + (cNES+cNES)*S213 +(cNES+ cOSEX)*N213 + (cNES+cEREX)*O213 + (cNES+cHOEX)*P213))/(1+cDR)^A$5:A$65536)</f>
        <v>148863.14245334046</v>
      </c>
      <c r="X213" s="112">
        <f t="shared" si="71"/>
        <v>962.59936331153449</v>
      </c>
      <c r="Y213" s="32">
        <f>(uNES*L213+ uOCEX*G213+uEREX*'PH + UC'!H213+uHOEX*I213+uNES*S213+ uOCEX*N213+uEREX*O213+uHOEX*P213)/(1+oDR)^A$5:A$65536</f>
        <v>597.0497545522619</v>
      </c>
    </row>
    <row r="214" spans="1:25" x14ac:dyDescent="0.25">
      <c r="A214" s="4">
        <v>208</v>
      </c>
      <c r="C214" s="110">
        <f>IF(male=0,VLOOKUP(((A212:A1046/'Life tables'!$I$2)*2)+age,lifetable,13,1),IF(male=1,VLOOKUP(((A212:A1046/'Life tables'!$I$2)*2)+age,lifetable,10,1),"error"))</f>
        <v>1.4551982218569126E-4</v>
      </c>
      <c r="F214" s="101">
        <f t="shared" si="54"/>
        <v>153.54569240997154</v>
      </c>
      <c r="G214" s="101">
        <f t="shared" si="55"/>
        <v>15.423986156010779</v>
      </c>
      <c r="H214" s="101">
        <f t="shared" si="56"/>
        <v>0.35295897403188509</v>
      </c>
      <c r="I214" s="101">
        <f t="shared" si="57"/>
        <v>0.35295897403188509</v>
      </c>
      <c r="J214" s="101">
        <f t="shared" si="58"/>
        <v>2.469116263397508E-2</v>
      </c>
      <c r="K214" s="101">
        <f t="shared" si="59"/>
        <v>2.7668143487469134E-2</v>
      </c>
      <c r="L214" s="101">
        <f t="shared" si="66"/>
        <v>137.36342899977555</v>
      </c>
      <c r="M214" s="101">
        <f t="shared" si="60"/>
        <v>809.0536709015629</v>
      </c>
      <c r="N214" s="101">
        <f t="shared" si="61"/>
        <v>77.913621425743088</v>
      </c>
      <c r="O214" s="101">
        <f t="shared" si="62"/>
        <v>1.8597900672829366</v>
      </c>
      <c r="P214" s="101">
        <f t="shared" si="63"/>
        <v>1.8597900672829366</v>
      </c>
      <c r="Q214" s="101">
        <f t="shared" si="64"/>
        <v>0.12961259530378111</v>
      </c>
      <c r="R214" s="101">
        <f t="shared" si="65"/>
        <v>2.1668148719593498E-2</v>
      </c>
      <c r="S214" s="101">
        <f t="shared" si="67"/>
        <v>727.2691885972306</v>
      </c>
      <c r="T214" s="101">
        <f t="shared" si="68"/>
        <v>24.391634746912718</v>
      </c>
      <c r="U214" s="101">
        <f t="shared" si="69"/>
        <v>13.212641991696966</v>
      </c>
      <c r="V214" s="33">
        <f t="shared" si="70"/>
        <v>999.99999999999932</v>
      </c>
      <c r="W214" s="105">
        <f>IF(A214=1,((cPH1_+cPHr+(cNES*L214+(cNES+cOSEX)*G214+(cNES+cEREX)*H214+(cNES+cHOEX)*I214 + (cNES+cNES)*S214 +(cNES+ cOSEX)*N214 + (cNES+cEREX)*O214 + (cNES+cHOEX)*P214)))/(1+cDR)^A$5:A$65536,(cPHr+(cNES*L214+(cNES+cOSEX)*G214+(cNES+cEREX)*H214+(cNES+cHOEX)*I214 + (cNES+cNES)*S214 +(cNES+ cOSEX)*N214 + (cNES+cEREX)*O214 + (cNES+cHOEX)*P214))/(1+cDR)^A$5:A$65536)</f>
        <v>148660.77790435345</v>
      </c>
      <c r="X214" s="112">
        <f t="shared" si="71"/>
        <v>962.39572326138966</v>
      </c>
      <c r="Y214" s="32">
        <f>(uNES*L214+ uOCEX*G214+uEREX*'PH + UC'!H214+uHOEX*I214+uNES*S214+ uOCEX*N214+uEREX*O214+uHOEX*P214)/(1+oDR)^A$5:A$65536</f>
        <v>596.75178024447894</v>
      </c>
    </row>
    <row r="215" spans="1:25" x14ac:dyDescent="0.25">
      <c r="A215" s="4">
        <v>209</v>
      </c>
      <c r="C215" s="110">
        <f>IF(male=0,VLOOKUP(((A213:A1047/'Life tables'!$I$2)*2)+age,lifetable,13,1),IF(male=1,VLOOKUP(((A213:A1047/'Life tables'!$I$2)*2)+age,lifetable,10,1),"error"))</f>
        <v>1.6015111386780134E-4</v>
      </c>
      <c r="F215" s="101">
        <f t="shared" si="54"/>
        <v>153.51049176016929</v>
      </c>
      <c r="G215" s="101">
        <f t="shared" si="55"/>
        <v>15.420450177067243</v>
      </c>
      <c r="H215" s="101">
        <f t="shared" si="56"/>
        <v>0.35287805749789153</v>
      </c>
      <c r="I215" s="101">
        <f t="shared" si="57"/>
        <v>0.35287805749789153</v>
      </c>
      <c r="J215" s="101">
        <f t="shared" si="58"/>
        <v>2.7167506145920891E-2</v>
      </c>
      <c r="K215" s="101">
        <f t="shared" si="59"/>
        <v>2.7661800511549102E-2</v>
      </c>
      <c r="L215" s="101">
        <f t="shared" si="66"/>
        <v>137.32945616144877</v>
      </c>
      <c r="M215" s="101">
        <f t="shared" si="60"/>
        <v>808.88523150122023</v>
      </c>
      <c r="N215" s="101">
        <f t="shared" si="61"/>
        <v>77.897400346544643</v>
      </c>
      <c r="O215" s="101">
        <f t="shared" si="62"/>
        <v>1.8594028718038687</v>
      </c>
      <c r="P215" s="101">
        <f t="shared" si="63"/>
        <v>1.8594028718038687</v>
      </c>
      <c r="Q215" s="101">
        <f t="shared" si="64"/>
        <v>0.14261479713113673</v>
      </c>
      <c r="R215" s="101">
        <f t="shared" si="65"/>
        <v>2.1663637560311817E-2</v>
      </c>
      <c r="S215" s="101">
        <f t="shared" si="67"/>
        <v>727.10474697637642</v>
      </c>
      <c r="T215" s="101">
        <f t="shared" si="68"/>
        <v>24.561417050189775</v>
      </c>
      <c r="U215" s="101">
        <f t="shared" si="69"/>
        <v>13.261967429768827</v>
      </c>
      <c r="V215" s="33">
        <f t="shared" si="70"/>
        <v>999.99999999999909</v>
      </c>
      <c r="W215" s="105">
        <f>IF(A215=1,((cPH1_+cPHr+(cNES*L215+(cNES+cOSEX)*G215+(cNES+cEREX)*H215+(cNES+cHOEX)*I215 + (cNES+cNES)*S215 +(cNES+ cOSEX)*N215 + (cNES+cEREX)*O215 + (cNES+cHOEX)*P215)))/(1+cDR)^A$5:A$65536,(cPHr+(cNES*L215+(cNES+cOSEX)*G215+(cNES+cEREX)*H215+(cNES+cHOEX)*I215 + (cNES+cNES)*S215 +(cNES+ cOSEX)*N215 + (cNES+cEREX)*O215 + (cNES+cHOEX)*P215))/(1+cDR)^A$5:A$65536)</f>
        <v>148456.60570491356</v>
      </c>
      <c r="X215" s="112">
        <f t="shared" si="71"/>
        <v>962.17661552004051</v>
      </c>
      <c r="Y215" s="32">
        <f>(uNES*L215+ uOCEX*G215+uEREX*'PH + UC'!H215+uHOEX*I215+uNES*S215+ uOCEX*N215+uEREX*O215+uHOEX*P215)/(1+oDR)^A$5:A$65536</f>
        <v>596.44418330235374</v>
      </c>
    </row>
    <row r="216" spans="1:25" x14ac:dyDescent="0.25">
      <c r="A216" s="4">
        <v>210</v>
      </c>
      <c r="C216" s="110">
        <f>IF(male=0,VLOOKUP(((A214:A1048/'Life tables'!$I$2)*2)+age,lifetable,13,1),IF(male=1,VLOOKUP(((A214:A1048/'Life tables'!$I$2)*2)+age,lifetable,10,1),"error"))</f>
        <v>1.6015111386780134E-4</v>
      </c>
      <c r="F216" s="101">
        <f t="shared" si="54"/>
        <v>153.47293857076303</v>
      </c>
      <c r="G216" s="101">
        <f t="shared" si="55"/>
        <v>15.41667788059689</v>
      </c>
      <c r="H216" s="101">
        <f t="shared" si="56"/>
        <v>0.3527917331276248</v>
      </c>
      <c r="I216" s="101">
        <f t="shared" si="57"/>
        <v>0.3527917331276248</v>
      </c>
      <c r="J216" s="101">
        <f t="shared" si="58"/>
        <v>2.7160860173438526E-2</v>
      </c>
      <c r="K216" s="101">
        <f t="shared" si="59"/>
        <v>2.7655033620100723E-2</v>
      </c>
      <c r="L216" s="101">
        <f t="shared" si="66"/>
        <v>137.29586133011736</v>
      </c>
      <c r="M216" s="101">
        <f t="shared" si="60"/>
        <v>808.70367694927768</v>
      </c>
      <c r="N216" s="101">
        <f t="shared" si="61"/>
        <v>77.879916249831496</v>
      </c>
      <c r="O216" s="101">
        <f t="shared" si="62"/>
        <v>1.8589855282276426</v>
      </c>
      <c r="P216" s="101">
        <f t="shared" si="63"/>
        <v>1.8589855282276426</v>
      </c>
      <c r="Q216" s="101">
        <f t="shared" si="64"/>
        <v>0.14258278719377454</v>
      </c>
      <c r="R216" s="101">
        <f t="shared" si="65"/>
        <v>2.1658775149851671E-2</v>
      </c>
      <c r="S216" s="101">
        <f t="shared" si="67"/>
        <v>726.94154808064729</v>
      </c>
      <c r="T216" s="101">
        <f t="shared" si="68"/>
        <v>24.731160697556987</v>
      </c>
      <c r="U216" s="101">
        <f t="shared" si="69"/>
        <v>13.311281238538779</v>
      </c>
      <c r="V216" s="33">
        <f t="shared" si="70"/>
        <v>999.99999999999932</v>
      </c>
      <c r="W216" s="105">
        <f>IF(A216=1,((cPH1_+cPHr+(cNES*L216+(cNES+cOSEX)*G216+(cNES+cEREX)*H216+(cNES+cHOEX)*I216 + (cNES+cNES)*S216 +(cNES+ cOSEX)*N216 + (cNES+cEREX)*O216 + (cNES+cHOEX)*P216)))/(1+cDR)^A$5:A$65536,(cPHr+(cNES*L216+(cNES+cOSEX)*G216+(cNES+cEREX)*H216+(cNES+cHOEX)*I216 + (cNES+cNES)*S216 +(cNES+ cOSEX)*N216 + (cNES+cEREX)*O216 + (cNES+cHOEX)*P216))/(1+cDR)^A$5:A$65536)</f>
        <v>148252.38868137772</v>
      </c>
      <c r="X216" s="112">
        <f t="shared" si="71"/>
        <v>961.95755806390355</v>
      </c>
      <c r="Y216" s="32">
        <f>(uNES*L216+ uOCEX*G216+uEREX*'PH + UC'!H216+uHOEX*I216+uNES*S216+ uOCEX*N216+uEREX*O216+uHOEX*P216)/(1+oDR)^A$5:A$65536</f>
        <v>596.13690135176091</v>
      </c>
    </row>
    <row r="217" spans="1:25" x14ac:dyDescent="0.25">
      <c r="A217" s="4">
        <v>211</v>
      </c>
      <c r="C217" s="110">
        <f>IF(male=0,VLOOKUP(((A215:A1049/'Life tables'!$I$2)*2)+age,lifetable,13,1),IF(male=1,VLOOKUP(((A215:A1049/'Life tables'!$I$2)*2)+age,lifetable,10,1),"error"))</f>
        <v>1.6015111386780134E-4</v>
      </c>
      <c r="F217" s="101">
        <f t="shared" si="54"/>
        <v>153.43551078425719</v>
      </c>
      <c r="G217" s="101">
        <f t="shared" si="55"/>
        <v>15.412918181110335</v>
      </c>
      <c r="H217" s="101">
        <f t="shared" si="56"/>
        <v>0.35270569702385635</v>
      </c>
      <c r="I217" s="101">
        <f t="shared" si="57"/>
        <v>0.35270569702385635</v>
      </c>
      <c r="J217" s="101">
        <f t="shared" si="58"/>
        <v>2.7154236394123722E-2</v>
      </c>
      <c r="K217" s="101">
        <f t="shared" si="59"/>
        <v>2.7648289325609563E-2</v>
      </c>
      <c r="L217" s="101">
        <f t="shared" si="66"/>
        <v>137.26237868337941</v>
      </c>
      <c r="M217" s="101">
        <f t="shared" si="60"/>
        <v>808.52204727964647</v>
      </c>
      <c r="N217" s="101">
        <f t="shared" si="61"/>
        <v>77.862424919122176</v>
      </c>
      <c r="O217" s="101">
        <f t="shared" si="62"/>
        <v>1.8585680119766781</v>
      </c>
      <c r="P217" s="101">
        <f t="shared" si="63"/>
        <v>1.8585680119766781</v>
      </c>
      <c r="Q217" s="101">
        <f t="shared" si="64"/>
        <v>0.14255076401239025</v>
      </c>
      <c r="R217" s="101">
        <f t="shared" si="65"/>
        <v>2.1653910727582784E-2</v>
      </c>
      <c r="S217" s="101">
        <f t="shared" si="67"/>
        <v>726.77828166183099</v>
      </c>
      <c r="T217" s="101">
        <f t="shared" si="68"/>
        <v>24.9008656979635</v>
      </c>
      <c r="U217" s="101">
        <f t="shared" si="69"/>
        <v>13.360583438591972</v>
      </c>
      <c r="V217" s="33">
        <f t="shared" si="70"/>
        <v>999.99999999999943</v>
      </c>
      <c r="W217" s="105">
        <f>IF(A217=1,((cPH1_+cPHr+(cNES*L217+(cNES+cOSEX)*G217+(cNES+cEREX)*H217+(cNES+cHOEX)*I217 + (cNES+cNES)*S217 +(cNES+ cOSEX)*N217 + (cNES+cEREX)*O217 + (cNES+cHOEX)*P217)))/(1+cDR)^A$5:A$65536,(cPHr+(cNES*L217+(cNES+cOSEX)*G217+(cNES+cEREX)*H217+(cNES+cHOEX)*I217 + (cNES+cNES)*S217 +(cNES+ cOSEX)*N217 + (cNES+cEREX)*O217 + (cNES+cHOEX)*P217))/(1+cDR)^A$5:A$65536)</f>
        <v>148048.44511078356</v>
      </c>
      <c r="X217" s="112">
        <f t="shared" si="71"/>
        <v>961.73855086344395</v>
      </c>
      <c r="Y217" s="32">
        <f>(uNES*L217+ uOCEX*G217+uEREX*'PH + UC'!H217+uHOEX*I217+uNES*S217+ uOCEX*N217+uEREX*O217+uHOEX*P217)/(1+oDR)^A$5:A$65536</f>
        <v>595.82977790287157</v>
      </c>
    </row>
    <row r="218" spans="1:25" x14ac:dyDescent="0.25">
      <c r="A218" s="4">
        <v>212</v>
      </c>
      <c r="C218" s="110">
        <f>IF(male=0,VLOOKUP(((A216:A1050/'Life tables'!$I$2)*2)+age,lifetable,13,1),IF(male=1,VLOOKUP(((A216:A1050/'Life tables'!$I$2)*2)+age,lifetable,10,1),"error"))</f>
        <v>1.6015111386780134E-4</v>
      </c>
      <c r="F218" s="101">
        <f t="shared" si="54"/>
        <v>153.39820313041926</v>
      </c>
      <c r="G218" s="101">
        <f t="shared" si="55"/>
        <v>15.409170549201699</v>
      </c>
      <c r="H218" s="101">
        <f t="shared" si="56"/>
        <v>0.35261993707178285</v>
      </c>
      <c r="I218" s="101">
        <f t="shared" si="57"/>
        <v>0.35261993707178285</v>
      </c>
      <c r="J218" s="101">
        <f t="shared" si="58"/>
        <v>2.7147633875277549E-2</v>
      </c>
      <c r="K218" s="101">
        <f t="shared" si="59"/>
        <v>2.7641566678406851E-2</v>
      </c>
      <c r="L218" s="101">
        <f t="shared" si="66"/>
        <v>137.22900350652031</v>
      </c>
      <c r="M218" s="101">
        <f t="shared" si="60"/>
        <v>808.34034773302471</v>
      </c>
      <c r="N218" s="101">
        <f t="shared" si="61"/>
        <v>77.844926859107275</v>
      </c>
      <c r="O218" s="101">
        <f t="shared" si="62"/>
        <v>1.8581503350978865</v>
      </c>
      <c r="P218" s="101">
        <f t="shared" si="63"/>
        <v>1.8581503350978865</v>
      </c>
      <c r="Q218" s="101">
        <f t="shared" si="64"/>
        <v>0.14251872851097283</v>
      </c>
      <c r="R218" s="101">
        <f t="shared" si="65"/>
        <v>2.1649044433862001E-2</v>
      </c>
      <c r="S218" s="101">
        <f t="shared" si="67"/>
        <v>726.61495243077684</v>
      </c>
      <c r="T218" s="101">
        <f t="shared" si="68"/>
        <v>25.070532060349752</v>
      </c>
      <c r="U218" s="101">
        <f t="shared" si="69"/>
        <v>13.409874049704241</v>
      </c>
      <c r="V218" s="33">
        <f t="shared" si="70"/>
        <v>999.99999999999955</v>
      </c>
      <c r="W218" s="105">
        <f>IF(A218=1,((cPH1_+cPHr+(cNES*L218+(cNES+cOSEX)*G218+(cNES+cEREX)*H218+(cNES+cHOEX)*I218 + (cNES+cNES)*S218 +(cNES+ cOSEX)*N218 + (cNES+cEREX)*O218 + (cNES+cHOEX)*P218)))/(1+cDR)^A$5:A$65536,(cPHr+(cNES*L218+(cNES+cOSEX)*G218+(cNES+cEREX)*H218+(cNES+cHOEX)*I218 + (cNES+cNES)*S218 +(cNES+ cOSEX)*N218 + (cNES+cEREX)*O218 + (cNES+cHOEX)*P218))/(1+cDR)^A$5:A$65536)</f>
        <v>147844.7749704929</v>
      </c>
      <c r="X218" s="112">
        <f t="shared" si="71"/>
        <v>961.51959388994544</v>
      </c>
      <c r="Y218" s="32">
        <f>(uNES*L218+ uOCEX*G218+uEREX*'PH + UC'!H218+uHOEX*I218+uNES*S218+ uOCEX*N218+uEREX*O218+uHOEX*P218)/(1+oDR)^A$5:A$65536</f>
        <v>595.52281286520827</v>
      </c>
    </row>
    <row r="219" spans="1:25" x14ac:dyDescent="0.25">
      <c r="A219" s="4">
        <v>213</v>
      </c>
      <c r="C219" s="110">
        <f>IF(male=0,VLOOKUP(((A217:A1051/'Life tables'!$I$2)*2)+age,lifetable,13,1),IF(male=1,VLOOKUP(((A217:A1051/'Life tables'!$I$2)*2)+age,lifetable,10,1),"error"))</f>
        <v>1.6015111386780134E-4</v>
      </c>
      <c r="F219" s="101">
        <f t="shared" si="54"/>
        <v>153.36101057534205</v>
      </c>
      <c r="G219" s="101">
        <f t="shared" si="55"/>
        <v>15.405434479204462</v>
      </c>
      <c r="H219" s="101">
        <f t="shared" si="56"/>
        <v>0.35253444169984738</v>
      </c>
      <c r="I219" s="101">
        <f t="shared" si="57"/>
        <v>0.35253444169984738</v>
      </c>
      <c r="J219" s="101">
        <f t="shared" si="58"/>
        <v>2.7141051726024708E-2</v>
      </c>
      <c r="K219" s="101">
        <f t="shared" si="59"/>
        <v>2.7634864771408415E-2</v>
      </c>
      <c r="L219" s="101">
        <f t="shared" si="66"/>
        <v>137.19573129624047</v>
      </c>
      <c r="M219" s="101">
        <f t="shared" si="60"/>
        <v>808.15858331460345</v>
      </c>
      <c r="N219" s="101">
        <f t="shared" si="61"/>
        <v>77.827422551797511</v>
      </c>
      <c r="O219" s="101">
        <f t="shared" si="62"/>
        <v>1.8577325090968146</v>
      </c>
      <c r="P219" s="101">
        <f t="shared" si="63"/>
        <v>1.8577325090968146</v>
      </c>
      <c r="Q219" s="101">
        <f t="shared" si="64"/>
        <v>0.14248668157198907</v>
      </c>
      <c r="R219" s="101">
        <f t="shared" si="65"/>
        <v>2.1644176402738809E-2</v>
      </c>
      <c r="S219" s="101">
        <f t="shared" si="67"/>
        <v>726.45156488663758</v>
      </c>
      <c r="T219" s="101">
        <f t="shared" si="68"/>
        <v>25.240159793647766</v>
      </c>
      <c r="U219" s="101">
        <f t="shared" si="69"/>
        <v>13.459153090878388</v>
      </c>
      <c r="V219" s="33">
        <f t="shared" si="70"/>
        <v>999.99999999999955</v>
      </c>
      <c r="W219" s="105">
        <f>IF(A219=1,((cPH1_+cPHr+(cNES*L219+(cNES+cOSEX)*G219+(cNES+cEREX)*H219+(cNES+cHOEX)*I219 + (cNES+cNES)*S219 +(cNES+ cOSEX)*N219 + (cNES+cEREX)*O219 + (cNES+cHOEX)*P219)))/(1+cDR)^A$5:A$65536,(cPHr+(cNES*L219+(cNES+cOSEX)*G219+(cNES+cEREX)*H219+(cNES+cHOEX)*I219 + (cNES+cNES)*S219 +(cNES+ cOSEX)*N219 + (cNES+cEREX)*O219 + (cNES+cHOEX)*P219))/(1+cDR)^A$5:A$65536)</f>
        <v>147641.37822163824</v>
      </c>
      <c r="X219" s="112">
        <f t="shared" si="71"/>
        <v>961.30068711547335</v>
      </c>
      <c r="Y219" s="32">
        <f>(uNES*L219+ uOCEX*G219+uEREX*'PH + UC'!H219+uHOEX*I219+uNES*S219+ uOCEX*N219+uEREX*O219+uHOEX*P219)/(1+oDR)^A$5:A$65536</f>
        <v>595.21600614874023</v>
      </c>
    </row>
    <row r="220" spans="1:25" x14ac:dyDescent="0.25">
      <c r="A220" s="4">
        <v>214</v>
      </c>
      <c r="C220" s="110">
        <f>IF(male=0,VLOOKUP(((A218:A1052/'Life tables'!$I$2)*2)+age,lifetable,13,1),IF(male=1,VLOOKUP(((A218:A1052/'Life tables'!$I$2)*2)+age,lifetable,10,1),"error"))</f>
        <v>1.6015111386780134E-4</v>
      </c>
      <c r="F220" s="101">
        <f t="shared" si="54"/>
        <v>153.3239283108428</v>
      </c>
      <c r="G220" s="101">
        <f t="shared" si="55"/>
        <v>15.40170948812661</v>
      </c>
      <c r="H220" s="101">
        <f t="shared" si="56"/>
        <v>0.35244919985537099</v>
      </c>
      <c r="I220" s="101">
        <f t="shared" si="57"/>
        <v>0.35244919985537099</v>
      </c>
      <c r="J220" s="101">
        <f t="shared" si="58"/>
        <v>2.7134489095437461E-2</v>
      </c>
      <c r="K220" s="101">
        <f t="shared" si="59"/>
        <v>2.7628182738204471E-2</v>
      </c>
      <c r="L220" s="101">
        <f t="shared" si="66"/>
        <v>137.16255775117182</v>
      </c>
      <c r="M220" s="101">
        <f t="shared" si="60"/>
        <v>807.97675880463055</v>
      </c>
      <c r="N220" s="101">
        <f t="shared" si="61"/>
        <v>77.809912457541145</v>
      </c>
      <c r="O220" s="101">
        <f t="shared" si="62"/>
        <v>1.8573145449619268</v>
      </c>
      <c r="P220" s="101">
        <f t="shared" si="63"/>
        <v>1.8573145449619268</v>
      </c>
      <c r="Q220" s="101">
        <f t="shared" si="64"/>
        <v>0.14245462403824583</v>
      </c>
      <c r="R220" s="101">
        <f t="shared" si="65"/>
        <v>2.1639306762238235E-2</v>
      </c>
      <c r="S220" s="101">
        <f t="shared" si="67"/>
        <v>726.28812332636505</v>
      </c>
      <c r="T220" s="101">
        <f t="shared" si="68"/>
        <v>25.409748906781449</v>
      </c>
      <c r="U220" s="101">
        <f t="shared" si="69"/>
        <v>13.50842058037883</v>
      </c>
      <c r="V220" s="33">
        <f t="shared" si="70"/>
        <v>999.99999999999955</v>
      </c>
      <c r="W220" s="105">
        <f>IF(A220=1,((cPH1_+cPHr+(cNES*L220+(cNES+cOSEX)*G220+(cNES+cEREX)*H220+(cNES+cHOEX)*I220 + (cNES+cNES)*S220 +(cNES+ cOSEX)*N220 + (cNES+cEREX)*O220 + (cNES+cHOEX)*P220)))/(1+cDR)^A$5:A$65536,(cPHr+(cNES*L220+(cNES+cOSEX)*G220+(cNES+cEREX)*H220+(cNES+cHOEX)*I220 + (cNES+cNES)*S220 +(cNES+ cOSEX)*N220 + (cNES+cEREX)*O220 + (cNES+cHOEX)*P220))/(1+cDR)^A$5:A$65536)</f>
        <v>147438.25480989233</v>
      </c>
      <c r="X220" s="112">
        <f t="shared" si="71"/>
        <v>961.08183051283913</v>
      </c>
      <c r="Y220" s="32">
        <f>(uNES*L220+ uOCEX*G220+uEREX*'PH + UC'!H220+uHOEX*I220+uNES*S220+ uOCEX*N220+uEREX*O220+uHOEX*P220)/(1+oDR)^A$5:A$65536</f>
        <v>594.90935766386144</v>
      </c>
    </row>
    <row r="221" spans="1:25" x14ac:dyDescent="0.25">
      <c r="A221" s="4">
        <v>215</v>
      </c>
      <c r="C221" s="110">
        <f>IF(male=0,VLOOKUP(((A219:A1053/'Life tables'!$I$2)*2)+age,lifetable,13,1),IF(male=1,VLOOKUP(((A219:A1053/'Life tables'!$I$2)*2)+age,lifetable,10,1),"error"))</f>
        <v>1.6015111386780134E-4</v>
      </c>
      <c r="F221" s="101">
        <f t="shared" si="54"/>
        <v>153.28695174433796</v>
      </c>
      <c r="G221" s="101">
        <f t="shared" si="55"/>
        <v>15.397995114633508</v>
      </c>
      <c r="H221" s="101">
        <f t="shared" si="56"/>
        <v>0.35236420098127735</v>
      </c>
      <c r="I221" s="101">
        <f t="shared" si="57"/>
        <v>0.35236420098127735</v>
      </c>
      <c r="J221" s="101">
        <f t="shared" si="58"/>
        <v>2.7127945170743736E-2</v>
      </c>
      <c r="K221" s="101">
        <f t="shared" si="59"/>
        <v>2.7621519751235106E-2</v>
      </c>
      <c r="L221" s="101">
        <f t="shared" si="66"/>
        <v>137.12947876281993</v>
      </c>
      <c r="M221" s="101">
        <f t="shared" si="60"/>
        <v>807.79487876850123</v>
      </c>
      <c r="N221" s="101">
        <f t="shared" si="61"/>
        <v>77.792397015995604</v>
      </c>
      <c r="O221" s="101">
        <f t="shared" si="62"/>
        <v>1.8568964531878009</v>
      </c>
      <c r="P221" s="101">
        <f t="shared" si="63"/>
        <v>1.8568964531878009</v>
      </c>
      <c r="Q221" s="101">
        <f t="shared" si="64"/>
        <v>0.14242255671466936</v>
      </c>
      <c r="R221" s="101">
        <f t="shared" si="65"/>
        <v>2.1634435634631109E-2</v>
      </c>
      <c r="S221" s="101">
        <f t="shared" si="67"/>
        <v>726.12463185378078</v>
      </c>
      <c r="T221" s="101">
        <f t="shared" si="68"/>
        <v>25.579299408666863</v>
      </c>
      <c r="U221" s="101">
        <f t="shared" si="69"/>
        <v>13.557676535764697</v>
      </c>
      <c r="V221" s="33">
        <f t="shared" si="70"/>
        <v>999.99999999999955</v>
      </c>
      <c r="W221" s="105">
        <f>IF(A221=1,((cPH1_+cPHr+(cNES*L221+(cNES+cOSEX)*G221+(cNES+cEREX)*H221+(cNES+cHOEX)*I221 + (cNES+cNES)*S221 +(cNES+ cOSEX)*N221 + (cNES+cEREX)*O221 + (cNES+cHOEX)*P221)))/(1+cDR)^A$5:A$65536,(cPHr+(cNES*L221+(cNES+cOSEX)*G221+(cNES+cEREX)*H221+(cNES+cHOEX)*I221 + (cNES+cNES)*S221 +(cNES+ cOSEX)*N221 + (cNES+cEREX)*O221 + (cNES+cHOEX)*P221))/(1+cDR)^A$5:A$65536)</f>
        <v>147235.40466620275</v>
      </c>
      <c r="X221" s="112">
        <f t="shared" si="71"/>
        <v>960.86302405556796</v>
      </c>
      <c r="Y221" s="32">
        <f>(uNES*L221+ uOCEX*G221+uEREX*'PH + UC'!H221+uHOEX*I221+uNES*S221+ uOCEX*N221+uEREX*O221+uHOEX*P221)/(1+oDR)^A$5:A$65536</f>
        <v>594.6028673213757</v>
      </c>
    </row>
    <row r="222" spans="1:25" x14ac:dyDescent="0.25">
      <c r="A222" s="4">
        <v>216</v>
      </c>
      <c r="C222" s="110">
        <f>IF(male=0,VLOOKUP(((A220:A1054/'Life tables'!$I$2)*2)+age,lifetable,13,1),IF(male=1,VLOOKUP(((A220:A1054/'Life tables'!$I$2)*2)+age,lifetable,10,1),"error"))</f>
        <v>1.6015111386780134E-4</v>
      </c>
      <c r="F222" s="101">
        <f t="shared" si="54"/>
        <v>153.25007648917213</v>
      </c>
      <c r="G222" s="101">
        <f t="shared" si="55"/>
        <v>15.394290918076443</v>
      </c>
      <c r="H222" s="101">
        <f t="shared" si="56"/>
        <v>0.35227943499386205</v>
      </c>
      <c r="I222" s="101">
        <f t="shared" si="57"/>
        <v>0.35227943499386205</v>
      </c>
      <c r="J222" s="101">
        <f t="shared" si="58"/>
        <v>2.7121419175615565E-2</v>
      </c>
      <c r="K222" s="101">
        <f t="shared" si="59"/>
        <v>2.7614875020047589E-2</v>
      </c>
      <c r="L222" s="101">
        <f t="shared" si="66"/>
        <v>137.0964904069123</v>
      </c>
      <c r="M222" s="101">
        <f t="shared" si="60"/>
        <v>807.61294756639586</v>
      </c>
      <c r="N222" s="101">
        <f t="shared" si="61"/>
        <v>77.77487664705572</v>
      </c>
      <c r="O222" s="101">
        <f t="shared" si="62"/>
        <v>1.8564782437972824</v>
      </c>
      <c r="P222" s="101">
        <f t="shared" si="63"/>
        <v>1.8564782437972824</v>
      </c>
      <c r="Q222" s="101">
        <f t="shared" si="64"/>
        <v>0.14239048037000429</v>
      </c>
      <c r="R222" s="101">
        <f t="shared" si="65"/>
        <v>2.1629563136692176E-2</v>
      </c>
      <c r="S222" s="101">
        <f t="shared" si="67"/>
        <v>725.96109438823885</v>
      </c>
      <c r="T222" s="101">
        <f t="shared" si="68"/>
        <v>25.748811308212481</v>
      </c>
      <c r="U222" s="101">
        <f t="shared" si="69"/>
        <v>13.606920973921437</v>
      </c>
      <c r="V222" s="33">
        <f t="shared" si="70"/>
        <v>999.99999999999955</v>
      </c>
      <c r="W222" s="105">
        <f>IF(A222=1,((cPH1_+cPHr+(cNES*L222+(cNES+cOSEX)*G222+(cNES+cEREX)*H222+(cNES+cHOEX)*I222 + (cNES+cNES)*S222 +(cNES+ cOSEX)*N222 + (cNES+cEREX)*O222 + (cNES+cHOEX)*P222)))/(1+cDR)^A$5:A$65536,(cPHr+(cNES*L222+(cNES+cOSEX)*G222+(cNES+cEREX)*H222+(cNES+cHOEX)*I222 + (cNES+cNES)*S222 +(cNES+ cOSEX)*N222 + (cNES+cEREX)*O222 + (cNES+cHOEX)*P222))/(1+cDR)^A$5:A$65536)</f>
        <v>147032.82770749202</v>
      </c>
      <c r="X222" s="112">
        <f t="shared" si="71"/>
        <v>960.64426771786566</v>
      </c>
      <c r="Y222" s="32">
        <f>(uNES*L222+ uOCEX*G222+uEREX*'PH + UC'!H222+uHOEX*I222+uNES*S222+ uOCEX*N222+uEREX*O222+uHOEX*P222)/(1+oDR)^A$5:A$65536</f>
        <v>594.2965350324788</v>
      </c>
    </row>
    <row r="223" spans="1:25" x14ac:dyDescent="0.25">
      <c r="A223" s="4">
        <v>217</v>
      </c>
      <c r="C223" s="110">
        <f>IF(male=0,VLOOKUP(((A221:A1055/'Life tables'!$I$2)*2)+age,lifetable,13,1),IF(male=1,VLOOKUP(((A221:A1055/'Life tables'!$I$2)*2)+age,lifetable,10,1),"error"))</f>
        <v>1.6015111386780134E-4</v>
      </c>
      <c r="F223" s="101">
        <f t="shared" si="54"/>
        <v>153.21329835538074</v>
      </c>
      <c r="G223" s="101">
        <f t="shared" si="55"/>
        <v>15.390596477564706</v>
      </c>
      <c r="H223" s="101">
        <f t="shared" si="56"/>
        <v>0.35219489226155831</v>
      </c>
      <c r="I223" s="101">
        <f t="shared" si="57"/>
        <v>0.35219489226155831</v>
      </c>
      <c r="J223" s="101">
        <f t="shared" si="58"/>
        <v>2.7114910368534327E-2</v>
      </c>
      <c r="K223" s="101">
        <f t="shared" si="59"/>
        <v>2.7608247789631876E-2</v>
      </c>
      <c r="L223" s="101">
        <f t="shared" si="66"/>
        <v>137.06358893513476</v>
      </c>
      <c r="M223" s="101">
        <f t="shared" si="60"/>
        <v>807.4309693624848</v>
      </c>
      <c r="N223" s="101">
        <f t="shared" si="61"/>
        <v>77.757351751740103</v>
      </c>
      <c r="O223" s="101">
        <f t="shared" si="62"/>
        <v>1.8560599263626447</v>
      </c>
      <c r="P223" s="101">
        <f t="shared" si="63"/>
        <v>1.8560599263626447</v>
      </c>
      <c r="Q223" s="101">
        <f t="shared" si="64"/>
        <v>0.14235839573843689</v>
      </c>
      <c r="R223" s="101">
        <f t="shared" si="65"/>
        <v>2.1624689379946625E-2</v>
      </c>
      <c r="S223" s="101">
        <f t="shared" si="67"/>
        <v>725.797514672901</v>
      </c>
      <c r="T223" s="101">
        <f t="shared" si="68"/>
        <v>25.918284614319454</v>
      </c>
      <c r="U223" s="101">
        <f t="shared" si="69"/>
        <v>13.656153911091016</v>
      </c>
      <c r="V223" s="33">
        <f t="shared" si="70"/>
        <v>999.99999999999932</v>
      </c>
      <c r="W223" s="105">
        <f>IF(A223=1,((cPH1_+cPHr+(cNES*L223+(cNES+cOSEX)*G223+(cNES+cEREX)*H223+(cNES+cHOEX)*I223 + (cNES+cNES)*S223 +(cNES+ cOSEX)*N223 + (cNES+cEREX)*O223 + (cNES+cHOEX)*P223)))/(1+cDR)^A$5:A$65536,(cPHr+(cNES*L223+(cNES+cOSEX)*G223+(cNES+cEREX)*H223+(cNES+cHOEX)*I223 + (cNES+cNES)*S223 +(cNES+ cOSEX)*N223 + (cNES+cEREX)*O223 + (cNES+cHOEX)*P223))/(1+cDR)^A$5:A$65536)</f>
        <v>146830.5238373256</v>
      </c>
      <c r="X223" s="112">
        <f t="shared" si="71"/>
        <v>960.4255614745889</v>
      </c>
      <c r="Y223" s="32">
        <f>(uNES*L223+ uOCEX*G223+uEREX*'PH + UC'!H223+uHOEX*I223+uNES*S223+ uOCEX*N223+uEREX*O223+uHOEX*P223)/(1+oDR)^A$5:A$65536</f>
        <v>593.99036070874388</v>
      </c>
    </row>
    <row r="224" spans="1:25" x14ac:dyDescent="0.25">
      <c r="A224" s="4">
        <v>218</v>
      </c>
      <c r="C224" s="110">
        <f>IF(male=0,VLOOKUP(((A222:A1056/'Life tables'!$I$2)*2)+age,lifetable,13,1),IF(male=1,VLOOKUP(((A222:A1056/'Life tables'!$I$2)*2)+age,lifetable,10,1),"error"))</f>
        <v>1.6015111386780134E-4</v>
      </c>
      <c r="F224" s="101">
        <f t="shared" si="54"/>
        <v>153.17661334086716</v>
      </c>
      <c r="G224" s="101">
        <f t="shared" si="55"/>
        <v>15.386911391079311</v>
      </c>
      <c r="H224" s="101">
        <f t="shared" si="56"/>
        <v>0.35211056358465548</v>
      </c>
      <c r="I224" s="101">
        <f t="shared" si="57"/>
        <v>0.35211056358465548</v>
      </c>
      <c r="J224" s="101">
        <f t="shared" si="58"/>
        <v>2.7108418041229314E-2</v>
      </c>
      <c r="K224" s="101">
        <f t="shared" si="59"/>
        <v>2.7601637338830746E-2</v>
      </c>
      <c r="L224" s="101">
        <f t="shared" si="66"/>
        <v>137.03077076723849</v>
      </c>
      <c r="M224" s="101">
        <f t="shared" si="60"/>
        <v>807.2489481337218</v>
      </c>
      <c r="N224" s="101">
        <f t="shared" si="61"/>
        <v>77.739822713038023</v>
      </c>
      <c r="O224" s="101">
        <f t="shared" si="62"/>
        <v>1.8556415100258017</v>
      </c>
      <c r="P224" s="101">
        <f t="shared" si="63"/>
        <v>1.8556415100258017</v>
      </c>
      <c r="Q224" s="101">
        <f t="shared" si="64"/>
        <v>0.14232630352114492</v>
      </c>
      <c r="R224" s="101">
        <f t="shared" si="65"/>
        <v>2.1619814470905593E-2</v>
      </c>
      <c r="S224" s="101">
        <f t="shared" si="67"/>
        <v>725.63389628264008</v>
      </c>
      <c r="T224" s="101">
        <f t="shared" si="68"/>
        <v>26.087719335881829</v>
      </c>
      <c r="U224" s="101">
        <f t="shared" si="69"/>
        <v>13.705375362900751</v>
      </c>
      <c r="V224" s="33">
        <f t="shared" si="70"/>
        <v>999.99999999999943</v>
      </c>
      <c r="W224" s="105">
        <f>IF(A224=1,((cPH1_+cPHr+(cNES*L224+(cNES+cOSEX)*G224+(cNES+cEREX)*H224+(cNES+cHOEX)*I224 + (cNES+cNES)*S224 +(cNES+ cOSEX)*N224 + (cNES+cEREX)*O224 + (cNES+cHOEX)*P224)))/(1+cDR)^A$5:A$65536,(cPHr+(cNES*L224+(cNES+cOSEX)*G224+(cNES+cEREX)*H224+(cNES+cHOEX)*I224 + (cNES+cNES)*S224 +(cNES+ cOSEX)*N224 + (cNES+cEREX)*O224 + (cNES+cHOEX)*P224))/(1+cDR)^A$5:A$65536)</f>
        <v>146628.4929465499</v>
      </c>
      <c r="X224" s="112">
        <f t="shared" si="71"/>
        <v>960.20690530121681</v>
      </c>
      <c r="Y224" s="32">
        <f>(uNES*L224+ uOCEX*G224+uEREX*'PH + UC'!H224+uHOEX*I224+uNES*S224+ uOCEX*N224+uEREX*O224+uHOEX*P224)/(1+oDR)^A$5:A$65536</f>
        <v>593.68434426210479</v>
      </c>
    </row>
    <row r="225" spans="1:25" x14ac:dyDescent="0.25">
      <c r="A225" s="4">
        <v>219</v>
      </c>
      <c r="C225" s="110">
        <f>IF(male=0,VLOOKUP(((A223:A1057/'Life tables'!$I$2)*2)+age,lifetable,13,1),IF(male=1,VLOOKUP(((A223:A1057/'Life tables'!$I$2)*2)+age,lifetable,10,1),"error"))</f>
        <v>1.6015111386780134E-4</v>
      </c>
      <c r="F225" s="101">
        <f t="shared" si="54"/>
        <v>153.14001762297553</v>
      </c>
      <c r="G225" s="101">
        <f t="shared" si="55"/>
        <v>15.383235274626479</v>
      </c>
      <c r="H225" s="101">
        <f t="shared" si="56"/>
        <v>0.35202644017592771</v>
      </c>
      <c r="I225" s="101">
        <f t="shared" si="57"/>
        <v>0.35202644017592771</v>
      </c>
      <c r="J225" s="101">
        <f t="shared" si="58"/>
        <v>2.7101941517186326E-2</v>
      </c>
      <c r="K225" s="101">
        <f t="shared" si="59"/>
        <v>2.7595042978821288E-2</v>
      </c>
      <c r="L225" s="101">
        <f t="shared" si="66"/>
        <v>136.99803248350119</v>
      </c>
      <c r="M225" s="101">
        <f t="shared" si="60"/>
        <v>807.0668876782413</v>
      </c>
      <c r="N225" s="101">
        <f t="shared" si="61"/>
        <v>77.722289896718067</v>
      </c>
      <c r="O225" s="101">
        <f t="shared" si="62"/>
        <v>1.8552230035176114</v>
      </c>
      <c r="P225" s="101">
        <f t="shared" si="63"/>
        <v>1.8552230035176114</v>
      </c>
      <c r="Q225" s="101">
        <f t="shared" si="64"/>
        <v>0.14229420438777865</v>
      </c>
      <c r="R225" s="101">
        <f t="shared" si="65"/>
        <v>2.1614938511291058E-2</v>
      </c>
      <c r="S225" s="101">
        <f t="shared" si="67"/>
        <v>725.47024263158892</v>
      </c>
      <c r="T225" s="101">
        <f t="shared" si="68"/>
        <v>26.257115481786794</v>
      </c>
      <c r="U225" s="101">
        <f t="shared" si="69"/>
        <v>13.754585344390863</v>
      </c>
      <c r="V225" s="33">
        <f t="shared" si="70"/>
        <v>999.99999999999932</v>
      </c>
      <c r="W225" s="105">
        <f>IF(A225=1,((cPH1_+cPHr+(cNES*L225+(cNES+cOSEX)*G225+(cNES+cEREX)*H225+(cNES+cHOEX)*I225 + (cNES+cNES)*S225 +(cNES+ cOSEX)*N225 + (cNES+cEREX)*O225 + (cNES+cHOEX)*P225)))/(1+cDR)^A$5:A$65536,(cPHr+(cNES*L225+(cNES+cOSEX)*G225+(cNES+cEREX)*H225+(cNES+cHOEX)*I225 + (cNES+cNES)*S225 +(cNES+ cOSEX)*N225 + (cNES+cEREX)*O225 + (cNES+cHOEX)*P225))/(1+cDR)^A$5:A$65536)</f>
        <v>146426.73491389977</v>
      </c>
      <c r="X225" s="112">
        <f t="shared" si="71"/>
        <v>959.98829917382182</v>
      </c>
      <c r="Y225" s="32">
        <f>(uNES*L225+ uOCEX*G225+uEREX*'PH + UC'!H225+uHOEX*I225+uNES*S225+ uOCEX*N225+uEREX*O225+uHOEX*P225)/(1+oDR)^A$5:A$65536</f>
        <v>593.37848560484315</v>
      </c>
    </row>
    <row r="226" spans="1:25" x14ac:dyDescent="0.25">
      <c r="A226" s="4">
        <v>220</v>
      </c>
      <c r="C226" s="110">
        <f>IF(male=0,VLOOKUP(((A224:A1058/'Life tables'!$I$2)*2)+age,lifetable,13,1),IF(male=1,VLOOKUP(((A224:A1058/'Life tables'!$I$2)*2)+age,lifetable,10,1),"error"))</f>
        <v>1.6015111386780134E-4</v>
      </c>
      <c r="F226" s="101">
        <f t="shared" si="54"/>
        <v>153.10350755044166</v>
      </c>
      <c r="G226" s="101">
        <f t="shared" si="55"/>
        <v>15.37956776142908</v>
      </c>
      <c r="H226" s="101">
        <f t="shared" si="56"/>
        <v>0.35194251364213103</v>
      </c>
      <c r="I226" s="101">
        <f t="shared" si="57"/>
        <v>0.35194251364213103</v>
      </c>
      <c r="J226" s="101">
        <f t="shared" si="58"/>
        <v>2.70954801502232E-2</v>
      </c>
      <c r="K226" s="101">
        <f t="shared" si="59"/>
        <v>2.7588464051664492E-2</v>
      </c>
      <c r="L226" s="101">
        <f t="shared" si="66"/>
        <v>136.96537081752643</v>
      </c>
      <c r="M226" s="101">
        <f t="shared" si="60"/>
        <v>806.88479162338012</v>
      </c>
      <c r="N226" s="101">
        <f t="shared" si="61"/>
        <v>77.704753652100621</v>
      </c>
      <c r="O226" s="101">
        <f t="shared" si="62"/>
        <v>1.8548044151763152</v>
      </c>
      <c r="P226" s="101">
        <f t="shared" si="63"/>
        <v>1.8548044151763152</v>
      </c>
      <c r="Q226" s="101">
        <f t="shared" si="64"/>
        <v>0.14226209897787492</v>
      </c>
      <c r="R226" s="101">
        <f t="shared" si="65"/>
        <v>2.1610061598250681E-2</v>
      </c>
      <c r="S226" s="101">
        <f t="shared" si="67"/>
        <v>725.30655698035071</v>
      </c>
      <c r="T226" s="101">
        <f t="shared" si="68"/>
        <v>26.426473060914894</v>
      </c>
      <c r="U226" s="101">
        <f t="shared" si="69"/>
        <v>13.803783870040778</v>
      </c>
      <c r="V226" s="33">
        <f t="shared" si="70"/>
        <v>999.99999999999932</v>
      </c>
      <c r="W226" s="105">
        <f>IF(A226=1,((cPH1_+cPHr+(cNES*L226+(cNES+cOSEX)*G226+(cNES+cEREX)*H226+(cNES+cHOEX)*I226 + (cNES+cNES)*S226 +(cNES+ cOSEX)*N226 + (cNES+cEREX)*O226 + (cNES+cHOEX)*P226)))/(1+cDR)^A$5:A$65536,(cPHr+(cNES*L226+(cNES+cOSEX)*G226+(cNES+cEREX)*H226+(cNES+cHOEX)*I226 + (cNES+cNES)*S226 +(cNES+ cOSEX)*N226 + (cNES+cEREX)*O226 + (cNES+cHOEX)*P226))/(1+cDR)^A$5:A$65536)</f>
        <v>146225.2496065794</v>
      </c>
      <c r="X226" s="112">
        <f t="shared" si="71"/>
        <v>959.76974306904378</v>
      </c>
      <c r="Y226" s="32">
        <f>(uNES*L226+ uOCEX*G226+uEREX*'PH + UC'!H226+uHOEX*I226+uNES*S226+ uOCEX*N226+uEREX*O226+uHOEX*P226)/(1+oDR)^A$5:A$65536</f>
        <v>593.07278464957346</v>
      </c>
    </row>
    <row r="227" spans="1:25" x14ac:dyDescent="0.25">
      <c r="A227" s="4">
        <v>221</v>
      </c>
      <c r="C227" s="110">
        <f>IF(male=0,VLOOKUP(((A225:A1059/'Life tables'!$I$2)*2)+age,lifetable,13,1),IF(male=1,VLOOKUP(((A225:A1059/'Life tables'!$I$2)*2)+age,lifetable,10,1),"error"))</f>
        <v>1.6015111386780134E-4</v>
      </c>
      <c r="F227" s="101">
        <f t="shared" si="54"/>
        <v>153.06707963570497</v>
      </c>
      <c r="G227" s="101">
        <f t="shared" si="55"/>
        <v>15.375908501154354</v>
      </c>
      <c r="H227" s="101">
        <f t="shared" si="56"/>
        <v>0.35185877596633058</v>
      </c>
      <c r="I227" s="101">
        <f t="shared" si="57"/>
        <v>0.35185877596633058</v>
      </c>
      <c r="J227" s="101">
        <f t="shared" si="58"/>
        <v>2.7089033323129209E-2</v>
      </c>
      <c r="K227" s="101">
        <f t="shared" si="59"/>
        <v>2.7581899928919892E-2</v>
      </c>
      <c r="L227" s="101">
        <f t="shared" si="66"/>
        <v>136.93278264936592</v>
      </c>
      <c r="M227" s="101">
        <f t="shared" si="60"/>
        <v>806.70266343333878</v>
      </c>
      <c r="N227" s="101">
        <f t="shared" si="61"/>
        <v>77.687214312795689</v>
      </c>
      <c r="O227" s="101">
        <f t="shared" si="62"/>
        <v>1.8543857529651497</v>
      </c>
      <c r="P227" s="101">
        <f t="shared" si="63"/>
        <v>1.8543857529651497</v>
      </c>
      <c r="Q227" s="101">
        <f t="shared" si="64"/>
        <v>0.142229987902208</v>
      </c>
      <c r="R227" s="101">
        <f t="shared" si="65"/>
        <v>2.1605183824562998E-2</v>
      </c>
      <c r="S227" s="101">
        <f t="shared" si="67"/>
        <v>725.14284244288604</v>
      </c>
      <c r="T227" s="101">
        <f t="shared" si="68"/>
        <v>26.595792082140232</v>
      </c>
      <c r="U227" s="101">
        <f t="shared" si="69"/>
        <v>13.85297095379426</v>
      </c>
      <c r="V227" s="33">
        <f t="shared" si="70"/>
        <v>999.99999999999943</v>
      </c>
      <c r="W227" s="105">
        <f>IF(A227=1,((cPH1_+cPHr+(cNES*L227+(cNES+cOSEX)*G227+(cNES+cEREX)*H227+(cNES+cHOEX)*I227 + (cNES+cNES)*S227 +(cNES+ cOSEX)*N227 + (cNES+cEREX)*O227 + (cNES+cHOEX)*P227)))/(1+cDR)^A$5:A$65536,(cPHr+(cNES*L227+(cNES+cOSEX)*G227+(cNES+cEREX)*H227+(cNES+cHOEX)*I227 + (cNES+cNES)*S227 +(cNES+ cOSEX)*N227 + (cNES+cEREX)*O227 + (cNES+cHOEX)*P227))/(1+cDR)^A$5:A$65536)</f>
        <v>146024.03688081479</v>
      </c>
      <c r="X227" s="112">
        <f t="shared" si="71"/>
        <v>959.55123696406497</v>
      </c>
      <c r="Y227" s="32">
        <f>(uNES*L227+ uOCEX*G227+uEREX*'PH + UC'!H227+uHOEX*I227+uNES*S227+ uOCEX*N227+uEREX*O227+uHOEX*P227)/(1+oDR)^A$5:A$65536</f>
        <v>592.76724130923026</v>
      </c>
    </row>
    <row r="228" spans="1:25" x14ac:dyDescent="0.25">
      <c r="A228" s="4">
        <v>222</v>
      </c>
      <c r="C228" s="110">
        <f>IF(male=0,VLOOKUP(((A226:A1060/'Life tables'!$I$2)*2)+age,lifetable,13,1),IF(male=1,VLOOKUP(((A226:A1060/'Life tables'!$I$2)*2)+age,lifetable,10,1),"error"))</f>
        <v>1.6015111386780134E-4</v>
      </c>
      <c r="F228" s="101">
        <f t="shared" si="54"/>
        <v>153.03073054756518</v>
      </c>
      <c r="G228" s="101">
        <f t="shared" si="55"/>
        <v>15.372257159176263</v>
      </c>
      <c r="H228" s="101">
        <f t="shared" si="56"/>
        <v>0.35177521949102053</v>
      </c>
      <c r="I228" s="101">
        <f t="shared" si="57"/>
        <v>0.35177521949102053</v>
      </c>
      <c r="J228" s="101">
        <f t="shared" si="58"/>
        <v>2.708260044636545E-2</v>
      </c>
      <c r="K228" s="101">
        <f t="shared" si="59"/>
        <v>2.7575350010322339E-2</v>
      </c>
      <c r="L228" s="101">
        <f t="shared" si="66"/>
        <v>136.90026499895021</v>
      </c>
      <c r="M228" s="101">
        <f t="shared" si="60"/>
        <v>806.52050641649987</v>
      </c>
      <c r="N228" s="101">
        <f t="shared" si="61"/>
        <v>77.669672197407706</v>
      </c>
      <c r="O228" s="101">
        <f t="shared" si="62"/>
        <v>1.8539670244891695</v>
      </c>
      <c r="P228" s="101">
        <f t="shared" si="63"/>
        <v>1.8539670244891695</v>
      </c>
      <c r="Q228" s="101">
        <f t="shared" si="64"/>
        <v>0.14219787174407977</v>
      </c>
      <c r="R228" s="101">
        <f t="shared" si="65"/>
        <v>2.1600305278833411E-2</v>
      </c>
      <c r="S228" s="101">
        <f t="shared" si="67"/>
        <v>724.97910199309092</v>
      </c>
      <c r="T228" s="101">
        <f t="shared" si="68"/>
        <v>26.765072554330676</v>
      </c>
      <c r="U228" s="101">
        <f t="shared" si="69"/>
        <v>13.902146609083417</v>
      </c>
      <c r="V228" s="33">
        <f t="shared" si="70"/>
        <v>999.99999999999955</v>
      </c>
      <c r="W228" s="105">
        <f>IF(A228=1,((cPH1_+cPHr+(cNES*L228+(cNES+cOSEX)*G228+(cNES+cEREX)*H228+(cNES+cHOEX)*I228 + (cNES+cNES)*S228 +(cNES+ cOSEX)*N228 + (cNES+cEREX)*O228 + (cNES+cHOEX)*P228)))/(1+cDR)^A$5:A$65536,(cPHr+(cNES*L228+(cNES+cOSEX)*G228+(cNES+cEREX)*H228+(cNES+cHOEX)*I228 + (cNES+cNES)*S228 +(cNES+ cOSEX)*N228 + (cNES+cEREX)*O228 + (cNES+cHOEX)*P228))/(1+cDR)^A$5:A$65536)</f>
        <v>145823.0965823828</v>
      </c>
      <c r="X228" s="112">
        <f t="shared" si="71"/>
        <v>959.33278083658547</v>
      </c>
      <c r="Y228" s="32">
        <f>(uNES*L228+ uOCEX*G228+uEREX*'PH + UC'!H228+uHOEX*I228+uNES*S228+ uOCEX*N228+uEREX*O228+uHOEX*P228)/(1+oDR)^A$5:A$65536</f>
        <v>592.46185549705626</v>
      </c>
    </row>
    <row r="229" spans="1:25" x14ac:dyDescent="0.25">
      <c r="A229" s="4">
        <v>223</v>
      </c>
      <c r="C229" s="110">
        <f>IF(male=0,VLOOKUP(((A227:A1061/'Life tables'!$I$2)*2)+age,lifetable,13,1),IF(male=1,VLOOKUP(((A227:A1061/'Life tables'!$I$2)*2)+age,lifetable,10,1),"error"))</f>
        <v>1.6015111386780134E-4</v>
      </c>
      <c r="F229" s="101">
        <f t="shared" si="54"/>
        <v>152.9944571041687</v>
      </c>
      <c r="G229" s="101">
        <f t="shared" si="55"/>
        <v>15.368613415870952</v>
      </c>
      <c r="H229" s="101">
        <f t="shared" si="56"/>
        <v>0.35169183690200173</v>
      </c>
      <c r="I229" s="101">
        <f t="shared" si="57"/>
        <v>0.35169183690200173</v>
      </c>
      <c r="J229" s="101">
        <f t="shared" si="58"/>
        <v>2.7076180956823681E-2</v>
      </c>
      <c r="K229" s="101">
        <f t="shared" si="59"/>
        <v>2.7568813722518189E-2</v>
      </c>
      <c r="L229" s="101">
        <f t="shared" si="66"/>
        <v>136.8678150198144</v>
      </c>
      <c r="M229" s="101">
        <f t="shared" si="60"/>
        <v>806.33832373241682</v>
      </c>
      <c r="N229" s="101">
        <f t="shared" si="61"/>
        <v>77.652127610208495</v>
      </c>
      <c r="O229" s="101">
        <f t="shared" si="62"/>
        <v>1.8535482370113114</v>
      </c>
      <c r="P229" s="101">
        <f t="shared" si="63"/>
        <v>1.8535482370113114</v>
      </c>
      <c r="Q229" s="101">
        <f t="shared" si="64"/>
        <v>0.14216575106055199</v>
      </c>
      <c r="R229" s="101">
        <f t="shared" si="65"/>
        <v>2.1595426045681366E-2</v>
      </c>
      <c r="S229" s="101">
        <f t="shared" si="67"/>
        <v>724.81533847107949</v>
      </c>
      <c r="T229" s="101">
        <f t="shared" si="68"/>
        <v>26.93431448634805</v>
      </c>
      <c r="U229" s="101">
        <f t="shared" si="69"/>
        <v>13.951310848851616</v>
      </c>
      <c r="V229" s="33">
        <f t="shared" si="70"/>
        <v>999.99999999999955</v>
      </c>
      <c r="W229" s="105">
        <f>IF(A229=1,((cPH1_+cPHr+(cNES*L229+(cNES+cOSEX)*G229+(cNES+cEREX)*H229+(cNES+cHOEX)*I229 + (cNES+cNES)*S229 +(cNES+ cOSEX)*N229 + (cNES+cEREX)*O229 + (cNES+cHOEX)*P229)))/(1+cDR)^A$5:A$65536,(cPHr+(cNES*L229+(cNES+cOSEX)*G229+(cNES+cEREX)*H229+(cNES+cHOEX)*I229 + (cNES+cNES)*S229 +(cNES+ cOSEX)*N229 + (cNES+cEREX)*O229 + (cNES+cHOEX)*P229))/(1+cDR)^A$5:A$65536)</f>
        <v>145622.42854711387</v>
      </c>
      <c r="X229" s="112">
        <f t="shared" si="71"/>
        <v>959.11437466479993</v>
      </c>
      <c r="Y229" s="32">
        <f>(uNES*L229+ uOCEX*G229+uEREX*'PH + UC'!H229+uHOEX*I229+uNES*S229+ uOCEX*N229+uEREX*O229+uHOEX*P229)/(1+oDR)^A$5:A$65536</f>
        <v>592.15662712658877</v>
      </c>
    </row>
    <row r="230" spans="1:25" x14ac:dyDescent="0.25">
      <c r="A230" s="4">
        <v>224</v>
      </c>
      <c r="C230" s="110">
        <f>IF(male=0,VLOOKUP(((A228:A1062/'Life tables'!$I$2)*2)+age,lifetable,13,1),IF(male=1,VLOOKUP(((A228:A1062/'Life tables'!$I$2)*2)+age,lifetable,10,1),"error"))</f>
        <v>1.6015111386780134E-4</v>
      </c>
      <c r="F230" s="101">
        <f t="shared" si="54"/>
        <v>152.95825626630915</v>
      </c>
      <c r="G230" s="101">
        <f t="shared" si="55"/>
        <v>15.36497696594378</v>
      </c>
      <c r="H230" s="101">
        <f t="shared" si="56"/>
        <v>0.35160862121298142</v>
      </c>
      <c r="I230" s="101">
        <f t="shared" si="57"/>
        <v>0.35160862121298142</v>
      </c>
      <c r="J230" s="101">
        <f t="shared" si="58"/>
        <v>2.7069774316640583E-2</v>
      </c>
      <c r="K230" s="101">
        <f t="shared" si="59"/>
        <v>2.7562290517858107E-2</v>
      </c>
      <c r="L230" s="101">
        <f t="shared" si="66"/>
        <v>136.83542999310492</v>
      </c>
      <c r="M230" s="101">
        <f t="shared" si="60"/>
        <v>806.15611839849078</v>
      </c>
      <c r="N230" s="101">
        <f t="shared" si="61"/>
        <v>77.634580841780334</v>
      </c>
      <c r="O230" s="101">
        <f t="shared" si="62"/>
        <v>1.8531293974677445</v>
      </c>
      <c r="P230" s="101">
        <f t="shared" si="63"/>
        <v>1.8531293974677445</v>
      </c>
      <c r="Q230" s="101">
        <f t="shared" si="64"/>
        <v>0.14213362638362365</v>
      </c>
      <c r="R230" s="101">
        <f t="shared" si="65"/>
        <v>2.1590546205919176E-2</v>
      </c>
      <c r="S230" s="101">
        <f t="shared" si="67"/>
        <v>724.65155458918548</v>
      </c>
      <c r="T230" s="101">
        <f t="shared" si="68"/>
        <v>27.103517887048316</v>
      </c>
      <c r="U230" s="101">
        <f t="shared" si="69"/>
        <v>14.000463685575394</v>
      </c>
      <c r="V230" s="33">
        <f t="shared" si="70"/>
        <v>999.99999999999966</v>
      </c>
      <c r="W230" s="105">
        <f>IF(A230=1,((cPH1_+cPHr+(cNES*L230+(cNES+cOSEX)*G230+(cNES+cEREX)*H230+(cNES+cHOEX)*I230 + (cNES+cNES)*S230 +(cNES+ cOSEX)*N230 + (cNES+cEREX)*O230 + (cNES+cHOEX)*P230)))/(1+cDR)^A$5:A$65536,(cPHr+(cNES*L230+(cNES+cOSEX)*G230+(cNES+cEREX)*H230+(cNES+cHOEX)*I230 + (cNES+cNES)*S230 +(cNES+ cOSEX)*N230 + (cNES+cEREX)*O230 + (cNES+cHOEX)*P230))/(1+cDR)^A$5:A$65536)</f>
        <v>145422.03260137342</v>
      </c>
      <c r="X230" s="112">
        <f t="shared" si="71"/>
        <v>958.89601842737602</v>
      </c>
      <c r="Y230" s="32">
        <f>(uNES*L230+ uOCEX*G230+uEREX*'PH + UC'!H230+uHOEX*I230+uNES*S230+ uOCEX*N230+uEREX*O230+uHOEX*P230)/(1+oDR)^A$5:A$65536</f>
        <v>591.85155611164907</v>
      </c>
    </row>
    <row r="231" spans="1:25" x14ac:dyDescent="0.25">
      <c r="A231" s="4">
        <v>225</v>
      </c>
      <c r="C231" s="110">
        <f>IF(male=0,VLOOKUP(((A229:A1063/'Life tables'!$I$2)*2)+age,lifetable,13,1),IF(male=1,VLOOKUP(((A229:A1063/'Life tables'!$I$2)*2)+age,lifetable,10,1),"error"))</f>
        <v>1.6015111386780134E-4</v>
      </c>
      <c r="F231" s="101">
        <f t="shared" si="54"/>
        <v>152.92212513102888</v>
      </c>
      <c r="G231" s="101">
        <f t="shared" si="55"/>
        <v>15.361347517786577</v>
      </c>
      <c r="H231" s="101">
        <f t="shared" si="56"/>
        <v>0.35152556575086474</v>
      </c>
      <c r="I231" s="101">
        <f t="shared" si="57"/>
        <v>0.35152556575086474</v>
      </c>
      <c r="J231" s="101">
        <f t="shared" si="58"/>
        <v>2.7063380012065496E-2</v>
      </c>
      <c r="K231" s="101">
        <f t="shared" si="59"/>
        <v>2.7555779873244056E-2</v>
      </c>
      <c r="L231" s="101">
        <f t="shared" si="66"/>
        <v>136.80310732185526</v>
      </c>
      <c r="M231" s="101">
        <f t="shared" si="60"/>
        <v>805.97389329634711</v>
      </c>
      <c r="N231" s="101">
        <f t="shared" si="61"/>
        <v>77.617032169629994</v>
      </c>
      <c r="O231" s="101">
        <f t="shared" si="62"/>
        <v>1.8527105124825263</v>
      </c>
      <c r="P231" s="101">
        <f t="shared" si="63"/>
        <v>1.8527105124825263</v>
      </c>
      <c r="Q231" s="101">
        <f t="shared" si="64"/>
        <v>0.14210149822135498</v>
      </c>
      <c r="R231" s="101">
        <f t="shared" si="65"/>
        <v>2.1585665836722789E-2</v>
      </c>
      <c r="S231" s="101">
        <f t="shared" si="67"/>
        <v>724.48775293769404</v>
      </c>
      <c r="T231" s="101">
        <f t="shared" si="68"/>
        <v>27.272682765281736</v>
      </c>
      <c r="U231" s="101">
        <f t="shared" si="69"/>
        <v>14.049605131285361</v>
      </c>
      <c r="V231" s="33">
        <f t="shared" si="70"/>
        <v>999.99999999999977</v>
      </c>
      <c r="W231" s="105">
        <f>IF(A231=1,((cPH1_+cPHr+(cNES*L231+(cNES+cOSEX)*G231+(cNES+cEREX)*H231+(cNES+cHOEX)*I231 + (cNES+cNES)*S231 +(cNES+ cOSEX)*N231 + (cNES+cEREX)*O231 + (cNES+cHOEX)*P231)))/(1+cDR)^A$5:A$65536,(cPHr+(cNES*L231+(cNES+cOSEX)*G231+(cNES+cEREX)*H231+(cNES+cHOEX)*I231 + (cNES+cNES)*S231 +(cNES+ cOSEX)*N231 + (cNES+cEREX)*O231 + (cNES+cHOEX)*P231))/(1+cDR)^A$5:A$65536)</f>
        <v>145221.9085625195</v>
      </c>
      <c r="X231" s="112">
        <f t="shared" si="71"/>
        <v>958.67771210343267</v>
      </c>
      <c r="Y231" s="32">
        <f>(uNES*L231+ uOCEX*G231+uEREX*'PH + UC'!H231+uHOEX*I231+uNES*S231+ uOCEX*N231+uEREX*O231+uHOEX*P231)/(1+oDR)^A$5:A$65536</f>
        <v>591.54664236633289</v>
      </c>
    </row>
    <row r="232" spans="1:25" x14ac:dyDescent="0.25">
      <c r="A232" s="4">
        <v>226</v>
      </c>
      <c r="C232" s="110">
        <f>IF(male=0,VLOOKUP(((A230:A1064/'Life tables'!$I$2)*2)+age,lifetable,13,1),IF(male=1,VLOOKUP(((A230:A1064/'Life tables'!$I$2)*2)+age,lifetable,10,1),"error"))</f>
        <v>1.6015111386780134E-4</v>
      </c>
      <c r="F232" s="101">
        <f t="shared" si="54"/>
        <v>152.88606092550725</v>
      </c>
      <c r="G232" s="101">
        <f t="shared" si="55"/>
        <v>15.357724792863706</v>
      </c>
      <c r="H232" s="101">
        <f t="shared" si="56"/>
        <v>0.35144266414170594</v>
      </c>
      <c r="I232" s="101">
        <f t="shared" si="57"/>
        <v>0.35144266414170594</v>
      </c>
      <c r="J232" s="101">
        <f t="shared" si="58"/>
        <v>2.7056997552378718E-2</v>
      </c>
      <c r="K232" s="101">
        <f t="shared" si="59"/>
        <v>2.7549281289028033E-2</v>
      </c>
      <c r="L232" s="101">
        <f t="shared" si="66"/>
        <v>136.77084452551873</v>
      </c>
      <c r="M232" s="101">
        <f t="shared" si="60"/>
        <v>805.79165117792536</v>
      </c>
      <c r="N232" s="101">
        <f t="shared" si="61"/>
        <v>77.599481858775192</v>
      </c>
      <c r="O232" s="101">
        <f t="shared" si="62"/>
        <v>1.8522915883816027</v>
      </c>
      <c r="P232" s="101">
        <f t="shared" si="63"/>
        <v>1.8522915883816027</v>
      </c>
      <c r="Q232" s="101">
        <f t="shared" si="64"/>
        <v>0.14206936705894121</v>
      </c>
      <c r="R232" s="101">
        <f t="shared" si="65"/>
        <v>2.15807850117949E-2</v>
      </c>
      <c r="S232" s="101">
        <f t="shared" si="67"/>
        <v>724.32393599031627</v>
      </c>
      <c r="T232" s="101">
        <f t="shared" si="68"/>
        <v>27.441809129893056</v>
      </c>
      <c r="U232" s="101">
        <f t="shared" si="69"/>
        <v>14.098735197586183</v>
      </c>
      <c r="V232" s="33">
        <f t="shared" si="70"/>
        <v>999.99999999999977</v>
      </c>
      <c r="W232" s="105">
        <f>IF(A232=1,((cPH1_+cPHr+(cNES*L232+(cNES+cOSEX)*G232+(cNES+cEREX)*H232+(cNES+cHOEX)*I232 + (cNES+cNES)*S232 +(cNES+ cOSEX)*N232 + (cNES+cEREX)*O232 + (cNES+cHOEX)*P232)))/(1+cDR)^A$5:A$65536,(cPHr+(cNES*L232+(cNES+cOSEX)*G232+(cNES+cEREX)*H232+(cNES+cHOEX)*I232 + (cNES+cNES)*S232 +(cNES+ cOSEX)*N232 + (cNES+cEREX)*O232 + (cNES+cHOEX)*P232))/(1+cDR)^A$5:A$65536)</f>
        <v>145022.05623934063</v>
      </c>
      <c r="X232" s="112">
        <f t="shared" si="71"/>
        <v>958.45945567252056</v>
      </c>
      <c r="Y232" s="32">
        <f>(uNES*L232+ uOCEX*G232+uEREX*'PH + UC'!H232+uHOEX*I232+uNES*S232+ uOCEX*N232+uEREX*O232+uHOEX*P232)/(1+oDR)^A$5:A$65536</f>
        <v>591.24188580499731</v>
      </c>
    </row>
    <row r="233" spans="1:25" x14ac:dyDescent="0.25">
      <c r="A233" s="4">
        <v>227</v>
      </c>
      <c r="C233" s="110">
        <f>IF(male=0,VLOOKUP(((A231:A1065/'Life tables'!$I$2)*2)+age,lifetable,13,1),IF(male=1,VLOOKUP(((A231:A1065/'Life tables'!$I$2)*2)+age,lifetable,10,1),"error"))</f>
        <v>1.6015111386780134E-4</v>
      </c>
      <c r="F233" s="101">
        <f t="shared" si="54"/>
        <v>152.85006100122303</v>
      </c>
      <c r="G233" s="101">
        <f t="shared" si="55"/>
        <v>15.354108525125666</v>
      </c>
      <c r="H233" s="101">
        <f t="shared" si="56"/>
        <v>0.35135991029728902</v>
      </c>
      <c r="I233" s="101">
        <f t="shared" si="57"/>
        <v>0.35135991029728902</v>
      </c>
      <c r="J233" s="101">
        <f t="shared" si="58"/>
        <v>2.7050626468858436E-2</v>
      </c>
      <c r="K233" s="101">
        <f t="shared" si="59"/>
        <v>2.7542794287960137E-2</v>
      </c>
      <c r="L233" s="101">
        <f t="shared" si="66"/>
        <v>136.73863923474596</v>
      </c>
      <c r="M233" s="101">
        <f t="shared" si="60"/>
        <v>805.60939467129754</v>
      </c>
      <c r="N233" s="101">
        <f t="shared" si="61"/>
        <v>77.581930162304971</v>
      </c>
      <c r="O233" s="101">
        <f t="shared" si="62"/>
        <v>1.8518726312061826</v>
      </c>
      <c r="P233" s="101">
        <f t="shared" si="63"/>
        <v>1.8518726312061826</v>
      </c>
      <c r="Q233" s="101">
        <f t="shared" si="64"/>
        <v>0.14203723335973853</v>
      </c>
      <c r="R233" s="101">
        <f t="shared" si="65"/>
        <v>2.1575903801520774E-2</v>
      </c>
      <c r="S233" s="101">
        <f t="shared" si="67"/>
        <v>724.16010610941896</v>
      </c>
      <c r="T233" s="101">
        <f t="shared" si="68"/>
        <v>27.610896989721653</v>
      </c>
      <c r="U233" s="101">
        <f t="shared" si="69"/>
        <v>14.147853895675665</v>
      </c>
      <c r="V233" s="33">
        <f t="shared" si="70"/>
        <v>999.99999999999989</v>
      </c>
      <c r="W233" s="105">
        <f>IF(A233=1,((cPH1_+cPHr+(cNES*L233+(cNES+cOSEX)*G233+(cNES+cEREX)*H233+(cNES+cHOEX)*I233 + (cNES+cNES)*S233 +(cNES+ cOSEX)*N233 + (cNES+cEREX)*O233 + (cNES+cHOEX)*P233)))/(1+cDR)^A$5:A$65536,(cPHr+(cNES*L233+(cNES+cOSEX)*G233+(cNES+cEREX)*H233+(cNES+cHOEX)*I233 + (cNES+cNES)*S233 +(cNES+ cOSEX)*N233 + (cNES+cEREX)*O233 + (cNES+cHOEX)*P233))/(1+cDR)^A$5:A$65536)</f>
        <v>144822.47543247262</v>
      </c>
      <c r="X233" s="112">
        <f t="shared" si="71"/>
        <v>958.24124911460251</v>
      </c>
      <c r="Y233" s="32">
        <f>(uNES*L233+ uOCEX*G233+uEREX*'PH + UC'!H233+uHOEX*I233+uNES*S233+ uOCEX*N233+uEREX*O233+uHOEX*P233)/(1+oDR)^A$5:A$65536</f>
        <v>590.93728634225226</v>
      </c>
    </row>
    <row r="234" spans="1:25" x14ac:dyDescent="0.25">
      <c r="A234" s="4">
        <v>228</v>
      </c>
      <c r="C234" s="110">
        <f>IF(male=0,VLOOKUP(((A232:A1066/'Life tables'!$I$2)*2)+age,lifetable,13,1),IF(male=1,VLOOKUP(((A232:A1066/'Life tables'!$I$2)*2)+age,lifetable,10,1),"error"))</f>
        <v>1.6015111386780134E-4</v>
      </c>
      <c r="F234" s="101">
        <f t="shared" si="54"/>
        <v>152.81412282837888</v>
      </c>
      <c r="G234" s="101">
        <f t="shared" si="55"/>
        <v>15.350498460449019</v>
      </c>
      <c r="H234" s="101">
        <f t="shared" si="56"/>
        <v>0.35127729840231131</v>
      </c>
      <c r="I234" s="101">
        <f t="shared" si="57"/>
        <v>0.35127729840231131</v>
      </c>
      <c r="J234" s="101">
        <f t="shared" si="58"/>
        <v>2.7044266313793967E-2</v>
      </c>
      <c r="K234" s="101">
        <f t="shared" si="59"/>
        <v>2.7536318414183917E-2</v>
      </c>
      <c r="L234" s="101">
        <f t="shared" si="66"/>
        <v>136.70648918639728</v>
      </c>
      <c r="M234" s="101">
        <f t="shared" si="60"/>
        <v>805.42712628622371</v>
      </c>
      <c r="N234" s="101">
        <f t="shared" si="61"/>
        <v>77.564377321914662</v>
      </c>
      <c r="O234" s="101">
        <f t="shared" si="62"/>
        <v>1.8514536467255087</v>
      </c>
      <c r="P234" s="101">
        <f t="shared" si="63"/>
        <v>1.8514536467255087</v>
      </c>
      <c r="Q234" s="101">
        <f t="shared" si="64"/>
        <v>0.14200509756624344</v>
      </c>
      <c r="R234" s="101">
        <f t="shared" si="65"/>
        <v>2.1571022273117028E-2</v>
      </c>
      <c r="S234" s="101">
        <f t="shared" si="67"/>
        <v>723.99626555101872</v>
      </c>
      <c r="T234" s="101">
        <f t="shared" si="68"/>
        <v>27.779946353601691</v>
      </c>
      <c r="U234" s="101">
        <f t="shared" si="69"/>
        <v>14.196961236362966</v>
      </c>
      <c r="V234" s="33">
        <f t="shared" si="70"/>
        <v>1000</v>
      </c>
      <c r="W234" s="105">
        <f>IF(A234=1,((cPH1_+cPHr+(cNES*L234+(cNES+cOSEX)*G234+(cNES+cEREX)*H234+(cNES+cHOEX)*I234 + (cNES+cNES)*S234 +(cNES+ cOSEX)*N234 + (cNES+cEREX)*O234 + (cNES+cHOEX)*P234)))/(1+cDR)^A$5:A$65536,(cPHr+(cNES*L234+(cNES+cOSEX)*G234+(cNES+cEREX)*H234+(cNES+cHOEX)*I234 + (cNES+cNES)*S234 +(cNES+ cOSEX)*N234 + (cNES+cEREX)*O234 + (cNES+cHOEX)*P234))/(1+cDR)^A$5:A$65536)</f>
        <v>144623.16593479685</v>
      </c>
      <c r="X234" s="112">
        <f t="shared" si="71"/>
        <v>958.02309241003536</v>
      </c>
      <c r="Y234" s="32">
        <f>(uNES*L234+ uOCEX*G234+uEREX*'PH + UC'!H234+uHOEX*I234+uNES*S234+ uOCEX*N234+uEREX*O234+uHOEX*P234)/(1+oDR)^A$5:A$65536</f>
        <v>590.6328438929512</v>
      </c>
    </row>
    <row r="235" spans="1:25" x14ac:dyDescent="0.25">
      <c r="A235" s="4">
        <v>229</v>
      </c>
      <c r="C235" s="110">
        <f>IF(male=0,VLOOKUP(((A233:A1067/'Life tables'!$I$2)*2)+age,lifetable,13,1),IF(male=1,VLOOKUP(((A233:A1067/'Life tables'!$I$2)*2)+age,lifetable,10,1),"error"))</f>
        <v>1.6015111386780134E-4</v>
      </c>
      <c r="F235" s="101">
        <f t="shared" si="54"/>
        <v>152.77824399057573</v>
      </c>
      <c r="G235" s="101">
        <f t="shared" si="55"/>
        <v>15.346894356101423</v>
      </c>
      <c r="H235" s="101">
        <f t="shared" si="56"/>
        <v>0.35119482290214138</v>
      </c>
      <c r="I235" s="101">
        <f t="shared" si="57"/>
        <v>0.35119482290214138</v>
      </c>
      <c r="J235" s="101">
        <f t="shared" si="58"/>
        <v>2.7037916659543311E-2</v>
      </c>
      <c r="K235" s="101">
        <f t="shared" si="59"/>
        <v>2.7529853232276691E-2</v>
      </c>
      <c r="L235" s="101">
        <f t="shared" si="66"/>
        <v>136.67439221877819</v>
      </c>
      <c r="M235" s="101">
        <f t="shared" si="60"/>
        <v>805.24484841945969</v>
      </c>
      <c r="N235" s="101">
        <f t="shared" si="61"/>
        <v>77.546823568417054</v>
      </c>
      <c r="O235" s="101">
        <f t="shared" si="62"/>
        <v>1.8510346404490581</v>
      </c>
      <c r="P235" s="101">
        <f t="shared" si="63"/>
        <v>1.8510346404490581</v>
      </c>
      <c r="Q235" s="101">
        <f t="shared" si="64"/>
        <v>0.14197296010102881</v>
      </c>
      <c r="R235" s="101">
        <f t="shared" si="65"/>
        <v>2.1566140490773798E-2</v>
      </c>
      <c r="S235" s="101">
        <f t="shared" si="67"/>
        <v>723.83241646955275</v>
      </c>
      <c r="T235" s="101">
        <f t="shared" si="68"/>
        <v>27.948957230362264</v>
      </c>
      <c r="U235" s="101">
        <f t="shared" si="69"/>
        <v>14.246057230086016</v>
      </c>
      <c r="V235" s="33">
        <f t="shared" si="70"/>
        <v>1000</v>
      </c>
      <c r="W235" s="105">
        <f>IF(A235=1,((cPH1_+cPHr+(cNES*L235+(cNES+cOSEX)*G235+(cNES+cEREX)*H235+(cNES+cHOEX)*I235 + (cNES+cNES)*S235 +(cNES+ cOSEX)*N235 + (cNES+cEREX)*O235 + (cNES+cHOEX)*P235)))/(1+cDR)^A$5:A$65536,(cPHr+(cNES*L235+(cNES+cOSEX)*G235+(cNES+cEREX)*H235+(cNES+cHOEX)*I235 + (cNES+cNES)*S235 +(cNES+ cOSEX)*N235 + (cNES+cEREX)*O235 + (cNES+cHOEX)*P235))/(1+cDR)^A$5:A$65536)</f>
        <v>144424.12753181945</v>
      </c>
      <c r="X235" s="112">
        <f t="shared" si="71"/>
        <v>957.80498553955181</v>
      </c>
      <c r="Y235" s="32">
        <f>(uNES*L235+ uOCEX*G235+uEREX*'PH + UC'!H235+uHOEX*I235+uNES*S235+ uOCEX*N235+uEREX*O235+uHOEX*P235)/(1+oDR)^A$5:A$65536</f>
        <v>590.32855837218096</v>
      </c>
    </row>
    <row r="236" spans="1:25" x14ac:dyDescent="0.25">
      <c r="A236" s="4">
        <v>230</v>
      </c>
      <c r="C236" s="110">
        <f>IF(male=0,VLOOKUP(((A234:A1068/'Life tables'!$I$2)*2)+age,lifetable,13,1),IF(male=1,VLOOKUP(((A234:A1068/'Life tables'!$I$2)*2)+age,lifetable,10,1),"error"))</f>
        <v>1.6015111386780134E-4</v>
      </c>
      <c r="F236" s="101">
        <f t="shared" si="54"/>
        <v>152.74242217972591</v>
      </c>
      <c r="G236" s="101">
        <f t="shared" si="55"/>
        <v>15.343295980230637</v>
      </c>
      <c r="H236" s="101">
        <f t="shared" si="56"/>
        <v>0.35111247849112553</v>
      </c>
      <c r="I236" s="101">
        <f t="shared" si="57"/>
        <v>0.35111247849112553</v>
      </c>
      <c r="J236" s="101">
        <f t="shared" si="58"/>
        <v>2.703157709763284E-2</v>
      </c>
      <c r="K236" s="101">
        <f t="shared" si="59"/>
        <v>2.7523398326332944E-2</v>
      </c>
      <c r="L236" s="101">
        <f t="shared" si="66"/>
        <v>136.64234626708904</v>
      </c>
      <c r="M236" s="101">
        <f t="shared" si="60"/>
        <v>805.06256335982584</v>
      </c>
      <c r="N236" s="101">
        <f t="shared" si="61"/>
        <v>77.529269122230502</v>
      </c>
      <c r="O236" s="101">
        <f t="shared" si="62"/>
        <v>1.8506156176381938</v>
      </c>
      <c r="P236" s="101">
        <f t="shared" si="63"/>
        <v>1.8506156176381938</v>
      </c>
      <c r="Q236" s="101">
        <f t="shared" si="64"/>
        <v>0.14194082136763708</v>
      </c>
      <c r="R236" s="101">
        <f t="shared" si="65"/>
        <v>2.1561258515790476E-2</v>
      </c>
      <c r="S236" s="101">
        <f t="shared" si="67"/>
        <v>723.66856092243552</v>
      </c>
      <c r="T236" s="101">
        <f t="shared" si="68"/>
        <v>28.117929628827536</v>
      </c>
      <c r="U236" s="101">
        <f t="shared" si="69"/>
        <v>14.295141886928139</v>
      </c>
      <c r="V236" s="33">
        <f t="shared" si="70"/>
        <v>1000</v>
      </c>
      <c r="W236" s="105">
        <f>IF(A236=1,((cPH1_+cPHr+(cNES*L236+(cNES+cOSEX)*G236+(cNES+cEREX)*H236+(cNES+cHOEX)*I236 + (cNES+cNES)*S236 +(cNES+ cOSEX)*N236 + (cNES+cEREX)*O236 + (cNES+cHOEX)*P236)))/(1+cDR)^A$5:A$65536,(cPHr+(cNES*L236+(cNES+cOSEX)*G236+(cNES+cEREX)*H236+(cNES+cHOEX)*I236 + (cNES+cNES)*S236 +(cNES+ cOSEX)*N236 + (cNES+cEREX)*O236 + (cNES+cHOEX)*P236))/(1+cDR)^A$5:A$65536)</f>
        <v>144225.36000203405</v>
      </c>
      <c r="X236" s="112">
        <f t="shared" si="71"/>
        <v>957.58692848424437</v>
      </c>
      <c r="Y236" s="32">
        <f>(uNES*L236+ uOCEX*G236+uEREX*'PH + UC'!H236+uHOEX*I236+uNES*S236+ uOCEX*N236+uEREX*O236+uHOEX*P236)/(1+oDR)^A$5:A$65536</f>
        <v>590.02442969525384</v>
      </c>
    </row>
    <row r="237" spans="1:25" x14ac:dyDescent="0.25">
      <c r="A237" s="4">
        <v>231</v>
      </c>
      <c r="C237" s="110">
        <f>IF(male=0,VLOOKUP(((A235:A1069/'Life tables'!$I$2)*2)+age,lifetable,13,1),IF(male=1,VLOOKUP(((A235:A1069/'Life tables'!$I$2)*2)+age,lifetable,10,1),"error"))</f>
        <v>1.6015111386780134E-4</v>
      </c>
      <c r="F237" s="101">
        <f t="shared" si="54"/>
        <v>152.70665519119507</v>
      </c>
      <c r="G237" s="101">
        <f t="shared" si="55"/>
        <v>15.339703111376533</v>
      </c>
      <c r="H237" s="101">
        <f t="shared" si="56"/>
        <v>0.35103026010142074</v>
      </c>
      <c r="I237" s="101">
        <f t="shared" si="57"/>
        <v>0.35103026010142074</v>
      </c>
      <c r="J237" s="101">
        <f t="shared" si="58"/>
        <v>2.7025247237897582E-2</v>
      </c>
      <c r="K237" s="101">
        <f t="shared" si="59"/>
        <v>2.7516953299088917E-2</v>
      </c>
      <c r="L237" s="101">
        <f t="shared" si="66"/>
        <v>136.6103493590787</v>
      </c>
      <c r="M237" s="101">
        <f t="shared" si="60"/>
        <v>804.88027329304919</v>
      </c>
      <c r="N237" s="101">
        <f t="shared" si="61"/>
        <v>77.511714193845236</v>
      </c>
      <c r="O237" s="101">
        <f t="shared" si="62"/>
        <v>1.8501965833172966</v>
      </c>
      <c r="P237" s="101">
        <f t="shared" si="63"/>
        <v>1.8501965833172966</v>
      </c>
      <c r="Q237" s="101">
        <f t="shared" si="64"/>
        <v>0.14190868175143445</v>
      </c>
      <c r="R237" s="101">
        <f t="shared" si="65"/>
        <v>2.1556376406705401E-2</v>
      </c>
      <c r="S237" s="101">
        <f t="shared" si="67"/>
        <v>723.50470087441124</v>
      </c>
      <c r="T237" s="101">
        <f t="shared" si="68"/>
        <v>28.286863557816869</v>
      </c>
      <c r="U237" s="101">
        <f t="shared" si="69"/>
        <v>14.344215216633934</v>
      </c>
      <c r="V237" s="33">
        <f t="shared" si="70"/>
        <v>1000</v>
      </c>
      <c r="W237" s="105">
        <f>IF(A237=1,((cPH1_+cPHr+(cNES*L237+(cNES+cOSEX)*G237+(cNES+cEREX)*H237+(cNES+cHOEX)*I237 + (cNES+cNES)*S237 +(cNES+ cOSEX)*N237 + (cNES+cEREX)*O237 + (cNES+cHOEX)*P237)))/(1+cDR)^A$5:A$65536,(cPHr+(cNES*L237+(cNES+cOSEX)*G237+(cNES+cEREX)*H237+(cNES+cHOEX)*I237 + (cNES+cNES)*S237 +(cNES+ cOSEX)*N237 + (cNES+cEREX)*O237 + (cNES+cHOEX)*P237))/(1+cDR)^A$5:A$65536)</f>
        <v>144026.86311726688</v>
      </c>
      <c r="X237" s="112">
        <f t="shared" si="71"/>
        <v>957.36892122554912</v>
      </c>
      <c r="Y237" s="32">
        <f>(uNES*L237+ uOCEX*G237+uEREX*'PH + UC'!H237+uHOEX*I237+uNES*S237+ uOCEX*N237+uEREX*O237+uHOEX*P237)/(1+oDR)^A$5:A$65536</f>
        <v>589.72045777770018</v>
      </c>
    </row>
    <row r="238" spans="1:25" x14ac:dyDescent="0.25">
      <c r="A238" s="4">
        <v>232</v>
      </c>
      <c r="C238" s="110">
        <f>IF(male=0,VLOOKUP(((A236:A1070/'Life tables'!$I$2)*2)+age,lifetable,13,1),IF(male=1,VLOOKUP(((A236:A1070/'Life tables'!$I$2)*2)+age,lifetable,10,1),"error"))</f>
        <v>1.6015111386780134E-4</v>
      </c>
      <c r="F238" s="101">
        <f t="shared" si="54"/>
        <v>152.67094091916124</v>
      </c>
      <c r="G238" s="101">
        <f t="shared" si="55"/>
        <v>15.336115538004881</v>
      </c>
      <c r="H238" s="101">
        <f t="shared" si="56"/>
        <v>0.35094816289232611</v>
      </c>
      <c r="I238" s="101">
        <f t="shared" si="57"/>
        <v>0.35094816289232611</v>
      </c>
      <c r="J238" s="101">
        <f t="shared" si="58"/>
        <v>2.701892670765987E-2</v>
      </c>
      <c r="K238" s="101">
        <f t="shared" si="59"/>
        <v>2.7510517771086318E-2</v>
      </c>
      <c r="L238" s="101">
        <f t="shared" si="66"/>
        <v>136.57839961089297</v>
      </c>
      <c r="M238" s="101">
        <f t="shared" si="60"/>
        <v>804.69798030638776</v>
      </c>
      <c r="N238" s="101">
        <f t="shared" si="61"/>
        <v>77.494158984268751</v>
      </c>
      <c r="O238" s="101">
        <f t="shared" si="62"/>
        <v>1.8497775422843941</v>
      </c>
      <c r="P238" s="101">
        <f t="shared" si="63"/>
        <v>1.8497775422843941</v>
      </c>
      <c r="Q238" s="101">
        <f t="shared" si="64"/>
        <v>0.14187654162042615</v>
      </c>
      <c r="R238" s="101">
        <f t="shared" si="65"/>
        <v>2.1551494219419709E-2</v>
      </c>
      <c r="S238" s="101">
        <f t="shared" si="67"/>
        <v>723.34083820171031</v>
      </c>
      <c r="T238" s="101">
        <f t="shared" si="68"/>
        <v>28.455759026144953</v>
      </c>
      <c r="U238" s="101">
        <f t="shared" si="69"/>
        <v>14.39327722862444</v>
      </c>
      <c r="V238" s="33">
        <f t="shared" si="70"/>
        <v>999.99999999999977</v>
      </c>
      <c r="W238" s="105">
        <f>IF(A238=1,((cPH1_+cPHr+(cNES*L238+(cNES+cOSEX)*G238+(cNES+cEREX)*H238+(cNES+cHOEX)*I238 + (cNES+cNES)*S238 +(cNES+ cOSEX)*N238 + (cNES+cEREX)*O238 + (cNES+cHOEX)*P238)))/(1+cDR)^A$5:A$65536,(cPHr+(cNES*L238+(cNES+cOSEX)*G238+(cNES+cEREX)*H238+(cNES+cHOEX)*I238 + (cNES+cNES)*S238 +(cNES+ cOSEX)*N238 + (cNES+cEREX)*O238 + (cNES+cHOEX)*P238))/(1+cDR)^A$5:A$65536)</f>
        <v>143828.63664300655</v>
      </c>
      <c r="X238" s="112">
        <f t="shared" si="71"/>
        <v>957.15096374523034</v>
      </c>
      <c r="Y238" s="32">
        <f>(uNES*L238+ uOCEX*G238+uEREX*'PH + UC'!H238+uHOEX*I238+uNES*S238+ uOCEX*N238+uEREX*O238+uHOEX*P238)/(1+oDR)^A$5:A$65536</f>
        <v>589.41664253525698</v>
      </c>
    </row>
    <row r="239" spans="1:25" x14ac:dyDescent="0.25">
      <c r="A239" s="4">
        <v>233</v>
      </c>
      <c r="C239" s="110">
        <f>IF(male=0,VLOOKUP(((A237:A1071/'Life tables'!$I$2)*2)+age,lifetable,13,1),IF(male=1,VLOOKUP(((A237:A1071/'Life tables'!$I$2)*2)+age,lifetable,10,1),"error"))</f>
        <v>1.6015111386780134E-4</v>
      </c>
      <c r="F239" s="101">
        <f t="shared" si="54"/>
        <v>152.63527735218261</v>
      </c>
      <c r="G239" s="101">
        <f t="shared" si="55"/>
        <v>15.332533058062145</v>
      </c>
      <c r="H239" s="101">
        <f t="shared" si="56"/>
        <v>0.35086618224009469</v>
      </c>
      <c r="I239" s="101">
        <f t="shared" si="57"/>
        <v>0.35086618224009469</v>
      </c>
      <c r="J239" s="101">
        <f t="shared" si="58"/>
        <v>2.7012615150944962E-2</v>
      </c>
      <c r="K239" s="101">
        <f t="shared" si="59"/>
        <v>2.7504091379873696E-2</v>
      </c>
      <c r="L239" s="101">
        <f t="shared" si="66"/>
        <v>136.54649522310945</v>
      </c>
      <c r="M239" s="101">
        <f t="shared" si="60"/>
        <v>804.51568639304787</v>
      </c>
      <c r="N239" s="101">
        <f t="shared" si="61"/>
        <v>77.47660368545111</v>
      </c>
      <c r="O239" s="101">
        <f t="shared" si="62"/>
        <v>1.8493584991213146</v>
      </c>
      <c r="P239" s="101">
        <f t="shared" si="63"/>
        <v>1.8493584991213146</v>
      </c>
      <c r="Q239" s="101">
        <f t="shared" si="64"/>
        <v>0.14184440132603487</v>
      </c>
      <c r="R239" s="101">
        <f t="shared" si="65"/>
        <v>2.1546612007315627E-2</v>
      </c>
      <c r="S239" s="101">
        <f t="shared" si="67"/>
        <v>723.17697469602081</v>
      </c>
      <c r="T239" s="101">
        <f t="shared" si="68"/>
        <v>28.624616042621934</v>
      </c>
      <c r="U239" s="101">
        <f t="shared" si="69"/>
        <v>14.442327932011629</v>
      </c>
      <c r="V239" s="33">
        <f t="shared" si="70"/>
        <v>999.99999999999989</v>
      </c>
      <c r="W239" s="105">
        <f>IF(A239=1,((cPH1_+cPHr+(cNES*L239+(cNES+cOSEX)*G239+(cNES+cEREX)*H239+(cNES+cHOEX)*I239 + (cNES+cNES)*S239 +(cNES+ cOSEX)*N239 + (cNES+cEREX)*O239 + (cNES+cHOEX)*P239)))/(1+cDR)^A$5:A$65536,(cPHr+(cNES*L239+(cNES+cOSEX)*G239+(cNES+cEREX)*H239+(cNES+cHOEX)*I239 + (cNES+cNES)*S239 +(cNES+ cOSEX)*N239 + (cNES+cEREX)*O239 + (cNES+cHOEX)*P239))/(1+cDR)^A$5:A$65536)</f>
        <v>143630.68033871829</v>
      </c>
      <c r="X239" s="112">
        <f t="shared" si="71"/>
        <v>956.93305602536634</v>
      </c>
      <c r="Y239" s="32">
        <f>(uNES*L239+ uOCEX*G239+uEREX*'PH + UC'!H239+uHOEX*I239+uNES*S239+ uOCEX*N239+uEREX*O239+uHOEX*P239)/(1+oDR)^A$5:A$65536</f>
        <v>589.11298388386535</v>
      </c>
    </row>
    <row r="240" spans="1:25" x14ac:dyDescent="0.25">
      <c r="A240" s="4">
        <v>234</v>
      </c>
      <c r="C240" s="110">
        <f>IF(male=0,VLOOKUP(((A238:A1072/'Life tables'!$I$2)*2)+age,lifetable,13,1),IF(male=1,VLOOKUP(((A238:A1072/'Life tables'!$I$2)*2)+age,lifetable,10,1),"error"))</f>
        <v>1.6015111386780134E-4</v>
      </c>
      <c r="F240" s="101">
        <f t="shared" si="54"/>
        <v>152.59966256896385</v>
      </c>
      <c r="G240" s="101">
        <f t="shared" si="55"/>
        <v>15.328955478550185</v>
      </c>
      <c r="H240" s="101">
        <f t="shared" si="56"/>
        <v>0.35078431372820124</v>
      </c>
      <c r="I240" s="101">
        <f t="shared" si="57"/>
        <v>0.35078431372820124</v>
      </c>
      <c r="J240" s="101">
        <f t="shared" si="58"/>
        <v>2.7006312227731789E-2</v>
      </c>
      <c r="K240" s="101">
        <f t="shared" si="59"/>
        <v>2.7497673779243514E-2</v>
      </c>
      <c r="L240" s="101">
        <f t="shared" si="66"/>
        <v>136.51463447695028</v>
      </c>
      <c r="M240" s="101">
        <f t="shared" si="60"/>
        <v>804.33339345640252</v>
      </c>
      <c r="N240" s="101">
        <f t="shared" si="61"/>
        <v>77.45904848069128</v>
      </c>
      <c r="O240" s="101">
        <f t="shared" si="62"/>
        <v>1.8489394582033851</v>
      </c>
      <c r="P240" s="101">
        <f t="shared" si="63"/>
        <v>1.8489394582033851</v>
      </c>
      <c r="Q240" s="101">
        <f t="shared" si="64"/>
        <v>0.14181226120384488</v>
      </c>
      <c r="R240" s="101">
        <f t="shared" si="65"/>
        <v>2.1541729821369471E-2</v>
      </c>
      <c r="S240" s="101">
        <f t="shared" si="67"/>
        <v>723.01311206827927</v>
      </c>
      <c r="T240" s="101">
        <f t="shared" si="68"/>
        <v>28.79343461605351</v>
      </c>
      <c r="U240" s="101">
        <f t="shared" si="69"/>
        <v>14.491367335612242</v>
      </c>
      <c r="V240" s="33">
        <f t="shared" si="70"/>
        <v>1000</v>
      </c>
      <c r="W240" s="105">
        <f>IF(A240=1,((cPH1_+cPHr+(cNES*L240+(cNES+cOSEX)*G240+(cNES+cEREX)*H240+(cNES+cHOEX)*I240 + (cNES+cNES)*S240 +(cNES+ cOSEX)*N240 + (cNES+cEREX)*O240 + (cNES+cHOEX)*P240)))/(1+cDR)^A$5:A$65536,(cPHr+(cNES*L240+(cNES+cOSEX)*G240+(cNES+cEREX)*H240+(cNES+cHOEX)*I240 + (cNES+cNES)*S240 +(cNES+ cOSEX)*N240 + (cNES+cEREX)*O240 + (cNES+cHOEX)*P240))/(1+cDR)^A$5:A$65536)</f>
        <v>143432.99395814398</v>
      </c>
      <c r="X240" s="112">
        <f t="shared" si="71"/>
        <v>956.71519804833417</v>
      </c>
      <c r="Y240" s="32">
        <f>(uNES*L240+ uOCEX*G240+uEREX*'PH + UC'!H240+uHOEX*I240+uNES*S240+ uOCEX*N240+uEREX*O240+uHOEX*P240)/(1+oDR)^A$5:A$65536</f>
        <v>588.80948173965896</v>
      </c>
    </row>
    <row r="241" spans="1:25" x14ac:dyDescent="0.25">
      <c r="A241" s="4">
        <v>235</v>
      </c>
      <c r="C241" s="110">
        <f>IF(male=0,VLOOKUP(((A239:A1073/'Life tables'!$I$2)*2)+age,lifetable,13,1),IF(male=1,VLOOKUP(((A239:A1073/'Life tables'!$I$2)*2)+age,lifetable,10,1),"error"))</f>
        <v>1.7629026324772479E-4</v>
      </c>
      <c r="F241" s="101">
        <f t="shared" si="54"/>
        <v>152.56409473431262</v>
      </c>
      <c r="G241" s="101">
        <f t="shared" si="55"/>
        <v>15.325382615120093</v>
      </c>
      <c r="H241" s="101">
        <f t="shared" si="56"/>
        <v>0.35070255313804727</v>
      </c>
      <c r="I241" s="101">
        <f t="shared" si="57"/>
        <v>0.35070255313804727</v>
      </c>
      <c r="J241" s="101">
        <f t="shared" si="58"/>
        <v>2.9720931049283132E-2</v>
      </c>
      <c r="K241" s="101">
        <f t="shared" si="59"/>
        <v>2.749126463850356E-2</v>
      </c>
      <c r="L241" s="101">
        <f t="shared" si="66"/>
        <v>136.48009481722863</v>
      </c>
      <c r="M241" s="101">
        <f t="shared" si="60"/>
        <v>804.15110331402173</v>
      </c>
      <c r="N241" s="101">
        <f t="shared" si="61"/>
        <v>77.441493545025168</v>
      </c>
      <c r="O241" s="101">
        <f t="shared" si="62"/>
        <v>1.848520423708695</v>
      </c>
      <c r="P241" s="101">
        <f t="shared" si="63"/>
        <v>1.848520423708695</v>
      </c>
      <c r="Q241" s="101">
        <f t="shared" si="64"/>
        <v>0.15606794328175549</v>
      </c>
      <c r="R241" s="101">
        <f t="shared" si="65"/>
        <v>2.1536847710259561E-2</v>
      </c>
      <c r="S241" s="101">
        <f t="shared" si="67"/>
        <v>722.8349641305872</v>
      </c>
      <c r="T241" s="101">
        <f t="shared" si="68"/>
        <v>28.979223490384548</v>
      </c>
      <c r="U241" s="101">
        <f t="shared" si="69"/>
        <v>14.540395447961005</v>
      </c>
      <c r="V241" s="33">
        <f t="shared" si="70"/>
        <v>1000.0000000000001</v>
      </c>
      <c r="W241" s="105">
        <f>IF(A241=1,((cPH1_+cPHr+(cNES*L241+(cNES+cOSEX)*G241+(cNES+cEREX)*H241+(cNES+cHOEX)*I241 + (cNES+cNES)*S241 +(cNES+ cOSEX)*N241 + (cNES+cEREX)*O241 + (cNES+cHOEX)*P241)))/(1+cDR)^A$5:A$65536,(cPHr+(cNES*L241+(cNES+cOSEX)*G241+(cNES+cEREX)*H241+(cNES+cHOEX)*I241 + (cNES+cNES)*S241 +(cNES+ cOSEX)*N241 + (cNES+cEREX)*O241 + (cNES+cHOEX)*P241))/(1+cDR)^A$5:A$65536)</f>
        <v>143233.36935649111</v>
      </c>
      <c r="X241" s="112">
        <f t="shared" si="71"/>
        <v>956.4803810616545</v>
      </c>
      <c r="Y241" s="32">
        <f>(uNES*L241+ uOCEX*G241+uEREX*'PH + UC'!H241+uHOEX*I241+uNES*S241+ uOCEX*N241+uEREX*O241+uHOEX*P241)/(1+oDR)^A$5:A$65536</f>
        <v>588.49550088693309</v>
      </c>
    </row>
    <row r="242" spans="1:25" x14ac:dyDescent="0.25">
      <c r="A242" s="4">
        <v>236</v>
      </c>
      <c r="C242" s="110">
        <f>IF(male=0,VLOOKUP(((A240:A1074/'Life tables'!$I$2)*2)+age,lifetable,13,1),IF(male=1,VLOOKUP(((A240:A1074/'Life tables'!$I$2)*2)+age,lifetable,10,1),"error"))</f>
        <v>1.7629026324772479E-4</v>
      </c>
      <c r="F242" s="101">
        <f t="shared" si="54"/>
        <v>152.5258512427167</v>
      </c>
      <c r="G242" s="101">
        <f t="shared" si="55"/>
        <v>15.321540976350065</v>
      </c>
      <c r="H242" s="101">
        <f t="shared" si="56"/>
        <v>0.35061464195444303</v>
      </c>
      <c r="I242" s="101">
        <f t="shared" si="57"/>
        <v>0.35061464195444303</v>
      </c>
      <c r="J242" s="101">
        <f t="shared" si="58"/>
        <v>2.9713480854800703E-2</v>
      </c>
      <c r="K242" s="101">
        <f t="shared" si="59"/>
        <v>2.7484373358153524E-2</v>
      </c>
      <c r="L242" s="101">
        <f t="shared" si="66"/>
        <v>136.44588312824479</v>
      </c>
      <c r="M242" s="101">
        <f t="shared" si="60"/>
        <v>803.95452981893789</v>
      </c>
      <c r="N242" s="101">
        <f t="shared" si="61"/>
        <v>77.422563091547062</v>
      </c>
      <c r="O242" s="101">
        <f t="shared" si="62"/>
        <v>1.8480685557464118</v>
      </c>
      <c r="P242" s="101">
        <f t="shared" si="63"/>
        <v>1.8480685557464118</v>
      </c>
      <c r="Q242" s="101">
        <f t="shared" si="64"/>
        <v>0.15602979271408854</v>
      </c>
      <c r="R242" s="101">
        <f t="shared" si="65"/>
        <v>2.1531583061103393E-2</v>
      </c>
      <c r="S242" s="101">
        <f t="shared" si="67"/>
        <v>722.65826824012277</v>
      </c>
      <c r="T242" s="101">
        <f t="shared" si="68"/>
        <v>29.164966763953437</v>
      </c>
      <c r="U242" s="101">
        <f t="shared" si="69"/>
        <v>14.589411404380263</v>
      </c>
      <c r="V242" s="33">
        <f t="shared" si="70"/>
        <v>1000.0000000000001</v>
      </c>
      <c r="W242" s="105">
        <f>IF(A242=1,((cPH1_+cPHr+(cNES*L242+(cNES+cOSEX)*G242+(cNES+cEREX)*H242+(cNES+cHOEX)*I242 + (cNES+cNES)*S242 +(cNES+ cOSEX)*N242 + (cNES+cEREX)*O242 + (cNES+cHOEX)*P242)))/(1+cDR)^A$5:A$65536,(cPHr+(cNES*L242+(cNES+cOSEX)*G242+(cNES+cEREX)*H242+(cNES+cHOEX)*I242 + (cNES+cNES)*S242 +(cNES+ cOSEX)*N242 + (cNES+cEREX)*O242 + (cNES+cHOEX)*P242))/(1+cDR)^A$5:A$65536)</f>
        <v>143033.68246384148</v>
      </c>
      <c r="X242" s="112">
        <f t="shared" si="71"/>
        <v>956.24562183166643</v>
      </c>
      <c r="Y242" s="32">
        <f>(uNES*L242+ uOCEX*G242+uEREX*'PH + UC'!H242+uHOEX*I242+uNES*S242+ uOCEX*N242+uEREX*O242+uHOEX*P242)/(1+oDR)^A$5:A$65536</f>
        <v>588.18185756999833</v>
      </c>
    </row>
    <row r="243" spans="1:25" x14ac:dyDescent="0.25">
      <c r="A243" s="4">
        <v>237</v>
      </c>
      <c r="C243" s="110">
        <f>IF(male=0,VLOOKUP(((A241:A1075/'Life tables'!$I$2)*2)+age,lifetable,13,1),IF(male=1,VLOOKUP(((A241:A1075/'Life tables'!$I$2)*2)+age,lifetable,10,1),"error"))</f>
        <v>1.7629026324772479E-4</v>
      </c>
      <c r="F243" s="101">
        <f t="shared" si="54"/>
        <v>152.48765296801608</v>
      </c>
      <c r="G243" s="101">
        <f t="shared" si="55"/>
        <v>15.317703879711802</v>
      </c>
      <c r="H243" s="101">
        <f t="shared" si="56"/>
        <v>0.35052683471194401</v>
      </c>
      <c r="I243" s="101">
        <f t="shared" si="57"/>
        <v>0.35052683471194401</v>
      </c>
      <c r="J243" s="101">
        <f t="shared" si="58"/>
        <v>2.9706039468997865E-2</v>
      </c>
      <c r="K243" s="101">
        <f t="shared" si="59"/>
        <v>2.747749022565529E-2</v>
      </c>
      <c r="L243" s="101">
        <f t="shared" si="66"/>
        <v>136.41171188918574</v>
      </c>
      <c r="M243" s="101">
        <f t="shared" si="60"/>
        <v>803.75796886365026</v>
      </c>
      <c r="N243" s="101">
        <f t="shared" si="61"/>
        <v>77.403633845678499</v>
      </c>
      <c r="O243" s="101">
        <f t="shared" si="62"/>
        <v>1.8476167166096433</v>
      </c>
      <c r="P243" s="101">
        <f t="shared" si="63"/>
        <v>1.8476167166096433</v>
      </c>
      <c r="Q243" s="101">
        <f t="shared" si="64"/>
        <v>0.15599164458011869</v>
      </c>
      <c r="R243" s="101">
        <f t="shared" si="65"/>
        <v>2.1526318747789184E-2</v>
      </c>
      <c r="S243" s="101">
        <f t="shared" si="67"/>
        <v>722.48158362142453</v>
      </c>
      <c r="T243" s="101">
        <f t="shared" si="68"/>
        <v>29.350664448002554</v>
      </c>
      <c r="U243" s="101">
        <f t="shared" si="69"/>
        <v>14.638415213353706</v>
      </c>
      <c r="V243" s="33">
        <f t="shared" si="70"/>
        <v>1000</v>
      </c>
      <c r="W243" s="105">
        <f>IF(A243=1,((cPH1_+cPHr+(cNES*L243+(cNES+cOSEX)*G243+(cNES+cEREX)*H243+(cNES+cHOEX)*I243 + (cNES+cNES)*S243 +(cNES+ cOSEX)*N243 + (cNES+cEREX)*O243 + (cNES+cHOEX)*P243)))/(1+cDR)^A$5:A$65536,(cPHr+(cNES*L243+(cNES+cOSEX)*G243+(cNES+cEREX)*H243+(cNES+cHOEX)*I243 + (cNES+cNES)*S243 +(cNES+ cOSEX)*N243 + (cNES+cEREX)*O243 + (cNES+cHOEX)*P243))/(1+cDR)^A$5:A$65536)</f>
        <v>142834.27174134416</v>
      </c>
      <c r="X243" s="112">
        <f t="shared" si="71"/>
        <v>956.01092033864381</v>
      </c>
      <c r="Y243" s="32">
        <f>(uNES*L243+ uOCEX*G243+uEREX*'PH + UC'!H243+uHOEX*I243+uNES*S243+ uOCEX*N243+uEREX*O243+uHOEX*P243)/(1+oDR)^A$5:A$65536</f>
        <v>587.86838147054266</v>
      </c>
    </row>
    <row r="244" spans="1:25" x14ac:dyDescent="0.25">
      <c r="A244" s="4">
        <v>238</v>
      </c>
      <c r="C244" s="110">
        <f>IF(male=0,VLOOKUP(((A242:A1076/'Life tables'!$I$2)*2)+age,lifetable,13,1),IF(male=1,VLOOKUP(((A242:A1076/'Life tables'!$I$2)*2)+age,lifetable,10,1),"error"))</f>
        <v>1.7629026324772479E-4</v>
      </c>
      <c r="F244" s="101">
        <f t="shared" si="54"/>
        <v>152.4494982912594</v>
      </c>
      <c r="G244" s="101">
        <f t="shared" si="55"/>
        <v>15.313871162578256</v>
      </c>
      <c r="H244" s="101">
        <f t="shared" si="56"/>
        <v>0.35043912768902996</v>
      </c>
      <c r="I244" s="101">
        <f t="shared" si="57"/>
        <v>0.35043912768902996</v>
      </c>
      <c r="J244" s="101">
        <f t="shared" si="58"/>
        <v>2.9698606576487555E-2</v>
      </c>
      <c r="K244" s="101">
        <f t="shared" si="59"/>
        <v>2.7470614949282164E-2</v>
      </c>
      <c r="L244" s="101">
        <f t="shared" si="66"/>
        <v>136.37757965177732</v>
      </c>
      <c r="M244" s="101">
        <f t="shared" si="60"/>
        <v>803.56142204738444</v>
      </c>
      <c r="N244" s="101">
        <f t="shared" si="61"/>
        <v>77.384705961428352</v>
      </c>
      <c r="O244" s="101">
        <f t="shared" si="62"/>
        <v>1.8471649099745657</v>
      </c>
      <c r="P244" s="101">
        <f t="shared" si="63"/>
        <v>1.8471649099745657</v>
      </c>
      <c r="Q244" s="101">
        <f t="shared" si="64"/>
        <v>0.15595349919022025</v>
      </c>
      <c r="R244" s="101">
        <f t="shared" si="65"/>
        <v>2.1521054813147537E-2</v>
      </c>
      <c r="S244" s="101">
        <f t="shared" si="67"/>
        <v>722.30491171200356</v>
      </c>
      <c r="T244" s="101">
        <f t="shared" si="68"/>
        <v>29.536316553769261</v>
      </c>
      <c r="U244" s="101">
        <f t="shared" si="69"/>
        <v>14.687406883116136</v>
      </c>
      <c r="V244" s="33">
        <f t="shared" si="70"/>
        <v>1000.0000000000001</v>
      </c>
      <c r="W244" s="105">
        <f>IF(A244=1,((cPH1_+cPHr+(cNES*L244+(cNES+cOSEX)*G244+(cNES+cEREX)*H244+(cNES+cHOEX)*I244 + (cNES+cNES)*S244 +(cNES+ cOSEX)*N244 + (cNES+cEREX)*O244 + (cNES+cHOEX)*P244)))/(1+cDR)^A$5:A$65536,(cPHr+(cNES*L244+(cNES+cOSEX)*G244+(cNES+cEREX)*H244+(cNES+cHOEX)*I244 + (cNES+cNES)*S244 +(cNES+ cOSEX)*N244 + (cNES+cEREX)*O244 + (cNES+cHOEX)*P244))/(1+cDR)^A$5:A$65536)</f>
        <v>142635.13690921626</v>
      </c>
      <c r="X244" s="112">
        <f t="shared" si="71"/>
        <v>955.77627656311472</v>
      </c>
      <c r="Y244" s="32">
        <f>(uNES*L244+ uOCEX*G244+uEREX*'PH + UC'!H244+uHOEX*I244+uNES*S244+ uOCEX*N244+uEREX*O244+uHOEX*P244)/(1+oDR)^A$5:A$65536</f>
        <v>587.55507249676123</v>
      </c>
    </row>
    <row r="245" spans="1:25" x14ac:dyDescent="0.25">
      <c r="A245" s="4">
        <v>239</v>
      </c>
      <c r="C245" s="110">
        <f>IF(male=0,VLOOKUP(((A243:A1077/'Life tables'!$I$2)*2)+age,lifetable,13,1),IF(male=1,VLOOKUP(((A243:A1077/'Life tables'!$I$2)*2)+age,lifetable,10,1),"error"))</f>
        <v>1.7629026324772479E-4</v>
      </c>
      <c r="F245" s="101">
        <f t="shared" si="54"/>
        <v>152.4113856660432</v>
      </c>
      <c r="G245" s="101">
        <f t="shared" si="55"/>
        <v>15.310042669609958</v>
      </c>
      <c r="H245" s="101">
        <f t="shared" si="56"/>
        <v>0.3503515173309481</v>
      </c>
      <c r="I245" s="101">
        <f t="shared" si="57"/>
        <v>0.3503515173309481</v>
      </c>
      <c r="J245" s="101">
        <f t="shared" si="58"/>
        <v>2.9691181876015726E-2</v>
      </c>
      <c r="K245" s="101">
        <f t="shared" si="59"/>
        <v>2.7463747250380196E-2</v>
      </c>
      <c r="L245" s="101">
        <f t="shared" si="66"/>
        <v>136.34348503264496</v>
      </c>
      <c r="M245" s="101">
        <f t="shared" si="60"/>
        <v>803.36489089707163</v>
      </c>
      <c r="N245" s="101">
        <f t="shared" si="61"/>
        <v>77.365779585843441</v>
      </c>
      <c r="O245" s="101">
        <f t="shared" si="62"/>
        <v>1.8467131393511704</v>
      </c>
      <c r="P245" s="101">
        <f t="shared" si="63"/>
        <v>1.8467131393511704</v>
      </c>
      <c r="Q245" s="101">
        <f t="shared" si="64"/>
        <v>0.15591535684073674</v>
      </c>
      <c r="R245" s="101">
        <f t="shared" si="65"/>
        <v>2.1515791298072861E-2</v>
      </c>
      <c r="S245" s="101">
        <f t="shared" si="67"/>
        <v>722.12825388438705</v>
      </c>
      <c r="T245" s="101">
        <f t="shared" si="68"/>
        <v>29.721923092486012</v>
      </c>
      <c r="U245" s="101">
        <f t="shared" si="69"/>
        <v>14.736386421664589</v>
      </c>
      <c r="V245" s="33">
        <f t="shared" si="70"/>
        <v>1000.0000000000002</v>
      </c>
      <c r="W245" s="105">
        <f>IF(A245=1,((cPH1_+cPHr+(cNES*L245+(cNES+cOSEX)*G245+(cNES+cEREX)*H245+(cNES+cHOEX)*I245 + (cNES+cNES)*S245 +(cNES+ cOSEX)*N245 + (cNES+cEREX)*O245 + (cNES+cHOEX)*P245)))/(1+cDR)^A$5:A$65536,(cPHr+(cNES*L245+(cNES+cOSEX)*G245+(cNES+cEREX)*H245+(cNES+cHOEX)*I245 + (cNES+cNES)*S245 +(cNES+ cOSEX)*N245 + (cNES+cEREX)*O245 + (cNES+cHOEX)*P245))/(1+cDR)^A$5:A$65536)</f>
        <v>142436.27768322243</v>
      </c>
      <c r="X245" s="112">
        <f t="shared" si="71"/>
        <v>955.5416904858497</v>
      </c>
      <c r="Y245" s="32">
        <f>(uNES*L245+ uOCEX*G245+uEREX*'PH + UC'!H245+uHOEX*I245+uNES*S245+ uOCEX*N245+uEREX*O245+uHOEX*P245)/(1+oDR)^A$5:A$65536</f>
        <v>587.24193055701824</v>
      </c>
    </row>
    <row r="246" spans="1:25" x14ac:dyDescent="0.25">
      <c r="A246" s="4">
        <v>240</v>
      </c>
      <c r="C246" s="110">
        <f>IF(male=0,VLOOKUP(((A244:A1078/'Life tables'!$I$2)*2)+age,lifetable,13,1),IF(male=1,VLOOKUP(((A244:A1078/'Life tables'!$I$2)*2)+age,lifetable,10,1),"error"))</f>
        <v>1.7629026324772479E-4</v>
      </c>
      <c r="F246" s="101">
        <f t="shared" si="54"/>
        <v>152.37331361525656</v>
      </c>
      <c r="G246" s="101">
        <f t="shared" si="55"/>
        <v>15.306218252428028</v>
      </c>
      <c r="H246" s="101">
        <f t="shared" si="56"/>
        <v>0.35026400024222987</v>
      </c>
      <c r="I246" s="101">
        <f t="shared" si="57"/>
        <v>0.35026400024222987</v>
      </c>
      <c r="J246" s="101">
        <f t="shared" si="58"/>
        <v>2.968376507982718E-2</v>
      </c>
      <c r="K246" s="101">
        <f t="shared" si="59"/>
        <v>2.7456886862781603E-2</v>
      </c>
      <c r="L246" s="101">
        <f t="shared" si="66"/>
        <v>136.30942671040145</v>
      </c>
      <c r="M246" s="101">
        <f t="shared" si="60"/>
        <v>803.16837687059319</v>
      </c>
      <c r="N246" s="101">
        <f t="shared" si="61"/>
        <v>77.346854859320885</v>
      </c>
      <c r="O246" s="101">
        <f t="shared" si="62"/>
        <v>1.8462614080907225</v>
      </c>
      <c r="P246" s="101">
        <f t="shared" si="63"/>
        <v>1.8462614080907225</v>
      </c>
      <c r="Q246" s="101">
        <f t="shared" si="64"/>
        <v>0.15587721781461078</v>
      </c>
      <c r="R246" s="101">
        <f t="shared" si="65"/>
        <v>2.1510528241610271E-2</v>
      </c>
      <c r="S246" s="101">
        <f t="shared" si="67"/>
        <v>721.95161144903466</v>
      </c>
      <c r="T246" s="101">
        <f t="shared" si="68"/>
        <v>29.907484075380449</v>
      </c>
      <c r="U246" s="101">
        <f t="shared" si="69"/>
        <v>14.78535383676898</v>
      </c>
      <c r="V246" s="33">
        <f t="shared" si="70"/>
        <v>1000.0000000000003</v>
      </c>
      <c r="W246" s="105">
        <f>IF(A246=1,((cPH1_+cPHr+(cNES*L246+(cNES+cOSEX)*G246+(cNES+cEREX)*H246+(cNES+cHOEX)*I246 + (cNES+cNES)*S246 +(cNES+ cOSEX)*N246 + (cNES+cEREX)*O246 + (cNES+cHOEX)*P246)))/(1+cDR)^A$5:A$65536,(cPHr+(cNES*L246+(cNES+cOSEX)*G246+(cNES+cEREX)*H246+(cNES+cHOEX)*I246 + (cNES+cNES)*S246 +(cNES+ cOSEX)*N246 + (cNES+cEREX)*O246 + (cNES+cHOEX)*P246))/(1+cDR)^A$5:A$65536)</f>
        <v>142237.69377490386</v>
      </c>
      <c r="X246" s="112">
        <f t="shared" si="71"/>
        <v>955.30716208785088</v>
      </c>
      <c r="Y246" s="32">
        <f>(uNES*L246+ uOCEX*G246+uEREX*'PH + UC'!H246+uHOEX*I246+uNES*S246+ uOCEX*N246+uEREX*O246+uHOEX*P246)/(1+oDR)^A$5:A$65536</f>
        <v>586.92895555984148</v>
      </c>
    </row>
    <row r="247" spans="1:25" x14ac:dyDescent="0.25">
      <c r="A247" s="4">
        <v>241</v>
      </c>
      <c r="C247" s="110">
        <f>IF(male=0,VLOOKUP(((A245:A1079/'Life tables'!$I$2)*2)+age,lifetable,13,1),IF(male=1,VLOOKUP(((A245:A1079/'Life tables'!$I$2)*2)+age,lifetable,10,1),"error"))</f>
        <v>1.7629026324772479E-4</v>
      </c>
      <c r="F247" s="101">
        <f t="shared" si="54"/>
        <v>152.33528072797159</v>
      </c>
      <c r="G247" s="101">
        <f t="shared" si="55"/>
        <v>15.302397769301805</v>
      </c>
      <c r="H247" s="101">
        <f t="shared" si="56"/>
        <v>0.35017657317954332</v>
      </c>
      <c r="I247" s="101">
        <f t="shared" si="57"/>
        <v>0.35017657317954332</v>
      </c>
      <c r="J247" s="101">
        <f t="shared" si="58"/>
        <v>2.9676355913059799E-2</v>
      </c>
      <c r="K247" s="101">
        <f t="shared" si="59"/>
        <v>2.7450033532244438E-2</v>
      </c>
      <c r="L247" s="101">
        <f t="shared" si="66"/>
        <v>136.27540342286539</v>
      </c>
      <c r="M247" s="101">
        <f t="shared" si="60"/>
        <v>802.97188135987926</v>
      </c>
      <c r="N247" s="101">
        <f t="shared" si="61"/>
        <v>77.327931915906547</v>
      </c>
      <c r="O247" s="101">
        <f t="shared" si="62"/>
        <v>1.8458097193928833</v>
      </c>
      <c r="P247" s="101">
        <f t="shared" si="63"/>
        <v>1.8458097193928833</v>
      </c>
      <c r="Q247" s="101">
        <f t="shared" si="64"/>
        <v>0.15583908238198524</v>
      </c>
      <c r="R247" s="101">
        <f t="shared" si="65"/>
        <v>2.1505265681038561E-2</v>
      </c>
      <c r="S247" s="101">
        <f t="shared" si="67"/>
        <v>721.77498565712392</v>
      </c>
      <c r="T247" s="101">
        <f t="shared" si="68"/>
        <v>30.092999513675494</v>
      </c>
      <c r="U247" s="101">
        <f t="shared" si="69"/>
        <v>14.834309135982263</v>
      </c>
      <c r="V247" s="33">
        <f t="shared" si="70"/>
        <v>1000.0000000000003</v>
      </c>
      <c r="W247" s="105">
        <f>IF(A247=1,((cPH1_+cPHr+(cNES*L247+(cNES+cOSEX)*G247+(cNES+cEREX)*H247+(cNES+cHOEX)*I247 + (cNES+cNES)*S247 +(cNES+ cOSEX)*N247 + (cNES+cEREX)*O247 + (cNES+cHOEX)*P247)))/(1+cDR)^A$5:A$65536,(cPHr+(cNES*L247+(cNES+cOSEX)*G247+(cNES+cEREX)*H247+(cNES+cHOEX)*I247 + (cNES+cNES)*S247 +(cNES+ cOSEX)*N247 + (cNES+cEREX)*O247 + (cNES+cHOEX)*P247))/(1+cDR)^A$5:A$65536)</f>
        <v>142039.38489179651</v>
      </c>
      <c r="X247" s="112">
        <f t="shared" si="71"/>
        <v>955.07269135034255</v>
      </c>
      <c r="Y247" s="32">
        <f>(uNES*L247+ uOCEX*G247+uEREX*'PH + UC'!H247+uHOEX*I247+uNES*S247+ uOCEX*N247+uEREX*O247+uHOEX*P247)/(1+oDR)^A$5:A$65536</f>
        <v>586.61614741392009</v>
      </c>
    </row>
    <row r="248" spans="1:25" x14ac:dyDescent="0.25">
      <c r="A248" s="4">
        <v>242</v>
      </c>
      <c r="C248" s="110">
        <f>IF(male=0,VLOOKUP(((A246:A1080/'Life tables'!$I$2)*2)+age,lifetable,13,1),IF(male=1,VLOOKUP(((A246:A1080/'Life tables'!$I$2)*2)+age,lifetable,10,1),"error"))</f>
        <v>1.7629026324772479E-4</v>
      </c>
      <c r="F248" s="101">
        <f t="shared" si="54"/>
        <v>152.29728565647383</v>
      </c>
      <c r="G248" s="101">
        <f t="shared" si="55"/>
        <v>15.298581084850552</v>
      </c>
      <c r="H248" s="101">
        <f t="shared" si="56"/>
        <v>0.35008923304486661</v>
      </c>
      <c r="I248" s="101">
        <f t="shared" si="57"/>
        <v>0.35008923304486661</v>
      </c>
      <c r="J248" s="101">
        <f t="shared" si="58"/>
        <v>2.9668954113166026E-2</v>
      </c>
      <c r="K248" s="101">
        <f t="shared" si="59"/>
        <v>2.7443187015917497E-2</v>
      </c>
      <c r="L248" s="101">
        <f t="shared" si="66"/>
        <v>136.24141396440447</v>
      </c>
      <c r="M248" s="101">
        <f t="shared" si="60"/>
        <v>802.77540569386861</v>
      </c>
      <c r="N248" s="101">
        <f t="shared" si="61"/>
        <v>77.309010883580143</v>
      </c>
      <c r="O248" s="101">
        <f t="shared" si="62"/>
        <v>1.8453580763125148</v>
      </c>
      <c r="P248" s="101">
        <f t="shared" si="63"/>
        <v>1.8453580763125148</v>
      </c>
      <c r="Q248" s="101">
        <f t="shared" si="64"/>
        <v>0.15580095080077763</v>
      </c>
      <c r="R248" s="101">
        <f t="shared" si="65"/>
        <v>2.1500003651949495E-2</v>
      </c>
      <c r="S248" s="101">
        <f t="shared" si="67"/>
        <v>721.59837770321064</v>
      </c>
      <c r="T248" s="101">
        <f t="shared" si="68"/>
        <v>30.278469418589438</v>
      </c>
      <c r="U248" s="101">
        <f t="shared" si="69"/>
        <v>14.88325232665013</v>
      </c>
      <c r="V248" s="33">
        <f t="shared" si="70"/>
        <v>1000.0000000000001</v>
      </c>
      <c r="W248" s="105">
        <f>IF(A248=1,((cPH1_+cPHr+(cNES*L248+(cNES+cOSEX)*G248+(cNES+cEREX)*H248+(cNES+cHOEX)*I248 + (cNES+cNES)*S248 +(cNES+ cOSEX)*N248 + (cNES+cEREX)*O248 + (cNES+cHOEX)*P248)))/(1+cDR)^A$5:A$65536,(cPHr+(cNES*L248+(cNES+cOSEX)*G248+(cNES+cEREX)*H248+(cNES+cHOEX)*I248 + (cNES+cNES)*S248 +(cNES+ cOSEX)*N248 + (cNES+cEREX)*O248 + (cNES+cHOEX)*P248))/(1+cDR)^A$5:A$65536)</f>
        <v>141841.35073763962</v>
      </c>
      <c r="X248" s="112">
        <f t="shared" si="71"/>
        <v>954.83827825476055</v>
      </c>
      <c r="Y248" s="32">
        <f>(uNES*L248+ uOCEX*G248+uEREX*'PH + UC'!H248+uHOEX*I248+uNES*S248+ uOCEX*N248+uEREX*O248+uHOEX*P248)/(1+oDR)^A$5:A$65536</f>
        <v>586.30350602809608</v>
      </c>
    </row>
    <row r="249" spans="1:25" x14ac:dyDescent="0.25">
      <c r="A249" s="4">
        <v>243</v>
      </c>
      <c r="C249" s="110">
        <f>IF(male=0,VLOOKUP(((A247:A1081/'Life tables'!$I$2)*2)+age,lifetable,13,1),IF(male=1,VLOOKUP(((A247:A1081/'Life tables'!$I$2)*2)+age,lifetable,10,1),"error"))</f>
        <v>1.7629026324772479E-4</v>
      </c>
      <c r="F249" s="101">
        <f t="shared" si="54"/>
        <v>152.25932711342531</v>
      </c>
      <c r="G249" s="101">
        <f t="shared" si="55"/>
        <v>15.294768069758474</v>
      </c>
      <c r="H249" s="101">
        <f t="shared" si="56"/>
        <v>0.35000197687896667</v>
      </c>
      <c r="I249" s="101">
        <f t="shared" si="57"/>
        <v>0.35000197687896667</v>
      </c>
      <c r="J249" s="101">
        <f t="shared" si="58"/>
        <v>2.9661559429360242E-2</v>
      </c>
      <c r="K249" s="101">
        <f t="shared" si="59"/>
        <v>2.7436347081829095E-2</v>
      </c>
      <c r="L249" s="101">
        <f t="shared" si="66"/>
        <v>136.20745718339771</v>
      </c>
      <c r="M249" s="101">
        <f t="shared" si="60"/>
        <v>802.57895114133532</v>
      </c>
      <c r="N249" s="101">
        <f t="shared" si="61"/>
        <v>77.290091884527357</v>
      </c>
      <c r="O249" s="101">
        <f t="shared" si="62"/>
        <v>1.8449064817661769</v>
      </c>
      <c r="P249" s="101">
        <f t="shared" si="63"/>
        <v>1.8449064817661769</v>
      </c>
      <c r="Q249" s="101">
        <f t="shared" si="64"/>
        <v>0.15576282331722899</v>
      </c>
      <c r="R249" s="101">
        <f t="shared" si="65"/>
        <v>2.1494742188323493E-2</v>
      </c>
      <c r="S249" s="101">
        <f t="shared" si="67"/>
        <v>721.42178872777004</v>
      </c>
      <c r="T249" s="101">
        <f t="shared" si="68"/>
        <v>30.463893801336027</v>
      </c>
      <c r="U249" s="101">
        <f t="shared" si="69"/>
        <v>14.932183415920282</v>
      </c>
      <c r="V249" s="33">
        <f t="shared" si="70"/>
        <v>1000.0000000000001</v>
      </c>
      <c r="W249" s="105">
        <f>IF(A249=1,((cPH1_+cPHr+(cNES*L249+(cNES+cOSEX)*G249+(cNES+cEREX)*H249+(cNES+cHOEX)*I249 + (cNES+cNES)*S249 +(cNES+ cOSEX)*N249 + (cNES+cEREX)*O249 + (cNES+cHOEX)*P249)))/(1+cDR)^A$5:A$65536,(cPHr+(cNES*L249+(cNES+cOSEX)*G249+(cNES+cEREX)*H249+(cNES+cHOEX)*I249 + (cNES+cNES)*S249 +(cNES+ cOSEX)*N249 + (cNES+cEREX)*O249 + (cNES+cHOEX)*P249))/(1+cDR)^A$5:A$65536)</f>
        <v>141643.59101257383</v>
      </c>
      <c r="X249" s="112">
        <f t="shared" si="71"/>
        <v>954.60392278274389</v>
      </c>
      <c r="Y249" s="32">
        <f>(uNES*L249+ uOCEX*G249+uEREX*'PH + UC'!H249+uHOEX*I249+uNES*S249+ uOCEX*N249+uEREX*O249+uHOEX*P249)/(1+oDR)^A$5:A$65536</f>
        <v>585.99103131136189</v>
      </c>
    </row>
    <row r="250" spans="1:25" x14ac:dyDescent="0.25">
      <c r="A250" s="4">
        <v>244</v>
      </c>
      <c r="C250" s="110">
        <f>IF(male=0,VLOOKUP(((A248:A1082/'Life tables'!$I$2)*2)+age,lifetable,13,1),IF(male=1,VLOOKUP(((A248:A1082/'Life tables'!$I$2)*2)+age,lifetable,10,1),"error"))</f>
        <v>1.7629026324772479E-4</v>
      </c>
      <c r="F250" s="101">
        <f t="shared" si="54"/>
        <v>152.22140386915541</v>
      </c>
      <c r="G250" s="101">
        <f t="shared" si="55"/>
        <v>15.290958600502584</v>
      </c>
      <c r="H250" s="101">
        <f t="shared" si="56"/>
        <v>0.3499148018551716</v>
      </c>
      <c r="I250" s="101">
        <f t="shared" si="57"/>
        <v>0.3499148018551716</v>
      </c>
      <c r="J250" s="101">
        <f t="shared" si="58"/>
        <v>2.9654171622090948E-2</v>
      </c>
      <c r="K250" s="101">
        <f t="shared" si="59"/>
        <v>2.7429513508398926E-2</v>
      </c>
      <c r="L250" s="101">
        <f t="shared" si="66"/>
        <v>136.173531979812</v>
      </c>
      <c r="M250" s="101">
        <f t="shared" si="60"/>
        <v>802.38251891358846</v>
      </c>
      <c r="N250" s="101">
        <f t="shared" si="61"/>
        <v>77.271175035399864</v>
      </c>
      <c r="O250" s="101">
        <f t="shared" si="62"/>
        <v>1.8444549385383329</v>
      </c>
      <c r="P250" s="101">
        <f t="shared" si="63"/>
        <v>1.8444549385383329</v>
      </c>
      <c r="Q250" s="101">
        <f t="shared" si="64"/>
        <v>0.15572470016642764</v>
      </c>
      <c r="R250" s="101">
        <f t="shared" si="65"/>
        <v>2.1489481322601943E-2</v>
      </c>
      <c r="S250" s="101">
        <f t="shared" si="67"/>
        <v>721.24521981962289</v>
      </c>
      <c r="T250" s="101">
        <f t="shared" si="68"/>
        <v>30.649272673124546</v>
      </c>
      <c r="U250" s="101">
        <f t="shared" si="69"/>
        <v>14.981102410751282</v>
      </c>
      <c r="V250" s="33">
        <f t="shared" si="70"/>
        <v>1000.0000000000001</v>
      </c>
      <c r="W250" s="105">
        <f>IF(A250=1,((cPH1_+cPHr+(cNES*L250+(cNES+cOSEX)*G250+(cNES+cEREX)*H250+(cNES+cHOEX)*I250 + (cNES+cNES)*S250 +(cNES+ cOSEX)*N250 + (cNES+cEREX)*O250 + (cNES+cHOEX)*P250)))/(1+cDR)^A$5:A$65536,(cPHr+(cNES*L250+(cNES+cOSEX)*G250+(cNES+cEREX)*H250+(cNES+cHOEX)*I250 + (cNES+cNES)*S250 +(cNES+ cOSEX)*N250 + (cNES+cEREX)*O250 + (cNES+cHOEX)*P250))/(1+cDR)^A$5:A$65536)</f>
        <v>141446.10541333098</v>
      </c>
      <c r="X250" s="112">
        <f t="shared" si="71"/>
        <v>954.36962491612428</v>
      </c>
      <c r="Y250" s="32">
        <f>(uNES*L250+ uOCEX*G250+uEREX*'PH + UC'!H250+uHOEX*I250+uNES*S250+ uOCEX*N250+uEREX*O250+uHOEX*P250)/(1+oDR)^A$5:A$65536</f>
        <v>585.67872317285344</v>
      </c>
    </row>
    <row r="251" spans="1:25" x14ac:dyDescent="0.25">
      <c r="A251" s="4">
        <v>245</v>
      </c>
      <c r="C251" s="110">
        <f>IF(male=0,VLOOKUP(((A249:A1083/'Life tables'!$I$2)*2)+age,lifetable,13,1),IF(male=1,VLOOKUP(((A249:A1083/'Life tables'!$I$2)*2)+age,lifetable,10,1),"error"))</f>
        <v>1.7629026324772479E-4</v>
      </c>
      <c r="F251" s="101">
        <f t="shared" si="54"/>
        <v>152.18351474907314</v>
      </c>
      <c r="G251" s="101">
        <f t="shared" si="55"/>
        <v>15.287152559092762</v>
      </c>
      <c r="H251" s="101">
        <f t="shared" si="56"/>
        <v>0.3498277052734225</v>
      </c>
      <c r="I251" s="101">
        <f t="shared" si="57"/>
        <v>0.3498277052734225</v>
      </c>
      <c r="J251" s="101">
        <f t="shared" si="58"/>
        <v>2.9646790462536699E-2</v>
      </c>
      <c r="K251" s="101">
        <f t="shared" si="59"/>
        <v>2.7422686083971734E-2</v>
      </c>
      <c r="L251" s="101">
        <f t="shared" si="66"/>
        <v>136.13963730288702</v>
      </c>
      <c r="M251" s="101">
        <f t="shared" si="60"/>
        <v>802.1861101670512</v>
      </c>
      <c r="N251" s="101">
        <f t="shared" si="61"/>
        <v>77.252260447563742</v>
      </c>
      <c r="O251" s="101">
        <f t="shared" si="62"/>
        <v>1.8440034492872792</v>
      </c>
      <c r="P251" s="101">
        <f t="shared" si="63"/>
        <v>1.8440034492872792</v>
      </c>
      <c r="Q251" s="101">
        <f t="shared" si="64"/>
        <v>0.15568658157280979</v>
      </c>
      <c r="R251" s="101">
        <f t="shared" si="65"/>
        <v>2.1484221085756275E-2</v>
      </c>
      <c r="S251" s="101">
        <f t="shared" si="67"/>
        <v>721.06867201825435</v>
      </c>
      <c r="T251" s="101">
        <f t="shared" si="68"/>
        <v>30.834606045159894</v>
      </c>
      <c r="U251" s="101">
        <f t="shared" si="69"/>
        <v>15.03000931792101</v>
      </c>
      <c r="V251" s="33">
        <f t="shared" si="70"/>
        <v>1000.0000000000002</v>
      </c>
      <c r="W251" s="105">
        <f>IF(A251=1,((cPH1_+cPHr+(cNES*L251+(cNES+cOSEX)*G251+(cNES+cEREX)*H251+(cNES+cHOEX)*I251 + (cNES+cNES)*S251 +(cNES+ cOSEX)*N251 + (cNES+cEREX)*O251 + (cNES+cHOEX)*P251)))/(1+cDR)^A$5:A$65536,(cPHr+(cNES*L251+(cNES+cOSEX)*G251+(cNES+cEREX)*H251+(cNES+cHOEX)*I251 + (cNES+cNES)*S251 +(cNES+ cOSEX)*N251 + (cNES+cEREX)*O251 + (cNES+cHOEX)*P251))/(1+cDR)^A$5:A$65536)</f>
        <v>141248.89363341458</v>
      </c>
      <c r="X251" s="112">
        <f t="shared" si="71"/>
        <v>954.1353846369193</v>
      </c>
      <c r="Y251" s="32">
        <f>(uNES*L251+ uOCEX*G251+uEREX*'PH + UC'!H251+uHOEX*I251+uNES*S251+ uOCEX*N251+uEREX*O251+uHOEX*P251)/(1+oDR)^A$5:A$65536</f>
        <v>585.36658152184793</v>
      </c>
    </row>
    <row r="252" spans="1:25" x14ac:dyDescent="0.25">
      <c r="A252" s="4">
        <v>246</v>
      </c>
      <c r="C252" s="110">
        <f>IF(male=0,VLOOKUP(((A250:A1084/'Life tables'!$I$2)*2)+age,lifetable,13,1),IF(male=1,VLOOKUP(((A250:A1084/'Life tables'!$I$2)*2)+age,lifetable,10,1),"error"))</f>
        <v>1.7629026324772479E-4</v>
      </c>
      <c r="F252" s="101">
        <f t="shared" si="54"/>
        <v>152.14565863119546</v>
      </c>
      <c r="G252" s="101">
        <f t="shared" si="55"/>
        <v>15.283349832823459</v>
      </c>
      <c r="H252" s="101">
        <f t="shared" si="56"/>
        <v>0.3497406845545914</v>
      </c>
      <c r="I252" s="101">
        <f t="shared" si="57"/>
        <v>0.3497406845545914</v>
      </c>
      <c r="J252" s="101">
        <f t="shared" si="58"/>
        <v>2.9639415732124575E-2</v>
      </c>
      <c r="K252" s="101">
        <f t="shared" si="59"/>
        <v>2.7415864606371944E-2</v>
      </c>
      <c r="L252" s="101">
        <f t="shared" si="66"/>
        <v>136.10577214892433</v>
      </c>
      <c r="M252" s="101">
        <f t="shared" si="60"/>
        <v>801.9897260057237</v>
      </c>
      <c r="N252" s="101">
        <f t="shared" si="61"/>
        <v>77.233348227336577</v>
      </c>
      <c r="O252" s="101">
        <f t="shared" si="62"/>
        <v>1.8435520165508064</v>
      </c>
      <c r="P252" s="101">
        <f t="shared" si="63"/>
        <v>1.8435520165508064</v>
      </c>
      <c r="Q252" s="101">
        <f t="shared" si="64"/>
        <v>0.15564846775063731</v>
      </c>
      <c r="R252" s="101">
        <f t="shared" si="65"/>
        <v>2.1478961507353928E-2</v>
      </c>
      <c r="S252" s="101">
        <f t="shared" si="67"/>
        <v>720.89214631602749</v>
      </c>
      <c r="T252" s="101">
        <f t="shared" si="68"/>
        <v>31.019893928642656</v>
      </c>
      <c r="U252" s="101">
        <f t="shared" si="69"/>
        <v>15.078904144034736</v>
      </c>
      <c r="V252" s="33">
        <f t="shared" si="70"/>
        <v>1000</v>
      </c>
      <c r="W252" s="105">
        <f>IF(A252=1,((cPH1_+cPHr+(cNES*L252+(cNES+cOSEX)*G252+(cNES+cEREX)*H252+(cNES+cHOEX)*I252 + (cNES+cNES)*S252 +(cNES+ cOSEX)*N252 + (cNES+cEREX)*O252 + (cNES+cHOEX)*P252)))/(1+cDR)^A$5:A$65536,(cPHr+(cNES*L252+(cNES+cOSEX)*G252+(cNES+cEREX)*H252+(cNES+cHOEX)*I252 + (cNES+cNES)*S252 +(cNES+ cOSEX)*N252 + (cNES+cEREX)*O252 + (cNES+cHOEX)*P252))/(1+cDR)^A$5:A$65536)</f>
        <v>141051.95536327225</v>
      </c>
      <c r="X252" s="112">
        <f t="shared" si="71"/>
        <v>953.90120192732275</v>
      </c>
      <c r="Y252" s="32">
        <f>(uNES*L252+ uOCEX*G252+uEREX*'PH + UC'!H252+uHOEX*I252+uNES*S252+ uOCEX*N252+uEREX*O252+uHOEX*P252)/(1+oDR)^A$5:A$65536</f>
        <v>585.05460626775914</v>
      </c>
    </row>
    <row r="253" spans="1:25" x14ac:dyDescent="0.25">
      <c r="A253" s="4">
        <v>247</v>
      </c>
      <c r="C253" s="110">
        <f>IF(male=0,VLOOKUP(((A251:A1085/'Life tables'!$I$2)*2)+age,lifetable,13,1),IF(male=1,VLOOKUP(((A251:A1085/'Life tables'!$I$2)*2)+age,lifetable,10,1),"error"))</f>
        <v>1.7629026324772479E-4</v>
      </c>
      <c r="F253" s="101">
        <f t="shared" si="54"/>
        <v>152.10783444378666</v>
      </c>
      <c r="G253" s="101">
        <f t="shared" si="55"/>
        <v>15.279550314036582</v>
      </c>
      <c r="H253" s="101">
        <f t="shared" si="56"/>
        <v>0.34965373723505505</v>
      </c>
      <c r="I253" s="101">
        <f t="shared" si="57"/>
        <v>0.34965373723505505</v>
      </c>
      <c r="J253" s="101">
        <f t="shared" si="58"/>
        <v>2.9632047222070291E-2</v>
      </c>
      <c r="K253" s="101">
        <f t="shared" si="59"/>
        <v>2.7409048882478308E-2</v>
      </c>
      <c r="L253" s="101">
        <f t="shared" si="66"/>
        <v>136.07193555917542</v>
      </c>
      <c r="M253" s="101">
        <f t="shared" si="60"/>
        <v>801.79336748353603</v>
      </c>
      <c r="N253" s="101">
        <f t="shared" si="61"/>
        <v>77.214438476214141</v>
      </c>
      <c r="O253" s="101">
        <f t="shared" si="62"/>
        <v>1.843100642751607</v>
      </c>
      <c r="P253" s="101">
        <f t="shared" si="63"/>
        <v>1.843100642751607</v>
      </c>
      <c r="Q253" s="101">
        <f t="shared" si="64"/>
        <v>0.15561035890445479</v>
      </c>
      <c r="R253" s="101">
        <f t="shared" si="65"/>
        <v>2.1473702615621339E-2</v>
      </c>
      <c r="S253" s="101">
        <f t="shared" si="67"/>
        <v>720.71564366029861</v>
      </c>
      <c r="T253" s="101">
        <f t="shared" si="68"/>
        <v>31.205136334769183</v>
      </c>
      <c r="U253" s="101">
        <f t="shared" si="69"/>
        <v>15.127786895532836</v>
      </c>
      <c r="V253" s="33">
        <f t="shared" si="70"/>
        <v>1000.0000000000001</v>
      </c>
      <c r="W253" s="105">
        <f>IF(A253=1,((cPH1_+cPHr+(cNES*L253+(cNES+cOSEX)*G253+(cNES+cEREX)*H253+(cNES+cHOEX)*I253 + (cNES+cNES)*S253 +(cNES+ cOSEX)*N253 + (cNES+cEREX)*O253 + (cNES+cHOEX)*P253)))/(1+cDR)^A$5:A$65536,(cPHr+(cNES*L253+(cNES+cOSEX)*G253+(cNES+cEREX)*H253+(cNES+cHOEX)*I253 + (cNES+cNES)*S253 +(cNES+ cOSEX)*N253 + (cNES+cEREX)*O253 + (cNES+cHOEX)*P253))/(1+cDR)^A$5:A$65536)</f>
        <v>140855.29029046008</v>
      </c>
      <c r="X253" s="112">
        <f t="shared" si="71"/>
        <v>953.66707676969804</v>
      </c>
      <c r="Y253" s="32">
        <f>(uNES*L253+ uOCEX*G253+uEREX*'PH + UC'!H253+uHOEX*I253+uNES*S253+ uOCEX*N253+uEREX*O253+uHOEX*P253)/(1+oDR)^A$5:A$65536</f>
        <v>584.74279732013179</v>
      </c>
    </row>
    <row r="254" spans="1:25" x14ac:dyDescent="0.25">
      <c r="A254" s="4">
        <v>248</v>
      </c>
      <c r="C254" s="110">
        <f>IF(male=0,VLOOKUP(((A252:A1086/'Life tables'!$I$2)*2)+age,lifetable,13,1),IF(male=1,VLOOKUP(((A252:A1086/'Life tables'!$I$2)*2)+age,lifetable,10,1),"error"))</f>
        <v>1.7629026324772479E-4</v>
      </c>
      <c r="F254" s="101">
        <f t="shared" si="54"/>
        <v>152.07004116310347</v>
      </c>
      <c r="G254" s="101">
        <f t="shared" si="55"/>
        <v>15.275753899894976</v>
      </c>
      <c r="H254" s="101">
        <f t="shared" si="56"/>
        <v>0.34956686096151152</v>
      </c>
      <c r="I254" s="101">
        <f t="shared" si="57"/>
        <v>0.34956686096151152</v>
      </c>
      <c r="J254" s="101">
        <f t="shared" si="58"/>
        <v>2.9624684732938965E-2</v>
      </c>
      <c r="K254" s="101">
        <f t="shared" si="59"/>
        <v>2.7402238727817555E-2</v>
      </c>
      <c r="L254" s="101">
        <f t="shared" si="66"/>
        <v>136.0381266178247</v>
      </c>
      <c r="M254" s="101">
        <f t="shared" si="60"/>
        <v>801.59703560659455</v>
      </c>
      <c r="N254" s="101">
        <f t="shared" si="61"/>
        <v>77.195531291086638</v>
      </c>
      <c r="O254" s="101">
        <f t="shared" si="62"/>
        <v>1.8426493302024409</v>
      </c>
      <c r="P254" s="101">
        <f t="shared" si="63"/>
        <v>1.8426493302024409</v>
      </c>
      <c r="Q254" s="101">
        <f t="shared" si="64"/>
        <v>0.15557225522952528</v>
      </c>
      <c r="R254" s="101">
        <f t="shared" si="65"/>
        <v>2.1468444437504154E-2</v>
      </c>
      <c r="S254" s="101">
        <f t="shared" si="67"/>
        <v>720.53916495543604</v>
      </c>
      <c r="T254" s="101">
        <f t="shared" si="68"/>
        <v>31.390333274731645</v>
      </c>
      <c r="U254" s="101">
        <f t="shared" si="69"/>
        <v>15.176657578698158</v>
      </c>
      <c r="V254" s="33">
        <f t="shared" si="70"/>
        <v>1000.0000000000001</v>
      </c>
      <c r="W254" s="105">
        <f>IF(A254=1,((cPH1_+cPHr+(cNES*L254+(cNES+cOSEX)*G254+(cNES+cEREX)*H254+(cNES+cHOEX)*I254 + (cNES+cNES)*S254 +(cNES+ cOSEX)*N254 + (cNES+cEREX)*O254 + (cNES+cHOEX)*P254)))/(1+cDR)^A$5:A$65536,(cPHr+(cNES*L254+(cNES+cOSEX)*G254+(cNES+cEREX)*H254+(cNES+cHOEX)*I254 + (cNES+cNES)*S254 +(cNES+ cOSEX)*N254 + (cNES+cEREX)*O254 + (cNES+cHOEX)*P254))/(1+cDR)^A$5:A$65536)</f>
        <v>140658.89809979979</v>
      </c>
      <c r="X254" s="112">
        <f t="shared" si="71"/>
        <v>953.43300914657027</v>
      </c>
      <c r="Y254" s="32">
        <f>(uNES*L254+ uOCEX*G254+uEREX*'PH + UC'!H254+uHOEX*I254+uNES*S254+ uOCEX*N254+uEREX*O254+uHOEX*P254)/(1+oDR)^A$5:A$65536</f>
        <v>584.43115458863872</v>
      </c>
    </row>
    <row r="255" spans="1:25" x14ac:dyDescent="0.25">
      <c r="A255" s="4">
        <v>249</v>
      </c>
      <c r="C255" s="110">
        <f>IF(male=0,VLOOKUP(((A253:A1087/'Life tables'!$I$2)*2)+age,lifetable,13,1),IF(male=1,VLOOKUP(((A253:A1087/'Life tables'!$I$2)*2)+age,lifetable,10,1),"error"))</f>
        <v>1.7629026324772479E-4</v>
      </c>
      <c r="F255" s="101">
        <f t="shared" si="54"/>
        <v>152.03227781124158</v>
      </c>
      <c r="G255" s="101">
        <f t="shared" si="55"/>
        <v>15.271960492166111</v>
      </c>
      <c r="H255" s="101">
        <f t="shared" si="56"/>
        <v>0.34948005348602995</v>
      </c>
      <c r="I255" s="101">
        <f t="shared" si="57"/>
        <v>0.34948005348602995</v>
      </c>
      <c r="J255" s="101">
        <f t="shared" si="58"/>
        <v>2.9617328074225586E-2</v>
      </c>
      <c r="K255" s="101">
        <f t="shared" si="59"/>
        <v>2.7395433966176358E-2</v>
      </c>
      <c r="L255" s="101">
        <f t="shared" si="66"/>
        <v>136.004344450063</v>
      </c>
      <c r="M255" s="101">
        <f t="shared" si="60"/>
        <v>801.4007313353286</v>
      </c>
      <c r="N255" s="101">
        <f t="shared" si="61"/>
        <v>77.176626764445487</v>
      </c>
      <c r="O255" s="101">
        <f t="shared" si="62"/>
        <v>1.8421980811110688</v>
      </c>
      <c r="P255" s="101">
        <f t="shared" si="63"/>
        <v>1.8421980811110688</v>
      </c>
      <c r="Q255" s="101">
        <f t="shared" si="64"/>
        <v>0.15553415691224676</v>
      </c>
      <c r="R255" s="101">
        <f t="shared" si="65"/>
        <v>2.1463186998724668E-2</v>
      </c>
      <c r="S255" s="101">
        <f t="shared" si="67"/>
        <v>720.36271106474999</v>
      </c>
      <c r="T255" s="101">
        <f t="shared" si="68"/>
        <v>31.575484759718119</v>
      </c>
      <c r="U255" s="101">
        <f t="shared" si="69"/>
        <v>15.22551619966306</v>
      </c>
      <c r="V255" s="33">
        <f t="shared" si="70"/>
        <v>1000</v>
      </c>
      <c r="W255" s="105">
        <f>IF(A255=1,((cPH1_+cPHr+(cNES*L255+(cNES+cOSEX)*G255+(cNES+cEREX)*H255+(cNES+cHOEX)*I255 + (cNES+cNES)*S255 +(cNES+ cOSEX)*N255 + (cNES+cEREX)*O255 + (cNES+cHOEX)*P255)))/(1+cDR)^A$5:A$65536,(cPHr+(cNES*L255+(cNES+cOSEX)*G255+(cNES+cEREX)*H255+(cNES+cHOEX)*I255 + (cNES+cNES)*S255 +(cNES+ cOSEX)*N255 + (cNES+cEREX)*O255 + (cNES+cHOEX)*P255))/(1+cDR)^A$5:A$65536)</f>
        <v>140462.77847352737</v>
      </c>
      <c r="X255" s="112">
        <f t="shared" si="71"/>
        <v>953.19899904061867</v>
      </c>
      <c r="Y255" s="32">
        <f>(uNES*L255+ uOCEX*G255+uEREX*'PH + UC'!H255+uHOEX*I255+uNES*S255+ uOCEX*N255+uEREX*O255+uHOEX*P255)/(1+oDR)^A$5:A$65536</f>
        <v>584.1196779830791</v>
      </c>
    </row>
    <row r="256" spans="1:25" x14ac:dyDescent="0.25">
      <c r="A256" s="4">
        <v>250</v>
      </c>
      <c r="C256" s="110">
        <f>IF(male=0,VLOOKUP(((A254:A1088/'Life tables'!$I$2)*2)+age,lifetable,13,1),IF(male=1,VLOOKUP(((A254:A1088/'Life tables'!$I$2)*2)+age,lifetable,10,1),"error"))</f>
        <v>1.7629026324772479E-4</v>
      </c>
      <c r="F256" s="101">
        <f t="shared" si="54"/>
        <v>151.99454345407869</v>
      </c>
      <c r="G256" s="101">
        <f t="shared" si="55"/>
        <v>15.268169997015439</v>
      </c>
      <c r="H256" s="101">
        <f t="shared" si="56"/>
        <v>0.34939331266132218</v>
      </c>
      <c r="I256" s="101">
        <f t="shared" si="57"/>
        <v>0.34939331266132218</v>
      </c>
      <c r="J256" s="101">
        <f t="shared" si="58"/>
        <v>2.9609977063954261E-2</v>
      </c>
      <c r="K256" s="101">
        <f t="shared" si="59"/>
        <v>2.7388634429230684E-2</v>
      </c>
      <c r="L256" s="101">
        <f t="shared" si="66"/>
        <v>135.97058822024744</v>
      </c>
      <c r="M256" s="101">
        <f t="shared" si="60"/>
        <v>801.20445558654001</v>
      </c>
      <c r="N256" s="101">
        <f t="shared" si="61"/>
        <v>77.157724984580724</v>
      </c>
      <c r="O256" s="101">
        <f t="shared" si="62"/>
        <v>1.8417468975849638</v>
      </c>
      <c r="P256" s="101">
        <f t="shared" si="63"/>
        <v>1.8417468975849638</v>
      </c>
      <c r="Q256" s="101">
        <f t="shared" si="64"/>
        <v>0.15549606413055034</v>
      </c>
      <c r="R256" s="101">
        <f t="shared" si="65"/>
        <v>2.1457930323836756E-2</v>
      </c>
      <c r="S256" s="101">
        <f t="shared" si="67"/>
        <v>720.18628281233498</v>
      </c>
      <c r="T256" s="101">
        <f t="shared" si="68"/>
        <v>31.760590800912624</v>
      </c>
      <c r="U256" s="101">
        <f t="shared" si="69"/>
        <v>15.274362764416127</v>
      </c>
      <c r="V256" s="33">
        <f t="shared" si="70"/>
        <v>999.99999999999989</v>
      </c>
      <c r="W256" s="105">
        <f>IF(A256=1,((cPH1_+cPHr+(cNES*L256+(cNES+cOSEX)*G256+(cNES+cEREX)*H256+(cNES+cHOEX)*I256 + (cNES+cNES)*S256 +(cNES+ cOSEX)*N256 + (cNES+cEREX)*O256 + (cNES+cHOEX)*P256)))/(1+cDR)^A$5:A$65536,(cPHr+(cNES*L256+(cNES+cOSEX)*G256+(cNES+cEREX)*H256+(cNES+cHOEX)*I256 + (cNES+cNES)*S256 +(cNES+ cOSEX)*N256 + (cNES+cEREX)*O256 + (cNES+cHOEX)*P256))/(1+cDR)^A$5:A$65536)</f>
        <v>140266.93109143677</v>
      </c>
      <c r="X256" s="112">
        <f t="shared" si="71"/>
        <v>952.96504643467119</v>
      </c>
      <c r="Y256" s="32">
        <f>(uNES*L256+ uOCEX*G256+uEREX*'PH + UC'!H256+uHOEX*I256+uNES*S256+ uOCEX*N256+uEREX*O256+uHOEX*P256)/(1+oDR)^A$5:A$65536</f>
        <v>583.80836741337134</v>
      </c>
    </row>
    <row r="257" spans="1:25" x14ac:dyDescent="0.25">
      <c r="A257" s="4">
        <v>251</v>
      </c>
      <c r="C257" s="110">
        <f>IF(male=0,VLOOKUP(((A255:A1089/'Life tables'!$I$2)*2)+age,lifetable,13,1),IF(male=1,VLOOKUP(((A255:A1089/'Life tables'!$I$2)*2)+age,lifetable,10,1),"error"))</f>
        <v>1.7629026324772479E-4</v>
      </c>
      <c r="F257" s="101">
        <f t="shared" si="54"/>
        <v>151.95683719930994</v>
      </c>
      <c r="G257" s="101">
        <f t="shared" si="55"/>
        <v>15.264382324809075</v>
      </c>
      <c r="H257" s="101">
        <f t="shared" si="56"/>
        <v>0.34930663643622673</v>
      </c>
      <c r="I257" s="101">
        <f t="shared" si="57"/>
        <v>0.34930663643622673</v>
      </c>
      <c r="J257" s="101">
        <f t="shared" si="58"/>
        <v>2.9602631528295557E-2</v>
      </c>
      <c r="K257" s="101">
        <f t="shared" si="59"/>
        <v>2.7381839956191797E-2</v>
      </c>
      <c r="L257" s="101">
        <f t="shared" si="66"/>
        <v>135.93685713014392</v>
      </c>
      <c r="M257" s="101">
        <f t="shared" si="60"/>
        <v>801.00820923536116</v>
      </c>
      <c r="N257" s="101">
        <f t="shared" si="61"/>
        <v>77.138826035769455</v>
      </c>
      <c r="O257" s="101">
        <f t="shared" si="62"/>
        <v>1.8412957816358126</v>
      </c>
      <c r="P257" s="101">
        <f t="shared" si="63"/>
        <v>1.8412957816358126</v>
      </c>
      <c r="Q257" s="101">
        <f t="shared" si="64"/>
        <v>0.15545797705427966</v>
      </c>
      <c r="R257" s="101">
        <f t="shared" si="65"/>
        <v>2.1452674436278293E-2</v>
      </c>
      <c r="S257" s="101">
        <f t="shared" si="67"/>
        <v>720.00988098482958</v>
      </c>
      <c r="T257" s="101">
        <f t="shared" si="68"/>
        <v>31.945651409495198</v>
      </c>
      <c r="U257" s="101">
        <f t="shared" si="69"/>
        <v>15.323197278808596</v>
      </c>
      <c r="V257" s="33">
        <f t="shared" si="70"/>
        <v>999.99999999999989</v>
      </c>
      <c r="W257" s="105">
        <f>IF(A257=1,((cPH1_+cPHr+(cNES*L257+(cNES+cOSEX)*G257+(cNES+cEREX)*H257+(cNES+cHOEX)*I257 + (cNES+cNES)*S257 +(cNES+ cOSEX)*N257 + (cNES+cEREX)*O257 + (cNES+cHOEX)*P257)))/(1+cDR)^A$5:A$65536,(cPHr+(cNES*L257+(cNES+cOSEX)*G257+(cNES+cEREX)*H257+(cNES+cHOEX)*I257 + (cNES+cNES)*S257 +(cNES+ cOSEX)*N257 + (cNES+cEREX)*O257 + (cNES+cHOEX)*P257))/(1+cDR)^A$5:A$65536)</f>
        <v>140071.35563101541</v>
      </c>
      <c r="X257" s="112">
        <f t="shared" si="71"/>
        <v>952.73115131169607</v>
      </c>
      <c r="Y257" s="32">
        <f>(uNES*L257+ uOCEX*G257+uEREX*'PH + UC'!H257+uHOEX*I257+uNES*S257+ uOCEX*N257+uEREX*O257+uHOEX*P257)/(1+oDR)^A$5:A$65536</f>
        <v>583.49722278955255</v>
      </c>
    </row>
    <row r="258" spans="1:25" x14ac:dyDescent="0.25">
      <c r="A258" s="4">
        <v>252</v>
      </c>
      <c r="C258" s="110">
        <f>IF(male=0,VLOOKUP(((A256:A1090/'Life tables'!$I$2)*2)+age,lifetable,13,1),IF(male=1,VLOOKUP(((A256:A1090/'Life tables'!$I$2)*2)+age,lifetable,10,1),"error"))</f>
        <v>1.7629026324772479E-4</v>
      </c>
      <c r="F258" s="101">
        <f t="shared" si="54"/>
        <v>151.91915819457111</v>
      </c>
      <c r="G258" s="101">
        <f t="shared" si="55"/>
        <v>15.260597389925247</v>
      </c>
      <c r="H258" s="101">
        <f t="shared" si="56"/>
        <v>0.34922002285139458</v>
      </c>
      <c r="I258" s="101">
        <f t="shared" si="57"/>
        <v>0.34922002285139458</v>
      </c>
      <c r="J258" s="101">
        <f t="shared" si="58"/>
        <v>2.9595291301200848E-2</v>
      </c>
      <c r="K258" s="101">
        <f t="shared" si="59"/>
        <v>2.7375050393468048E-2</v>
      </c>
      <c r="L258" s="101">
        <f t="shared" si="66"/>
        <v>135.90315041724841</v>
      </c>
      <c r="M258" s="101">
        <f t="shared" si="60"/>
        <v>800.81199311712498</v>
      </c>
      <c r="N258" s="101">
        <f t="shared" si="61"/>
        <v>77.119929998456072</v>
      </c>
      <c r="O258" s="101">
        <f t="shared" si="62"/>
        <v>1.8408447351838142</v>
      </c>
      <c r="P258" s="101">
        <f t="shared" si="63"/>
        <v>1.8408447351838142</v>
      </c>
      <c r="Q258" s="101">
        <f t="shared" si="64"/>
        <v>0.15541989584555455</v>
      </c>
      <c r="R258" s="101">
        <f t="shared" si="65"/>
        <v>2.1447419358421239E-2</v>
      </c>
      <c r="S258" s="101">
        <f t="shared" si="67"/>
        <v>719.83350633309738</v>
      </c>
      <c r="T258" s="101">
        <f t="shared" si="68"/>
        <v>32.130666596641952</v>
      </c>
      <c r="U258" s="101">
        <f t="shared" si="69"/>
        <v>15.372019748560485</v>
      </c>
      <c r="V258" s="33">
        <f t="shared" si="70"/>
        <v>1000</v>
      </c>
      <c r="W258" s="105">
        <f>IF(A258=1,((cPH1_+cPHr+(cNES*L258+(cNES+cOSEX)*G258+(cNES+cEREX)*H258+(cNES+cHOEX)*I258 + (cNES+cNES)*S258 +(cNES+ cOSEX)*N258 + (cNES+cEREX)*O258 + (cNES+cHOEX)*P258)))/(1+cDR)^A$5:A$65536,(cPHr+(cNES*L258+(cNES+cOSEX)*G258+(cNES+cEREX)*H258+(cNES+cHOEX)*I258 + (cNES+cNES)*S258 +(cNES+ cOSEX)*N258 + (cNES+cEREX)*O258 + (cNES+cHOEX)*P258))/(1+cDR)^A$5:A$65536)</f>
        <v>139876.05176757422</v>
      </c>
      <c r="X258" s="112">
        <f t="shared" si="71"/>
        <v>952.49731365479761</v>
      </c>
      <c r="Y258" s="32">
        <f>(uNES*L258+ uOCEX*G258+uEREX*'PH + UC'!H258+uHOEX*I258+uNES*S258+ uOCEX*N258+uEREX*O258+uHOEX*P258)/(1+oDR)^A$5:A$65536</f>
        <v>583.18624402177329</v>
      </c>
    </row>
    <row r="259" spans="1:25" x14ac:dyDescent="0.25">
      <c r="A259" s="4">
        <v>253</v>
      </c>
      <c r="C259" s="110">
        <f>IF(male=0,VLOOKUP(((A257:A1091/'Life tables'!$I$2)*2)+age,lifetable,13,1),IF(male=1,VLOOKUP(((A257:A1091/'Life tables'!$I$2)*2)+age,lifetable,10,1),"error"))</f>
        <v>1.7629026324772479E-4</v>
      </c>
      <c r="F259" s="101">
        <f t="shared" si="54"/>
        <v>151.88150562564667</v>
      </c>
      <c r="G259" s="101">
        <f t="shared" si="55"/>
        <v>15.256815110574301</v>
      </c>
      <c r="H259" s="101">
        <f t="shared" si="56"/>
        <v>0.34913347003517003</v>
      </c>
      <c r="I259" s="101">
        <f t="shared" si="57"/>
        <v>0.34913347003517003</v>
      </c>
      <c r="J259" s="101">
        <f t="shared" si="58"/>
        <v>2.9587956224053236E-2</v>
      </c>
      <c r="K259" s="101">
        <f t="shared" si="59"/>
        <v>2.7368265594341988E-2</v>
      </c>
      <c r="L259" s="101">
        <f t="shared" si="66"/>
        <v>135.86946735318364</v>
      </c>
      <c r="M259" s="101">
        <f t="shared" si="60"/>
        <v>800.61580802915091</v>
      </c>
      <c r="N259" s="101">
        <f t="shared" si="61"/>
        <v>77.10103694942417</v>
      </c>
      <c r="O259" s="101">
        <f t="shared" si="62"/>
        <v>1.8403937600617848</v>
      </c>
      <c r="P259" s="101">
        <f t="shared" si="63"/>
        <v>1.8403937600617848</v>
      </c>
      <c r="Q259" s="101">
        <f t="shared" si="64"/>
        <v>0.15538182065911696</v>
      </c>
      <c r="R259" s="101">
        <f t="shared" si="65"/>
        <v>2.1442165111619477E-2</v>
      </c>
      <c r="S259" s="101">
        <f t="shared" si="67"/>
        <v>719.65715957383247</v>
      </c>
      <c r="T259" s="101">
        <f t="shared" si="68"/>
        <v>32.315636373525123</v>
      </c>
      <c r="U259" s="101">
        <f t="shared" si="69"/>
        <v>15.420830179266446</v>
      </c>
      <c r="V259" s="33">
        <f t="shared" si="70"/>
        <v>1000</v>
      </c>
      <c r="W259" s="105">
        <f>IF(A259=1,((cPH1_+cPHr+(cNES*L259+(cNES+cOSEX)*G259+(cNES+cEREX)*H259+(cNES+cHOEX)*I259 + (cNES+cNES)*S259 +(cNES+ cOSEX)*N259 + (cNES+cEREX)*O259 + (cNES+cHOEX)*P259)))/(1+cDR)^A$5:A$65536,(cPHr+(cNES*L259+(cNES+cOSEX)*G259+(cNES+cEREX)*H259+(cNES+cHOEX)*I259 + (cNES+cNES)*S259 +(cNES+ cOSEX)*N259 + (cNES+cEREX)*O259 + (cNES+cHOEX)*P259))/(1+cDR)^A$5:A$65536)</f>
        <v>139681.01917437089</v>
      </c>
      <c r="X259" s="112">
        <f t="shared" si="71"/>
        <v>952.26353344720837</v>
      </c>
      <c r="Y259" s="32">
        <f>(uNES*L259+ uOCEX*G259+uEREX*'PH + UC'!H259+uHOEX*I259+uNES*S259+ uOCEX*N259+uEREX*O259+uHOEX*P259)/(1+oDR)^A$5:A$65536</f>
        <v>582.87543102029679</v>
      </c>
    </row>
    <row r="260" spans="1:25" x14ac:dyDescent="0.25">
      <c r="A260" s="4">
        <v>254</v>
      </c>
      <c r="C260" s="110">
        <f>IF(male=0,VLOOKUP(((A258:A1092/'Life tables'!$I$2)*2)+age,lifetable,13,1),IF(male=1,VLOOKUP(((A258:A1092/'Life tables'!$I$2)*2)+age,lifetable,10,1),"error"))</f>
        <v>1.7629026324772479E-4</v>
      </c>
      <c r="F260" s="101">
        <f t="shared" si="54"/>
        <v>151.84387871475784</v>
      </c>
      <c r="G260" s="101">
        <f t="shared" si="55"/>
        <v>15.253035408626731</v>
      </c>
      <c r="H260" s="101">
        <f t="shared" si="56"/>
        <v>0.34904697619965525</v>
      </c>
      <c r="I260" s="101">
        <f t="shared" si="57"/>
        <v>0.34904697619965525</v>
      </c>
      <c r="J260" s="101">
        <f t="shared" si="58"/>
        <v>2.9580626145334042E-2</v>
      </c>
      <c r="K260" s="101">
        <f t="shared" si="59"/>
        <v>2.7361485418661888E-2</v>
      </c>
      <c r="L260" s="101">
        <f t="shared" si="66"/>
        <v>135.83580724216779</v>
      </c>
      <c r="M260" s="101">
        <f t="shared" si="60"/>
        <v>800.41965473245068</v>
      </c>
      <c r="N260" s="101">
        <f t="shared" si="61"/>
        <v>77.082146961960817</v>
      </c>
      <c r="O260" s="101">
        <f t="shared" si="62"/>
        <v>1.8399428580190793</v>
      </c>
      <c r="P260" s="101">
        <f t="shared" si="63"/>
        <v>1.8399428580190793</v>
      </c>
      <c r="Q260" s="101">
        <f t="shared" si="64"/>
        <v>0.15534375164266251</v>
      </c>
      <c r="R260" s="101">
        <f t="shared" si="65"/>
        <v>2.1436911716254489E-2</v>
      </c>
      <c r="S260" s="101">
        <f t="shared" si="67"/>
        <v>719.48084139109278</v>
      </c>
      <c r="T260" s="101">
        <f t="shared" si="68"/>
        <v>32.500560751313117</v>
      </c>
      <c r="U260" s="101">
        <f t="shared" si="69"/>
        <v>15.469628576401362</v>
      </c>
      <c r="V260" s="33">
        <f t="shared" si="70"/>
        <v>1000</v>
      </c>
      <c r="W260" s="105">
        <f>IF(A260=1,((cPH1_+cPHr+(cNES*L260+(cNES+cOSEX)*G260+(cNES+cEREX)*H260+(cNES+cHOEX)*I260 + (cNES+cNES)*S260 +(cNES+ cOSEX)*N260 + (cNES+cEREX)*O260 + (cNES+cHOEX)*P260)))/(1+cDR)^A$5:A$65536,(cPHr+(cNES*L260+(cNES+cOSEX)*G260+(cNES+cEREX)*H260+(cNES+cHOEX)*I260 + (cNES+cNES)*S260 +(cNES+ cOSEX)*N260 + (cNES+cEREX)*O260 + (cNES+cHOEX)*P260))/(1+cDR)^A$5:A$65536)</f>
        <v>139486.25752272856</v>
      </c>
      <c r="X260" s="112">
        <f t="shared" si="71"/>
        <v>952.02981067228552</v>
      </c>
      <c r="Y260" s="32">
        <f>(uNES*L260+ uOCEX*G260+uEREX*'PH + UC'!H260+uHOEX*I260+uNES*S260+ uOCEX*N260+uEREX*O260+uHOEX*P260)/(1+oDR)^A$5:A$65536</f>
        <v>582.56478369549416</v>
      </c>
    </row>
    <row r="261" spans="1:25" x14ac:dyDescent="0.25">
      <c r="A261" s="4">
        <v>255</v>
      </c>
      <c r="C261" s="110">
        <f>IF(male=0,VLOOKUP(((A259:A1093/'Life tables'!$I$2)*2)+age,lifetable,13,1),IF(male=1,VLOOKUP(((A259:A1093/'Life tables'!$I$2)*2)+age,lifetable,10,1),"error"))</f>
        <v>1.7629026324772479E-4</v>
      </c>
      <c r="F261" s="101">
        <f t="shared" si="54"/>
        <v>151.80627671892751</v>
      </c>
      <c r="G261" s="101">
        <f t="shared" si="55"/>
        <v>15.249258209448934</v>
      </c>
      <c r="H261" s="101">
        <f t="shared" si="56"/>
        <v>0.34896053963695189</v>
      </c>
      <c r="I261" s="101">
        <f t="shared" si="57"/>
        <v>0.34896053963695189</v>
      </c>
      <c r="J261" s="101">
        <f t="shared" si="58"/>
        <v>2.9573300920304298E-2</v>
      </c>
      <c r="K261" s="101">
        <f t="shared" si="59"/>
        <v>2.735470973254709E-2</v>
      </c>
      <c r="L261" s="101">
        <f t="shared" si="66"/>
        <v>135.80216941955183</v>
      </c>
      <c r="M261" s="101">
        <f t="shared" si="60"/>
        <v>800.22353395335801</v>
      </c>
      <c r="N261" s="101">
        <f t="shared" si="61"/>
        <v>77.063260106013516</v>
      </c>
      <c r="O261" s="101">
        <f t="shared" si="62"/>
        <v>1.8394920307253377</v>
      </c>
      <c r="P261" s="101">
        <f t="shared" si="63"/>
        <v>1.8394920307253377</v>
      </c>
      <c r="Q261" s="101">
        <f t="shared" si="64"/>
        <v>0.15530568893715646</v>
      </c>
      <c r="R261" s="101">
        <f t="shared" si="65"/>
        <v>2.1431659191779018E-2</v>
      </c>
      <c r="S261" s="101">
        <f t="shared" si="67"/>
        <v>719.30455243776487</v>
      </c>
      <c r="T261" s="101">
        <f t="shared" si="68"/>
        <v>32.685439741170576</v>
      </c>
      <c r="U261" s="101">
        <f t="shared" si="69"/>
        <v>15.518414945325688</v>
      </c>
      <c r="V261" s="33">
        <f t="shared" si="70"/>
        <v>1000.0000000000001</v>
      </c>
      <c r="W261" s="105">
        <f>IF(A261=1,((cPH1_+cPHr+(cNES*L261+(cNES+cOSEX)*G261+(cNES+cEREX)*H261+(cNES+cHOEX)*I261 + (cNES+cNES)*S261 +(cNES+ cOSEX)*N261 + (cNES+cEREX)*O261 + (cNES+cHOEX)*P261)))/(1+cDR)^A$5:A$65536,(cPHr+(cNES*L261+(cNES+cOSEX)*G261+(cNES+cEREX)*H261+(cNES+cHOEX)*I261 + (cNES+cNES)*S261 +(cNES+ cOSEX)*N261 + (cNES+cEREX)*O261 + (cNES+cHOEX)*P261))/(1+cDR)^A$5:A$65536)</f>
        <v>139291.76648214794</v>
      </c>
      <c r="X261" s="112">
        <f t="shared" si="71"/>
        <v>951.79614531350376</v>
      </c>
      <c r="Y261" s="32">
        <f>(uNES*L261+ uOCEX*G261+uEREX*'PH + UC'!H261+uHOEX*I261+uNES*S261+ uOCEX*N261+uEREX*O261+uHOEX*P261)/(1+oDR)^A$5:A$65536</f>
        <v>582.25430195784213</v>
      </c>
    </row>
    <row r="262" spans="1:25" x14ac:dyDescent="0.25">
      <c r="A262" s="4">
        <v>256</v>
      </c>
      <c r="C262" s="110">
        <f>IF(male=0,VLOOKUP(((A260:A1094/'Life tables'!$I$2)*2)+age,lifetable,13,1),IF(male=1,VLOOKUP(((A260:A1094/'Life tables'!$I$2)*2)+age,lifetable,10,1),"error"))</f>
        <v>1.7629026324772479E-4</v>
      </c>
      <c r="F262" s="101">
        <f t="shared" si="54"/>
        <v>151.76869892841864</v>
      </c>
      <c r="G262" s="101">
        <f t="shared" si="55"/>
        <v>15.245483441746336</v>
      </c>
      <c r="H262" s="101">
        <f t="shared" si="56"/>
        <v>0.34887415871557131</v>
      </c>
      <c r="I262" s="101">
        <f t="shared" si="57"/>
        <v>0.34887415871557131</v>
      </c>
      <c r="J262" s="101">
        <f t="shared" si="58"/>
        <v>2.9565980410700497E-2</v>
      </c>
      <c r="K262" s="101">
        <f t="shared" si="59"/>
        <v>2.7347938408106641E-2</v>
      </c>
      <c r="L262" s="101">
        <f t="shared" si="66"/>
        <v>135.76855325042237</v>
      </c>
      <c r="M262" s="101">
        <f t="shared" si="60"/>
        <v>800.027446385085</v>
      </c>
      <c r="N262" s="101">
        <f t="shared" si="61"/>
        <v>77.044376448340117</v>
      </c>
      <c r="O262" s="101">
        <f t="shared" si="62"/>
        <v>1.8390412797740621</v>
      </c>
      <c r="P262" s="101">
        <f t="shared" si="63"/>
        <v>1.8390412797740621</v>
      </c>
      <c r="Q262" s="101">
        <f t="shared" si="64"/>
        <v>0.15526763267713592</v>
      </c>
      <c r="R262" s="101">
        <f t="shared" si="65"/>
        <v>2.1426407556758724E-2</v>
      </c>
      <c r="S262" s="101">
        <f t="shared" si="67"/>
        <v>719.12829333696288</v>
      </c>
      <c r="T262" s="101">
        <f t="shared" si="68"/>
        <v>32.870273354258416</v>
      </c>
      <c r="U262" s="101">
        <f t="shared" si="69"/>
        <v>15.567189291290553</v>
      </c>
      <c r="V262" s="33">
        <f t="shared" si="70"/>
        <v>1000</v>
      </c>
      <c r="W262" s="105">
        <f>IF(A262=1,((cPH1_+cPHr+(cNES*L262+(cNES+cOSEX)*G262+(cNES+cEREX)*H262+(cNES+cHOEX)*I262 + (cNES+cNES)*S262 +(cNES+ cOSEX)*N262 + (cNES+cEREX)*O262 + (cNES+cHOEX)*P262)))/(1+cDR)^A$5:A$65536,(cPHr+(cNES*L262+(cNES+cOSEX)*G262+(cNES+cEREX)*H262+(cNES+cHOEX)*I262 + (cNES+cNES)*S262 +(cNES+ cOSEX)*N262 + (cNES+cEREX)*O262 + (cNES+cHOEX)*P262))/(1+cDR)^A$5:A$65536)</f>
        <v>139097.54572041539</v>
      </c>
      <c r="X262" s="112">
        <f t="shared" si="71"/>
        <v>951.56253735445102</v>
      </c>
      <c r="Y262" s="32">
        <f>(uNES*L262+ uOCEX*G262+uEREX*'PH + UC'!H262+uHOEX*I262+uNES*S262+ uOCEX*N262+uEREX*O262+uHOEX*P262)/(1+oDR)^A$5:A$65536</f>
        <v>581.94398571791987</v>
      </c>
    </row>
    <row r="263" spans="1:25" x14ac:dyDescent="0.25">
      <c r="A263" s="4">
        <v>257</v>
      </c>
      <c r="C263" s="110">
        <f>IF(male=0,VLOOKUP(((A261:A1095/'Life tables'!$I$2)*2)+age,lifetable,13,1),IF(male=1,VLOOKUP(((A261:A1095/'Life tables'!$I$2)*2)+age,lifetable,10,1),"error"))</f>
        <v>1.7629026324772479E-4</v>
      </c>
      <c r="F263" s="101">
        <f t="shared" ref="F263:F326" si="72">E262*(1-pCAPH)+(L262+G262+H262+I262)*(1-pCAPH)+(S262+N262+O262+P262)*(pUAPH)</f>
        <v>151.73114466524265</v>
      </c>
      <c r="G263" s="101">
        <f t="shared" ref="G263:G326" si="73">F263*(rrOSEX)</f>
        <v>15.241711037413566</v>
      </c>
      <c r="H263" s="101">
        <f t="shared" ref="H263:H326" si="74">F263*rrEREX</f>
        <v>0.34878783187700568</v>
      </c>
      <c r="I263" s="101">
        <f t="shared" ref="I263:I326" si="75">F263*rrHOEX</f>
        <v>0.34878783187700568</v>
      </c>
      <c r="J263" s="101">
        <f t="shared" ref="J263:J326" si="76">F263*mr + G263*mr + H263*mr+I263*mr</f>
        <v>2.9558664484444032E-2</v>
      </c>
      <c r="K263" s="101">
        <f t="shared" ref="K263:K326" si="77">F263*amr + I263*amrHOEX</f>
        <v>2.7341171323170488E-2</v>
      </c>
      <c r="L263" s="101">
        <f t="shared" si="66"/>
        <v>135.73495812826746</v>
      </c>
      <c r="M263" s="101">
        <f t="shared" ref="M263:M326" si="78">E262*pCAPH+(L262+G262+H262+I262)*pCAPH+(S262+N262+O262+P262)*(1-pUAPH)</f>
        <v>799.83139268920831</v>
      </c>
      <c r="N263" s="101">
        <f t="shared" ref="N263:N326" si="79">M263*rrOSEXc</f>
        <v>77.02549605265186</v>
      </c>
      <c r="O263" s="101">
        <f t="shared" ref="O263:O326" si="80">M263*rrEREXc</f>
        <v>1.8385906066860342</v>
      </c>
      <c r="P263" s="101">
        <f t="shared" ref="P263:P326" si="81">M263*rrHOEXc</f>
        <v>1.8385906066860342</v>
      </c>
      <c r="Q263" s="101">
        <f t="shared" ref="Q263:Q326" si="82">M263*mr + N263*mr + O263*mr+P263*mr</f>
        <v>0.1552295829909984</v>
      </c>
      <c r="R263" s="101">
        <f t="shared" ref="R263:R326" si="83">M263*amrc + P263*amrHOEX</f>
        <v>2.1421156828912019E-2</v>
      </c>
      <c r="S263" s="101">
        <f t="shared" si="67"/>
        <v>718.95206468336448</v>
      </c>
      <c r="T263" s="101">
        <f t="shared" si="68"/>
        <v>33.055061601733861</v>
      </c>
      <c r="U263" s="101">
        <f t="shared" si="69"/>
        <v>15.615951619442637</v>
      </c>
      <c r="V263" s="33">
        <f t="shared" si="70"/>
        <v>1000</v>
      </c>
      <c r="W263" s="105">
        <f>IF(A263=1,((cPH1_+cPHr+(cNES*L263+(cNES+cOSEX)*G263+(cNES+cEREX)*H263+(cNES+cHOEX)*I263 + (cNES+cNES)*S263 +(cNES+ cOSEX)*N263 + (cNES+cEREX)*O263 + (cNES+cHOEX)*P263)))/(1+cDR)^A$5:A$65536,(cPHr+(cNES*L263+(cNES+cOSEX)*G263+(cNES+cEREX)*H263+(cNES+cHOEX)*I263 + (cNES+cNES)*S263 +(cNES+ cOSEX)*N263 + (cNES+cEREX)*O263 + (cNES+cHOEX)*P263))/(1+cDR)^A$5:A$65536)</f>
        <v>138903.59490370424</v>
      </c>
      <c r="X263" s="112">
        <f t="shared" si="71"/>
        <v>951.32898677882349</v>
      </c>
      <c r="Y263" s="32">
        <f>(uNES*L263+ uOCEX*G263+uEREX*'PH + UC'!H263+uHOEX*I263+uNES*S263+ uOCEX*N263+uEREX*O263+uHOEX*P263)/(1+oDR)^A$5:A$65536</f>
        <v>581.63383488640864</v>
      </c>
    </row>
    <row r="264" spans="1:25" x14ac:dyDescent="0.25">
      <c r="A264" s="4">
        <v>258</v>
      </c>
      <c r="C264" s="110">
        <f>IF(male=0,VLOOKUP(((A262:A1096/'Life tables'!$I$2)*2)+age,lifetable,13,1),IF(male=1,VLOOKUP(((A262:A1096/'Life tables'!$I$2)*2)+age,lifetable,10,1),"error"))</f>
        <v>1.7629026324772479E-4</v>
      </c>
      <c r="F264" s="101">
        <f t="shared" si="72"/>
        <v>151.69361328173468</v>
      </c>
      <c r="G264" s="101">
        <f t="shared" si="73"/>
        <v>15.237940931391332</v>
      </c>
      <c r="H264" s="101">
        <f t="shared" si="74"/>
        <v>0.34870155763245314</v>
      </c>
      <c r="I264" s="101">
        <f t="shared" si="75"/>
        <v>0.34870155763245314</v>
      </c>
      <c r="J264" s="101">
        <f t="shared" si="76"/>
        <v>2.9551353015363661E-2</v>
      </c>
      <c r="K264" s="101">
        <f t="shared" si="77"/>
        <v>2.7334408361032746E-2</v>
      </c>
      <c r="L264" s="101">
        <f t="shared" ref="L264:L327" si="84">F264-SUM(G264:K264)</f>
        <v>135.70138347370204</v>
      </c>
      <c r="M264" s="101">
        <f t="shared" si="78"/>
        <v>799.63537349708872</v>
      </c>
      <c r="N264" s="101">
        <f t="shared" si="79"/>
        <v>77.006618979750172</v>
      </c>
      <c r="O264" s="101">
        <f t="shared" si="80"/>
        <v>1.8381400129125771</v>
      </c>
      <c r="P264" s="101">
        <f t="shared" si="81"/>
        <v>1.8381400129125771</v>
      </c>
      <c r="Q264" s="101">
        <f t="shared" si="82"/>
        <v>0.155191540001277</v>
      </c>
      <c r="R264" s="101">
        <f t="shared" si="83"/>
        <v>2.1415907025148062E-2</v>
      </c>
      <c r="S264" s="101">
        <f t="shared" ref="S264:S327" si="85">M264-SUM(N264:R264)</f>
        <v>718.77586704448697</v>
      </c>
      <c r="T264" s="101">
        <f t="shared" ref="T264:T327" si="86">J264+Q264+T263</f>
        <v>33.239804494750501</v>
      </c>
      <c r="U264" s="101">
        <f t="shared" ref="U264:U327" si="87">K264+R264+U263</f>
        <v>15.664701934828818</v>
      </c>
      <c r="V264" s="33">
        <f t="shared" ref="V264:V327" si="88">SUM(G264:I264,L264,N264,O264,P264,S264,T264,U264)</f>
        <v>999.99999999999989</v>
      </c>
      <c r="W264" s="105">
        <f>IF(A264=1,((cPH1_+cPHr+(cNES*L264+(cNES+cOSEX)*G264+(cNES+cEREX)*H264+(cNES+cHOEX)*I264 + (cNES+cNES)*S264 +(cNES+ cOSEX)*N264 + (cNES+cEREX)*O264 + (cNES+cHOEX)*P264)))/(1+cDR)^A$5:A$65536,(cPHr+(cNES*L264+(cNES+cOSEX)*G264+(cNES+cEREX)*H264+(cNES+cHOEX)*I264 + (cNES+cNES)*S264 +(cNES+ cOSEX)*N264 + (cNES+cEREX)*O264 + (cNES+cHOEX)*P264))/(1+cDR)^A$5:A$65536)</f>
        <v>138709.91369667335</v>
      </c>
      <c r="X264" s="112">
        <f t="shared" ref="X264:X327" si="89">(L264+G264+H264+I264+N264+O264+P264+S264)</f>
        <v>951.09549357042056</v>
      </c>
      <c r="Y264" s="32">
        <f>(uNES*L264+ uOCEX*G264+uEREX*'PH + UC'!H264+uHOEX*I264+uNES*S264+ uOCEX*N264+uEREX*O264+uHOEX*P264)/(1+oDR)^A$5:A$65536</f>
        <v>581.32384937408597</v>
      </c>
    </row>
    <row r="265" spans="1:25" x14ac:dyDescent="0.25">
      <c r="A265" s="4">
        <v>259</v>
      </c>
      <c r="C265" s="110">
        <f>IF(male=0,VLOOKUP(((A263:A1097/'Life tables'!$I$2)*2)+age,lifetable,13,1),IF(male=1,VLOOKUP(((A263:A1097/'Life tables'!$I$2)*2)+age,lifetable,10,1),"error"))</f>
        <v>1.7629026324772479E-4</v>
      </c>
      <c r="F265" s="101">
        <f t="shared" si="72"/>
        <v>151.65610415919303</v>
      </c>
      <c r="G265" s="101">
        <f t="shared" si="73"/>
        <v>15.234173061529756</v>
      </c>
      <c r="H265" s="101">
        <f t="shared" si="74"/>
        <v>0.34861533455968996</v>
      </c>
      <c r="I265" s="101">
        <f t="shared" si="75"/>
        <v>0.34861533455968996</v>
      </c>
      <c r="J265" s="101">
        <f t="shared" si="76"/>
        <v>2.9544045882930432E-2</v>
      </c>
      <c r="K265" s="101">
        <f t="shared" si="77"/>
        <v>2.7327649410206559E-2</v>
      </c>
      <c r="L265" s="101">
        <f t="shared" si="84"/>
        <v>135.66782873325076</v>
      </c>
      <c r="M265" s="101">
        <f t="shared" si="78"/>
        <v>799.43938941122769</v>
      </c>
      <c r="N265" s="101">
        <f t="shared" si="79"/>
        <v>76.987745287657248</v>
      </c>
      <c r="O265" s="101">
        <f t="shared" si="80"/>
        <v>1.8376894998386748</v>
      </c>
      <c r="P265" s="101">
        <f t="shared" si="81"/>
        <v>1.8376894998386748</v>
      </c>
      <c r="Q265" s="101">
        <f t="shared" si="82"/>
        <v>0.15515350382490384</v>
      </c>
      <c r="R265" s="101">
        <f t="shared" si="83"/>
        <v>2.1410658161603105E-2</v>
      </c>
      <c r="S265" s="101">
        <f t="shared" si="85"/>
        <v>718.59970096190659</v>
      </c>
      <c r="T265" s="101">
        <f t="shared" si="86"/>
        <v>33.424502044458336</v>
      </c>
      <c r="U265" s="101">
        <f t="shared" si="87"/>
        <v>15.713440242400628</v>
      </c>
      <c r="V265" s="33">
        <f t="shared" si="88"/>
        <v>1000.0000000000001</v>
      </c>
      <c r="W265" s="105">
        <f>IF(A265=1,((cPH1_+cPHr+(cNES*L265+(cNES+cOSEX)*G265+(cNES+cEREX)*H265+(cNES+cHOEX)*I265 + (cNES+cNES)*S265 +(cNES+ cOSEX)*N265 + (cNES+cEREX)*O265 + (cNES+cHOEX)*P265)))/(1+cDR)^A$5:A$65536,(cPHr+(cNES*L265+(cNES+cOSEX)*G265+(cNES+cEREX)*H265+(cNES+cHOEX)*I265 + (cNES+cNES)*S265 +(cNES+ cOSEX)*N265 + (cNES+cEREX)*O265 + (cNES+cHOEX)*P265))/(1+cDR)^A$5:A$65536)</f>
        <v>138516.50176255999</v>
      </c>
      <c r="X265" s="112">
        <f t="shared" si="89"/>
        <v>950.8620577131411</v>
      </c>
      <c r="Y265" s="32">
        <f>(uNES*L265+ uOCEX*G265+uEREX*'PH + UC'!H265+uHOEX*I265+uNES*S265+ uOCEX*N265+uEREX*O265+uHOEX*P265)/(1+oDR)^A$5:A$65536</f>
        <v>581.01402909182661</v>
      </c>
    </row>
    <row r="266" spans="1:25" x14ac:dyDescent="0.25">
      <c r="A266" s="4">
        <v>260</v>
      </c>
      <c r="C266" s="110">
        <f>IF(male=0,VLOOKUP(((A264:A1098/'Life tables'!$I$2)*2)+age,lifetable,13,1),IF(male=1,VLOOKUP(((A264:A1098/'Life tables'!$I$2)*2)+age,lifetable,10,1),"error"))</f>
        <v>1.7629026324772479E-4</v>
      </c>
      <c r="F266" s="101">
        <f t="shared" si="72"/>
        <v>151.61861670657933</v>
      </c>
      <c r="G266" s="101">
        <f t="shared" si="73"/>
        <v>15.230407368457794</v>
      </c>
      <c r="H266" s="101">
        <f t="shared" si="74"/>
        <v>0.34852916130008282</v>
      </c>
      <c r="I266" s="101">
        <f t="shared" si="75"/>
        <v>0.34852916130008282</v>
      </c>
      <c r="J266" s="101">
        <f t="shared" si="76"/>
        <v>2.9536742972004464E-2</v>
      </c>
      <c r="K266" s="101">
        <f t="shared" si="77"/>
        <v>2.7320894364189861E-2</v>
      </c>
      <c r="L266" s="101">
        <f t="shared" si="84"/>
        <v>135.63429337818519</v>
      </c>
      <c r="M266" s="101">
        <f t="shared" si="78"/>
        <v>799.24344100656185</v>
      </c>
      <c r="N266" s="101">
        <f t="shared" si="79"/>
        <v>76.968875031740723</v>
      </c>
      <c r="O266" s="101">
        <f t="shared" si="80"/>
        <v>1.837239068785947</v>
      </c>
      <c r="P266" s="101">
        <f t="shared" si="81"/>
        <v>1.837239068785947</v>
      </c>
      <c r="Q266" s="101">
        <f t="shared" si="82"/>
        <v>0.15511547457346156</v>
      </c>
      <c r="R266" s="101">
        <f t="shared" si="83"/>
        <v>2.140541025367515E-2</v>
      </c>
      <c r="S266" s="101">
        <f t="shared" si="85"/>
        <v>718.42356695242211</v>
      </c>
      <c r="T266" s="101">
        <f t="shared" si="86"/>
        <v>33.609154262003806</v>
      </c>
      <c r="U266" s="101">
        <f t="shared" si="87"/>
        <v>15.762166547018493</v>
      </c>
      <c r="V266" s="33">
        <f t="shared" si="88"/>
        <v>1000.0000000000002</v>
      </c>
      <c r="W266" s="105">
        <f>IF(A266=1,((cPH1_+cPHr+(cNES*L266+(cNES+cOSEX)*G266+(cNES+cEREX)*H266+(cNES+cHOEX)*I266 + (cNES+cNES)*S266 +(cNES+ cOSEX)*N266 + (cNES+cEREX)*O266 + (cNES+cHOEX)*P266)))/(1+cDR)^A$5:A$65536,(cPHr+(cNES*L266+(cNES+cOSEX)*G266+(cNES+cEREX)*H266+(cNES+cHOEX)*I266 + (cNES+cNES)*S266 +(cNES+ cOSEX)*N266 + (cNES+cEREX)*O266 + (cNES+cHOEX)*P266))/(1+cDR)^A$5:A$65536)</f>
        <v>138323.35876326857</v>
      </c>
      <c r="X266" s="112">
        <f t="shared" si="89"/>
        <v>950.62867919097789</v>
      </c>
      <c r="Y266" s="32">
        <f>(uNES*L266+ uOCEX*G266+uEREX*'PH + UC'!H266+uHOEX*I266+uNES*S266+ uOCEX*N266+uEREX*O266+uHOEX*P266)/(1+oDR)^A$5:A$65536</f>
        <v>580.7043739505973</v>
      </c>
    </row>
    <row r="267" spans="1:25" x14ac:dyDescent="0.25">
      <c r="A267" s="4">
        <v>261</v>
      </c>
      <c r="C267" s="110">
        <f>IF(male=0,VLOOKUP(((A265:A1099/'Life tables'!$I$2)*2)+age,lifetable,13,1),IF(male=1,VLOOKUP(((A265:A1099/'Life tables'!$I$2)*2)+age,lifetable,10,1),"error"))</f>
        <v>1.9370784166106159E-4</v>
      </c>
      <c r="F267" s="101">
        <f t="shared" si="72"/>
        <v>151.58115035927739</v>
      </c>
      <c r="G267" s="101">
        <f t="shared" si="73"/>
        <v>15.226643795458568</v>
      </c>
      <c r="H267" s="101">
        <f t="shared" si="74"/>
        <v>0.34844303655573566</v>
      </c>
      <c r="I267" s="101">
        <f t="shared" si="75"/>
        <v>0.34844303655573566</v>
      </c>
      <c r="J267" s="101">
        <f t="shared" si="76"/>
        <v>3.2446970075062621E-2</v>
      </c>
      <c r="K267" s="101">
        <f t="shared" si="77"/>
        <v>2.731414312124171E-2</v>
      </c>
      <c r="L267" s="101">
        <f t="shared" si="84"/>
        <v>135.59785937751104</v>
      </c>
      <c r="M267" s="101">
        <f t="shared" si="78"/>
        <v>799.04752883170045</v>
      </c>
      <c r="N267" s="101">
        <f t="shared" si="79"/>
        <v>76.950008264832874</v>
      </c>
      <c r="O267" s="101">
        <f t="shared" si="80"/>
        <v>1.8367887210154943</v>
      </c>
      <c r="P267" s="101">
        <f t="shared" si="81"/>
        <v>1.8367887210154943</v>
      </c>
      <c r="Q267" s="101">
        <f t="shared" si="82"/>
        <v>0.17039919296884576</v>
      </c>
      <c r="R267" s="101">
        <f t="shared" si="83"/>
        <v>2.1400163316057097E-2</v>
      </c>
      <c r="S267" s="101">
        <f t="shared" si="85"/>
        <v>718.23214376855162</v>
      </c>
      <c r="T267" s="101">
        <f t="shared" si="86"/>
        <v>33.812000425047714</v>
      </c>
      <c r="U267" s="101">
        <f t="shared" si="87"/>
        <v>15.810880853455792</v>
      </c>
      <c r="V267" s="33">
        <f t="shared" si="88"/>
        <v>1000.0000000000001</v>
      </c>
      <c r="W267" s="105">
        <f>IF(A267=1,((cPH1_+cPHr+(cNES*L267+(cNES+cOSEX)*G267+(cNES+cEREX)*H267+(cNES+cHOEX)*I267 + (cNES+cNES)*S267 +(cNES+ cOSEX)*N267 + (cNES+cEREX)*O267 + (cNES+cHOEX)*P267)))/(1+cDR)^A$5:A$65536,(cPHr+(cNES*L267+(cNES+cOSEX)*G267+(cNES+cEREX)*H267+(cNES+cHOEX)*I267 + (cNES+cNES)*S267 +(cNES+ cOSEX)*N267 + (cNES+cEREX)*O267 + (cNES+cHOEX)*P267))/(1+cDR)^A$5:A$65536)</f>
        <v>138128.18646113467</v>
      </c>
      <c r="X267" s="112">
        <f t="shared" si="89"/>
        <v>950.37711872149657</v>
      </c>
      <c r="Y267" s="32">
        <f>(uNES*L267+ uOCEX*G267+uEREX*'PH + UC'!H267+uHOEX*I267+uNES*S267+ uOCEX*N267+uEREX*O267+uHOEX*P267)/(1+oDR)^A$5:A$65536</f>
        <v>580.38356427862846</v>
      </c>
    </row>
    <row r="268" spans="1:25" x14ac:dyDescent="0.25">
      <c r="A268" s="4">
        <v>262</v>
      </c>
      <c r="C268" s="110">
        <f>IF(male=0,VLOOKUP(((A266:A1100/'Life tables'!$I$2)*2)+age,lifetable,13,1),IF(male=1,VLOOKUP(((A266:A1100/'Life tables'!$I$2)*2)+age,lifetable,10,1),"error"))</f>
        <v>1.9370784166106159E-4</v>
      </c>
      <c r="F268" s="101">
        <f t="shared" si="72"/>
        <v>151.54078710670566</v>
      </c>
      <c r="G268" s="101">
        <f t="shared" si="73"/>
        <v>15.222589222262105</v>
      </c>
      <c r="H268" s="101">
        <f t="shared" si="74"/>
        <v>0.34835025262938318</v>
      </c>
      <c r="I268" s="101">
        <f t="shared" si="75"/>
        <v>0.34835025262938318</v>
      </c>
      <c r="J268" s="101">
        <f t="shared" si="76"/>
        <v>3.2438330047953559E-2</v>
      </c>
      <c r="K268" s="101">
        <f t="shared" si="77"/>
        <v>2.7306869870874037E-2</v>
      </c>
      <c r="L268" s="101">
        <f t="shared" si="84"/>
        <v>135.56175217926597</v>
      </c>
      <c r="M268" s="101">
        <f t="shared" si="78"/>
        <v>798.83633161479088</v>
      </c>
      <c r="N268" s="101">
        <f t="shared" si="79"/>
        <v>76.92966951525878</v>
      </c>
      <c r="O268" s="101">
        <f t="shared" si="80"/>
        <v>1.8363032371713774</v>
      </c>
      <c r="P268" s="101">
        <f t="shared" si="81"/>
        <v>1.8363032371713774</v>
      </c>
      <c r="Q268" s="101">
        <f t="shared" si="82"/>
        <v>0.17035415455245614</v>
      </c>
      <c r="R268" s="101">
        <f t="shared" si="83"/>
        <v>2.1394507013057989E-2</v>
      </c>
      <c r="S268" s="101">
        <f t="shared" si="85"/>
        <v>718.04230696362379</v>
      </c>
      <c r="T268" s="101">
        <f t="shared" si="86"/>
        <v>34.014792909648122</v>
      </c>
      <c r="U268" s="101">
        <f t="shared" si="87"/>
        <v>15.859582230339724</v>
      </c>
      <c r="V268" s="33">
        <f t="shared" si="88"/>
        <v>999.99999999999989</v>
      </c>
      <c r="W268" s="105">
        <f>IF(A268=1,((cPH1_+cPHr+(cNES*L268+(cNES+cOSEX)*G268+(cNES+cEREX)*H268+(cNES+cHOEX)*I268 + (cNES+cNES)*S268 +(cNES+ cOSEX)*N268 + (cNES+cEREX)*O268 + (cNES+cHOEX)*P268)))/(1+cDR)^A$5:A$65536,(cPHr+(cNES*L268+(cNES+cOSEX)*G268+(cNES+cEREX)*H268+(cNES+cHOEX)*I268 + (cNES+cNES)*S268 +(cNES+ cOSEX)*N268 + (cNES+cEREX)*O268 + (cNES+cHOEX)*P268))/(1+cDR)^A$5:A$65536)</f>
        <v>137932.93727613633</v>
      </c>
      <c r="X268" s="112">
        <f t="shared" si="89"/>
        <v>950.12562486001218</v>
      </c>
      <c r="Y268" s="32">
        <f>(uNES*L268+ uOCEX*G268+uEREX*'PH + UC'!H268+uHOEX*I268+uNES*S268+ uOCEX*N268+uEREX*O268+uHOEX*P268)/(1+oDR)^A$5:A$65536</f>
        <v>580.06311284514436</v>
      </c>
    </row>
    <row r="269" spans="1:25" x14ac:dyDescent="0.25">
      <c r="A269" s="4">
        <v>263</v>
      </c>
      <c r="C269" s="110">
        <f>IF(male=0,VLOOKUP(((A267:A1101/'Life tables'!$I$2)*2)+age,lifetable,13,1),IF(male=1,VLOOKUP(((A267:A1101/'Life tables'!$I$2)*2)+age,lifetable,10,1),"error"))</f>
        <v>1.9370784166106159E-4</v>
      </c>
      <c r="F269" s="101">
        <f t="shared" si="72"/>
        <v>151.5004458109338</v>
      </c>
      <c r="G269" s="101">
        <f t="shared" si="73"/>
        <v>15.21853685467214</v>
      </c>
      <c r="H269" s="101">
        <f t="shared" si="74"/>
        <v>0.34825751917562575</v>
      </c>
      <c r="I269" s="101">
        <f t="shared" si="75"/>
        <v>0.34825751917562575</v>
      </c>
      <c r="J269" s="101">
        <f t="shared" si="76"/>
        <v>3.2429694720845961E-2</v>
      </c>
      <c r="K269" s="101">
        <f t="shared" si="77"/>
        <v>2.7299600577008691E-2</v>
      </c>
      <c r="L269" s="101">
        <f t="shared" si="84"/>
        <v>135.52566462261257</v>
      </c>
      <c r="M269" s="101">
        <f t="shared" si="78"/>
        <v>798.62517904907838</v>
      </c>
      <c r="N269" s="101">
        <f t="shared" si="79"/>
        <v>76.909335065691721</v>
      </c>
      <c r="O269" s="101">
        <f t="shared" si="80"/>
        <v>1.8358178559679823</v>
      </c>
      <c r="P269" s="101">
        <f t="shared" si="81"/>
        <v>1.8358178559679823</v>
      </c>
      <c r="Q269" s="101">
        <f t="shared" si="82"/>
        <v>0.17030912565806319</v>
      </c>
      <c r="R269" s="101">
        <f t="shared" si="83"/>
        <v>2.1388851905911284E-2</v>
      </c>
      <c r="S269" s="101">
        <f t="shared" si="85"/>
        <v>717.85251029388667</v>
      </c>
      <c r="T269" s="101">
        <f t="shared" si="86"/>
        <v>34.217531730027034</v>
      </c>
      <c r="U269" s="101">
        <f t="shared" si="87"/>
        <v>15.908270682822645</v>
      </c>
      <c r="V269" s="33">
        <f t="shared" si="88"/>
        <v>1000</v>
      </c>
      <c r="W269" s="105">
        <f>IF(A269=1,((cPH1_+cPHr+(cNES*L269+(cNES+cOSEX)*G269+(cNES+cEREX)*H269+(cNES+cHOEX)*I269 + (cNES+cNES)*S269 +(cNES+ cOSEX)*N269 + (cNES+cEREX)*O269 + (cNES+cHOEX)*P269)))/(1+cDR)^A$5:A$65536,(cPHr+(cNES*L269+(cNES+cOSEX)*G269+(cNES+cEREX)*H269+(cNES+cHOEX)*I269 + (cNES+cNES)*S269 +(cNES+ cOSEX)*N269 + (cNES+cEREX)*O269 + (cNES+cHOEX)*P269))/(1+cDR)^A$5:A$65536)</f>
        <v>137737.96340592601</v>
      </c>
      <c r="X269" s="112">
        <f t="shared" si="89"/>
        <v>949.87419758715032</v>
      </c>
      <c r="Y269" s="32">
        <f>(uNES*L269+ uOCEX*G269+uEREX*'PH + UC'!H269+uHOEX*I269+uNES*S269+ uOCEX*N269+uEREX*O269+uHOEX*P269)/(1+oDR)^A$5:A$65536</f>
        <v>579.74283836322945</v>
      </c>
    </row>
    <row r="270" spans="1:25" x14ac:dyDescent="0.25">
      <c r="A270" s="4">
        <v>264</v>
      </c>
      <c r="C270" s="110">
        <f>IF(male=0,VLOOKUP(((A268:A1102/'Life tables'!$I$2)*2)+age,lifetable,13,1),IF(male=1,VLOOKUP(((A268:A1102/'Life tables'!$I$2)*2)+age,lifetable,10,1),"error"))</f>
        <v>1.9370784166106159E-4</v>
      </c>
      <c r="F270" s="101">
        <f t="shared" si="72"/>
        <v>151.4601259599599</v>
      </c>
      <c r="G270" s="101">
        <f t="shared" si="73"/>
        <v>15.214486641257013</v>
      </c>
      <c r="H270" s="101">
        <f t="shared" si="74"/>
        <v>0.34816483501751294</v>
      </c>
      <c r="I270" s="101">
        <f t="shared" si="75"/>
        <v>0.34816483501751294</v>
      </c>
      <c r="J270" s="101">
        <f t="shared" si="76"/>
        <v>3.2421063984142351E-2</v>
      </c>
      <c r="K270" s="101">
        <f t="shared" si="77"/>
        <v>2.729233514738556E-2</v>
      </c>
      <c r="L270" s="101">
        <f t="shared" si="84"/>
        <v>135.48959624953633</v>
      </c>
      <c r="M270" s="101">
        <f t="shared" si="78"/>
        <v>798.41407162719042</v>
      </c>
      <c r="N270" s="101">
        <f t="shared" si="79"/>
        <v>76.889004963572759</v>
      </c>
      <c r="O270" s="101">
        <f t="shared" si="80"/>
        <v>1.835332578537723</v>
      </c>
      <c r="P270" s="101">
        <f t="shared" si="81"/>
        <v>1.835332578537723</v>
      </c>
      <c r="Q270" s="101">
        <f t="shared" si="82"/>
        <v>0.17026410639072115</v>
      </c>
      <c r="R270" s="101">
        <f t="shared" si="83"/>
        <v>2.1383198007810578E-2</v>
      </c>
      <c r="S270" s="101">
        <f t="shared" si="85"/>
        <v>717.66275420214367</v>
      </c>
      <c r="T270" s="101">
        <f t="shared" si="86"/>
        <v>34.420216900401897</v>
      </c>
      <c r="U270" s="101">
        <f t="shared" si="87"/>
        <v>15.95694621597784</v>
      </c>
      <c r="V270" s="33">
        <f t="shared" si="88"/>
        <v>1000</v>
      </c>
      <c r="W270" s="105">
        <f>IF(A270=1,((cPH1_+cPHr+(cNES*L270+(cNES+cOSEX)*G270+(cNES+cEREX)*H270+(cNES+cHOEX)*I270 + (cNES+cNES)*S270 +(cNES+ cOSEX)*N270 + (cNES+cEREX)*O270 + (cNES+cHOEX)*P270)))/(1+cDR)^A$5:A$65536,(cPHr+(cNES*L270+(cNES+cOSEX)*G270+(cNES+cEREX)*H270+(cNES+cHOEX)*I270 + (cNES+cNES)*S270 +(cNES+ cOSEX)*N270 + (cNES+cEREX)*O270 + (cNES+cHOEX)*P270))/(1+cDR)^A$5:A$65536)</f>
        <v>137543.26449348629</v>
      </c>
      <c r="X270" s="112">
        <f t="shared" si="89"/>
        <v>949.62283688362027</v>
      </c>
      <c r="Y270" s="32">
        <f>(uNES*L270+ uOCEX*G270+uEREX*'PH + UC'!H270+uHOEX*I270+uNES*S270+ uOCEX*N270+uEREX*O270+uHOEX*P270)/(1+oDR)^A$5:A$65536</f>
        <v>579.42274073434248</v>
      </c>
    </row>
    <row r="271" spans="1:25" x14ac:dyDescent="0.25">
      <c r="A271" s="4">
        <v>265</v>
      </c>
      <c r="C271" s="110">
        <f>IF(male=0,VLOOKUP(((A269:A1103/'Life tables'!$I$2)*2)+age,lifetable,13,1),IF(male=1,VLOOKUP(((A269:A1103/'Life tables'!$I$2)*2)+age,lifetable,10,1),"error"))</f>
        <v>1.9370784166106159E-4</v>
      </c>
      <c r="F271" s="101">
        <f t="shared" si="72"/>
        <v>151.41982706464162</v>
      </c>
      <c r="G271" s="101">
        <f t="shared" si="73"/>
        <v>15.210438532881351</v>
      </c>
      <c r="H271" s="101">
        <f t="shared" si="74"/>
        <v>0.34807219903064218</v>
      </c>
      <c r="I271" s="101">
        <f t="shared" si="75"/>
        <v>0.34807219903064218</v>
      </c>
      <c r="J271" s="101">
        <f t="shared" si="76"/>
        <v>3.2412437733138517E-2</v>
      </c>
      <c r="K271" s="101">
        <f t="shared" si="77"/>
        <v>2.7285073493863721E-2</v>
      </c>
      <c r="L271" s="101">
        <f t="shared" si="84"/>
        <v>135.45354662247198</v>
      </c>
      <c r="M271" s="101">
        <f t="shared" si="78"/>
        <v>798.20300981897867</v>
      </c>
      <c r="N271" s="101">
        <f t="shared" si="79"/>
        <v>76.868679254149654</v>
      </c>
      <c r="O271" s="101">
        <f t="shared" si="80"/>
        <v>1.8348474059606583</v>
      </c>
      <c r="P271" s="101">
        <f t="shared" si="81"/>
        <v>1.8348474059606583</v>
      </c>
      <c r="Q271" s="101">
        <f t="shared" si="82"/>
        <v>0.1702190968506273</v>
      </c>
      <c r="R271" s="101">
        <f t="shared" si="83"/>
        <v>2.1377545331339485E-2</v>
      </c>
      <c r="S271" s="101">
        <f t="shared" si="85"/>
        <v>717.47303911072572</v>
      </c>
      <c r="T271" s="101">
        <f t="shared" si="86"/>
        <v>34.622848434985663</v>
      </c>
      <c r="U271" s="101">
        <f t="shared" si="87"/>
        <v>16.005608834803045</v>
      </c>
      <c r="V271" s="33">
        <f t="shared" si="88"/>
        <v>1000.0000000000001</v>
      </c>
      <c r="W271" s="105">
        <f>IF(A271=1,((cPH1_+cPHr+(cNES*L271+(cNES+cOSEX)*G271+(cNES+cEREX)*H271+(cNES+cHOEX)*I271 + (cNES+cNES)*S271 +(cNES+ cOSEX)*N271 + (cNES+cEREX)*O271 + (cNES+cHOEX)*P271)))/(1+cDR)^A$5:A$65536,(cPHr+(cNES*L271+(cNES+cOSEX)*G271+(cNES+cEREX)*H271+(cNES+cHOEX)*I271 + (cNES+cNES)*S271 +(cNES+ cOSEX)*N271 + (cNES+cEREX)*O271 + (cNES+cHOEX)*P271))/(1+cDR)^A$5:A$65536)</f>
        <v>137348.84018082425</v>
      </c>
      <c r="X271" s="112">
        <f t="shared" si="89"/>
        <v>949.37154273021133</v>
      </c>
      <c r="Y271" s="32">
        <f>(uNES*L271+ uOCEX*G271+uEREX*'PH + UC'!H271+uHOEX*I271+uNES*S271+ uOCEX*N271+uEREX*O271+uHOEX*P271)/(1+oDR)^A$5:A$65536</f>
        <v>579.10281986003429</v>
      </c>
    </row>
    <row r="272" spans="1:25" x14ac:dyDescent="0.25">
      <c r="A272" s="4">
        <v>266</v>
      </c>
      <c r="C272" s="110">
        <f>IF(male=0,VLOOKUP(((A270:A1104/'Life tables'!$I$2)*2)+age,lifetable,13,1),IF(male=1,VLOOKUP(((A270:A1104/'Life tables'!$I$2)*2)+age,lifetable,10,1),"error"))</f>
        <v>1.9370784166106159E-4</v>
      </c>
      <c r="F272" s="101">
        <f t="shared" si="72"/>
        <v>151.37954865767006</v>
      </c>
      <c r="G272" s="101">
        <f t="shared" si="73"/>
        <v>15.206392482602997</v>
      </c>
      <c r="H272" s="101">
        <f t="shared" si="74"/>
        <v>0.34797961014079976</v>
      </c>
      <c r="I272" s="101">
        <f t="shared" si="75"/>
        <v>0.34797961014079976</v>
      </c>
      <c r="J272" s="101">
        <f t="shared" si="76"/>
        <v>3.2403815867803797E-2</v>
      </c>
      <c r="K272" s="101">
        <f t="shared" si="77"/>
        <v>2.7277815532236502E-2</v>
      </c>
      <c r="L272" s="101">
        <f t="shared" si="84"/>
        <v>135.41751532338543</v>
      </c>
      <c r="M272" s="101">
        <f t="shared" si="78"/>
        <v>797.99199407254127</v>
      </c>
      <c r="N272" s="101">
        <f t="shared" si="79"/>
        <v>76.848357980575216</v>
      </c>
      <c r="O272" s="101">
        <f t="shared" si="80"/>
        <v>1.8343623392668416</v>
      </c>
      <c r="P272" s="101">
        <f t="shared" si="81"/>
        <v>1.8343623392668416</v>
      </c>
      <c r="Q272" s="101">
        <f t="shared" si="82"/>
        <v>0.17017409713333992</v>
      </c>
      <c r="R272" s="101">
        <f t="shared" si="83"/>
        <v>2.1371893888499003E-2</v>
      </c>
      <c r="S272" s="101">
        <f t="shared" si="85"/>
        <v>717.2833654224105</v>
      </c>
      <c r="T272" s="101">
        <f t="shared" si="86"/>
        <v>34.825426347986806</v>
      </c>
      <c r="U272" s="101">
        <f t="shared" si="87"/>
        <v>16.054258544223782</v>
      </c>
      <c r="V272" s="33">
        <f t="shared" si="88"/>
        <v>1000</v>
      </c>
      <c r="W272" s="105">
        <f>IF(A272=1,((cPH1_+cPHr+(cNES*L272+(cNES+cOSEX)*G272+(cNES+cEREX)*H272+(cNES+cHOEX)*I272 + (cNES+cNES)*S272 +(cNES+ cOSEX)*N272 + (cNES+cEREX)*O272 + (cNES+cHOEX)*P272)))/(1+cDR)^A$5:A$65536,(cPHr+(cNES*L272+(cNES+cOSEX)*G272+(cNES+cEREX)*H272+(cNES+cHOEX)*I272 + (cNES+cNES)*S272 +(cNES+ cOSEX)*N272 + (cNES+cEREX)*O272 + (cNES+cHOEX)*P272))/(1+cDR)^A$5:A$65536)</f>
        <v>137154.69010904111</v>
      </c>
      <c r="X272" s="112">
        <f t="shared" si="89"/>
        <v>949.12031510778945</v>
      </c>
      <c r="Y272" s="32">
        <f>(uNES*L272+ uOCEX*G272+uEREX*'PH + UC'!H272+uHOEX*I272+uNES*S272+ uOCEX*N272+uEREX*O272+uHOEX*P272)/(1+oDR)^A$5:A$65536</f>
        <v>578.78307564194631</v>
      </c>
    </row>
    <row r="273" spans="1:25" x14ac:dyDescent="0.25">
      <c r="A273" s="4">
        <v>267</v>
      </c>
      <c r="C273" s="110">
        <f>IF(male=0,VLOOKUP(((A271:A1105/'Life tables'!$I$2)*2)+age,lifetable,13,1),IF(male=1,VLOOKUP(((A271:A1105/'Life tables'!$I$2)*2)+age,lifetable,10,1),"error"))</f>
        <v>1.9370784166106159E-4</v>
      </c>
      <c r="F273" s="101">
        <f t="shared" si="72"/>
        <v>151.33929029258965</v>
      </c>
      <c r="G273" s="101">
        <f t="shared" si="73"/>
        <v>15.202348445574554</v>
      </c>
      <c r="H273" s="101">
        <f t="shared" si="74"/>
        <v>0.34788706732170821</v>
      </c>
      <c r="I273" s="101">
        <f t="shared" si="75"/>
        <v>0.34788706732170821</v>
      </c>
      <c r="J273" s="101">
        <f t="shared" si="76"/>
        <v>3.2395198292571398E-2</v>
      </c>
      <c r="K273" s="101">
        <f t="shared" si="77"/>
        <v>2.7270561182054918E-2</v>
      </c>
      <c r="L273" s="101">
        <f t="shared" si="84"/>
        <v>135.38150195289705</v>
      </c>
      <c r="M273" s="101">
        <f t="shared" si="78"/>
        <v>797.78102481519966</v>
      </c>
      <c r="N273" s="101">
        <f t="shared" si="79"/>
        <v>76.828041184001435</v>
      </c>
      <c r="O273" s="101">
        <f t="shared" si="80"/>
        <v>1.8338773794385661</v>
      </c>
      <c r="P273" s="101">
        <f t="shared" si="81"/>
        <v>1.8338773794385661</v>
      </c>
      <c r="Q273" s="101">
        <f t="shared" si="82"/>
        <v>0.1701291073299864</v>
      </c>
      <c r="R273" s="101">
        <f t="shared" si="83"/>
        <v>2.1366243690733696E-2</v>
      </c>
      <c r="S273" s="101">
        <f t="shared" si="85"/>
        <v>717.09373352130035</v>
      </c>
      <c r="T273" s="101">
        <f t="shared" si="86"/>
        <v>35.027950653609366</v>
      </c>
      <c r="U273" s="101">
        <f t="shared" si="87"/>
        <v>16.10289534909657</v>
      </c>
      <c r="V273" s="33">
        <f t="shared" si="88"/>
        <v>1000</v>
      </c>
      <c r="W273" s="105">
        <f>IF(A273=1,((cPH1_+cPHr+(cNES*L273+(cNES+cOSEX)*G273+(cNES+cEREX)*H273+(cNES+cHOEX)*I273 + (cNES+cNES)*S273 +(cNES+ cOSEX)*N273 + (cNES+cEREX)*O273 + (cNES+cHOEX)*P273)))/(1+cDR)^A$5:A$65536,(cPHr+(cNES*L273+(cNES+cOSEX)*G273+(cNES+cEREX)*H273+(cNES+cHOEX)*I273 + (cNES+cNES)*S273 +(cNES+ cOSEX)*N273 + (cNES+cEREX)*O273 + (cNES+cHOEX)*P273))/(1+cDR)^A$5:A$65536)</f>
        <v>136960.81391839829</v>
      </c>
      <c r="X273" s="112">
        <f t="shared" si="89"/>
        <v>948.86915399729401</v>
      </c>
      <c r="Y273" s="32">
        <f>(uNES*L273+ uOCEX*G273+uEREX*'PH + UC'!H273+uHOEX*I273+uNES*S273+ uOCEX*N273+uEREX*O273+uHOEX*P273)/(1+oDR)^A$5:A$65536</f>
        <v>578.46350798180913</v>
      </c>
    </row>
    <row r="274" spans="1:25" x14ac:dyDescent="0.25">
      <c r="A274" s="4">
        <v>268</v>
      </c>
      <c r="C274" s="110">
        <f>IF(male=0,VLOOKUP(((A272:A1106/'Life tables'!$I$2)*2)+age,lifetable,13,1),IF(male=1,VLOOKUP(((A272:A1106/'Life tables'!$I$2)*2)+age,lifetable,10,1),"error"))</f>
        <v>1.9370784166106159E-4</v>
      </c>
      <c r="F274" s="101">
        <f t="shared" si="72"/>
        <v>151.29905154286189</v>
      </c>
      <c r="G274" s="101">
        <f t="shared" si="73"/>
        <v>15.198306378949336</v>
      </c>
      <c r="H274" s="101">
        <f t="shared" si="74"/>
        <v>0.34779456959287375</v>
      </c>
      <c r="I274" s="101">
        <f t="shared" si="75"/>
        <v>0.34779456959287375</v>
      </c>
      <c r="J274" s="101">
        <f t="shared" si="76"/>
        <v>3.2386584916137849E-2</v>
      </c>
      <c r="K274" s="101">
        <f t="shared" si="77"/>
        <v>2.7263310366458925E-2</v>
      </c>
      <c r="L274" s="101">
        <f t="shared" si="84"/>
        <v>135.3455061294442</v>
      </c>
      <c r="M274" s="101">
        <f t="shared" si="78"/>
        <v>797.57010245443212</v>
      </c>
      <c r="N274" s="101">
        <f t="shared" si="79"/>
        <v>76.807728903669329</v>
      </c>
      <c r="O274" s="101">
        <f t="shared" si="80"/>
        <v>1.8333925274125118</v>
      </c>
      <c r="P274" s="101">
        <f t="shared" si="81"/>
        <v>1.8333925274125118</v>
      </c>
      <c r="Q274" s="101">
        <f t="shared" si="82"/>
        <v>0.17008412752746274</v>
      </c>
      <c r="R274" s="101">
        <f t="shared" si="83"/>
        <v>2.1360594748956688E-2</v>
      </c>
      <c r="S274" s="101">
        <f t="shared" si="85"/>
        <v>716.9041437736613</v>
      </c>
      <c r="T274" s="101">
        <f t="shared" si="86"/>
        <v>35.230421366052965</v>
      </c>
      <c r="U274" s="101">
        <f t="shared" si="87"/>
        <v>16.151519254211987</v>
      </c>
      <c r="V274" s="33">
        <f t="shared" si="88"/>
        <v>999.99999999999989</v>
      </c>
      <c r="W274" s="105">
        <f>IF(A274=1,((cPH1_+cPHr+(cNES*L274+(cNES+cOSEX)*G274+(cNES+cEREX)*H274+(cNES+cHOEX)*I274 + (cNES+cNES)*S274 +(cNES+ cOSEX)*N274 + (cNES+cEREX)*O274 + (cNES+cHOEX)*P274)))/(1+cDR)^A$5:A$65536,(cPHr+(cNES*L274+(cNES+cOSEX)*G274+(cNES+cEREX)*H274+(cNES+cHOEX)*I274 + (cNES+cNES)*S274 +(cNES+ cOSEX)*N274 + (cNES+cEREX)*O274 + (cNES+cHOEX)*P274))/(1+cDR)^A$5:A$65536)</f>
        <v>136767.21124838068</v>
      </c>
      <c r="X274" s="112">
        <f t="shared" si="89"/>
        <v>948.61805937973497</v>
      </c>
      <c r="Y274" s="32">
        <f>(uNES*L274+ uOCEX*G274+uEREX*'PH + UC'!H274+uHOEX*I274+uNES*S274+ uOCEX*N274+uEREX*O274+uHOEX*P274)/(1+oDR)^A$5:A$65536</f>
        <v>578.1441167814404</v>
      </c>
    </row>
    <row r="275" spans="1:25" x14ac:dyDescent="0.25">
      <c r="A275" s="4">
        <v>269</v>
      </c>
      <c r="C275" s="110">
        <f>IF(male=0,VLOOKUP(((A273:A1107/'Life tables'!$I$2)*2)+age,lifetable,13,1),IF(male=1,VLOOKUP(((A273:A1107/'Life tables'!$I$2)*2)+age,lifetable,10,1),"error"))</f>
        <v>1.9370784166106159E-4</v>
      </c>
      <c r="F275" s="101">
        <f t="shared" si="72"/>
        <v>151.25883200097132</v>
      </c>
      <c r="G275" s="101">
        <f t="shared" si="73"/>
        <v>15.194266241791565</v>
      </c>
      <c r="H275" s="101">
        <f t="shared" si="74"/>
        <v>0.34770211601753137</v>
      </c>
      <c r="I275" s="101">
        <f t="shared" si="75"/>
        <v>0.34770211601753137</v>
      </c>
      <c r="J275" s="101">
        <f t="shared" si="76"/>
        <v>3.2377975651271713E-2</v>
      </c>
      <c r="K275" s="101">
        <f t="shared" si="77"/>
        <v>2.7256063012016333E-2</v>
      </c>
      <c r="L275" s="101">
        <f t="shared" si="84"/>
        <v>135.30952748848142</v>
      </c>
      <c r="M275" s="101">
        <f t="shared" si="78"/>
        <v>797.35922737876342</v>
      </c>
      <c r="N275" s="101">
        <f t="shared" si="79"/>
        <v>76.787421176994698</v>
      </c>
      <c r="O275" s="101">
        <f t="shared" si="80"/>
        <v>1.8329077840817891</v>
      </c>
      <c r="P275" s="101">
        <f t="shared" si="81"/>
        <v>1.8329077840817891</v>
      </c>
      <c r="Q275" s="101">
        <f t="shared" si="82"/>
        <v>0.17003915780862297</v>
      </c>
      <c r="R275" s="101">
        <f t="shared" si="83"/>
        <v>2.135494707357348E-2</v>
      </c>
      <c r="S275" s="101">
        <f t="shared" si="85"/>
        <v>716.71459652872295</v>
      </c>
      <c r="T275" s="101">
        <f t="shared" si="86"/>
        <v>35.432838499512862</v>
      </c>
      <c r="U275" s="101">
        <f t="shared" si="87"/>
        <v>16.200130264297577</v>
      </c>
      <c r="V275" s="33">
        <f t="shared" si="88"/>
        <v>999.99999999999977</v>
      </c>
      <c r="W275" s="105">
        <f>IF(A275=1,((cPH1_+cPHr+(cNES*L275+(cNES+cOSEX)*G275+(cNES+cEREX)*H275+(cNES+cHOEX)*I275 + (cNES+cNES)*S275 +(cNES+ cOSEX)*N275 + (cNES+cEREX)*O275 + (cNES+cHOEX)*P275)))/(1+cDR)^A$5:A$65536,(cPHr+(cNES*L275+(cNES+cOSEX)*G275+(cNES+cEREX)*H275+(cNES+cHOEX)*I275 + (cNES+cNES)*S275 +(cNES+ cOSEX)*N275 + (cNES+cEREX)*O275 + (cNES+cHOEX)*P275))/(1+cDR)^A$5:A$65536)</f>
        <v>136573.88173775648</v>
      </c>
      <c r="X275" s="112">
        <f t="shared" si="89"/>
        <v>948.36703123618918</v>
      </c>
      <c r="Y275" s="32">
        <f>(uNES*L275+ uOCEX*G275+uEREX*'PH + UC'!H275+uHOEX*I275+uNES*S275+ uOCEX*N275+uEREX*O275+uHOEX*P275)/(1+oDR)^A$5:A$65536</f>
        <v>577.82490194274351</v>
      </c>
    </row>
    <row r="276" spans="1:25" x14ac:dyDescent="0.25">
      <c r="A276" s="4">
        <v>270</v>
      </c>
      <c r="C276" s="110">
        <f>IF(male=0,VLOOKUP(((A274:A1108/'Life tables'!$I$2)*2)+age,lifetable,13,1),IF(male=1,VLOOKUP(((A274:A1108/'Life tables'!$I$2)*2)+age,lifetable,10,1),"error"))</f>
        <v>1.9370784166106159E-4</v>
      </c>
      <c r="F276" s="101">
        <f t="shared" si="72"/>
        <v>151.21863127757169</v>
      </c>
      <c r="G276" s="101">
        <f t="shared" si="73"/>
        <v>15.190227994990593</v>
      </c>
      <c r="H276" s="101">
        <f t="shared" si="74"/>
        <v>0.34760970570068189</v>
      </c>
      <c r="I276" s="101">
        <f t="shared" si="75"/>
        <v>0.34760970570068189</v>
      </c>
      <c r="J276" s="101">
        <f t="shared" si="76"/>
        <v>3.236937041463081E-2</v>
      </c>
      <c r="K276" s="101">
        <f t="shared" si="77"/>
        <v>2.7248819048568948E-2</v>
      </c>
      <c r="L276" s="101">
        <f t="shared" si="84"/>
        <v>135.27356568171652</v>
      </c>
      <c r="M276" s="101">
        <f t="shared" si="78"/>
        <v>797.14839995861769</v>
      </c>
      <c r="N276" s="101">
        <f t="shared" si="79"/>
        <v>76.767118039650185</v>
      </c>
      <c r="O276" s="101">
        <f t="shared" si="80"/>
        <v>1.8324231502979007</v>
      </c>
      <c r="P276" s="101">
        <f t="shared" si="81"/>
        <v>1.8324231502979007</v>
      </c>
      <c r="Q276" s="101">
        <f t="shared" si="82"/>
        <v>0.16999419825246104</v>
      </c>
      <c r="R276" s="101">
        <f t="shared" si="83"/>
        <v>2.1349300674504808E-2</v>
      </c>
      <c r="S276" s="101">
        <f t="shared" si="85"/>
        <v>716.52509211944471</v>
      </c>
      <c r="T276" s="101">
        <f t="shared" si="86"/>
        <v>35.63520206817995</v>
      </c>
      <c r="U276" s="101">
        <f t="shared" si="87"/>
        <v>16.248728384020652</v>
      </c>
      <c r="V276" s="33">
        <f t="shared" si="88"/>
        <v>999.99999999999977</v>
      </c>
      <c r="W276" s="105">
        <f>IF(A276=1,((cPH1_+cPHr+(cNES*L276+(cNES+cOSEX)*G276+(cNES+cEREX)*H276+(cNES+cHOEX)*I276 + (cNES+cNES)*S276 +(cNES+ cOSEX)*N276 + (cNES+cEREX)*O276 + (cNES+cHOEX)*P276)))/(1+cDR)^A$5:A$65536,(cPHr+(cNES*L276+(cNES+cOSEX)*G276+(cNES+cEREX)*H276+(cNES+cHOEX)*I276 + (cNES+cNES)*S276 +(cNES+ cOSEX)*N276 + (cNES+cEREX)*O276 + (cNES+cHOEX)*P276))/(1+cDR)^A$5:A$65536)</f>
        <v>136380.82502463541</v>
      </c>
      <c r="X276" s="112">
        <f t="shared" si="89"/>
        <v>948.11606954779916</v>
      </c>
      <c r="Y276" s="32">
        <f>(uNES*L276+ uOCEX*G276+uEREX*'PH + UC'!H276+uHOEX*I276+uNES*S276+ uOCEX*N276+uEREX*O276+uHOEX*P276)/(1+oDR)^A$5:A$65536</f>
        <v>577.50586336770652</v>
      </c>
    </row>
    <row r="277" spans="1:25" x14ac:dyDescent="0.25">
      <c r="A277" s="4">
        <v>271</v>
      </c>
      <c r="C277" s="110">
        <f>IF(male=0,VLOOKUP(((A275:A1109/'Life tables'!$I$2)*2)+age,lifetable,13,1),IF(male=1,VLOOKUP(((A275:A1109/'Life tables'!$I$2)*2)+age,lifetable,10,1),"error"))</f>
        <v>1.9370784166106159E-4</v>
      </c>
      <c r="F277" s="101">
        <f t="shared" si="72"/>
        <v>151.17844900067013</v>
      </c>
      <c r="G277" s="101">
        <f t="shared" si="73"/>
        <v>15.18619160117896</v>
      </c>
      <c r="H277" s="101">
        <f t="shared" si="74"/>
        <v>0.34751733778721694</v>
      </c>
      <c r="I277" s="101">
        <f t="shared" si="75"/>
        <v>0.34751733778721694</v>
      </c>
      <c r="J277" s="101">
        <f t="shared" si="76"/>
        <v>3.236076912658753E-2</v>
      </c>
      <c r="K277" s="101">
        <f t="shared" si="77"/>
        <v>2.7241578409085573E-2</v>
      </c>
      <c r="L277" s="101">
        <f t="shared" si="84"/>
        <v>135.23762037638107</v>
      </c>
      <c r="M277" s="101">
        <f t="shared" si="78"/>
        <v>796.93762054712909</v>
      </c>
      <c r="N277" s="101">
        <f t="shared" si="79"/>
        <v>76.74681952564336</v>
      </c>
      <c r="O277" s="101">
        <f t="shared" si="80"/>
        <v>1.8319386268726037</v>
      </c>
      <c r="P277" s="101">
        <f t="shared" si="81"/>
        <v>1.8319386268726037</v>
      </c>
      <c r="Q277" s="101">
        <f t="shared" si="82"/>
        <v>0.1699492489342839</v>
      </c>
      <c r="R277" s="101">
        <f t="shared" si="83"/>
        <v>2.1343655561208336E-2</v>
      </c>
      <c r="S277" s="101">
        <f t="shared" si="85"/>
        <v>716.335630863245</v>
      </c>
      <c r="T277" s="101">
        <f t="shared" si="86"/>
        <v>35.837512086240821</v>
      </c>
      <c r="U277" s="101">
        <f t="shared" si="87"/>
        <v>16.297313617990945</v>
      </c>
      <c r="V277" s="33">
        <f t="shared" si="88"/>
        <v>999.99999999999989</v>
      </c>
      <c r="W277" s="105">
        <f>IF(A277=1,((cPH1_+cPHr+(cNES*L277+(cNES+cOSEX)*G277+(cNES+cEREX)*H277+(cNES+cHOEX)*I277 + (cNES+cNES)*S277 +(cNES+ cOSEX)*N277 + (cNES+cEREX)*O277 + (cNES+cHOEX)*P277)))/(1+cDR)^A$5:A$65536,(cPHr+(cNES*L277+(cNES+cOSEX)*G277+(cNES+cEREX)*H277+(cNES+cHOEX)*I277 + (cNES+cNES)*S277 +(cNES+ cOSEX)*N277 + (cNES+cEREX)*O277 + (cNES+cHOEX)*P277))/(1+cDR)^A$5:A$65536)</f>
        <v>136188.04074652231</v>
      </c>
      <c r="X277" s="112">
        <f t="shared" si="89"/>
        <v>947.86517429576804</v>
      </c>
      <c r="Y277" s="32">
        <f>(uNES*L277+ uOCEX*G277+uEREX*'PH + UC'!H277+uHOEX*I277+uNES*S277+ uOCEX*N277+uEREX*O277+uHOEX*P277)/(1+oDR)^A$5:A$65536</f>
        <v>577.18700095839995</v>
      </c>
    </row>
    <row r="278" spans="1:25" x14ac:dyDescent="0.25">
      <c r="A278" s="4">
        <v>272</v>
      </c>
      <c r="C278" s="110">
        <f>IF(male=0,VLOOKUP(((A276:A1110/'Life tables'!$I$2)*2)+age,lifetable,13,1),IF(male=1,VLOOKUP(((A276:A1110/'Life tables'!$I$2)*2)+age,lifetable,10,1),"error"))</f>
        <v>1.9370784166106159E-4</v>
      </c>
      <c r="F278" s="101">
        <f t="shared" si="72"/>
        <v>151.13828481484842</v>
      </c>
      <c r="G278" s="101">
        <f t="shared" si="73"/>
        <v>15.18215702465416</v>
      </c>
      <c r="H278" s="101">
        <f t="shared" si="74"/>
        <v>0.34742501146012855</v>
      </c>
      <c r="I278" s="101">
        <f t="shared" si="75"/>
        <v>0.34742501146012855</v>
      </c>
      <c r="J278" s="101">
        <f t="shared" si="76"/>
        <v>3.2352171711062194E-2</v>
      </c>
      <c r="K278" s="101">
        <f t="shared" si="77"/>
        <v>2.7234341029521675E-2</v>
      </c>
      <c r="L278" s="101">
        <f t="shared" si="84"/>
        <v>135.20169125453342</v>
      </c>
      <c r="M278" s="101">
        <f t="shared" si="78"/>
        <v>796.72688948091957</v>
      </c>
      <c r="N278" s="101">
        <f t="shared" si="79"/>
        <v>76.72652566739167</v>
      </c>
      <c r="O278" s="101">
        <f t="shared" si="80"/>
        <v>1.831454214579699</v>
      </c>
      <c r="P278" s="101">
        <f t="shared" si="81"/>
        <v>1.831454214579699</v>
      </c>
      <c r="Q278" s="101">
        <f t="shared" si="82"/>
        <v>0.16990430992587716</v>
      </c>
      <c r="R278" s="101">
        <f t="shared" si="83"/>
        <v>2.1338011742699513E-2</v>
      </c>
      <c r="S278" s="101">
        <f t="shared" si="85"/>
        <v>716.14621306269987</v>
      </c>
      <c r="T278" s="101">
        <f t="shared" si="86"/>
        <v>36.039768567877758</v>
      </c>
      <c r="U278" s="101">
        <f t="shared" si="87"/>
        <v>16.345885970763167</v>
      </c>
      <c r="V278" s="33">
        <f t="shared" si="88"/>
        <v>999.99999999999977</v>
      </c>
      <c r="W278" s="105">
        <f>IF(A278=1,((cPH1_+cPHr+(cNES*L278+(cNES+cOSEX)*G278+(cNES+cEREX)*H278+(cNES+cHOEX)*I278 + (cNES+cNES)*S278 +(cNES+ cOSEX)*N278 + (cNES+cEREX)*O278 + (cNES+cHOEX)*P278)))/(1+cDR)^A$5:A$65536,(cPHr+(cNES*L278+(cNES+cOSEX)*G278+(cNES+cEREX)*H278+(cNES+cHOEX)*I278 + (cNES+cNES)*S278 +(cNES+ cOSEX)*N278 + (cNES+cEREX)*O278 + (cNES+cHOEX)*P278))/(1+cDR)^A$5:A$65536)</f>
        <v>135995.52854037026</v>
      </c>
      <c r="X278" s="112">
        <f t="shared" si="89"/>
        <v>947.61434546135888</v>
      </c>
      <c r="Y278" s="32">
        <f>(uNES*L278+ uOCEX*G278+uEREX*'PH + UC'!H278+uHOEX*I278+uNES*S278+ uOCEX*N278+uEREX*O278+uHOEX*P278)/(1+oDR)^A$5:A$65536</f>
        <v>576.86831461697545</v>
      </c>
    </row>
    <row r="279" spans="1:25" x14ac:dyDescent="0.25">
      <c r="A279" s="4">
        <v>273</v>
      </c>
      <c r="C279" s="110">
        <f>IF(male=0,VLOOKUP(((A277:A1111/'Life tables'!$I$2)*2)+age,lifetable,13,1),IF(male=1,VLOOKUP(((A277:A1111/'Life tables'!$I$2)*2)+age,lifetable,10,1),"error"))</f>
        <v>1.9370784166106159E-4</v>
      </c>
      <c r="F279" s="101">
        <f t="shared" si="72"/>
        <v>151.09813838051858</v>
      </c>
      <c r="G279" s="101">
        <f t="shared" si="73"/>
        <v>15.178124231303869</v>
      </c>
      <c r="H279" s="101">
        <f t="shared" si="74"/>
        <v>0.3473327259387981</v>
      </c>
      <c r="I279" s="101">
        <f t="shared" si="75"/>
        <v>0.3473327259387981</v>
      </c>
      <c r="J279" s="101">
        <f t="shared" si="76"/>
        <v>3.2343578095363715E-2</v>
      </c>
      <c r="K279" s="101">
        <f t="shared" si="77"/>
        <v>2.7227106848685248E-2</v>
      </c>
      <c r="L279" s="101">
        <f t="shared" si="84"/>
        <v>135.16577801239305</v>
      </c>
      <c r="M279" s="101">
        <f t="shared" si="78"/>
        <v>796.51620708084022</v>
      </c>
      <c r="N279" s="101">
        <f t="shared" si="79"/>
        <v>76.706236495793746</v>
      </c>
      <c r="O279" s="101">
        <f t="shared" si="80"/>
        <v>1.8309699141567342</v>
      </c>
      <c r="P279" s="101">
        <f t="shared" si="81"/>
        <v>1.8309699141567342</v>
      </c>
      <c r="Q279" s="101">
        <f t="shared" si="82"/>
        <v>0.16985938129566319</v>
      </c>
      <c r="R279" s="101">
        <f t="shared" si="83"/>
        <v>2.1332369227571396E-2</v>
      </c>
      <c r="S279" s="101">
        <f t="shared" si="85"/>
        <v>715.95683900620975</v>
      </c>
      <c r="T279" s="101">
        <f t="shared" si="86"/>
        <v>36.241971527268788</v>
      </c>
      <c r="U279" s="101">
        <f t="shared" si="87"/>
        <v>16.394445446839423</v>
      </c>
      <c r="V279" s="33">
        <f t="shared" si="88"/>
        <v>999.99999999999966</v>
      </c>
      <c r="W279" s="105">
        <f>IF(A279=1,((cPH1_+cPHr+(cNES*L279+(cNES+cOSEX)*G279+(cNES+cEREX)*H279+(cNES+cHOEX)*I279 + (cNES+cNES)*S279 +(cNES+ cOSEX)*N279 + (cNES+cEREX)*O279 + (cNES+cHOEX)*P279)))/(1+cDR)^A$5:A$65536,(cPHr+(cNES*L279+(cNES+cOSEX)*G279+(cNES+cEREX)*H279+(cNES+cHOEX)*I279 + (cNES+cNES)*S279 +(cNES+ cOSEX)*N279 + (cNES+cEREX)*O279 + (cNES+cHOEX)*P279))/(1+cDR)^A$5:A$65536)</f>
        <v>135803.28804262989</v>
      </c>
      <c r="X279" s="112">
        <f t="shared" si="89"/>
        <v>947.36358302589144</v>
      </c>
      <c r="Y279" s="32">
        <f>(uNES*L279+ uOCEX*G279+uEREX*'PH + UC'!H279+uHOEX*I279+uNES*S279+ uOCEX*N279+uEREX*O279+uHOEX*P279)/(1+oDR)^A$5:A$65536</f>
        <v>576.54980424566565</v>
      </c>
    </row>
    <row r="280" spans="1:25" x14ac:dyDescent="0.25">
      <c r="A280" s="4">
        <v>274</v>
      </c>
      <c r="C280" s="110">
        <f>IF(male=0,VLOOKUP(((A278:A1112/'Life tables'!$I$2)*2)+age,lifetable,13,1),IF(male=1,VLOOKUP(((A278:A1112/'Life tables'!$I$2)*2)+age,lifetable,10,1),"error"))</f>
        <v>1.9370784166106159E-4</v>
      </c>
      <c r="F280" s="101">
        <f t="shared" si="72"/>
        <v>151.05800937321251</v>
      </c>
      <c r="G280" s="101">
        <f t="shared" si="73"/>
        <v>15.17409318853459</v>
      </c>
      <c r="H280" s="101">
        <f t="shared" si="74"/>
        <v>0.34724048047736344</v>
      </c>
      <c r="I280" s="101">
        <f t="shared" si="75"/>
        <v>0.34724048047736344</v>
      </c>
      <c r="J280" s="101">
        <f t="shared" si="76"/>
        <v>3.2334988210037496E-2</v>
      </c>
      <c r="K280" s="101">
        <f t="shared" si="77"/>
        <v>2.721987580810881E-2</v>
      </c>
      <c r="L280" s="101">
        <f t="shared" si="84"/>
        <v>135.12988035970506</v>
      </c>
      <c r="M280" s="101">
        <f t="shared" si="78"/>
        <v>796.30557365267896</v>
      </c>
      <c r="N280" s="101">
        <f t="shared" si="79"/>
        <v>76.685952040297636</v>
      </c>
      <c r="O280" s="101">
        <f t="shared" si="80"/>
        <v>1.8304857263066308</v>
      </c>
      <c r="P280" s="101">
        <f t="shared" si="81"/>
        <v>1.8304857263066308</v>
      </c>
      <c r="Q280" s="101">
        <f t="shared" si="82"/>
        <v>0.16981446310885212</v>
      </c>
      <c r="R280" s="101">
        <f t="shared" si="83"/>
        <v>2.1326728024013628E-2</v>
      </c>
      <c r="S280" s="101">
        <f t="shared" si="85"/>
        <v>715.76750896863518</v>
      </c>
      <c r="T280" s="101">
        <f t="shared" si="86"/>
        <v>36.444120978587677</v>
      </c>
      <c r="U280" s="101">
        <f t="shared" si="87"/>
        <v>16.442992050671545</v>
      </c>
      <c r="V280" s="33">
        <f t="shared" si="88"/>
        <v>999.99999999999966</v>
      </c>
      <c r="W280" s="105">
        <f>IF(A280=1,((cPH1_+cPHr+(cNES*L280+(cNES+cOSEX)*G280+(cNES+cEREX)*H280+(cNES+cHOEX)*I280 + (cNES+cNES)*S280 +(cNES+ cOSEX)*N280 + (cNES+cEREX)*O280 + (cNES+cHOEX)*P280)))/(1+cDR)^A$5:A$65536,(cPHr+(cNES*L280+(cNES+cOSEX)*G280+(cNES+cEREX)*H280+(cNES+cHOEX)*I280 + (cNES+cNES)*S280 +(cNES+ cOSEX)*N280 + (cNES+cEREX)*O280 + (cNES+cHOEX)*P280))/(1+cDR)^A$5:A$65536)</f>
        <v>135611.31888929699</v>
      </c>
      <c r="X280" s="112">
        <f t="shared" si="89"/>
        <v>947.11288697074042</v>
      </c>
      <c r="Y280" s="32">
        <f>(uNES*L280+ uOCEX*G280+uEREX*'PH + UC'!H280+uHOEX*I280+uNES*S280+ uOCEX*N280+uEREX*O280+uHOEX*P280)/(1+oDR)^A$5:A$65536</f>
        <v>576.23146974678207</v>
      </c>
    </row>
    <row r="281" spans="1:25" x14ac:dyDescent="0.25">
      <c r="A281" s="4">
        <v>275</v>
      </c>
      <c r="C281" s="110">
        <f>IF(male=0,VLOOKUP(((A279:A1113/'Life tables'!$I$2)*2)+age,lifetable,13,1),IF(male=1,VLOOKUP(((A279:A1113/'Life tables'!$I$2)*2)+age,lifetable,10,1),"error"))</f>
        <v>1.9370784166106159E-4</v>
      </c>
      <c r="F281" s="101">
        <f t="shared" si="72"/>
        <v>151.01789748290332</v>
      </c>
      <c r="G281" s="101">
        <f t="shared" si="73"/>
        <v>15.17006386520347</v>
      </c>
      <c r="H281" s="101">
        <f t="shared" si="74"/>
        <v>0.34714827436315859</v>
      </c>
      <c r="I281" s="101">
        <f t="shared" si="75"/>
        <v>0.34714827436315859</v>
      </c>
      <c r="J281" s="101">
        <f t="shared" si="76"/>
        <v>3.2326401988720187E-2</v>
      </c>
      <c r="K281" s="101">
        <f t="shared" si="77"/>
        <v>2.7212647851927105E-2</v>
      </c>
      <c r="L281" s="101">
        <f t="shared" si="84"/>
        <v>135.0939980191329</v>
      </c>
      <c r="M281" s="101">
        <f t="shared" si="78"/>
        <v>796.09498948783698</v>
      </c>
      <c r="N281" s="101">
        <f t="shared" si="79"/>
        <v>76.665672328965925</v>
      </c>
      <c r="O281" s="101">
        <f t="shared" si="80"/>
        <v>1.8300016516992395</v>
      </c>
      <c r="P281" s="101">
        <f t="shared" si="81"/>
        <v>1.8300016516992395</v>
      </c>
      <c r="Q281" s="101">
        <f t="shared" si="82"/>
        <v>0.16976955542758626</v>
      </c>
      <c r="R281" s="101">
        <f t="shared" si="83"/>
        <v>2.1321088139830538E-2</v>
      </c>
      <c r="S281" s="101">
        <f t="shared" si="85"/>
        <v>715.5782232119052</v>
      </c>
      <c r="T281" s="101">
        <f t="shared" si="86"/>
        <v>36.646216936003981</v>
      </c>
      <c r="U281" s="101">
        <f t="shared" si="87"/>
        <v>16.491525786663303</v>
      </c>
      <c r="V281" s="33">
        <f t="shared" si="88"/>
        <v>999.99999999999943</v>
      </c>
      <c r="W281" s="105">
        <f>IF(A281=1,((cPH1_+cPHr+(cNES*L281+(cNES+cOSEX)*G281+(cNES+cEREX)*H281+(cNES+cHOEX)*I281 + (cNES+cNES)*S281 +(cNES+ cOSEX)*N281 + (cNES+cEREX)*O281 + (cNES+cHOEX)*P281)))/(1+cDR)^A$5:A$65536,(cPHr+(cNES*L281+(cNES+cOSEX)*G281+(cNES+cEREX)*H281+(cNES+cHOEX)*I281 + (cNES+cNES)*S281 +(cNES+ cOSEX)*N281 + (cNES+cEREX)*O281 + (cNES+cHOEX)*P281))/(1+cDR)^A$5:A$65536)</f>
        <v>135419.62071595728</v>
      </c>
      <c r="X281" s="112">
        <f t="shared" si="89"/>
        <v>946.86225727733222</v>
      </c>
      <c r="Y281" s="32">
        <f>(uNES*L281+ uOCEX*G281+uEREX*'PH + UC'!H281+uHOEX*I281+uNES*S281+ uOCEX*N281+uEREX*O281+uHOEX*P281)/(1+oDR)^A$5:A$65536</f>
        <v>575.91331102271408</v>
      </c>
    </row>
    <row r="282" spans="1:25" x14ac:dyDescent="0.25">
      <c r="A282" s="4">
        <v>276</v>
      </c>
      <c r="C282" s="110">
        <f>IF(male=0,VLOOKUP(((A280:A1114/'Life tables'!$I$2)*2)+age,lifetable,13,1),IF(male=1,VLOOKUP(((A280:A1114/'Life tables'!$I$2)*2)+age,lifetable,10,1),"error"))</f>
        <v>1.9370784166106159E-4</v>
      </c>
      <c r="F282" s="101">
        <f t="shared" si="72"/>
        <v>150.97780241335684</v>
      </c>
      <c r="G282" s="101">
        <f t="shared" si="73"/>
        <v>15.16603623155317</v>
      </c>
      <c r="H282" s="101">
        <f t="shared" si="74"/>
        <v>0.34705610691522343</v>
      </c>
      <c r="I282" s="101">
        <f t="shared" si="75"/>
        <v>0.34705610691522343</v>
      </c>
      <c r="J282" s="101">
        <f t="shared" si="76"/>
        <v>3.231781936800087E-2</v>
      </c>
      <c r="K282" s="101">
        <f t="shared" si="77"/>
        <v>2.7205422926760273E-2</v>
      </c>
      <c r="L282" s="101">
        <f t="shared" si="84"/>
        <v>135.05813072567847</v>
      </c>
      <c r="M282" s="101">
        <f t="shared" si="78"/>
        <v>795.88445486397541</v>
      </c>
      <c r="N282" s="101">
        <f t="shared" si="79"/>
        <v>76.645397388537944</v>
      </c>
      <c r="O282" s="101">
        <f t="shared" si="80"/>
        <v>1.8295176909728261</v>
      </c>
      <c r="P282" s="101">
        <f t="shared" si="81"/>
        <v>1.8295176909728261</v>
      </c>
      <c r="Q282" s="101">
        <f t="shared" si="82"/>
        <v>0.1697246583110775</v>
      </c>
      <c r="R282" s="101">
        <f t="shared" si="83"/>
        <v>2.1315449582458477E-2</v>
      </c>
      <c r="S282" s="101">
        <f t="shared" si="85"/>
        <v>715.38898198559832</v>
      </c>
      <c r="T282" s="101">
        <f t="shared" si="86"/>
        <v>36.84825941368306</v>
      </c>
      <c r="U282" s="101">
        <f t="shared" si="87"/>
        <v>16.540046659172521</v>
      </c>
      <c r="V282" s="33">
        <f t="shared" si="88"/>
        <v>999.99999999999955</v>
      </c>
      <c r="W282" s="105">
        <f>IF(A282=1,((cPH1_+cPHr+(cNES*L282+(cNES+cOSEX)*G282+(cNES+cEREX)*H282+(cNES+cHOEX)*I282 + (cNES+cNES)*S282 +(cNES+ cOSEX)*N282 + (cNES+cEREX)*O282 + (cNES+cHOEX)*P282)))/(1+cDR)^A$5:A$65536,(cPHr+(cNES*L282+(cNES+cOSEX)*G282+(cNES+cEREX)*H282+(cNES+cHOEX)*I282 + (cNES+cNES)*S282 +(cNES+ cOSEX)*N282 + (cNES+cEREX)*O282 + (cNES+cHOEX)*P282))/(1+cDR)^A$5:A$65536)</f>
        <v>135228.19315783016</v>
      </c>
      <c r="X282" s="112">
        <f t="shared" si="89"/>
        <v>946.61169392714396</v>
      </c>
      <c r="Y282" s="32">
        <f>(uNES*L282+ uOCEX*G282+uEREX*'PH + UC'!H282+uHOEX*I282+uNES*S282+ uOCEX*N282+uEREX*O282+uHOEX*P282)/(1+oDR)^A$5:A$65536</f>
        <v>575.59532797592703</v>
      </c>
    </row>
    <row r="283" spans="1:25" x14ac:dyDescent="0.25">
      <c r="A283" s="4">
        <v>277</v>
      </c>
      <c r="C283" s="110">
        <f>IF(male=0,VLOOKUP(((A281:A1115/'Life tables'!$I$2)*2)+age,lifetable,13,1),IF(male=1,VLOOKUP(((A281:A1115/'Life tables'!$I$2)*2)+age,lifetable,10,1),"error"))</f>
        <v>1.9370784166106159E-4</v>
      </c>
      <c r="F283" s="101">
        <f t="shared" si="72"/>
        <v>150.93772388151265</v>
      </c>
      <c r="G283" s="101">
        <f t="shared" si="73"/>
        <v>15.162010259149675</v>
      </c>
      <c r="H283" s="101">
        <f t="shared" si="74"/>
        <v>0.34696397748288055</v>
      </c>
      <c r="I283" s="101">
        <f t="shared" si="75"/>
        <v>0.34696397748288055</v>
      </c>
      <c r="J283" s="101">
        <f t="shared" si="76"/>
        <v>3.2309240287288529E-2</v>
      </c>
      <c r="K283" s="101">
        <f t="shared" si="77"/>
        <v>2.719820098160227E-2</v>
      </c>
      <c r="L283" s="101">
        <f t="shared" si="84"/>
        <v>135.02227822612832</v>
      </c>
      <c r="M283" s="101">
        <f t="shared" si="78"/>
        <v>795.67397004563134</v>
      </c>
      <c r="N283" s="101">
        <f t="shared" si="79"/>
        <v>76.625127244489221</v>
      </c>
      <c r="O283" s="101">
        <f t="shared" si="80"/>
        <v>1.8290338447354881</v>
      </c>
      <c r="P283" s="101">
        <f t="shared" si="81"/>
        <v>1.8290338447354881</v>
      </c>
      <c r="Q283" s="101">
        <f t="shared" si="82"/>
        <v>0.16967977181573912</v>
      </c>
      <c r="R283" s="101">
        <f t="shared" si="83"/>
        <v>2.1309812358982296E-2</v>
      </c>
      <c r="S283" s="101">
        <f t="shared" si="85"/>
        <v>715.19978552749637</v>
      </c>
      <c r="T283" s="101">
        <f t="shared" si="86"/>
        <v>37.050248425786087</v>
      </c>
      <c r="U283" s="101">
        <f t="shared" si="87"/>
        <v>16.588554672513105</v>
      </c>
      <c r="V283" s="33">
        <f t="shared" si="88"/>
        <v>999.99999999999943</v>
      </c>
      <c r="W283" s="105">
        <f>IF(A283=1,((cPH1_+cPHr+(cNES*L283+(cNES+cOSEX)*G283+(cNES+cEREX)*H283+(cNES+cHOEX)*I283 + (cNES+cNES)*S283 +(cNES+ cOSEX)*N283 + (cNES+cEREX)*O283 + (cNES+cHOEX)*P283)))/(1+cDR)^A$5:A$65536,(cPHr+(cNES*L283+(cNES+cOSEX)*G283+(cNES+cEREX)*H283+(cNES+cHOEX)*I283 + (cNES+cNES)*S283 +(cNES+ cOSEX)*N283 + (cNES+cEREX)*O283 + (cNES+cHOEX)*P283))/(1+cDR)^A$5:A$65536)</f>
        <v>135037.03584980927</v>
      </c>
      <c r="X283" s="112">
        <f t="shared" si="89"/>
        <v>946.36119690170028</v>
      </c>
      <c r="Y283" s="32">
        <f>(uNES*L283+ uOCEX*G283+uEREX*'PH + UC'!H283+uHOEX*I283+uNES*S283+ uOCEX*N283+uEREX*O283+uHOEX*P283)/(1+oDR)^A$5:A$65536</f>
        <v>575.27752050896277</v>
      </c>
    </row>
    <row r="284" spans="1:25" x14ac:dyDescent="0.25">
      <c r="A284" s="4">
        <v>278</v>
      </c>
      <c r="C284" s="110">
        <f>IF(male=0,VLOOKUP(((A282:A1116/'Life tables'!$I$2)*2)+age,lifetable,13,1),IF(male=1,VLOOKUP(((A282:A1116/'Life tables'!$I$2)*2)+age,lifetable,10,1),"error"))</f>
        <v>1.9370784166106159E-4</v>
      </c>
      <c r="F284" s="101">
        <f t="shared" si="72"/>
        <v>150.89766161689249</v>
      </c>
      <c r="G284" s="101">
        <f t="shared" si="73"/>
        <v>15.157985920822879</v>
      </c>
      <c r="H284" s="101">
        <f t="shared" si="74"/>
        <v>0.34687188544437536</v>
      </c>
      <c r="I284" s="101">
        <f t="shared" si="75"/>
        <v>0.34687188544437536</v>
      </c>
      <c r="J284" s="101">
        <f t="shared" si="76"/>
        <v>3.2300664688685483E-2</v>
      </c>
      <c r="K284" s="101">
        <f t="shared" si="77"/>
        <v>2.7190981967714311E-2</v>
      </c>
      <c r="L284" s="101">
        <f t="shared" si="84"/>
        <v>134.98644027852447</v>
      </c>
      <c r="M284" s="101">
        <f t="shared" si="78"/>
        <v>795.46353528480779</v>
      </c>
      <c r="N284" s="101">
        <f t="shared" si="79"/>
        <v>76.604861921088172</v>
      </c>
      <c r="O284" s="101">
        <f t="shared" si="80"/>
        <v>1.8285501135665108</v>
      </c>
      <c r="P284" s="101">
        <f t="shared" si="81"/>
        <v>1.8285501135665108</v>
      </c>
      <c r="Q284" s="101">
        <f t="shared" si="82"/>
        <v>0.16963489599531159</v>
      </c>
      <c r="R284" s="101">
        <f t="shared" si="83"/>
        <v>2.1304176476151165E-2</v>
      </c>
      <c r="S284" s="101">
        <f t="shared" si="85"/>
        <v>715.01063406411515</v>
      </c>
      <c r="T284" s="101">
        <f t="shared" si="86"/>
        <v>37.252183986470087</v>
      </c>
      <c r="U284" s="101">
        <f t="shared" si="87"/>
        <v>16.637049830956972</v>
      </c>
      <c r="V284" s="33">
        <f t="shared" si="88"/>
        <v>999.99999999999943</v>
      </c>
      <c r="W284" s="105">
        <f>IF(A284=1,((cPH1_+cPHr+(cNES*L284+(cNES+cOSEX)*G284+(cNES+cEREX)*H284+(cNES+cHOEX)*I284 + (cNES+cNES)*S284 +(cNES+ cOSEX)*N284 + (cNES+cEREX)*O284 + (cNES+cHOEX)*P284)))/(1+cDR)^A$5:A$65536,(cPHr+(cNES*L284+(cNES+cOSEX)*G284+(cNES+cEREX)*H284+(cNES+cHOEX)*I284 + (cNES+cNES)*S284 +(cNES+ cOSEX)*N284 + (cNES+cEREX)*O284 + (cNES+cHOEX)*P284))/(1+cDR)^A$5:A$65536)</f>
        <v>134846.14842650178</v>
      </c>
      <c r="X284" s="112">
        <f t="shared" si="89"/>
        <v>946.11076618257243</v>
      </c>
      <c r="Y284" s="32">
        <f>(uNES*L284+ uOCEX*G284+uEREX*'PH + UC'!H284+uHOEX*I284+uNES*S284+ uOCEX*N284+uEREX*O284+uHOEX*P284)/(1+oDR)^A$5:A$65536</f>
        <v>574.95988852443736</v>
      </c>
    </row>
    <row r="285" spans="1:25" x14ac:dyDescent="0.25">
      <c r="A285" s="4">
        <v>279</v>
      </c>
      <c r="C285" s="110">
        <f>IF(male=0,VLOOKUP(((A283:A1117/'Life tables'!$I$2)*2)+age,lifetable,13,1),IF(male=1,VLOOKUP(((A283:A1117/'Life tables'!$I$2)*2)+age,lifetable,10,1),"error"))</f>
        <v>1.9370784166106159E-4</v>
      </c>
      <c r="F285" s="101">
        <f t="shared" si="72"/>
        <v>150.85761536103578</v>
      </c>
      <c r="G285" s="101">
        <f t="shared" si="73"/>
        <v>15.153963190609877</v>
      </c>
      <c r="H285" s="101">
        <f t="shared" si="74"/>
        <v>0.34677983020557868</v>
      </c>
      <c r="I285" s="101">
        <f t="shared" si="75"/>
        <v>0.34677983020557868</v>
      </c>
      <c r="J285" s="101">
        <f t="shared" si="76"/>
        <v>3.2292092516866495E-2</v>
      </c>
      <c r="K285" s="101">
        <f t="shared" si="77"/>
        <v>2.7183765838523135E-2</v>
      </c>
      <c r="L285" s="101">
        <f t="shared" si="84"/>
        <v>134.95061665165935</v>
      </c>
      <c r="M285" s="101">
        <f t="shared" si="78"/>
        <v>795.25315082153668</v>
      </c>
      <c r="N285" s="101">
        <f t="shared" si="79"/>
        <v>76.584601441450403</v>
      </c>
      <c r="O285" s="101">
        <f t="shared" si="80"/>
        <v>1.8280664980176606</v>
      </c>
      <c r="P285" s="101">
        <f t="shared" si="81"/>
        <v>1.8280664980176606</v>
      </c>
      <c r="Q285" s="101">
        <f t="shared" si="82"/>
        <v>0.16959003090098235</v>
      </c>
      <c r="R285" s="101">
        <f t="shared" si="83"/>
        <v>2.1298541940393642E-2</v>
      </c>
      <c r="S285" s="101">
        <f t="shared" si="85"/>
        <v>714.82152781120953</v>
      </c>
      <c r="T285" s="101">
        <f t="shared" si="86"/>
        <v>37.454066109887933</v>
      </c>
      <c r="U285" s="101">
        <f t="shared" si="87"/>
        <v>16.685532138735887</v>
      </c>
      <c r="V285" s="33">
        <f t="shared" si="88"/>
        <v>999.99999999999932</v>
      </c>
      <c r="W285" s="105">
        <f>IF(A285=1,((cPH1_+cPHr+(cNES*L285+(cNES+cOSEX)*G285+(cNES+cEREX)*H285+(cNES+cHOEX)*I285 + (cNES+cNES)*S285 +(cNES+ cOSEX)*N285 + (cNES+cEREX)*O285 + (cNES+cHOEX)*P285)))/(1+cDR)^A$5:A$65536,(cPHr+(cNES*L285+(cNES+cOSEX)*G285+(cNES+cEREX)*H285+(cNES+cHOEX)*I285 + (cNES+cNES)*S285 +(cNES+ cOSEX)*N285 + (cNES+cEREX)*O285 + (cNES+cHOEX)*P285))/(1+cDR)^A$5:A$65536)</f>
        <v>134655.53052226585</v>
      </c>
      <c r="X285" s="112">
        <f t="shared" si="89"/>
        <v>945.86040175137555</v>
      </c>
      <c r="Y285" s="32">
        <f>(uNES*L285+ uOCEX*G285+uEREX*'PH + UC'!H285+uHOEX*I285+uNES*S285+ uOCEX*N285+uEREX*O285+uHOEX*P285)/(1+oDR)^A$5:A$65536</f>
        <v>574.64243192504091</v>
      </c>
    </row>
    <row r="286" spans="1:25" x14ac:dyDescent="0.25">
      <c r="A286" s="4">
        <v>280</v>
      </c>
      <c r="C286" s="110">
        <f>IF(male=0,VLOOKUP(((A284:A1118/'Life tables'!$I$2)*2)+age,lifetable,13,1),IF(male=1,VLOOKUP(((A284:A1118/'Life tables'!$I$2)*2)+age,lifetable,10,1),"error"))</f>
        <v>1.9370784166106159E-4</v>
      </c>
      <c r="F286" s="101">
        <f t="shared" si="72"/>
        <v>150.81758486695978</v>
      </c>
      <c r="G286" s="101">
        <f t="shared" si="73"/>
        <v>15.149942043700733</v>
      </c>
      <c r="H286" s="101">
        <f t="shared" si="74"/>
        <v>0.34668781119874564</v>
      </c>
      <c r="I286" s="101">
        <f t="shared" si="75"/>
        <v>0.34668781119874564</v>
      </c>
      <c r="J286" s="101">
        <f t="shared" si="76"/>
        <v>3.2283523718963217E-2</v>
      </c>
      <c r="K286" s="101">
        <f t="shared" si="77"/>
        <v>2.7176552549523714E-2</v>
      </c>
      <c r="L286" s="101">
        <f t="shared" si="84"/>
        <v>134.91480712459307</v>
      </c>
      <c r="M286" s="101">
        <f t="shared" si="78"/>
        <v>795.04281688441574</v>
      </c>
      <c r="N286" s="101">
        <f t="shared" si="79"/>
        <v>76.564345827590373</v>
      </c>
      <c r="O286" s="101">
        <f t="shared" si="80"/>
        <v>1.8275829986144205</v>
      </c>
      <c r="P286" s="101">
        <f t="shared" si="81"/>
        <v>1.8275829986144205</v>
      </c>
      <c r="Q286" s="101">
        <f t="shared" si="82"/>
        <v>0.16954517658150056</v>
      </c>
      <c r="R286" s="101">
        <f t="shared" si="83"/>
        <v>2.129290875783205E-2</v>
      </c>
      <c r="S286" s="101">
        <f t="shared" si="85"/>
        <v>714.63246697425723</v>
      </c>
      <c r="T286" s="101">
        <f t="shared" si="86"/>
        <v>37.6558948101884</v>
      </c>
      <c r="U286" s="101">
        <f t="shared" si="87"/>
        <v>16.734001600043243</v>
      </c>
      <c r="V286" s="33">
        <f t="shared" si="88"/>
        <v>999.99999999999943</v>
      </c>
      <c r="W286" s="105">
        <f>IF(A286=1,((cPH1_+cPHr+(cNES*L286+(cNES+cOSEX)*G286+(cNES+cEREX)*H286+(cNES+cHOEX)*I286 + (cNES+cNES)*S286 +(cNES+ cOSEX)*N286 + (cNES+cEREX)*O286 + (cNES+cHOEX)*P286)))/(1+cDR)^A$5:A$65536,(cPHr+(cNES*L286+(cNES+cOSEX)*G286+(cNES+cEREX)*H286+(cNES+cHOEX)*I286 + (cNES+cNES)*S286 +(cNES+ cOSEX)*N286 + (cNES+cEREX)*O286 + (cNES+cHOEX)*P286))/(1+cDR)^A$5:A$65536)</f>
        <v>134465.18177124613</v>
      </c>
      <c r="X286" s="112">
        <f t="shared" si="89"/>
        <v>945.61010358976773</v>
      </c>
      <c r="Y286" s="32">
        <f>(uNES*L286+ uOCEX*G286+uEREX*'PH + UC'!H286+uHOEX*I286+uNES*S286+ uOCEX*N286+uEREX*O286+uHOEX*P286)/(1+oDR)^A$5:A$65536</f>
        <v>574.32515061353547</v>
      </c>
    </row>
    <row r="287" spans="1:25" x14ac:dyDescent="0.25">
      <c r="A287" s="4">
        <v>281</v>
      </c>
      <c r="C287" s="110">
        <f>IF(male=0,VLOOKUP(((A285:A1119/'Life tables'!$I$2)*2)+age,lifetable,13,1),IF(male=1,VLOOKUP(((A285:A1119/'Life tables'!$I$2)*2)+age,lifetable,10,1),"error"))</f>
        <v>1.9370784166106159E-4</v>
      </c>
      <c r="F287" s="101">
        <f t="shared" si="72"/>
        <v>150.77756989864469</v>
      </c>
      <c r="G287" s="101">
        <f t="shared" si="73"/>
        <v>15.145922456386769</v>
      </c>
      <c r="H287" s="101">
        <f t="shared" si="74"/>
        <v>0.3465958278813322</v>
      </c>
      <c r="I287" s="101">
        <f t="shared" si="75"/>
        <v>0.3465958278813322</v>
      </c>
      <c r="J287" s="101">
        <f t="shared" si="76"/>
        <v>3.2274958244454033E-2</v>
      </c>
      <c r="K287" s="101">
        <f t="shared" si="77"/>
        <v>2.7169342058186503E-2</v>
      </c>
      <c r="L287" s="101">
        <f t="shared" si="84"/>
        <v>134.87901148619261</v>
      </c>
      <c r="M287" s="101">
        <f t="shared" si="78"/>
        <v>794.8325336911231</v>
      </c>
      <c r="N287" s="101">
        <f t="shared" si="79"/>
        <v>76.54409510047094</v>
      </c>
      <c r="O287" s="101">
        <f t="shared" si="80"/>
        <v>1.8270996158571724</v>
      </c>
      <c r="P287" s="101">
        <f t="shared" si="81"/>
        <v>1.8270996158571724</v>
      </c>
      <c r="Q287" s="101">
        <f t="shared" si="82"/>
        <v>0.1695003330832866</v>
      </c>
      <c r="R287" s="101">
        <f t="shared" si="83"/>
        <v>2.1287276934296266E-2</v>
      </c>
      <c r="S287" s="101">
        <f t="shared" si="85"/>
        <v>714.44345174892021</v>
      </c>
      <c r="T287" s="101">
        <f t="shared" si="86"/>
        <v>37.857670101516142</v>
      </c>
      <c r="U287" s="101">
        <f t="shared" si="87"/>
        <v>16.782458219035725</v>
      </c>
      <c r="V287" s="33">
        <f t="shared" si="88"/>
        <v>999.99999999999943</v>
      </c>
      <c r="W287" s="105">
        <f>IF(A287=1,((cPH1_+cPHr+(cNES*L287+(cNES+cOSEX)*G287+(cNES+cEREX)*H287+(cNES+cHOEX)*I287 + (cNES+cNES)*S287 +(cNES+ cOSEX)*N287 + (cNES+cEREX)*O287 + (cNES+cHOEX)*P287)))/(1+cDR)^A$5:A$65536,(cPHr+(cNES*L287+(cNES+cOSEX)*G287+(cNES+cEREX)*H287+(cNES+cHOEX)*I287 + (cNES+cNES)*S287 +(cNES+ cOSEX)*N287 + (cNES+cEREX)*O287 + (cNES+cHOEX)*P287))/(1+cDR)^A$5:A$65536)</f>
        <v>134275.10180740734</v>
      </c>
      <c r="X287" s="112">
        <f t="shared" si="89"/>
        <v>945.35987167944756</v>
      </c>
      <c r="Y287" s="32">
        <f>(uNES*L287+ uOCEX*G287+uEREX*'PH + UC'!H287+uHOEX*I287+uNES*S287+ uOCEX*N287+uEREX*O287+uHOEX*P287)/(1+oDR)^A$5:A$65536</f>
        <v>574.00804449275563</v>
      </c>
    </row>
    <row r="288" spans="1:25" x14ac:dyDescent="0.25">
      <c r="A288" s="4">
        <v>282</v>
      </c>
      <c r="C288" s="110">
        <f>IF(male=0,VLOOKUP(((A286:A1120/'Life tables'!$I$2)*2)+age,lifetable,13,1),IF(male=1,VLOOKUP(((A286:A1120/'Life tables'!$I$2)*2)+age,lifetable,10,1),"error"))</f>
        <v>1.9370784166106159E-4</v>
      </c>
      <c r="F288" s="101">
        <f t="shared" si="72"/>
        <v>150.73757023054134</v>
      </c>
      <c r="G288" s="101">
        <f t="shared" si="73"/>
        <v>15.141904406011093</v>
      </c>
      <c r="H288" s="101">
        <f t="shared" si="74"/>
        <v>0.34650387973486335</v>
      </c>
      <c r="I288" s="101">
        <f t="shared" si="75"/>
        <v>0.34650387973486335</v>
      </c>
      <c r="J288" s="101">
        <f t="shared" si="76"/>
        <v>3.2266396045058626E-2</v>
      </c>
      <c r="K288" s="101">
        <f t="shared" si="77"/>
        <v>2.7162134323868693E-2</v>
      </c>
      <c r="L288" s="101">
        <f t="shared" si="84"/>
        <v>134.8432295346916</v>
      </c>
      <c r="M288" s="101">
        <f t="shared" si="78"/>
        <v>794.62230144890611</v>
      </c>
      <c r="N288" s="101">
        <f t="shared" si="79"/>
        <v>76.523849280050484</v>
      </c>
      <c r="O288" s="101">
        <f t="shared" si="80"/>
        <v>1.8266163502223203</v>
      </c>
      <c r="P288" s="101">
        <f t="shared" si="81"/>
        <v>1.8266163502223203</v>
      </c>
      <c r="Q288" s="101">
        <f t="shared" si="82"/>
        <v>0.16945550045053676</v>
      </c>
      <c r="R288" s="101">
        <f t="shared" si="83"/>
        <v>2.1281646475336809E-2</v>
      </c>
      <c r="S288" s="101">
        <f t="shared" si="85"/>
        <v>714.25448232148506</v>
      </c>
      <c r="T288" s="101">
        <f t="shared" si="86"/>
        <v>38.059391998011741</v>
      </c>
      <c r="U288" s="101">
        <f t="shared" si="87"/>
        <v>16.830901999834929</v>
      </c>
      <c r="V288" s="33">
        <f t="shared" si="88"/>
        <v>999.99999999999932</v>
      </c>
      <c r="W288" s="105">
        <f>IF(A288=1,((cPH1_+cPHr+(cNES*L288+(cNES+cOSEX)*G288+(cNES+cEREX)*H288+(cNES+cHOEX)*I288 + (cNES+cNES)*S288 +(cNES+ cOSEX)*N288 + (cNES+cEREX)*O288 + (cNES+cHOEX)*P288)))/(1+cDR)^A$5:A$65536,(cPHr+(cNES*L288+(cNES+cOSEX)*G288+(cNES+cEREX)*H288+(cNES+cHOEX)*I288 + (cNES+cNES)*S288 +(cNES+ cOSEX)*N288 + (cNES+cEREX)*O288 + (cNES+cHOEX)*P288))/(1+cDR)^A$5:A$65536)</f>
        <v>134085.29026456704</v>
      </c>
      <c r="X288" s="112">
        <f t="shared" si="89"/>
        <v>945.10970600215251</v>
      </c>
      <c r="Y288" s="32">
        <f>(uNES*L288+ uOCEX*G288+uEREX*'PH + UC'!H288+uHOEX*I288+uNES*S288+ uOCEX*N288+uEREX*O288+uHOEX*P288)/(1+oDR)^A$5:A$65536</f>
        <v>573.69111346560635</v>
      </c>
    </row>
    <row r="289" spans="1:25" x14ac:dyDescent="0.25">
      <c r="A289" s="4">
        <v>283</v>
      </c>
      <c r="C289" s="110">
        <f>IF(male=0,VLOOKUP(((A287:A1121/'Life tables'!$I$2)*2)+age,lifetable,13,1),IF(male=1,VLOOKUP(((A287:A1121/'Life tables'!$I$2)*2)+age,lifetable,10,1),"error"))</f>
        <v>1.9370784166106159E-4</v>
      </c>
      <c r="F289" s="101">
        <f t="shared" si="72"/>
        <v>150.69758564710119</v>
      </c>
      <c r="G289" s="101">
        <f t="shared" si="73"/>
        <v>15.137887870921409</v>
      </c>
      <c r="H289" s="101">
        <f t="shared" si="74"/>
        <v>0.34641196626385273</v>
      </c>
      <c r="I289" s="101">
        <f t="shared" si="75"/>
        <v>0.34641196626385273</v>
      </c>
      <c r="J289" s="101">
        <f t="shared" si="76"/>
        <v>3.2257837074637363E-2</v>
      </c>
      <c r="K289" s="101">
        <f t="shared" si="77"/>
        <v>2.7154929307729562E-2</v>
      </c>
      <c r="L289" s="101">
        <f t="shared" si="84"/>
        <v>134.80746107726972</v>
      </c>
      <c r="M289" s="101">
        <f t="shared" si="78"/>
        <v>794.41212035505157</v>
      </c>
      <c r="N289" s="101">
        <f t="shared" si="79"/>
        <v>76.503608385328164</v>
      </c>
      <c r="O289" s="101">
        <f t="shared" si="80"/>
        <v>1.8261332021633716</v>
      </c>
      <c r="P289" s="101">
        <f t="shared" si="81"/>
        <v>1.8261332021633716</v>
      </c>
      <c r="Q289" s="101">
        <f t="shared" si="82"/>
        <v>0.16941067872532287</v>
      </c>
      <c r="R289" s="101">
        <f t="shared" si="83"/>
        <v>2.1276017386237425E-2</v>
      </c>
      <c r="S289" s="101">
        <f t="shared" si="85"/>
        <v>714.06555886928504</v>
      </c>
      <c r="T289" s="101">
        <f t="shared" si="86"/>
        <v>38.261060513811699</v>
      </c>
      <c r="U289" s="101">
        <f t="shared" si="87"/>
        <v>16.879332946528894</v>
      </c>
      <c r="V289" s="33">
        <f t="shared" si="88"/>
        <v>999.99999999999932</v>
      </c>
      <c r="W289" s="105">
        <f>IF(A289=1,((cPH1_+cPHr+(cNES*L289+(cNES+cOSEX)*G289+(cNES+cEREX)*H289+(cNES+cHOEX)*I289 + (cNES+cNES)*S289 +(cNES+ cOSEX)*N289 + (cNES+cEREX)*O289 + (cNES+cHOEX)*P289)))/(1+cDR)^A$5:A$65536,(cPHr+(cNES*L289+(cNES+cOSEX)*G289+(cNES+cEREX)*H289+(cNES+cHOEX)*I289 + (cNES+cNES)*S289 +(cNES+ cOSEX)*N289 + (cNES+cEREX)*O289 + (cNES+cHOEX)*P289))/(1+cDR)^A$5:A$65536)</f>
        <v>133895.74677642621</v>
      </c>
      <c r="X289" s="112">
        <f t="shared" si="89"/>
        <v>944.85960653965878</v>
      </c>
      <c r="Y289" s="32">
        <f>(uNES*L289+ uOCEX*G289+uEREX*'PH + UC'!H289+uHOEX*I289+uNES*S289+ uOCEX*N289+uEREX*O289+uHOEX*P289)/(1+oDR)^A$5:A$65536</f>
        <v>573.37435743506353</v>
      </c>
    </row>
    <row r="290" spans="1:25" x14ac:dyDescent="0.25">
      <c r="A290" s="4">
        <v>284</v>
      </c>
      <c r="C290" s="110">
        <f>IF(male=0,VLOOKUP(((A288:A1122/'Life tables'!$I$2)*2)+age,lifetable,13,1),IF(male=1,VLOOKUP(((A288:A1122/'Life tables'!$I$2)*2)+age,lifetable,10,1),"error"))</f>
        <v>1.9370784166106159E-4</v>
      </c>
      <c r="F290" s="101">
        <f t="shared" si="72"/>
        <v>150.65761594232754</v>
      </c>
      <c r="G290" s="101">
        <f t="shared" si="73"/>
        <v>15.133872830424911</v>
      </c>
      <c r="H290" s="101">
        <f t="shared" si="74"/>
        <v>0.34632008699477107</v>
      </c>
      <c r="I290" s="101">
        <f t="shared" si="75"/>
        <v>0.34632008699477107</v>
      </c>
      <c r="J290" s="101">
        <f t="shared" si="76"/>
        <v>3.2249281289095259E-2</v>
      </c>
      <c r="K290" s="101">
        <f t="shared" si="77"/>
        <v>2.7147726972649548E-2</v>
      </c>
      <c r="L290" s="101">
        <f t="shared" si="84"/>
        <v>134.77170592965135</v>
      </c>
      <c r="M290" s="101">
        <f t="shared" si="78"/>
        <v>794.20199059733136</v>
      </c>
      <c r="N290" s="101">
        <f t="shared" si="79"/>
        <v>76.483372434386794</v>
      </c>
      <c r="O290" s="101">
        <f t="shared" si="80"/>
        <v>1.825650172111962</v>
      </c>
      <c r="P290" s="101">
        <f t="shared" si="81"/>
        <v>1.825650172111962</v>
      </c>
      <c r="Q290" s="101">
        <f t="shared" si="82"/>
        <v>0.1693658679476879</v>
      </c>
      <c r="R290" s="101">
        <f t="shared" si="83"/>
        <v>2.1270389672027042E-2</v>
      </c>
      <c r="S290" s="101">
        <f t="shared" si="85"/>
        <v>713.8766815611009</v>
      </c>
      <c r="T290" s="101">
        <f t="shared" si="86"/>
        <v>38.462675663048479</v>
      </c>
      <c r="U290" s="101">
        <f t="shared" si="87"/>
        <v>16.92775106317357</v>
      </c>
      <c r="V290" s="33">
        <f t="shared" si="88"/>
        <v>999.99999999999943</v>
      </c>
      <c r="W290" s="105">
        <f>IF(A290=1,((cPH1_+cPHr+(cNES*L290+(cNES+cOSEX)*G290+(cNES+cEREX)*H290+(cNES+cHOEX)*I290 + (cNES+cNES)*S290 +(cNES+ cOSEX)*N290 + (cNES+cEREX)*O290 + (cNES+cHOEX)*P290)))/(1+cDR)^A$5:A$65536,(cPHr+(cNES*L290+(cNES+cOSEX)*G290+(cNES+cEREX)*H290+(cNES+cHOEX)*I290 + (cNES+cNES)*S290 +(cNES+ cOSEX)*N290 + (cNES+cEREX)*O290 + (cNES+cHOEX)*P290))/(1+cDR)^A$5:A$65536)</f>
        <v>133706.47097659868</v>
      </c>
      <c r="X290" s="112">
        <f t="shared" si="89"/>
        <v>944.60957327377741</v>
      </c>
      <c r="Y290" s="32">
        <f>(uNES*L290+ uOCEX*G290+uEREX*'PH + UC'!H290+uHOEX*I290+uNES*S290+ uOCEX*N290+uEREX*O290+uHOEX*P290)/(1+oDR)^A$5:A$65536</f>
        <v>573.05777630417151</v>
      </c>
    </row>
    <row r="291" spans="1:25" x14ac:dyDescent="0.25">
      <c r="A291" s="4">
        <v>285</v>
      </c>
      <c r="C291" s="110">
        <f>IF(male=0,VLOOKUP(((A289:A1123/'Life tables'!$I$2)*2)+age,lifetable,13,1),IF(male=1,VLOOKUP(((A289:A1123/'Life tables'!$I$2)*2)+age,lifetable,10,1),"error"))</f>
        <v>1.9370784166106159E-4</v>
      </c>
      <c r="F291" s="101">
        <f t="shared" si="72"/>
        <v>150.61766091934652</v>
      </c>
      <c r="G291" s="101">
        <f t="shared" si="73"/>
        <v>15.129859264745212</v>
      </c>
      <c r="H291" s="101">
        <f t="shared" si="74"/>
        <v>0.34622824147505993</v>
      </c>
      <c r="I291" s="101">
        <f t="shared" si="75"/>
        <v>0.34622824147505993</v>
      </c>
      <c r="J291" s="101">
        <f t="shared" si="76"/>
        <v>3.2240728646290129E-2</v>
      </c>
      <c r="K291" s="101">
        <f t="shared" si="77"/>
        <v>2.7140527283152999E-2</v>
      </c>
      <c r="L291" s="101">
        <f t="shared" si="84"/>
        <v>134.73596391572175</v>
      </c>
      <c r="M291" s="101">
        <f t="shared" si="78"/>
        <v>793.99191235443095</v>
      </c>
      <c r="N291" s="101">
        <f t="shared" si="79"/>
        <v>76.463141444434186</v>
      </c>
      <c r="O291" s="101">
        <f t="shared" si="80"/>
        <v>1.82516726047884</v>
      </c>
      <c r="P291" s="101">
        <f t="shared" si="81"/>
        <v>1.82516726047884</v>
      </c>
      <c r="Q291" s="101">
        <f t="shared" si="82"/>
        <v>0.16932106815573703</v>
      </c>
      <c r="R291" s="101">
        <f t="shared" si="83"/>
        <v>2.1264763337491235E-2</v>
      </c>
      <c r="S291" s="101">
        <f t="shared" si="85"/>
        <v>713.68785055754586</v>
      </c>
      <c r="T291" s="101">
        <f t="shared" si="86"/>
        <v>38.664237459850504</v>
      </c>
      <c r="U291" s="101">
        <f t="shared" si="87"/>
        <v>16.976156353794213</v>
      </c>
      <c r="V291" s="33">
        <f t="shared" si="88"/>
        <v>999.99999999999943</v>
      </c>
      <c r="W291" s="105">
        <f>IF(A291=1,((cPH1_+cPHr+(cNES*L291+(cNES+cOSEX)*G291+(cNES+cEREX)*H291+(cNES+cHOEX)*I291 + (cNES+cNES)*S291 +(cNES+ cOSEX)*N291 + (cNES+cEREX)*O291 + (cNES+cHOEX)*P291)))/(1+cDR)^A$5:A$65536,(cPHr+(cNES*L291+(cNES+cOSEX)*G291+(cNES+cEREX)*H291+(cNES+cHOEX)*I291 + (cNES+cNES)*S291 +(cNES+ cOSEX)*N291 + (cNES+cEREX)*O291 + (cNES+cHOEX)*P291))/(1+cDR)^A$5:A$65536)</f>
        <v>133517.46249863863</v>
      </c>
      <c r="X291" s="112">
        <f t="shared" si="89"/>
        <v>944.35960618635477</v>
      </c>
      <c r="Y291" s="32">
        <f>(uNES*L291+ uOCEX*G291+uEREX*'PH + UC'!H291+uHOEX*I291+uNES*S291+ uOCEX*N291+uEREX*O291+uHOEX*P291)/(1+oDR)^A$5:A$65536</f>
        <v>572.7413699760433</v>
      </c>
    </row>
    <row r="292" spans="1:25" x14ac:dyDescent="0.25">
      <c r="A292" s="4">
        <v>286</v>
      </c>
      <c r="C292" s="110">
        <f>IF(male=0,VLOOKUP(((A290:A1124/'Life tables'!$I$2)*2)+age,lifetable,13,1),IF(male=1,VLOOKUP(((A290:A1124/'Life tables'!$I$2)*2)+age,lifetable,10,1),"error"))</f>
        <v>1.9370784166106159E-4</v>
      </c>
      <c r="F292" s="101">
        <f t="shared" si="72"/>
        <v>150.57772038999781</v>
      </c>
      <c r="G292" s="101">
        <f t="shared" si="73"/>
        <v>15.125847154981212</v>
      </c>
      <c r="H292" s="101">
        <f t="shared" si="74"/>
        <v>0.3461364292721909</v>
      </c>
      <c r="I292" s="101">
        <f t="shared" si="75"/>
        <v>0.3461364292721909</v>
      </c>
      <c r="J292" s="101">
        <f t="shared" si="76"/>
        <v>3.2232179105944982E-2</v>
      </c>
      <c r="K292" s="101">
        <f t="shared" si="77"/>
        <v>2.7133330205334399E-2</v>
      </c>
      <c r="L292" s="101">
        <f t="shared" si="84"/>
        <v>134.70023486716093</v>
      </c>
      <c r="M292" s="101">
        <f t="shared" si="78"/>
        <v>793.78188579635696</v>
      </c>
      <c r="N292" s="101">
        <f t="shared" si="79"/>
        <v>76.442915431842351</v>
      </c>
      <c r="O292" s="101">
        <f t="shared" si="80"/>
        <v>1.8246844676548035</v>
      </c>
      <c r="P292" s="101">
        <f t="shared" si="81"/>
        <v>1.8246844676548035</v>
      </c>
      <c r="Q292" s="101">
        <f t="shared" si="82"/>
        <v>0.16927627938572459</v>
      </c>
      <c r="R292" s="101">
        <f t="shared" si="83"/>
        <v>2.125913838718313E-2</v>
      </c>
      <c r="S292" s="101">
        <f t="shared" si="85"/>
        <v>713.49906601143209</v>
      </c>
      <c r="T292" s="101">
        <f t="shared" si="86"/>
        <v>38.865745918342171</v>
      </c>
      <c r="U292" s="101">
        <f t="shared" si="87"/>
        <v>17.024548822386731</v>
      </c>
      <c r="V292" s="33">
        <f t="shared" si="88"/>
        <v>999.99999999999955</v>
      </c>
      <c r="W292" s="105">
        <f>IF(A292=1,((cPH1_+cPHr+(cNES*L292+(cNES+cOSEX)*G292+(cNES+cEREX)*H292+(cNES+cHOEX)*I292 + (cNES+cNES)*S292 +(cNES+ cOSEX)*N292 + (cNES+cEREX)*O292 + (cNES+cHOEX)*P292)))/(1+cDR)^A$5:A$65536,(cPHr+(cNES*L292+(cNES+cOSEX)*G292+(cNES+cEREX)*H292+(cNES+cHOEX)*I292 + (cNES+cNES)*S292 +(cNES+ cOSEX)*N292 + (cNES+cEREX)*O292 + (cNES+cHOEX)*P292))/(1+cDR)^A$5:A$65536)</f>
        <v>133328.72097606794</v>
      </c>
      <c r="X292" s="112">
        <f t="shared" si="89"/>
        <v>944.10970525927053</v>
      </c>
      <c r="Y292" s="32">
        <f>(uNES*L292+ uOCEX*G292+uEREX*'PH + UC'!H292+uHOEX*I292+uNES*S292+ uOCEX*N292+uEREX*O292+uHOEX*P292)/(1+oDR)^A$5:A$65536</f>
        <v>572.42513835386035</v>
      </c>
    </row>
    <row r="293" spans="1:25" x14ac:dyDescent="0.25">
      <c r="A293" s="4">
        <v>287</v>
      </c>
      <c r="C293" s="110">
        <f>IF(male=0,VLOOKUP(((A291:A1125/'Life tables'!$I$2)*2)+age,lifetable,13,1),IF(male=1,VLOOKUP(((A291:A1125/'Life tables'!$I$2)*2)+age,lifetable,10,1),"error"))</f>
        <v>2.1228983945331681E-4</v>
      </c>
      <c r="F293" s="101">
        <f t="shared" si="72"/>
        <v>150.53779417444338</v>
      </c>
      <c r="G293" s="101">
        <f t="shared" si="73"/>
        <v>15.121836483067804</v>
      </c>
      <c r="H293" s="101">
        <f t="shared" si="74"/>
        <v>0.34604464997276618</v>
      </c>
      <c r="I293" s="101">
        <f t="shared" si="75"/>
        <v>0.34604464997276618</v>
      </c>
      <c r="J293" s="101">
        <f t="shared" si="76"/>
        <v>3.5314779922551609E-2</v>
      </c>
      <c r="K293" s="101">
        <f t="shared" si="77"/>
        <v>2.7126135706787857E-2</v>
      </c>
      <c r="L293" s="101">
        <f t="shared" si="84"/>
        <v>134.66142747580071</v>
      </c>
      <c r="M293" s="101">
        <f t="shared" si="78"/>
        <v>793.57191108482721</v>
      </c>
      <c r="N293" s="101">
        <f t="shared" si="79"/>
        <v>76.422694412185052</v>
      </c>
      <c r="O293" s="101">
        <f t="shared" si="80"/>
        <v>1.8242017940115971</v>
      </c>
      <c r="P293" s="101">
        <f t="shared" si="81"/>
        <v>1.8242017940115971</v>
      </c>
      <c r="Q293" s="101">
        <f t="shared" si="82"/>
        <v>0.18546553413817479</v>
      </c>
      <c r="R293" s="101">
        <f t="shared" si="83"/>
        <v>2.1253514825433868E-2</v>
      </c>
      <c r="S293" s="101">
        <f t="shared" si="85"/>
        <v>713.29409403565535</v>
      </c>
      <c r="T293" s="101">
        <f t="shared" si="86"/>
        <v>39.086526232402896</v>
      </c>
      <c r="U293" s="101">
        <f t="shared" si="87"/>
        <v>17.072928472918953</v>
      </c>
      <c r="V293" s="33">
        <f t="shared" si="88"/>
        <v>999.99999999999955</v>
      </c>
      <c r="W293" s="105">
        <f>IF(A293=1,((cPH1_+cPHr+(cNES*L293+(cNES+cOSEX)*G293+(cNES+cEREX)*H293+(cNES+cHOEX)*I293 + (cNES+cNES)*S293 +(cNES+ cOSEX)*N293 + (cNES+cEREX)*O293 + (cNES+cHOEX)*P293)))/(1+cDR)^A$5:A$65536,(cPHr+(cNES*L293+(cNES+cOSEX)*G293+(cNES+cEREX)*H293+(cNES+cHOEX)*I293 + (cNES+cNES)*S293 +(cNES+ cOSEX)*N293 + (cNES+cEREX)*O293 + (cNES+cHOEX)*P293))/(1+cDR)^A$5:A$65536)</f>
        <v>133137.88305016243</v>
      </c>
      <c r="X293" s="112">
        <f t="shared" si="89"/>
        <v>943.84054529467767</v>
      </c>
      <c r="Y293" s="32">
        <f>(uNES*L293+ uOCEX*G293+uEREX*'PH + UC'!H293+uHOEX*I293+uNES*S293+ uOCEX*N293+uEREX*O293+uHOEX*P293)/(1+oDR)^A$5:A$65536</f>
        <v>572.09717718020886</v>
      </c>
    </row>
    <row r="294" spans="1:25" x14ac:dyDescent="0.25">
      <c r="A294" s="4">
        <v>288</v>
      </c>
      <c r="C294" s="110">
        <f>IF(male=0,VLOOKUP(((A292:A1126/'Life tables'!$I$2)*2)+age,lifetable,13,1),IF(male=1,VLOOKUP(((A292:A1126/'Life tables'!$I$2)*2)+age,lifetable,10,1),"error"))</f>
        <v>2.1228983945331681E-4</v>
      </c>
      <c r="F294" s="101">
        <f t="shared" si="72"/>
        <v>150.49479100790998</v>
      </c>
      <c r="G294" s="101">
        <f t="shared" si="73"/>
        <v>15.117516724988855</v>
      </c>
      <c r="H294" s="101">
        <f t="shared" si="74"/>
        <v>0.34594579761617111</v>
      </c>
      <c r="I294" s="101">
        <f t="shared" si="75"/>
        <v>0.34594579761617111</v>
      </c>
      <c r="J294" s="101">
        <f t="shared" si="76"/>
        <v>3.5304691775781362E-2</v>
      </c>
      <c r="K294" s="101">
        <f t="shared" si="77"/>
        <v>2.7118386757511673E-2</v>
      </c>
      <c r="L294" s="101">
        <f t="shared" si="84"/>
        <v>134.62295960915549</v>
      </c>
      <c r="M294" s="101">
        <f t="shared" si="78"/>
        <v>793.34575428676771</v>
      </c>
      <c r="N294" s="101">
        <f t="shared" si="79"/>
        <v>76.400915022534392</v>
      </c>
      <c r="O294" s="101">
        <f t="shared" si="80"/>
        <v>1.8236819222381822</v>
      </c>
      <c r="P294" s="101">
        <f t="shared" si="81"/>
        <v>1.8236819222381822</v>
      </c>
      <c r="Q294" s="101">
        <f t="shared" si="82"/>
        <v>0.18541267907770048</v>
      </c>
      <c r="R294" s="101">
        <f t="shared" si="83"/>
        <v>2.1247457873576969E-2</v>
      </c>
      <c r="S294" s="101">
        <f t="shared" si="85"/>
        <v>713.09081528280569</v>
      </c>
      <c r="T294" s="101">
        <f t="shared" si="86"/>
        <v>39.307243603256381</v>
      </c>
      <c r="U294" s="101">
        <f t="shared" si="87"/>
        <v>17.121294317550042</v>
      </c>
      <c r="V294" s="33">
        <f t="shared" si="88"/>
        <v>999.99999999999966</v>
      </c>
      <c r="W294" s="105">
        <f>IF(A294=1,((cPH1_+cPHr+(cNES*L294+(cNES+cOSEX)*G294+(cNES+cEREX)*H294+(cNES+cHOEX)*I294 + (cNES+cNES)*S294 +(cNES+ cOSEX)*N294 + (cNES+cEREX)*O294 + (cNES+cHOEX)*P294)))/(1+cDR)^A$5:A$65536,(cPHr+(cNES*L294+(cNES+cOSEX)*G294+(cNES+cEREX)*H294+(cNES+cHOEX)*I294 + (cNES+cNES)*S294 +(cNES+ cOSEX)*N294 + (cNES+cEREX)*O294 + (cNES+cHOEX)*P294))/(1+cDR)^A$5:A$65536)</f>
        <v>132946.95652732547</v>
      </c>
      <c r="X294" s="112">
        <f t="shared" si="89"/>
        <v>943.57146207919322</v>
      </c>
      <c r="Y294" s="32">
        <f>(uNES*L294+ uOCEX*G294+uEREX*'PH + UC'!H294+uHOEX*I294+uNES*S294+ uOCEX*N294+uEREX*O294+uHOEX*P294)/(1+oDR)^A$5:A$65536</f>
        <v>571.76959424751908</v>
      </c>
    </row>
    <row r="295" spans="1:25" x14ac:dyDescent="0.25">
      <c r="A295" s="4">
        <v>289</v>
      </c>
      <c r="C295" s="110">
        <f>IF(male=0,VLOOKUP(((A293:A1127/'Life tables'!$I$2)*2)+age,lifetable,13,1),IF(male=1,VLOOKUP(((A293:A1127/'Life tables'!$I$2)*2)+age,lifetable,10,1),"error"))</f>
        <v>2.1228983945331681E-4</v>
      </c>
      <c r="F295" s="101">
        <f t="shared" si="72"/>
        <v>150.45180395472326</v>
      </c>
      <c r="G295" s="101">
        <f t="shared" si="73"/>
        <v>15.113198585529304</v>
      </c>
      <c r="H295" s="101">
        <f t="shared" si="74"/>
        <v>0.34584698229969235</v>
      </c>
      <c r="I295" s="101">
        <f t="shared" si="75"/>
        <v>0.34584698229969235</v>
      </c>
      <c r="J295" s="101">
        <f t="shared" si="76"/>
        <v>3.5294607409053838E-2</v>
      </c>
      <c r="K295" s="101">
        <f t="shared" si="77"/>
        <v>2.7110640711777621E-2</v>
      </c>
      <c r="L295" s="101">
        <f t="shared" si="84"/>
        <v>134.58450615647374</v>
      </c>
      <c r="M295" s="101">
        <f t="shared" si="78"/>
        <v>793.11965812446988</v>
      </c>
      <c r="N295" s="101">
        <f t="shared" si="79"/>
        <v>76.379141472238956</v>
      </c>
      <c r="O295" s="101">
        <f t="shared" si="80"/>
        <v>1.8231621898495709</v>
      </c>
      <c r="P295" s="101">
        <f t="shared" si="81"/>
        <v>1.8231621898495709</v>
      </c>
      <c r="Q295" s="101">
        <f t="shared" si="82"/>
        <v>0.18535983818839802</v>
      </c>
      <c r="R295" s="101">
        <f t="shared" si="83"/>
        <v>2.1241402545672531E-2</v>
      </c>
      <c r="S295" s="101">
        <f t="shared" si="85"/>
        <v>712.88759103179768</v>
      </c>
      <c r="T295" s="101">
        <f t="shared" si="86"/>
        <v>39.527898048853835</v>
      </c>
      <c r="U295" s="101">
        <f t="shared" si="87"/>
        <v>17.169646360807491</v>
      </c>
      <c r="V295" s="33">
        <f t="shared" si="88"/>
        <v>999.99999999999955</v>
      </c>
      <c r="W295" s="105">
        <f>IF(A295=1,((cPH1_+cPHr+(cNES*L295+(cNES+cOSEX)*G295+(cNES+cEREX)*H295+(cNES+cHOEX)*I295 + (cNES+cNES)*S295 +(cNES+ cOSEX)*N295 + (cNES+cEREX)*O295 + (cNES+cHOEX)*P295)))/(1+cDR)^A$5:A$65536,(cPHr+(cNES*L295+(cNES+cOSEX)*G295+(cNES+cEREX)*H295+(cNES+cHOEX)*I295 + (cNES+cNES)*S295 +(cNES+ cOSEX)*N295 + (cNES+cEREX)*O295 + (cNES+cHOEX)*P295))/(1+cDR)^A$5:A$65536)</f>
        <v>132756.30357946482</v>
      </c>
      <c r="X295" s="112">
        <f t="shared" si="89"/>
        <v>943.30245559033824</v>
      </c>
      <c r="Y295" s="32">
        <f>(uNES*L295+ uOCEX*G295+uEREX*'PH + UC'!H295+uHOEX*I295+uNES*S295+ uOCEX*N295+uEREX*O295+uHOEX*P295)/(1+oDR)^A$5:A$65536</f>
        <v>571.44219889509952</v>
      </c>
    </row>
    <row r="296" spans="1:25" x14ac:dyDescent="0.25">
      <c r="A296" s="4">
        <v>290</v>
      </c>
      <c r="C296" s="110">
        <f>IF(male=0,VLOOKUP(((A294:A1128/'Life tables'!$I$2)*2)+age,lifetable,13,1),IF(male=1,VLOOKUP(((A294:A1128/'Life tables'!$I$2)*2)+age,lifetable,10,1),"error"))</f>
        <v>2.1228983945331681E-4</v>
      </c>
      <c r="F296" s="101">
        <f t="shared" si="72"/>
        <v>150.40883283722516</v>
      </c>
      <c r="G296" s="101">
        <f t="shared" si="73"/>
        <v>15.108882046843027</v>
      </c>
      <c r="H296" s="101">
        <f t="shared" si="74"/>
        <v>0.34574820361494335</v>
      </c>
      <c r="I296" s="101">
        <f t="shared" si="75"/>
        <v>0.34574820361494335</v>
      </c>
      <c r="J296" s="101">
        <f t="shared" si="76"/>
        <v>3.5284526780692077E-2</v>
      </c>
      <c r="K296" s="101">
        <f t="shared" si="77"/>
        <v>2.7102897537572643E-2</v>
      </c>
      <c r="L296" s="101">
        <f t="shared" si="84"/>
        <v>134.54606695883399</v>
      </c>
      <c r="M296" s="101">
        <f t="shared" si="78"/>
        <v>792.89362275311294</v>
      </c>
      <c r="N296" s="101">
        <f t="shared" si="79"/>
        <v>76.357373776242824</v>
      </c>
      <c r="O296" s="101">
        <f t="shared" si="80"/>
        <v>1.8226425972024776</v>
      </c>
      <c r="P296" s="101">
        <f t="shared" si="81"/>
        <v>1.8226425972024776</v>
      </c>
      <c r="Q296" s="101">
        <f t="shared" si="82"/>
        <v>0.18530701150653436</v>
      </c>
      <c r="R296" s="101">
        <f t="shared" si="83"/>
        <v>2.1235348845876578E-2</v>
      </c>
      <c r="S296" s="101">
        <f t="shared" si="85"/>
        <v>712.68442142211279</v>
      </c>
      <c r="T296" s="101">
        <f t="shared" si="86"/>
        <v>39.748489587141059</v>
      </c>
      <c r="U296" s="101">
        <f t="shared" si="87"/>
        <v>17.217984607190939</v>
      </c>
      <c r="V296" s="33">
        <f t="shared" si="88"/>
        <v>999.99999999999955</v>
      </c>
      <c r="W296" s="105">
        <f>IF(A296=1,((cPH1_+cPHr+(cNES*L296+(cNES+cOSEX)*G296+(cNES+cEREX)*H296+(cNES+cHOEX)*I296 + (cNES+cNES)*S296 +(cNES+ cOSEX)*N296 + (cNES+cEREX)*O296 + (cNES+cHOEX)*P296)))/(1+cDR)^A$5:A$65536,(cPHr+(cNES*L296+(cNES+cOSEX)*G296+(cNES+cEREX)*H296+(cNES+cHOEX)*I296 + (cNES+cNES)*S296 +(cNES+ cOSEX)*N296 + (cNES+cEREX)*O296 + (cNES+cHOEX)*P296))/(1+cDR)^A$5:A$65536)</f>
        <v>132565.92382492474</v>
      </c>
      <c r="X296" s="112">
        <f t="shared" si="89"/>
        <v>943.03352580566752</v>
      </c>
      <c r="Y296" s="32">
        <f>(uNES*L296+ uOCEX*G296+uEREX*'PH + UC'!H296+uHOEX*I296+uNES*S296+ uOCEX*N296+uEREX*O296+uHOEX*P296)/(1+oDR)^A$5:A$65536</f>
        <v>571.11499101525635</v>
      </c>
    </row>
    <row r="297" spans="1:25" x14ac:dyDescent="0.25">
      <c r="A297" s="4">
        <v>291</v>
      </c>
      <c r="C297" s="110">
        <f>IF(male=0,VLOOKUP(((A295:A1129/'Life tables'!$I$2)*2)+age,lifetable,13,1),IF(male=1,VLOOKUP(((A295:A1129/'Life tables'!$I$2)*2)+age,lifetable,10,1),"error"))</f>
        <v>2.1228983945331681E-4</v>
      </c>
      <c r="F297" s="101">
        <f t="shared" si="72"/>
        <v>150.36587748558094</v>
      </c>
      <c r="G297" s="101">
        <f t="shared" si="73"/>
        <v>15.104567091869766</v>
      </c>
      <c r="H297" s="101">
        <f t="shared" si="74"/>
        <v>0.34564946117152107</v>
      </c>
      <c r="I297" s="101">
        <f t="shared" si="75"/>
        <v>0.34564946117152107</v>
      </c>
      <c r="J297" s="101">
        <f t="shared" si="76"/>
        <v>3.5274449850854421E-2</v>
      </c>
      <c r="K297" s="101">
        <f t="shared" si="77"/>
        <v>2.7095157204293389E-2</v>
      </c>
      <c r="L297" s="101">
        <f t="shared" si="84"/>
        <v>134.50764186431297</v>
      </c>
      <c r="M297" s="101">
        <f t="shared" si="78"/>
        <v>792.66764832008664</v>
      </c>
      <c r="N297" s="101">
        <f t="shared" si="79"/>
        <v>76.335611948739981</v>
      </c>
      <c r="O297" s="101">
        <f t="shared" si="80"/>
        <v>1.8221231446357105</v>
      </c>
      <c r="P297" s="101">
        <f t="shared" si="81"/>
        <v>1.8221231446357105</v>
      </c>
      <c r="Q297" s="101">
        <f t="shared" si="82"/>
        <v>0.18525419906655585</v>
      </c>
      <c r="R297" s="101">
        <f t="shared" si="83"/>
        <v>2.1229296778136519E-2</v>
      </c>
      <c r="S297" s="101">
        <f t="shared" si="85"/>
        <v>712.48130658623052</v>
      </c>
      <c r="T297" s="101">
        <f t="shared" si="86"/>
        <v>39.969018236058467</v>
      </c>
      <c r="U297" s="101">
        <f t="shared" si="87"/>
        <v>17.26630906117337</v>
      </c>
      <c r="V297" s="33">
        <f t="shared" si="88"/>
        <v>999.99999999999955</v>
      </c>
      <c r="W297" s="105">
        <f>IF(A297=1,((cPH1_+cPHr+(cNES*L297+(cNES+cOSEX)*G297+(cNES+cEREX)*H297+(cNES+cHOEX)*I297 + (cNES+cNES)*S297 +(cNES+ cOSEX)*N297 + (cNES+cEREX)*O297 + (cNES+cHOEX)*P297)))/(1+cDR)^A$5:A$65536,(cPHr+(cNES*L297+(cNES+cOSEX)*G297+(cNES+cEREX)*H297+(cNES+cHOEX)*I297 + (cNES+cNES)*S297 +(cNES+ cOSEX)*N297 + (cNES+cEREX)*O297 + (cNES+cHOEX)*P297))/(1+cDR)^A$5:A$65536)</f>
        <v>132375.81688210528</v>
      </c>
      <c r="X297" s="112">
        <f t="shared" si="89"/>
        <v>942.76467270276771</v>
      </c>
      <c r="Y297" s="32">
        <f>(uNES*L297+ uOCEX*G297+uEREX*'PH + UC'!H297+uHOEX*I297+uNES*S297+ uOCEX*N297+uEREX*O297+uHOEX*P297)/(1+oDR)^A$5:A$65536</f>
        <v>570.78797050037031</v>
      </c>
    </row>
    <row r="298" spans="1:25" x14ac:dyDescent="0.25">
      <c r="A298" s="4">
        <v>292</v>
      </c>
      <c r="C298" s="110">
        <f>IF(male=0,VLOOKUP(((A296:A1130/'Life tables'!$I$2)*2)+age,lifetable,13,1),IF(male=1,VLOOKUP(((A296:A1130/'Life tables'!$I$2)*2)+age,lifetable,10,1),"error"))</f>
        <v>2.1228983945331681E-4</v>
      </c>
      <c r="F298" s="101">
        <f t="shared" si="72"/>
        <v>150.32293773742785</v>
      </c>
      <c r="G298" s="101">
        <f t="shared" si="73"/>
        <v>15.100253704299847</v>
      </c>
      <c r="H298" s="101">
        <f t="shared" si="74"/>
        <v>0.34555075459619866</v>
      </c>
      <c r="I298" s="101">
        <f t="shared" si="75"/>
        <v>0.34555075459619866</v>
      </c>
      <c r="J298" s="101">
        <f t="shared" si="76"/>
        <v>3.5264376581452067E-2</v>
      </c>
      <c r="K298" s="101">
        <f t="shared" si="77"/>
        <v>2.7087419682682932E-2</v>
      </c>
      <c r="L298" s="101">
        <f t="shared" si="84"/>
        <v>134.46923072767146</v>
      </c>
      <c r="M298" s="101">
        <f t="shared" si="78"/>
        <v>792.44173496533983</v>
      </c>
      <c r="N298" s="101">
        <f t="shared" si="79"/>
        <v>76.313856003207775</v>
      </c>
      <c r="O298" s="101">
        <f t="shared" si="80"/>
        <v>1.8216038324709731</v>
      </c>
      <c r="P298" s="101">
        <f t="shared" si="81"/>
        <v>1.8216038324709731</v>
      </c>
      <c r="Q298" s="101">
        <f t="shared" si="82"/>
        <v>0.18520140090116996</v>
      </c>
      <c r="R298" s="101">
        <f t="shared" si="83"/>
        <v>2.1223246346200476E-2</v>
      </c>
      <c r="S298" s="101">
        <f t="shared" si="85"/>
        <v>712.27824664994273</v>
      </c>
      <c r="T298" s="101">
        <f t="shared" si="86"/>
        <v>40.18948401354109</v>
      </c>
      <c r="U298" s="101">
        <f t="shared" si="87"/>
        <v>17.314619727202253</v>
      </c>
      <c r="V298" s="33">
        <f t="shared" si="88"/>
        <v>999.99999999999955</v>
      </c>
      <c r="W298" s="105">
        <f>IF(A298=1,((cPH1_+cPHr+(cNES*L298+(cNES+cOSEX)*G298+(cNES+cEREX)*H298+(cNES+cHOEX)*I298 + (cNES+cNES)*S298 +(cNES+ cOSEX)*N298 + (cNES+cEREX)*O298 + (cNES+cHOEX)*P298)))/(1+cDR)^A$5:A$65536,(cPHr+(cNES*L298+(cNES+cOSEX)*G298+(cNES+cEREX)*H298+(cNES+cHOEX)*I298 + (cNES+cNES)*S298 +(cNES+ cOSEX)*N298 + (cNES+cEREX)*O298 + (cNES+cHOEX)*P298))/(1+cDR)^A$5:A$65536)</f>
        <v>132185.98236948525</v>
      </c>
      <c r="X298" s="112">
        <f t="shared" si="89"/>
        <v>942.49589625925614</v>
      </c>
      <c r="Y298" s="32">
        <f>(uNES*L298+ uOCEX*G298+uEREX*'PH + UC'!H298+uHOEX*I298+uNES*S298+ uOCEX*N298+uEREX*O298+uHOEX*P298)/(1+oDR)^A$5:A$65536</f>
        <v>570.46113724289648</v>
      </c>
    </row>
    <row r="299" spans="1:25" x14ac:dyDescent="0.25">
      <c r="A299" s="4">
        <v>293</v>
      </c>
      <c r="C299" s="110">
        <f>IF(male=0,VLOOKUP(((A297:A1131/'Life tables'!$I$2)*2)+age,lifetable,13,1),IF(male=1,VLOOKUP(((A297:A1131/'Life tables'!$I$2)*2)+age,lifetable,10,1),"error"))</f>
        <v>2.1228983945331681E-4</v>
      </c>
      <c r="F299" s="101">
        <f t="shared" si="72"/>
        <v>150.28001343753954</v>
      </c>
      <c r="G299" s="101">
        <f t="shared" si="73"/>
        <v>15.095941868540455</v>
      </c>
      <c r="H299" s="101">
        <f t="shared" si="74"/>
        <v>0.34545208353215368</v>
      </c>
      <c r="I299" s="101">
        <f t="shared" si="75"/>
        <v>0.34545208353215368</v>
      </c>
      <c r="J299" s="101">
        <f t="shared" si="76"/>
        <v>3.5254306936070325E-2</v>
      </c>
      <c r="K299" s="101">
        <f t="shared" si="77"/>
        <v>2.7079684944770269E-2</v>
      </c>
      <c r="L299" s="101">
        <f t="shared" si="84"/>
        <v>134.43083341005394</v>
      </c>
      <c r="M299" s="101">
        <f t="shared" si="78"/>
        <v>792.21588282171649</v>
      </c>
      <c r="N299" s="101">
        <f t="shared" si="79"/>
        <v>76.292105952439385</v>
      </c>
      <c r="O299" s="101">
        <f t="shared" si="80"/>
        <v>1.8210846610136366</v>
      </c>
      <c r="P299" s="101">
        <f t="shared" si="81"/>
        <v>1.8210846610136366</v>
      </c>
      <c r="Q299" s="101">
        <f t="shared" si="82"/>
        <v>0.18514861704142363</v>
      </c>
      <c r="R299" s="101">
        <f t="shared" si="83"/>
        <v>2.1217197553626284E-2</v>
      </c>
      <c r="S299" s="101">
        <f t="shared" si="85"/>
        <v>712.07524173265483</v>
      </c>
      <c r="T299" s="101">
        <f t="shared" si="86"/>
        <v>40.409886937518586</v>
      </c>
      <c r="U299" s="101">
        <f t="shared" si="87"/>
        <v>17.362916609700648</v>
      </c>
      <c r="V299" s="33">
        <f t="shared" si="88"/>
        <v>999.99999999999932</v>
      </c>
      <c r="W299" s="105">
        <f>IF(A299=1,((cPH1_+cPHr+(cNES*L299+(cNES+cOSEX)*G299+(cNES+cEREX)*H299+(cNES+cHOEX)*I299 + (cNES+cNES)*S299 +(cNES+ cOSEX)*N299 + (cNES+cEREX)*O299 + (cNES+cHOEX)*P299)))/(1+cDR)^A$5:A$65536,(cPHr+(cNES*L299+(cNES+cOSEX)*G299+(cNES+cEREX)*H299+(cNES+cHOEX)*I299 + (cNES+cNES)*S299 +(cNES+ cOSEX)*N299 + (cNES+cEREX)*O299 + (cNES+cHOEX)*P299))/(1+cDR)^A$5:A$65536)</f>
        <v>131996.41990564315</v>
      </c>
      <c r="X299" s="112">
        <f t="shared" si="89"/>
        <v>942.22719645278016</v>
      </c>
      <c r="Y299" s="32">
        <f>(uNES*L299+ uOCEX*G299+uEREX*'PH + UC'!H299+uHOEX*I299+uNES*S299+ uOCEX*N299+uEREX*O299+uHOEX*P299)/(1+oDR)^A$5:A$65536</f>
        <v>570.13449113536296</v>
      </c>
    </row>
    <row r="300" spans="1:25" x14ac:dyDescent="0.25">
      <c r="A300" s="4">
        <v>294</v>
      </c>
      <c r="C300" s="110">
        <f>IF(male=0,VLOOKUP(((A298:A1132/'Life tables'!$I$2)*2)+age,lifetable,13,1),IF(male=1,VLOOKUP(((A298:A1132/'Life tables'!$I$2)*2)+age,lifetable,10,1),"error"))</f>
        <v>2.1228983945331681E-4</v>
      </c>
      <c r="F300" s="101">
        <f t="shared" si="72"/>
        <v>150.23710443750571</v>
      </c>
      <c r="G300" s="101">
        <f t="shared" si="73"/>
        <v>15.091631569683468</v>
      </c>
      <c r="H300" s="101">
        <f t="shared" si="74"/>
        <v>0.345353447638232</v>
      </c>
      <c r="I300" s="101">
        <f t="shared" si="75"/>
        <v>0.345353447638232</v>
      </c>
      <c r="J300" s="101">
        <f t="shared" si="76"/>
        <v>3.5244240879893522E-2</v>
      </c>
      <c r="K300" s="101">
        <f t="shared" si="77"/>
        <v>2.7071952963812641E-2</v>
      </c>
      <c r="L300" s="101">
        <f t="shared" si="84"/>
        <v>134.39244977870206</v>
      </c>
      <c r="M300" s="101">
        <f t="shared" si="78"/>
        <v>791.99009201527451</v>
      </c>
      <c r="N300" s="101">
        <f t="shared" si="79"/>
        <v>76.270361808574449</v>
      </c>
      <c r="O300" s="101">
        <f t="shared" si="80"/>
        <v>1.8205656305534736</v>
      </c>
      <c r="P300" s="101">
        <f t="shared" si="81"/>
        <v>1.8205656305534736</v>
      </c>
      <c r="Q300" s="101">
        <f t="shared" si="82"/>
        <v>0.18509584751677774</v>
      </c>
      <c r="R300" s="101">
        <f t="shared" si="83"/>
        <v>2.1211150403790045E-2</v>
      </c>
      <c r="S300" s="101">
        <f t="shared" si="85"/>
        <v>711.87229194767258</v>
      </c>
      <c r="T300" s="101">
        <f t="shared" si="86"/>
        <v>40.630227025915254</v>
      </c>
      <c r="U300" s="101">
        <f t="shared" si="87"/>
        <v>17.41119971306825</v>
      </c>
      <c r="V300" s="33">
        <f t="shared" si="88"/>
        <v>999.99999999999955</v>
      </c>
      <c r="W300" s="105">
        <f>IF(A300=1,((cPH1_+cPHr+(cNES*L300+(cNES+cOSEX)*G300+(cNES+cEREX)*H300+(cNES+cHOEX)*I300 + (cNES+cNES)*S300 +(cNES+ cOSEX)*N300 + (cNES+cEREX)*O300 + (cNES+cHOEX)*P300)))/(1+cDR)^A$5:A$65536,(cPHr+(cNES*L300+(cNES+cOSEX)*G300+(cNES+cEREX)*H300+(cNES+cHOEX)*I300 + (cNES+cNES)*S300 +(cNES+ cOSEX)*N300 + (cNES+cEREX)*O300 + (cNES+cHOEX)*P300))/(1+cDR)^A$5:A$65536)</f>
        <v>131807.12910927818</v>
      </c>
      <c r="X300" s="112">
        <f t="shared" si="89"/>
        <v>941.958573261016</v>
      </c>
      <c r="Y300" s="32">
        <f>(uNES*L300+ uOCEX*G300+uEREX*'PH + UC'!H300+uHOEX*I300+uNES*S300+ uOCEX*N300+uEREX*O300+uHOEX*P300)/(1+oDR)^A$5:A$65536</f>
        <v>569.8080320703707</v>
      </c>
    </row>
    <row r="301" spans="1:25" x14ac:dyDescent="0.25">
      <c r="A301" s="4">
        <v>295</v>
      </c>
      <c r="C301" s="110">
        <f>IF(male=0,VLOOKUP(((A299:A1133/'Life tables'!$I$2)*2)+age,lifetable,13,1),IF(male=1,VLOOKUP(((A299:A1133/'Life tables'!$I$2)*2)+age,lifetable,10,1),"error"))</f>
        <v>2.1228983945331681E-4</v>
      </c>
      <c r="F301" s="101">
        <f t="shared" si="72"/>
        <v>150.19421059542589</v>
      </c>
      <c r="G301" s="101">
        <f t="shared" si="73"/>
        <v>15.087322793474684</v>
      </c>
      <c r="H301" s="101">
        <f t="shared" si="74"/>
        <v>0.3452548465882439</v>
      </c>
      <c r="I301" s="101">
        <f t="shared" si="75"/>
        <v>0.3452548465882439</v>
      </c>
      <c r="J301" s="101">
        <f t="shared" si="76"/>
        <v>3.5234178379633121E-2</v>
      </c>
      <c r="K301" s="101">
        <f t="shared" si="77"/>
        <v>2.7064223714240308E-2</v>
      </c>
      <c r="L301" s="101">
        <f t="shared" si="84"/>
        <v>134.35407970668084</v>
      </c>
      <c r="M301" s="101">
        <f t="shared" si="78"/>
        <v>791.76436266559017</v>
      </c>
      <c r="N301" s="101">
        <f t="shared" si="79"/>
        <v>76.248623583128435</v>
      </c>
      <c r="O301" s="101">
        <f t="shared" si="80"/>
        <v>1.8200467413653567</v>
      </c>
      <c r="P301" s="101">
        <f t="shared" si="81"/>
        <v>1.8200467413653567</v>
      </c>
      <c r="Q301" s="101">
        <f t="shared" si="82"/>
        <v>0.18504309235517852</v>
      </c>
      <c r="R301" s="101">
        <f t="shared" si="83"/>
        <v>2.1205104899894259E-2</v>
      </c>
      <c r="S301" s="101">
        <f t="shared" si="85"/>
        <v>711.66939740247597</v>
      </c>
      <c r="T301" s="101">
        <f t="shared" si="86"/>
        <v>40.850504296650065</v>
      </c>
      <c r="U301" s="101">
        <f t="shared" si="87"/>
        <v>17.459469041682386</v>
      </c>
      <c r="V301" s="33">
        <f t="shared" si="88"/>
        <v>999.99999999999966</v>
      </c>
      <c r="W301" s="105">
        <f>IF(A301=1,((cPH1_+cPHr+(cNES*L301+(cNES+cOSEX)*G301+(cNES+cEREX)*H301+(cNES+cHOEX)*I301 + (cNES+cNES)*S301 +(cNES+ cOSEX)*N301 + (cNES+cEREX)*O301 + (cNES+cHOEX)*P301)))/(1+cDR)^A$5:A$65536,(cPHr+(cNES*L301+(cNES+cOSEX)*G301+(cNES+cEREX)*H301+(cNES+cHOEX)*I301 + (cNES+cNES)*S301 +(cNES+ cOSEX)*N301 + (cNES+cEREX)*O301 + (cNES+cHOEX)*P301))/(1+cDR)^A$5:A$65536)</f>
        <v>131618.10959922924</v>
      </c>
      <c r="X301" s="112">
        <f t="shared" si="89"/>
        <v>941.69002666166716</v>
      </c>
      <c r="Y301" s="32">
        <f>(uNES*L301+ uOCEX*G301+uEREX*'PH + UC'!H301+uHOEX*I301+uNES*S301+ uOCEX*N301+uEREX*O301+uHOEX*P301)/(1+oDR)^A$5:A$65536</f>
        <v>569.48175994059307</v>
      </c>
    </row>
    <row r="302" spans="1:25" x14ac:dyDescent="0.25">
      <c r="A302" s="4">
        <v>296</v>
      </c>
      <c r="C302" s="110">
        <f>IF(male=0,VLOOKUP(((A300:A1134/'Life tables'!$I$2)*2)+age,lifetable,13,1),IF(male=1,VLOOKUP(((A300:A1134/'Life tables'!$I$2)*2)+age,lifetable,10,1),"error"))</f>
        <v>2.1228983945331681E-4</v>
      </c>
      <c r="F302" s="101">
        <f t="shared" si="72"/>
        <v>150.15133177561708</v>
      </c>
      <c r="G302" s="101">
        <f t="shared" si="73"/>
        <v>15.083015526284465</v>
      </c>
      <c r="H302" s="101">
        <f t="shared" si="74"/>
        <v>0.34515628007029164</v>
      </c>
      <c r="I302" s="101">
        <f t="shared" si="75"/>
        <v>0.34515628007029164</v>
      </c>
      <c r="J302" s="101">
        <f t="shared" si="76"/>
        <v>3.5224119403459118E-2</v>
      </c>
      <c r="K302" s="101">
        <f t="shared" si="77"/>
        <v>2.7056497171603893E-2</v>
      </c>
      <c r="L302" s="101">
        <f t="shared" si="84"/>
        <v>134.31572307261698</v>
      </c>
      <c r="M302" s="101">
        <f t="shared" si="78"/>
        <v>791.53869488604994</v>
      </c>
      <c r="N302" s="101">
        <f t="shared" si="79"/>
        <v>76.226891287020706</v>
      </c>
      <c r="O302" s="101">
        <f t="shared" si="80"/>
        <v>1.8195279937099298</v>
      </c>
      <c r="P302" s="101">
        <f t="shared" si="81"/>
        <v>1.8195279937099298</v>
      </c>
      <c r="Q302" s="101">
        <f t="shared" si="82"/>
        <v>0.18499035158312552</v>
      </c>
      <c r="R302" s="101">
        <f t="shared" si="83"/>
        <v>2.1199061044975646E-2</v>
      </c>
      <c r="S302" s="101">
        <f t="shared" si="85"/>
        <v>711.46655819898126</v>
      </c>
      <c r="T302" s="101">
        <f t="shared" si="86"/>
        <v>41.070718767636649</v>
      </c>
      <c r="U302" s="101">
        <f t="shared" si="87"/>
        <v>17.507724599898964</v>
      </c>
      <c r="V302" s="33">
        <f t="shared" si="88"/>
        <v>999.99999999999943</v>
      </c>
      <c r="W302" s="105">
        <f>IF(A302=1,((cPH1_+cPHr+(cNES*L302+(cNES+cOSEX)*G302+(cNES+cEREX)*H302+(cNES+cHOEX)*I302 + (cNES+cNES)*S302 +(cNES+ cOSEX)*N302 + (cNES+cEREX)*O302 + (cNES+cHOEX)*P302)))/(1+cDR)^A$5:A$65536,(cPHr+(cNES*L302+(cNES+cOSEX)*G302+(cNES+cEREX)*H302+(cNES+cHOEX)*I302 + (cNES+cNES)*S302 +(cNES+ cOSEX)*N302 + (cNES+cEREX)*O302 + (cNES+cHOEX)*P302))/(1+cDR)^A$5:A$65536)</f>
        <v>131429.36099449368</v>
      </c>
      <c r="X302" s="112">
        <f t="shared" si="89"/>
        <v>941.42155663246376</v>
      </c>
      <c r="Y302" s="32">
        <f>(uNES*L302+ uOCEX*G302+uEREX*'PH + UC'!H302+uHOEX*I302+uNES*S302+ uOCEX*N302+uEREX*O302+uHOEX*P302)/(1+oDR)^A$5:A$65536</f>
        <v>569.15567463877403</v>
      </c>
    </row>
    <row r="303" spans="1:25" x14ac:dyDescent="0.25">
      <c r="A303" s="4">
        <v>297</v>
      </c>
      <c r="C303" s="110">
        <f>IF(male=0,VLOOKUP(((A301:A1135/'Life tables'!$I$2)*2)+age,lifetable,13,1),IF(male=1,VLOOKUP(((A301:A1135/'Life tables'!$I$2)*2)+age,lifetable,10,1),"error"))</f>
        <v>2.1228983945331681E-4</v>
      </c>
      <c r="F303" s="101">
        <f t="shared" si="72"/>
        <v>150.1084678483349</v>
      </c>
      <c r="G303" s="101">
        <f t="shared" si="73"/>
        <v>15.078709755079712</v>
      </c>
      <c r="H303" s="101">
        <f t="shared" si="74"/>
        <v>0.34505774778612897</v>
      </c>
      <c r="I303" s="101">
        <f t="shared" si="75"/>
        <v>0.34505774778612897</v>
      </c>
      <c r="J303" s="101">
        <f t="shared" si="76"/>
        <v>3.52140639209347E-2</v>
      </c>
      <c r="K303" s="101">
        <f t="shared" si="77"/>
        <v>2.7048773312524126E-2</v>
      </c>
      <c r="L303" s="101">
        <f t="shared" si="84"/>
        <v>134.27737976044946</v>
      </c>
      <c r="M303" s="101">
        <f t="shared" si="78"/>
        <v>791.31308878412904</v>
      </c>
      <c r="N303" s="101">
        <f t="shared" si="79"/>
        <v>76.205164930601342</v>
      </c>
      <c r="O303" s="101">
        <f t="shared" si="80"/>
        <v>1.8190093878342488</v>
      </c>
      <c r="P303" s="101">
        <f t="shared" si="81"/>
        <v>1.8190093878342488</v>
      </c>
      <c r="Q303" s="101">
        <f t="shared" si="82"/>
        <v>0.18493762522573667</v>
      </c>
      <c r="R303" s="101">
        <f t="shared" si="83"/>
        <v>2.1193018841912627E-2</v>
      </c>
      <c r="S303" s="101">
        <f t="shared" si="85"/>
        <v>711.26377443379158</v>
      </c>
      <c r="T303" s="101">
        <f t="shared" si="86"/>
        <v>41.290870456783317</v>
      </c>
      <c r="U303" s="101">
        <f t="shared" si="87"/>
        <v>17.555966392053399</v>
      </c>
      <c r="V303" s="33">
        <f t="shared" si="88"/>
        <v>999.99999999999955</v>
      </c>
      <c r="W303" s="105">
        <f>IF(A303=1,((cPH1_+cPHr+(cNES*L303+(cNES+cOSEX)*G303+(cNES+cEREX)*H303+(cNES+cHOEX)*I303 + (cNES+cNES)*S303 +(cNES+ cOSEX)*N303 + (cNES+cEREX)*O303 + (cNES+cHOEX)*P303)))/(1+cDR)^A$5:A$65536,(cPHr+(cNES*L303+(cNES+cOSEX)*G303+(cNES+cEREX)*H303+(cNES+cHOEX)*I303 + (cNES+cNES)*S303 +(cNES+ cOSEX)*N303 + (cNES+cEREX)*O303 + (cNES+cHOEX)*P303))/(1+cDR)^A$5:A$65536)</f>
        <v>131240.88291424498</v>
      </c>
      <c r="X303" s="112">
        <f t="shared" si="89"/>
        <v>941.15316315116286</v>
      </c>
      <c r="Y303" s="32">
        <f>(uNES*L303+ uOCEX*G303+uEREX*'PH + UC'!H303+uHOEX*I303+uNES*S303+ uOCEX*N303+uEREX*O303+uHOEX*P303)/(1+oDR)^A$5:A$65536</f>
        <v>568.82977605773033</v>
      </c>
    </row>
    <row r="304" spans="1:25" x14ac:dyDescent="0.25">
      <c r="A304" s="4">
        <v>298</v>
      </c>
      <c r="C304" s="110">
        <f>IF(male=0,VLOOKUP(((A302:A1136/'Life tables'!$I$2)*2)+age,lifetable,13,1),IF(male=1,VLOOKUP(((A302:A1136/'Life tables'!$I$2)*2)+age,lifetable,10,1),"error"))</f>
        <v>2.1228983945331681E-4</v>
      </c>
      <c r="F304" s="101">
        <f t="shared" si="72"/>
        <v>150.06561868950652</v>
      </c>
      <c r="G304" s="101">
        <f t="shared" si="73"/>
        <v>15.074405467397053</v>
      </c>
      <c r="H304" s="101">
        <f t="shared" si="74"/>
        <v>0.34495924945054679</v>
      </c>
      <c r="I304" s="101">
        <f t="shared" si="75"/>
        <v>0.34495924945054679</v>
      </c>
      <c r="J304" s="101">
        <f t="shared" si="76"/>
        <v>3.5204011902953511E-2</v>
      </c>
      <c r="K304" s="101">
        <f t="shared" si="77"/>
        <v>2.7041052114643721E-2</v>
      </c>
      <c r="L304" s="101">
        <f t="shared" si="84"/>
        <v>134.23904965919078</v>
      </c>
      <c r="M304" s="101">
        <f t="shared" si="78"/>
        <v>791.08754446165642</v>
      </c>
      <c r="N304" s="101">
        <f t="shared" si="79"/>
        <v>76.183444523676698</v>
      </c>
      <c r="O304" s="101">
        <f t="shared" si="80"/>
        <v>1.8184909239723901</v>
      </c>
      <c r="P304" s="101">
        <f t="shared" si="81"/>
        <v>1.8184909239723901</v>
      </c>
      <c r="Q304" s="101">
        <f t="shared" si="82"/>
        <v>0.18488491330681051</v>
      </c>
      <c r="R304" s="101">
        <f t="shared" si="83"/>
        <v>2.1186978293432388E-2</v>
      </c>
      <c r="S304" s="101">
        <f t="shared" si="85"/>
        <v>711.06104619843472</v>
      </c>
      <c r="T304" s="101">
        <f t="shared" si="86"/>
        <v>41.510959381993082</v>
      </c>
      <c r="U304" s="101">
        <f t="shared" si="87"/>
        <v>17.604194422461475</v>
      </c>
      <c r="V304" s="33">
        <f t="shared" si="88"/>
        <v>999.99999999999966</v>
      </c>
      <c r="W304" s="105">
        <f>IF(A304=1,((cPH1_+cPHr+(cNES*L304+(cNES+cOSEX)*G304+(cNES+cEREX)*H304+(cNES+cHOEX)*I304 + (cNES+cNES)*S304 +(cNES+ cOSEX)*N304 + (cNES+cEREX)*O304 + (cNES+cHOEX)*P304)))/(1+cDR)^A$5:A$65536,(cPHr+(cNES*L304+(cNES+cOSEX)*G304+(cNES+cEREX)*H304+(cNES+cHOEX)*I304 + (cNES+cNES)*S304 +(cNES+ cOSEX)*N304 + (cNES+cEREX)*O304 + (cNES+cHOEX)*P304))/(1+cDR)^A$5:A$65536)</f>
        <v>131052.67497784928</v>
      </c>
      <c r="X304" s="112">
        <f t="shared" si="89"/>
        <v>940.88484619554515</v>
      </c>
      <c r="Y304" s="32">
        <f>(uNES*L304+ uOCEX*G304+uEREX*'PH + UC'!H304+uHOEX*I304+uNES*S304+ uOCEX*N304+uEREX*O304+uHOEX*P304)/(1+oDR)^A$5:A$65536</f>
        <v>568.50406409034849</v>
      </c>
    </row>
    <row r="305" spans="1:25" x14ac:dyDescent="0.25">
      <c r="A305" s="4">
        <v>299</v>
      </c>
      <c r="C305" s="110">
        <f>IF(male=0,VLOOKUP(((A303:A1137/'Life tables'!$I$2)*2)+age,lifetable,13,1),IF(male=1,VLOOKUP(((A303:A1137/'Life tables'!$I$2)*2)+age,lifetable,10,1),"error"))</f>
        <v>2.1228983945331681E-4</v>
      </c>
      <c r="F305" s="101">
        <f t="shared" si="72"/>
        <v>150.02278418047609</v>
      </c>
      <c r="G305" s="101">
        <f t="shared" si="73"/>
        <v>15.070102651317258</v>
      </c>
      <c r="H305" s="101">
        <f t="shared" si="74"/>
        <v>0.34486078479078824</v>
      </c>
      <c r="I305" s="101">
        <f t="shared" si="75"/>
        <v>0.34486078479078824</v>
      </c>
      <c r="J305" s="101">
        <f t="shared" si="76"/>
        <v>3.5193963321679976E-2</v>
      </c>
      <c r="K305" s="101">
        <f t="shared" si="77"/>
        <v>2.703333355658151E-2</v>
      </c>
      <c r="L305" s="101">
        <f t="shared" si="84"/>
        <v>134.20073266269901</v>
      </c>
      <c r="M305" s="101">
        <f t="shared" si="78"/>
        <v>790.862062015069</v>
      </c>
      <c r="N305" s="101">
        <f t="shared" si="79"/>
        <v>76.161730075533853</v>
      </c>
      <c r="O305" s="101">
        <f t="shared" si="80"/>
        <v>1.8179726023460352</v>
      </c>
      <c r="P305" s="101">
        <f t="shared" si="81"/>
        <v>1.8179726023460352</v>
      </c>
      <c r="Q305" s="101">
        <f t="shared" si="82"/>
        <v>0.18483221584888515</v>
      </c>
      <c r="R305" s="101">
        <f t="shared" si="83"/>
        <v>2.118093940211771E-2</v>
      </c>
      <c r="S305" s="101">
        <f t="shared" si="85"/>
        <v>710.85837357959213</v>
      </c>
      <c r="T305" s="101">
        <f t="shared" si="86"/>
        <v>41.730985561163649</v>
      </c>
      <c r="U305" s="101">
        <f t="shared" si="87"/>
        <v>17.652408695420174</v>
      </c>
      <c r="V305" s="33">
        <f t="shared" si="88"/>
        <v>999.99999999999966</v>
      </c>
      <c r="W305" s="105">
        <f>IF(A305=1,((cPH1_+cPHr+(cNES*L305+(cNES+cOSEX)*G305+(cNES+cEREX)*H305+(cNES+cHOEX)*I305 + (cNES+cNES)*S305 +(cNES+ cOSEX)*N305 + (cNES+cEREX)*O305 + (cNES+cHOEX)*P305)))/(1+cDR)^A$5:A$65536,(cPHr+(cNES*L305+(cNES+cOSEX)*G305+(cNES+cEREX)*H305+(cNES+cHOEX)*I305 + (cNES+cNES)*S305 +(cNES+ cOSEX)*N305 + (cNES+cEREX)*O305 + (cNES+cHOEX)*P305))/(1+cDR)^A$5:A$65536)</f>
        <v>130864.73680488151</v>
      </c>
      <c r="X305" s="112">
        <f t="shared" si="89"/>
        <v>940.6166057434159</v>
      </c>
      <c r="Y305" s="32">
        <f>(uNES*L305+ uOCEX*G305+uEREX*'PH + UC'!H305+uHOEX*I305+uNES*S305+ uOCEX*N305+uEREX*O305+uHOEX*P305)/(1+oDR)^A$5:A$65536</f>
        <v>568.1785386295852</v>
      </c>
    </row>
    <row r="306" spans="1:25" x14ac:dyDescent="0.25">
      <c r="A306" s="4">
        <v>300</v>
      </c>
      <c r="C306" s="110">
        <f>IF(male=0,VLOOKUP(((A304:A1138/'Life tables'!$I$2)*2)+age,lifetable,13,1),IF(male=1,VLOOKUP(((A304:A1138/'Life tables'!$I$2)*2)+age,lifetable,10,1),"error"))</f>
        <v>2.1228983945331681E-4</v>
      </c>
      <c r="F306" s="101">
        <f t="shared" si="72"/>
        <v>149.97996420776175</v>
      </c>
      <c r="G306" s="101">
        <f t="shared" si="73"/>
        <v>15.065801295440837</v>
      </c>
      <c r="H306" s="101">
        <f t="shared" si="74"/>
        <v>0.34476235354599</v>
      </c>
      <c r="I306" s="101">
        <f t="shared" si="75"/>
        <v>0.34476235354599</v>
      </c>
      <c r="J306" s="101">
        <f t="shared" si="76"/>
        <v>3.5183918150492301E-2</v>
      </c>
      <c r="K306" s="101">
        <f t="shared" si="77"/>
        <v>2.7025617617888641E-2</v>
      </c>
      <c r="L306" s="101">
        <f t="shared" si="84"/>
        <v>134.16242866946055</v>
      </c>
      <c r="M306" s="101">
        <f t="shared" si="78"/>
        <v>790.63664153565412</v>
      </c>
      <c r="N306" s="101">
        <f t="shared" si="79"/>
        <v>76.140021594963997</v>
      </c>
      <c r="O306" s="101">
        <f t="shared" si="80"/>
        <v>1.8174544231650289</v>
      </c>
      <c r="P306" s="101">
        <f t="shared" si="81"/>
        <v>1.8174544231650289</v>
      </c>
      <c r="Q306" s="101">
        <f t="shared" si="82"/>
        <v>0.18477953287329546</v>
      </c>
      <c r="R306" s="101">
        <f t="shared" si="83"/>
        <v>2.1174902170413464E-2</v>
      </c>
      <c r="S306" s="101">
        <f t="shared" si="85"/>
        <v>710.65575665931635</v>
      </c>
      <c r="T306" s="101">
        <f t="shared" si="86"/>
        <v>41.950949012187436</v>
      </c>
      <c r="U306" s="101">
        <f t="shared" si="87"/>
        <v>17.700609215208477</v>
      </c>
      <c r="V306" s="33">
        <f t="shared" si="88"/>
        <v>999.99999999999977</v>
      </c>
      <c r="W306" s="105">
        <f>IF(A306=1,((cPH1_+cPHr+(cNES*L306+(cNES+cOSEX)*G306+(cNES+cEREX)*H306+(cNES+cHOEX)*I306 + (cNES+cNES)*S306 +(cNES+ cOSEX)*N306 + (cNES+cEREX)*O306 + (cNES+cHOEX)*P306)))/(1+cDR)^A$5:A$65536,(cPHr+(cNES*L306+(cNES+cOSEX)*G306+(cNES+cEREX)*H306+(cNES+cHOEX)*I306 + (cNES+cNES)*S306 +(cNES+ cOSEX)*N306 + (cNES+cEREX)*O306 + (cNES+cHOEX)*P306))/(1+cDR)^A$5:A$65536)</f>
        <v>130677.06801514085</v>
      </c>
      <c r="X306" s="112">
        <f t="shared" si="89"/>
        <v>940.34844177260379</v>
      </c>
      <c r="Y306" s="32">
        <f>(uNES*L306+ uOCEX*G306+uEREX*'PH + UC'!H306+uHOEX*I306+uNES*S306+ uOCEX*N306+uEREX*O306+uHOEX*P306)/(1+oDR)^A$5:A$65536</f>
        <v>567.8531995684674</v>
      </c>
    </row>
    <row r="307" spans="1:25" x14ac:dyDescent="0.25">
      <c r="A307" s="4">
        <v>301</v>
      </c>
      <c r="C307" s="110">
        <f>IF(male=0,VLOOKUP(((A305:A1139/'Life tables'!$I$2)*2)+age,lifetable,13,1),IF(male=1,VLOOKUP(((A305:A1139/'Life tables'!$I$2)*2)+age,lifetable,10,1),"error"))</f>
        <v>2.1228983945331681E-4</v>
      </c>
      <c r="F307" s="101">
        <f t="shared" si="72"/>
        <v>149.9371586628229</v>
      </c>
      <c r="G307" s="101">
        <f t="shared" si="73"/>
        <v>15.061501388864659</v>
      </c>
      <c r="H307" s="101">
        <f t="shared" si="74"/>
        <v>0.34466395546664719</v>
      </c>
      <c r="I307" s="101">
        <f t="shared" si="75"/>
        <v>0.34466395546664719</v>
      </c>
      <c r="J307" s="101">
        <f t="shared" si="76"/>
        <v>3.5173876363927867E-2</v>
      </c>
      <c r="K307" s="101">
        <f t="shared" si="77"/>
        <v>2.7017904279006653E-2</v>
      </c>
      <c r="L307" s="101">
        <f t="shared" si="84"/>
        <v>134.12413758238202</v>
      </c>
      <c r="M307" s="101">
        <f t="shared" si="78"/>
        <v>790.41128310978092</v>
      </c>
      <c r="N307" s="101">
        <f t="shared" si="79"/>
        <v>76.118319090284643</v>
      </c>
      <c r="O307" s="101">
        <f t="shared" si="80"/>
        <v>1.8169363866279096</v>
      </c>
      <c r="P307" s="101">
        <f t="shared" si="81"/>
        <v>1.8169363866279096</v>
      </c>
      <c r="Q307" s="101">
        <f t="shared" si="82"/>
        <v>0.18472686440022668</v>
      </c>
      <c r="R307" s="101">
        <f t="shared" si="83"/>
        <v>2.1168866600632795E-2</v>
      </c>
      <c r="S307" s="101">
        <f t="shared" si="85"/>
        <v>710.4531955152396</v>
      </c>
      <c r="T307" s="101">
        <f t="shared" si="86"/>
        <v>42.17084975295159</v>
      </c>
      <c r="U307" s="101">
        <f t="shared" si="87"/>
        <v>17.748795986088115</v>
      </c>
      <c r="V307" s="33">
        <f t="shared" si="88"/>
        <v>999.99999999999966</v>
      </c>
      <c r="W307" s="105">
        <f>IF(A307=1,((cPH1_+cPHr+(cNES*L307+(cNES+cOSEX)*G307+(cNES+cEREX)*H307+(cNES+cHOEX)*I307 + (cNES+cNES)*S307 +(cNES+ cOSEX)*N307 + (cNES+cEREX)*O307 + (cNES+cHOEX)*P307)))/(1+cDR)^A$5:A$65536,(cPHr+(cNES*L307+(cNES+cOSEX)*G307+(cNES+cEREX)*H307+(cNES+cHOEX)*I307 + (cNES+cNES)*S307 +(cNES+ cOSEX)*N307 + (cNES+cEREX)*O307 + (cNES+cHOEX)*P307))/(1+cDR)^A$5:A$65536)</f>
        <v>130489.6682286646</v>
      </c>
      <c r="X307" s="112">
        <f t="shared" si="89"/>
        <v>940.08035426096001</v>
      </c>
      <c r="Y307" s="32">
        <f>(uNES*L307+ uOCEX*G307+uEREX*'PH + UC'!H307+uHOEX*I307+uNES*S307+ uOCEX*N307+uEREX*O307+uHOEX*P307)/(1+oDR)^A$5:A$65536</f>
        <v>567.52804680009103</v>
      </c>
    </row>
    <row r="308" spans="1:25" x14ac:dyDescent="0.25">
      <c r="A308" s="4">
        <v>302</v>
      </c>
      <c r="C308" s="110">
        <f>IF(male=0,VLOOKUP(((A306:A1140/'Life tables'!$I$2)*2)+age,lifetable,13,1),IF(male=1,VLOOKUP(((A306:A1140/'Life tables'!$I$2)*2)+age,lifetable,10,1),"error"))</f>
        <v>2.1228983945331681E-4</v>
      </c>
      <c r="F308" s="101">
        <f t="shared" si="72"/>
        <v>149.89436744183854</v>
      </c>
      <c r="G308" s="101">
        <f t="shared" si="73"/>
        <v>15.057202921159689</v>
      </c>
      <c r="H308" s="101">
        <f t="shared" si="74"/>
        <v>0.34456559031410433</v>
      </c>
      <c r="I308" s="101">
        <f t="shared" si="75"/>
        <v>0.34456559031410433</v>
      </c>
      <c r="J308" s="101">
        <f t="shared" si="76"/>
        <v>3.5163837937631219E-2</v>
      </c>
      <c r="K308" s="101">
        <f t="shared" si="77"/>
        <v>2.7010193521227539E-2</v>
      </c>
      <c r="L308" s="101">
        <f t="shared" si="84"/>
        <v>134.08585930859178</v>
      </c>
      <c r="M308" s="101">
        <f t="shared" si="78"/>
        <v>790.18598681912169</v>
      </c>
      <c r="N308" s="101">
        <f t="shared" si="79"/>
        <v>76.096622569361031</v>
      </c>
      <c r="O308" s="101">
        <f t="shared" si="80"/>
        <v>1.8164184929224194</v>
      </c>
      <c r="P308" s="101">
        <f t="shared" si="81"/>
        <v>1.8164184929224194</v>
      </c>
      <c r="Q308" s="101">
        <f t="shared" si="82"/>
        <v>0.18467421044876639</v>
      </c>
      <c r="R308" s="101">
        <f t="shared" si="83"/>
        <v>2.1162832694963055E-2</v>
      </c>
      <c r="S308" s="101">
        <f t="shared" si="85"/>
        <v>710.25069022077207</v>
      </c>
      <c r="T308" s="101">
        <f t="shared" si="86"/>
        <v>42.39068780133799</v>
      </c>
      <c r="U308" s="101">
        <f t="shared" si="87"/>
        <v>17.796969012304306</v>
      </c>
      <c r="V308" s="33">
        <f t="shared" si="88"/>
        <v>999.99999999999989</v>
      </c>
      <c r="W308" s="105">
        <f>IF(A308=1,((cPH1_+cPHr+(cNES*L308+(cNES+cOSEX)*G308+(cNES+cEREX)*H308+(cNES+cHOEX)*I308 + (cNES+cNES)*S308 +(cNES+ cOSEX)*N308 + (cNES+cEREX)*O308 + (cNES+cHOEX)*P308)))/(1+cDR)^A$5:A$65536,(cPHr+(cNES*L308+(cNES+cOSEX)*G308+(cNES+cEREX)*H308+(cNES+cHOEX)*I308 + (cNES+cNES)*S308 +(cNES+ cOSEX)*N308 + (cNES+cEREX)*O308 + (cNES+cHOEX)*P308))/(1+cDR)^A$5:A$65536)</f>
        <v>130302.53706574274</v>
      </c>
      <c r="X308" s="112">
        <f t="shared" si="89"/>
        <v>939.81234318635757</v>
      </c>
      <c r="Y308" s="32">
        <f>(uNES*L308+ uOCEX*G308+uEREX*'PH + UC'!H308+uHOEX*I308+uNES*S308+ uOCEX*N308+uEREX*O308+uHOEX*P308)/(1+oDR)^A$5:A$65536</f>
        <v>567.20308021762139</v>
      </c>
    </row>
    <row r="309" spans="1:25" x14ac:dyDescent="0.25">
      <c r="A309" s="4">
        <v>303</v>
      </c>
      <c r="C309" s="110">
        <f>IF(male=0,VLOOKUP(((A307:A1141/'Life tables'!$I$2)*2)+age,lifetable,13,1),IF(male=1,VLOOKUP(((A307:A1141/'Life tables'!$I$2)*2)+age,lifetable,10,1),"error"))</f>
        <v>2.1228983945331681E-4</v>
      </c>
      <c r="F309" s="101">
        <f t="shared" si="72"/>
        <v>149.85159044549542</v>
      </c>
      <c r="G309" s="101">
        <f t="shared" si="73"/>
        <v>15.052905882349702</v>
      </c>
      <c r="H309" s="101">
        <f t="shared" si="74"/>
        <v>0.34446725786006765</v>
      </c>
      <c r="I309" s="101">
        <f t="shared" si="75"/>
        <v>0.34446725786006765</v>
      </c>
      <c r="J309" s="101">
        <f t="shared" si="76"/>
        <v>3.5153802848304383E-2</v>
      </c>
      <c r="K309" s="101">
        <f t="shared" si="77"/>
        <v>2.7002485326655567E-2</v>
      </c>
      <c r="L309" s="101">
        <f t="shared" si="84"/>
        <v>134.04759375925062</v>
      </c>
      <c r="M309" s="101">
        <f t="shared" si="78"/>
        <v>789.96075274086206</v>
      </c>
      <c r="N309" s="101">
        <f t="shared" si="79"/>
        <v>76.074932039626276</v>
      </c>
      <c r="O309" s="101">
        <f t="shared" si="80"/>
        <v>1.8159007422259865</v>
      </c>
      <c r="P309" s="101">
        <f t="shared" si="81"/>
        <v>1.8159007422259865</v>
      </c>
      <c r="Q309" s="101">
        <f t="shared" si="82"/>
        <v>0.18462157103695376</v>
      </c>
      <c r="R309" s="101">
        <f t="shared" si="83"/>
        <v>2.1156800455471438E-2</v>
      </c>
      <c r="S309" s="101">
        <f t="shared" si="85"/>
        <v>710.04824084529139</v>
      </c>
      <c r="T309" s="101">
        <f t="shared" si="86"/>
        <v>42.610463175223245</v>
      </c>
      <c r="U309" s="101">
        <f t="shared" si="87"/>
        <v>17.845128298086433</v>
      </c>
      <c r="V309" s="33">
        <f t="shared" si="88"/>
        <v>999.99999999999977</v>
      </c>
      <c r="W309" s="105">
        <f>IF(A309=1,((cPH1_+cPHr+(cNES*L309+(cNES+cOSEX)*G309+(cNES+cEREX)*H309+(cNES+cHOEX)*I309 + (cNES+cNES)*S309 +(cNES+ cOSEX)*N309 + (cNES+cEREX)*O309 + (cNES+cHOEX)*P309)))/(1+cDR)^A$5:A$65536,(cPHr+(cNES*L309+(cNES+cOSEX)*G309+(cNES+cEREX)*H309+(cNES+cHOEX)*I309 + (cNES+cNES)*S309 +(cNES+ cOSEX)*N309 + (cNES+cEREX)*O309 + (cNES+cHOEX)*P309))/(1+cDR)^A$5:A$65536)</f>
        <v>130115.67414693009</v>
      </c>
      <c r="X309" s="112">
        <f t="shared" si="89"/>
        <v>939.54440852669006</v>
      </c>
      <c r="Y309" s="32">
        <f>(uNES*L309+ uOCEX*G309+uEREX*'PH + UC'!H309+uHOEX*I309+uNES*S309+ uOCEX*N309+uEREX*O309+uHOEX*P309)/(1+oDR)^A$5:A$65536</f>
        <v>566.87829971429187</v>
      </c>
    </row>
    <row r="310" spans="1:25" x14ac:dyDescent="0.25">
      <c r="A310" s="4">
        <v>304</v>
      </c>
      <c r="C310" s="110">
        <f>IF(male=0,VLOOKUP(((A308:A1142/'Life tables'!$I$2)*2)+age,lifetable,13,1),IF(male=1,VLOOKUP(((A308:A1142/'Life tables'!$I$2)*2)+age,lifetable,10,1),"error"))</f>
        <v>2.1228983945331681E-4</v>
      </c>
      <c r="F310" s="101">
        <f t="shared" si="72"/>
        <v>149.80882757878553</v>
      </c>
      <c r="G310" s="101">
        <f t="shared" si="73"/>
        <v>15.048610262890945</v>
      </c>
      <c r="H310" s="101">
        <f t="shared" si="74"/>
        <v>0.34436895788614008</v>
      </c>
      <c r="I310" s="101">
        <f t="shared" si="75"/>
        <v>0.34436895788614008</v>
      </c>
      <c r="J310" s="101">
        <f t="shared" si="76"/>
        <v>3.5143771073659354E-2</v>
      </c>
      <c r="K310" s="101">
        <f t="shared" si="77"/>
        <v>2.699477967817078E-2</v>
      </c>
      <c r="L310" s="101">
        <f t="shared" si="84"/>
        <v>134.00934084937046</v>
      </c>
      <c r="M310" s="101">
        <f t="shared" si="78"/>
        <v>789.73558094790451</v>
      </c>
      <c r="N310" s="101">
        <f t="shared" si="79"/>
        <v>76.053247508101066</v>
      </c>
      <c r="O310" s="101">
        <f t="shared" si="80"/>
        <v>1.8153831347061935</v>
      </c>
      <c r="P310" s="101">
        <f t="shared" si="81"/>
        <v>1.8153831347061935</v>
      </c>
      <c r="Q310" s="101">
        <f t="shared" si="82"/>
        <v>0.18456894618182673</v>
      </c>
      <c r="R310" s="101">
        <f t="shared" si="83"/>
        <v>2.1150769884110424E-2</v>
      </c>
      <c r="S310" s="101">
        <f t="shared" si="85"/>
        <v>709.84584745432517</v>
      </c>
      <c r="T310" s="101">
        <f t="shared" si="86"/>
        <v>42.830175892478728</v>
      </c>
      <c r="U310" s="101">
        <f t="shared" si="87"/>
        <v>17.893273847648715</v>
      </c>
      <c r="V310" s="33">
        <f t="shared" si="88"/>
        <v>999.99999999999966</v>
      </c>
      <c r="W310" s="105">
        <f>IF(A310=1,((cPH1_+cPHr+(cNES*L310+(cNES+cOSEX)*G310+(cNES+cEREX)*H310+(cNES+cHOEX)*I310 + (cNES+cNES)*S310 +(cNES+ cOSEX)*N310 + (cNES+cEREX)*O310 + (cNES+cHOEX)*P310)))/(1+cDR)^A$5:A$65536,(cPHr+(cNES*L310+(cNES+cOSEX)*G310+(cNES+cEREX)*H310+(cNES+cHOEX)*I310 + (cNES+cNES)*S310 +(cNES+ cOSEX)*N310 + (cNES+cEREX)*O310 + (cNES+cHOEX)*P310))/(1+cDR)^A$5:A$65536)</f>
        <v>129929.0790930599</v>
      </c>
      <c r="X310" s="112">
        <f t="shared" si="89"/>
        <v>939.27655025987224</v>
      </c>
      <c r="Y310" s="32">
        <f>(uNES*L310+ uOCEX*G310+uEREX*'PH + UC'!H310+uHOEX*I310+uNES*S310+ uOCEX*N310+uEREX*O310+uHOEX*P310)/(1+oDR)^A$5:A$65536</f>
        <v>566.55370518340396</v>
      </c>
    </row>
    <row r="311" spans="1:25" x14ac:dyDescent="0.25">
      <c r="A311" s="4">
        <v>305</v>
      </c>
      <c r="C311" s="110">
        <f>IF(male=0,VLOOKUP(((A309:A1143/'Life tables'!$I$2)*2)+age,lifetable,13,1),IF(male=1,VLOOKUP(((A309:A1143/'Life tables'!$I$2)*2)+age,lifetable,10,1),"error"))</f>
        <v>2.1228983945331681E-4</v>
      </c>
      <c r="F311" s="101">
        <f t="shared" si="72"/>
        <v>149.76607875081274</v>
      </c>
      <c r="G311" s="101">
        <f t="shared" si="73"/>
        <v>15.044316053652709</v>
      </c>
      <c r="H311" s="101">
        <f t="shared" si="74"/>
        <v>0.34427069018337675</v>
      </c>
      <c r="I311" s="101">
        <f t="shared" si="75"/>
        <v>0.34427069018337675</v>
      </c>
      <c r="J311" s="101">
        <f t="shared" si="76"/>
        <v>3.5133742592372744E-2</v>
      </c>
      <c r="K311" s="101">
        <f t="shared" si="77"/>
        <v>2.6987076559394158E-2</v>
      </c>
      <c r="L311" s="101">
        <f t="shared" si="84"/>
        <v>133.97110049764152</v>
      </c>
      <c r="M311" s="101">
        <f t="shared" si="78"/>
        <v>789.51047150905947</v>
      </c>
      <c r="N311" s="101">
        <f t="shared" si="79"/>
        <v>76.031568981411993</v>
      </c>
      <c r="O311" s="101">
        <f t="shared" si="80"/>
        <v>1.8148656705212167</v>
      </c>
      <c r="P311" s="101">
        <f t="shared" si="81"/>
        <v>1.8148656705212167</v>
      </c>
      <c r="Q311" s="101">
        <f t="shared" si="82"/>
        <v>0.18451633589946703</v>
      </c>
      <c r="R311" s="101">
        <f t="shared" si="83"/>
        <v>2.1144740982722902E-2</v>
      </c>
      <c r="S311" s="101">
        <f t="shared" si="85"/>
        <v>709.64351010972291</v>
      </c>
      <c r="T311" s="101">
        <f t="shared" si="86"/>
        <v>43.049825970970566</v>
      </c>
      <c r="U311" s="101">
        <f t="shared" si="87"/>
        <v>17.941405665190832</v>
      </c>
      <c r="V311" s="33">
        <f t="shared" si="88"/>
        <v>999.99999999999966</v>
      </c>
      <c r="W311" s="105">
        <f>IF(A311=1,((cPH1_+cPHr+(cNES*L311+(cNES+cOSEX)*G311+(cNES+cEREX)*H311+(cNES+cHOEX)*I311 + (cNES+cNES)*S311 +(cNES+ cOSEX)*N311 + (cNES+cEREX)*O311 + (cNES+cHOEX)*P311)))/(1+cDR)^A$5:A$65536,(cPHr+(cNES*L311+(cNES+cOSEX)*G311+(cNES+cEREX)*H311+(cNES+cHOEX)*I311 + (cNES+cNES)*S311 +(cNES+ cOSEX)*N311 + (cNES+cEREX)*O311 + (cNES+cHOEX)*P311))/(1+cDR)^A$5:A$65536)</f>
        <v>129742.75152525454</v>
      </c>
      <c r="X311" s="112">
        <f t="shared" si="89"/>
        <v>939.00876836383827</v>
      </c>
      <c r="Y311" s="32">
        <f>(uNES*L311+ uOCEX*G311+uEREX*'PH + UC'!H311+uHOEX*I311+uNES*S311+ uOCEX*N311+uEREX*O311+uHOEX*P311)/(1+oDR)^A$5:A$65536</f>
        <v>566.22929651832794</v>
      </c>
    </row>
    <row r="312" spans="1:25" x14ac:dyDescent="0.25">
      <c r="A312" s="4">
        <v>306</v>
      </c>
      <c r="C312" s="110">
        <f>IF(male=0,VLOOKUP(((A310:A1144/'Life tables'!$I$2)*2)+age,lifetable,13,1),IF(male=1,VLOOKUP(((A310:A1144/'Life tables'!$I$2)*2)+age,lifetable,10,1),"error"))</f>
        <v>2.1228983945331681E-4</v>
      </c>
      <c r="F312" s="101">
        <f t="shared" si="72"/>
        <v>149.72334387460833</v>
      </c>
      <c r="G312" s="101">
        <f t="shared" si="73"/>
        <v>15.040023245898809</v>
      </c>
      <c r="H312" s="101">
        <f t="shared" si="74"/>
        <v>0.34417245455186052</v>
      </c>
      <c r="I312" s="101">
        <f t="shared" si="75"/>
        <v>0.34417245455186052</v>
      </c>
      <c r="J312" s="101">
        <f t="shared" si="76"/>
        <v>3.5123717384042484E-2</v>
      </c>
      <c r="K312" s="101">
        <f t="shared" si="77"/>
        <v>2.697937595465439E-2</v>
      </c>
      <c r="L312" s="101">
        <f t="shared" si="84"/>
        <v>133.93287262626711</v>
      </c>
      <c r="M312" s="101">
        <f t="shared" si="78"/>
        <v>789.28542448923008</v>
      </c>
      <c r="N312" s="101">
        <f t="shared" si="79"/>
        <v>76.009896465809362</v>
      </c>
      <c r="O312" s="101">
        <f t="shared" si="80"/>
        <v>1.8143483498202502</v>
      </c>
      <c r="P312" s="101">
        <f t="shared" si="81"/>
        <v>1.8143483498202502</v>
      </c>
      <c r="Q312" s="101">
        <f t="shared" si="82"/>
        <v>0.184463740205043</v>
      </c>
      <c r="R312" s="101">
        <f t="shared" si="83"/>
        <v>2.1138713753047114E-2</v>
      </c>
      <c r="S312" s="101">
        <f t="shared" si="85"/>
        <v>709.44122886982211</v>
      </c>
      <c r="T312" s="101">
        <f t="shared" si="86"/>
        <v>43.269413428559652</v>
      </c>
      <c r="U312" s="101">
        <f t="shared" si="87"/>
        <v>17.989523754898535</v>
      </c>
      <c r="V312" s="33">
        <f t="shared" si="88"/>
        <v>999.99999999999989</v>
      </c>
      <c r="W312" s="105">
        <f>IF(A312=1,((cPH1_+cPHr+(cNES*L312+(cNES+cOSEX)*G312+(cNES+cEREX)*H312+(cNES+cHOEX)*I312 + (cNES+cNES)*S312 +(cNES+ cOSEX)*N312 + (cNES+cEREX)*O312 + (cNES+cHOEX)*P312)))/(1+cDR)^A$5:A$65536,(cPHr+(cNES*L312+(cNES+cOSEX)*G312+(cNES+cEREX)*H312+(cNES+cHOEX)*I312 + (cNES+cNES)*S312 +(cNES+ cOSEX)*N312 + (cNES+cEREX)*O312 + (cNES+cHOEX)*P312))/(1+cDR)^A$5:A$65536)</f>
        <v>129556.69106493771</v>
      </c>
      <c r="X312" s="112">
        <f t="shared" si="89"/>
        <v>938.74106281654156</v>
      </c>
      <c r="Y312" s="32">
        <f>(uNES*L312+ uOCEX*G312+uEREX*'PH + UC'!H312+uHOEX*I312+uNES*S312+ uOCEX*N312+uEREX*O312+uHOEX*P312)/(1+oDR)^A$5:A$65536</f>
        <v>565.90507361250047</v>
      </c>
    </row>
    <row r="313" spans="1:25" x14ac:dyDescent="0.25">
      <c r="A313" s="4">
        <v>307</v>
      </c>
      <c r="C313" s="110">
        <f>IF(male=0,VLOOKUP(((A311:A1145/'Life tables'!$I$2)*2)+age,lifetable,13,1),IF(male=1,VLOOKUP(((A311:A1145/'Life tables'!$I$2)*2)+age,lifetable,10,1),"error"))</f>
        <v>2.1228983945331681E-4</v>
      </c>
      <c r="F313" s="101">
        <f t="shared" si="72"/>
        <v>149.68062286695442</v>
      </c>
      <c r="G313" s="101">
        <f t="shared" si="73"/>
        <v>15.035731831269832</v>
      </c>
      <c r="H313" s="101">
        <f t="shared" si="74"/>
        <v>0.34407425080029663</v>
      </c>
      <c r="I313" s="101">
        <f t="shared" si="75"/>
        <v>0.34407425080029663</v>
      </c>
      <c r="J313" s="101">
        <f t="shared" si="76"/>
        <v>3.5113695429146455E-2</v>
      </c>
      <c r="K313" s="101">
        <f t="shared" si="77"/>
        <v>2.6971677848956051E-2</v>
      </c>
      <c r="L313" s="101">
        <f t="shared" si="84"/>
        <v>133.89465716080591</v>
      </c>
      <c r="M313" s="101">
        <f t="shared" si="78"/>
        <v>789.06043994958725</v>
      </c>
      <c r="N313" s="101">
        <f t="shared" si="79"/>
        <v>75.988229967184068</v>
      </c>
      <c r="O313" s="101">
        <f t="shared" si="80"/>
        <v>1.8138311727439089</v>
      </c>
      <c r="P313" s="101">
        <f t="shared" si="81"/>
        <v>1.8138311727439089</v>
      </c>
      <c r="Q313" s="101">
        <f t="shared" si="82"/>
        <v>0.18441115911285108</v>
      </c>
      <c r="R313" s="101">
        <f t="shared" si="83"/>
        <v>2.1132688196721341E-2</v>
      </c>
      <c r="S313" s="101">
        <f t="shared" si="85"/>
        <v>709.23900378960582</v>
      </c>
      <c r="T313" s="101">
        <f t="shared" si="86"/>
        <v>43.488938283101646</v>
      </c>
      <c r="U313" s="101">
        <f t="shared" si="87"/>
        <v>18.037628120944213</v>
      </c>
      <c r="V313" s="33">
        <f t="shared" si="88"/>
        <v>999.99999999999989</v>
      </c>
      <c r="W313" s="105">
        <f>IF(A313=1,((cPH1_+cPHr+(cNES*L313+(cNES+cOSEX)*G313+(cNES+cEREX)*H313+(cNES+cHOEX)*I313 + (cNES+cNES)*S313 +(cNES+ cOSEX)*N313 + (cNES+cEREX)*O313 + (cNES+cHOEX)*P313)))/(1+cDR)^A$5:A$65536,(cPHr+(cNES*L313+(cNES+cOSEX)*G313+(cNES+cEREX)*H313+(cNES+cHOEX)*I313 + (cNES+cNES)*S313 +(cNES+ cOSEX)*N313 + (cNES+cEREX)*O313 + (cNES+cHOEX)*P313))/(1+cDR)^A$5:A$65536)</f>
        <v>129370.89733384451</v>
      </c>
      <c r="X313" s="112">
        <f t="shared" si="89"/>
        <v>938.47343359595402</v>
      </c>
      <c r="Y313" s="32">
        <f>(uNES*L313+ uOCEX*G313+uEREX*'PH + UC'!H313+uHOEX*I313+uNES*S313+ uOCEX*N313+uEREX*O313+uHOEX*P313)/(1+oDR)^A$5:A$65536</f>
        <v>565.58103635942666</v>
      </c>
    </row>
    <row r="314" spans="1:25" x14ac:dyDescent="0.25">
      <c r="A314" s="4">
        <v>308</v>
      </c>
      <c r="C314" s="110">
        <f>IF(male=0,VLOOKUP(((A312:A1146/'Life tables'!$I$2)*2)+age,lifetable,13,1),IF(male=1,VLOOKUP(((A312:A1146/'Life tables'!$I$2)*2)+age,lifetable,10,1),"error"))</f>
        <v>2.1228983945331681E-4</v>
      </c>
      <c r="F314" s="101">
        <f t="shared" si="72"/>
        <v>149.63791564821585</v>
      </c>
      <c r="G314" s="101">
        <f t="shared" si="73"/>
        <v>15.031441801766258</v>
      </c>
      <c r="H314" s="101">
        <f t="shared" si="74"/>
        <v>0.34397607874562597</v>
      </c>
      <c r="I314" s="101">
        <f t="shared" si="75"/>
        <v>0.34397607874562597</v>
      </c>
      <c r="J314" s="101">
        <f t="shared" si="76"/>
        <v>3.5103676709002919E-2</v>
      </c>
      <c r="K314" s="101">
        <f t="shared" si="77"/>
        <v>2.6963982227949275E-2</v>
      </c>
      <c r="L314" s="101">
        <f t="shared" si="84"/>
        <v>133.85645403002138</v>
      </c>
      <c r="M314" s="101">
        <f t="shared" si="78"/>
        <v>788.83551794773814</v>
      </c>
      <c r="N314" s="101">
        <f t="shared" si="79"/>
        <v>75.966569491083817</v>
      </c>
      <c r="O314" s="101">
        <f t="shared" si="80"/>
        <v>1.8133141394246159</v>
      </c>
      <c r="P314" s="101">
        <f t="shared" si="81"/>
        <v>1.8133141394246159</v>
      </c>
      <c r="Q314" s="101">
        <f t="shared" si="82"/>
        <v>0.18435859263635448</v>
      </c>
      <c r="R314" s="101">
        <f t="shared" si="83"/>
        <v>2.1126664315288424E-2</v>
      </c>
      <c r="S314" s="101">
        <f t="shared" si="85"/>
        <v>709.03683492085338</v>
      </c>
      <c r="T314" s="101">
        <f t="shared" si="86"/>
        <v>43.708400552447003</v>
      </c>
      <c r="U314" s="101">
        <f t="shared" si="87"/>
        <v>18.08571876748745</v>
      </c>
      <c r="V314" s="33">
        <f t="shared" si="88"/>
        <v>999.99999999999977</v>
      </c>
      <c r="W314" s="105">
        <f>IF(A314=1,((cPH1_+cPHr+(cNES*L314+(cNES+cOSEX)*G314+(cNES+cEREX)*H314+(cNES+cHOEX)*I314 + (cNES+cNES)*S314 +(cNES+ cOSEX)*N314 + (cNES+cEREX)*O314 + (cNES+cHOEX)*P314)))/(1+cDR)^A$5:A$65536,(cPHr+(cNES*L314+(cNES+cOSEX)*G314+(cNES+cEREX)*H314+(cNES+cHOEX)*I314 + (cNES+cNES)*S314 +(cNES+ cOSEX)*N314 + (cNES+cEREX)*O314 + (cNES+cHOEX)*P314))/(1+cDR)^A$5:A$65536)</f>
        <v>129185.36995403217</v>
      </c>
      <c r="X314" s="112">
        <f t="shared" si="89"/>
        <v>938.20588068006532</v>
      </c>
      <c r="Y314" s="32">
        <f>(uNES*L314+ uOCEX*G314+uEREX*'PH + UC'!H314+uHOEX*I314+uNES*S314+ uOCEX*N314+uEREX*O314+uHOEX*P314)/(1+oDR)^A$5:A$65536</f>
        <v>565.25718465267664</v>
      </c>
    </row>
    <row r="315" spans="1:25" x14ac:dyDescent="0.25">
      <c r="A315" s="4">
        <v>309</v>
      </c>
      <c r="C315" s="110">
        <f>IF(male=0,VLOOKUP(((A313:A1147/'Life tables'!$I$2)*2)+age,lifetable,13,1),IF(male=1,VLOOKUP(((A313:A1147/'Life tables'!$I$2)*2)+age,lifetable,10,1),"error"))</f>
        <v>2.1228983945331681E-4</v>
      </c>
      <c r="F315" s="101">
        <f t="shared" si="72"/>
        <v>149.59522214217893</v>
      </c>
      <c r="G315" s="101">
        <f t="shared" si="73"/>
        <v>15.027153149732262</v>
      </c>
      <c r="H315" s="101">
        <f t="shared" si="74"/>
        <v>0.34387793821265428</v>
      </c>
      <c r="I315" s="101">
        <f t="shared" si="75"/>
        <v>0.34387793821265428</v>
      </c>
      <c r="J315" s="101">
        <f t="shared" si="76"/>
        <v>3.5093661205732908E-2</v>
      </c>
      <c r="K315" s="101">
        <f t="shared" si="77"/>
        <v>2.6956289077900764E-2</v>
      </c>
      <c r="L315" s="101">
        <f t="shared" si="84"/>
        <v>133.81826316573773</v>
      </c>
      <c r="M315" s="101">
        <f t="shared" si="78"/>
        <v>788.61065853788637</v>
      </c>
      <c r="N315" s="101">
        <f t="shared" si="79"/>
        <v>75.94491504272851</v>
      </c>
      <c r="O315" s="101">
        <f t="shared" si="80"/>
        <v>1.8127972499869704</v>
      </c>
      <c r="P315" s="101">
        <f t="shared" si="81"/>
        <v>1.8127972499869704</v>
      </c>
      <c r="Q315" s="101">
        <f t="shared" si="82"/>
        <v>0.18430604078822124</v>
      </c>
      <c r="R315" s="101">
        <f t="shared" si="83"/>
        <v>2.1120642110200056E-2</v>
      </c>
      <c r="S315" s="101">
        <f t="shared" si="85"/>
        <v>708.83472231228552</v>
      </c>
      <c r="T315" s="101">
        <f t="shared" si="86"/>
        <v>43.92780025444096</v>
      </c>
      <c r="U315" s="101">
        <f t="shared" si="87"/>
        <v>18.133795698675549</v>
      </c>
      <c r="V315" s="33">
        <f t="shared" si="88"/>
        <v>999.99999999999977</v>
      </c>
      <c r="W315" s="105">
        <f>IF(A315=1,((cPH1_+cPHr+(cNES*L315+(cNES+cOSEX)*G315+(cNES+cEREX)*H315+(cNES+cHOEX)*I315 + (cNES+cNES)*S315 +(cNES+ cOSEX)*N315 + (cNES+cEREX)*O315 + (cNES+cHOEX)*P315)))/(1+cDR)^A$5:A$65536,(cPHr+(cNES*L315+(cNES+cOSEX)*G315+(cNES+cEREX)*H315+(cNES+cHOEX)*I315 + (cNES+cNES)*S315 +(cNES+ cOSEX)*N315 + (cNES+cEREX)*O315 + (cNES+cHOEX)*P315))/(1+cDR)^A$5:A$65536)</f>
        <v>129000.10854788925</v>
      </c>
      <c r="X315" s="112">
        <f t="shared" si="89"/>
        <v>937.93840404688331</v>
      </c>
      <c r="Y315" s="32">
        <f>(uNES*L315+ uOCEX*G315+uEREX*'PH + UC'!H315+uHOEX*I315+uNES*S315+ uOCEX*N315+uEREX*O315+uHOEX*P315)/(1+oDR)^A$5:A$65536</f>
        <v>564.93351838588865</v>
      </c>
    </row>
    <row r="316" spans="1:25" x14ac:dyDescent="0.25">
      <c r="A316" s="4">
        <v>310</v>
      </c>
      <c r="C316" s="110">
        <f>IF(male=0,VLOOKUP(((A314:A1148/'Life tables'!$I$2)*2)+age,lifetable,13,1),IF(male=1,VLOOKUP(((A314:A1148/'Life tables'!$I$2)*2)+age,lifetable,10,1),"error"))</f>
        <v>2.1228983945331681E-4</v>
      </c>
      <c r="F316" s="101">
        <f t="shared" si="72"/>
        <v>149.55254227589828</v>
      </c>
      <c r="G316" s="101">
        <f t="shared" si="73"/>
        <v>15.022865867840332</v>
      </c>
      <c r="H316" s="101">
        <f t="shared" si="74"/>
        <v>0.34377982903370047</v>
      </c>
      <c r="I316" s="101">
        <f t="shared" si="75"/>
        <v>0.34377982903370047</v>
      </c>
      <c r="J316" s="101">
        <f t="shared" si="76"/>
        <v>3.5083648902224061E-2</v>
      </c>
      <c r="K316" s="101">
        <f t="shared" si="77"/>
        <v>2.6948598385666125E-2</v>
      </c>
      <c r="L316" s="101">
        <f t="shared" si="84"/>
        <v>133.78008450270266</v>
      </c>
      <c r="M316" s="101">
        <f t="shared" si="78"/>
        <v>788.385861770985</v>
      </c>
      <c r="N316" s="101">
        <f t="shared" si="79"/>
        <v>75.923266627025058</v>
      </c>
      <c r="O316" s="101">
        <f t="shared" si="80"/>
        <v>1.812280504548099</v>
      </c>
      <c r="P316" s="101">
        <f t="shared" si="81"/>
        <v>1.812280504548099</v>
      </c>
      <c r="Q316" s="101">
        <f t="shared" si="82"/>
        <v>0.18425350358035955</v>
      </c>
      <c r="R316" s="101">
        <f t="shared" si="83"/>
        <v>2.1114621582820858E-2</v>
      </c>
      <c r="S316" s="101">
        <f t="shared" si="85"/>
        <v>708.63266600970053</v>
      </c>
      <c r="T316" s="101">
        <f t="shared" si="86"/>
        <v>44.147137406923541</v>
      </c>
      <c r="U316" s="101">
        <f t="shared" si="87"/>
        <v>18.181858918644036</v>
      </c>
      <c r="V316" s="33">
        <f t="shared" si="88"/>
        <v>999.99999999999977</v>
      </c>
      <c r="W316" s="105">
        <f>IF(A316=1,((cPH1_+cPHr+(cNES*L316+(cNES+cOSEX)*G316+(cNES+cEREX)*H316+(cNES+cHOEX)*I316 + (cNES+cNES)*S316 +(cNES+ cOSEX)*N316 + (cNES+cEREX)*O316 + (cNES+cHOEX)*P316)))/(1+cDR)^A$5:A$65536,(cPHr+(cNES*L316+(cNES+cOSEX)*G316+(cNES+cEREX)*H316+(cNES+cHOEX)*I316 + (cNES+cNES)*S316 +(cNES+ cOSEX)*N316 + (cNES+cEREX)*O316 + (cNES+cHOEX)*P316))/(1+cDR)^A$5:A$65536)</f>
        <v>128815.11273814522</v>
      </c>
      <c r="X316" s="112">
        <f t="shared" si="89"/>
        <v>937.6710036744322</v>
      </c>
      <c r="Y316" s="32">
        <f>(uNES*L316+ uOCEX*G316+uEREX*'PH + UC'!H316+uHOEX*I316+uNES*S316+ uOCEX*N316+uEREX*O316+uHOEX*P316)/(1+oDR)^A$5:A$65536</f>
        <v>564.61003745276662</v>
      </c>
    </row>
    <row r="317" spans="1:25" x14ac:dyDescent="0.25">
      <c r="A317" s="4">
        <v>311</v>
      </c>
      <c r="C317" s="110">
        <f>IF(male=0,VLOOKUP(((A315:A1149/'Life tables'!$I$2)*2)+age,lifetable,13,1),IF(male=1,VLOOKUP(((A315:A1149/'Life tables'!$I$2)*2)+age,lifetable,10,1),"error"))</f>
        <v>2.1228983945331681E-4</v>
      </c>
      <c r="F317" s="101">
        <f t="shared" si="72"/>
        <v>149.50987597954972</v>
      </c>
      <c r="G317" s="101">
        <f t="shared" si="73"/>
        <v>15.018579949076482</v>
      </c>
      <c r="H317" s="101">
        <f t="shared" si="74"/>
        <v>0.3436817510482581</v>
      </c>
      <c r="I317" s="101">
        <f t="shared" si="75"/>
        <v>0.3436817510482581</v>
      </c>
      <c r="J317" s="101">
        <f t="shared" si="76"/>
        <v>3.5073639782096301E-2</v>
      </c>
      <c r="K317" s="101">
        <f t="shared" si="77"/>
        <v>2.6940910138663413E-2</v>
      </c>
      <c r="L317" s="101">
        <f t="shared" si="84"/>
        <v>133.74191797845597</v>
      </c>
      <c r="M317" s="101">
        <f t="shared" si="78"/>
        <v>788.16112769488257</v>
      </c>
      <c r="N317" s="101">
        <f t="shared" si="79"/>
        <v>75.901624248581356</v>
      </c>
      <c r="O317" s="101">
        <f t="shared" si="80"/>
        <v>1.8117639032179926</v>
      </c>
      <c r="P317" s="101">
        <f t="shared" si="81"/>
        <v>1.8117639032179926</v>
      </c>
      <c r="Q317" s="101">
        <f t="shared" si="82"/>
        <v>0.18420098102395199</v>
      </c>
      <c r="R317" s="101">
        <f t="shared" si="83"/>
        <v>2.1108602734432318E-2</v>
      </c>
      <c r="S317" s="101">
        <f t="shared" si="85"/>
        <v>708.43066605610682</v>
      </c>
      <c r="T317" s="101">
        <f t="shared" si="86"/>
        <v>44.366412027729588</v>
      </c>
      <c r="U317" s="101">
        <f t="shared" si="87"/>
        <v>18.229908431517131</v>
      </c>
      <c r="V317" s="33">
        <f t="shared" si="88"/>
        <v>999.99999999999977</v>
      </c>
      <c r="W317" s="105">
        <f>IF(A317=1,((cPH1_+cPHr+(cNES*L317+(cNES+cOSEX)*G317+(cNES+cEREX)*H317+(cNES+cHOEX)*I317 + (cNES+cNES)*S317 +(cNES+ cOSEX)*N317 + (cNES+cEREX)*O317 + (cNES+cHOEX)*P317)))/(1+cDR)^A$5:A$65536,(cPHr+(cNES*L317+(cNES+cOSEX)*G317+(cNES+cEREX)*H317+(cNES+cHOEX)*I317 + (cNES+cNES)*S317 +(cNES+ cOSEX)*N317 + (cNES+cEREX)*O317 + (cNES+cHOEX)*P317))/(1+cDR)^A$5:A$65536)</f>
        <v>128630.38214787899</v>
      </c>
      <c r="X317" s="112">
        <f t="shared" si="89"/>
        <v>937.40367954075305</v>
      </c>
      <c r="Y317" s="32">
        <f>(uNES*L317+ uOCEX*G317+uEREX*'PH + UC'!H317+uHOEX*I317+uNES*S317+ uOCEX*N317+uEREX*O317+uHOEX*P317)/(1+oDR)^A$5:A$65536</f>
        <v>564.28674174708078</v>
      </c>
    </row>
    <row r="318" spans="1:25" x14ac:dyDescent="0.25">
      <c r="A318" s="4">
        <v>312</v>
      </c>
      <c r="C318" s="110">
        <f>IF(male=0,VLOOKUP(((A316:A1150/'Life tables'!$I$2)*2)+age,lifetable,13,1),IF(male=1,VLOOKUP(((A316:A1150/'Life tables'!$I$2)*2)+age,lifetable,10,1),"error"))</f>
        <v>2.1228983945331681E-4</v>
      </c>
      <c r="F318" s="101">
        <f t="shared" si="72"/>
        <v>149.46722318629028</v>
      </c>
      <c r="G318" s="101">
        <f t="shared" si="73"/>
        <v>15.014295386726193</v>
      </c>
      <c r="H318" s="101">
        <f t="shared" si="74"/>
        <v>0.34358370410267364</v>
      </c>
      <c r="I318" s="101">
        <f t="shared" si="75"/>
        <v>0.34358370410267364</v>
      </c>
      <c r="J318" s="101">
        <f t="shared" si="76"/>
        <v>3.5063633829668872E-2</v>
      </c>
      <c r="K318" s="101">
        <f t="shared" si="77"/>
        <v>2.6933224324847856E-2</v>
      </c>
      <c r="L318" s="101">
        <f t="shared" si="84"/>
        <v>133.70376353320424</v>
      </c>
      <c r="M318" s="101">
        <f t="shared" si="78"/>
        <v>787.93645635446273</v>
      </c>
      <c r="N318" s="101">
        <f t="shared" si="79"/>
        <v>75.879987911719837</v>
      </c>
      <c r="O318" s="101">
        <f t="shared" si="80"/>
        <v>1.811247446099826</v>
      </c>
      <c r="P318" s="101">
        <f t="shared" si="81"/>
        <v>1.811247446099826</v>
      </c>
      <c r="Q318" s="101">
        <f t="shared" si="82"/>
        <v>0.1841484731294884</v>
      </c>
      <c r="R318" s="101">
        <f t="shared" si="83"/>
        <v>2.1102585566236516E-2</v>
      </c>
      <c r="S318" s="101">
        <f t="shared" si="85"/>
        <v>708.22872249184752</v>
      </c>
      <c r="T318" s="101">
        <f t="shared" si="86"/>
        <v>44.585624134688743</v>
      </c>
      <c r="U318" s="101">
        <f t="shared" si="87"/>
        <v>18.277944241408214</v>
      </c>
      <c r="V318" s="33">
        <f t="shared" si="88"/>
        <v>999.99999999999977</v>
      </c>
      <c r="W318" s="105">
        <f>IF(A318=1,((cPH1_+cPHr+(cNES*L318+(cNES+cOSEX)*G318+(cNES+cEREX)*H318+(cNES+cHOEX)*I318 + (cNES+cNES)*S318 +(cNES+ cOSEX)*N318 + (cNES+cEREX)*O318 + (cNES+cHOEX)*P318)))/(1+cDR)^A$5:A$65536,(cPHr+(cNES*L318+(cNES+cOSEX)*G318+(cNES+cEREX)*H318+(cNES+cHOEX)*I318 + (cNES+cNES)*S318 +(cNES+ cOSEX)*N318 + (cNES+cEREX)*O318 + (cNES+cHOEX)*P318))/(1+cDR)^A$5:A$65536)</f>
        <v>128445.91640052736</v>
      </c>
      <c r="X318" s="112">
        <f t="shared" si="89"/>
        <v>937.13643162390281</v>
      </c>
      <c r="Y318" s="32">
        <f>(uNES*L318+ uOCEX*G318+uEREX*'PH + UC'!H318+uHOEX*I318+uNES*S318+ uOCEX*N318+uEREX*O318+uHOEX*P318)/(1+oDR)^A$5:A$65536</f>
        <v>563.96363116266605</v>
      </c>
    </row>
    <row r="319" spans="1:25" x14ac:dyDescent="0.25">
      <c r="A319" s="4">
        <v>313</v>
      </c>
      <c r="C319" s="110">
        <f>IF(male=0,VLOOKUP(((A317:A1151/'Life tables'!$I$2)*2)+age,lifetable,13,1),IF(male=1,VLOOKUP(((A317:A1151/'Life tables'!$I$2)*2)+age,lifetable,10,1),"error"))</f>
        <v>2.3219220175896282E-4</v>
      </c>
      <c r="F319" s="101">
        <f t="shared" si="72"/>
        <v>149.42458383212437</v>
      </c>
      <c r="G319" s="101">
        <f t="shared" si="73"/>
        <v>15.010012174360975</v>
      </c>
      <c r="H319" s="101">
        <f t="shared" si="74"/>
        <v>0.34348568804983903</v>
      </c>
      <c r="I319" s="101">
        <f t="shared" si="75"/>
        <v>0.34348568804983903</v>
      </c>
      <c r="J319" s="101">
        <f t="shared" si="76"/>
        <v>3.8339940288453361E-2</v>
      </c>
      <c r="K319" s="101">
        <f t="shared" si="77"/>
        <v>2.6925540932687786E-2</v>
      </c>
      <c r="L319" s="101">
        <f t="shared" si="84"/>
        <v>133.66233480044258</v>
      </c>
      <c r="M319" s="101">
        <f t="shared" si="78"/>
        <v>787.7118477917785</v>
      </c>
      <c r="N319" s="101">
        <f t="shared" si="79"/>
        <v>75.858357620490253</v>
      </c>
      <c r="O319" s="101">
        <f t="shared" si="80"/>
        <v>1.8107311332902674</v>
      </c>
      <c r="P319" s="101">
        <f t="shared" si="81"/>
        <v>1.8107311332902674</v>
      </c>
      <c r="Q319" s="101">
        <f t="shared" si="82"/>
        <v>0.20135514266537879</v>
      </c>
      <c r="R319" s="101">
        <f t="shared" si="83"/>
        <v>2.1096570079359712E-2</v>
      </c>
      <c r="S319" s="101">
        <f t="shared" si="85"/>
        <v>708.00957619196299</v>
      </c>
      <c r="T319" s="101">
        <f t="shared" si="86"/>
        <v>44.825319217642573</v>
      </c>
      <c r="U319" s="101">
        <f t="shared" si="87"/>
        <v>18.325966352420263</v>
      </c>
      <c r="V319" s="33">
        <f t="shared" si="88"/>
        <v>999.99999999999977</v>
      </c>
      <c r="W319" s="105">
        <f>IF(A319=1,((cPH1_+cPHr+(cNES*L319+(cNES+cOSEX)*G319+(cNES+cEREX)*H319+(cNES+cHOEX)*I319 + (cNES+cNES)*S319 +(cNES+ cOSEX)*N319 + (cNES+cEREX)*O319 + (cNES+cHOEX)*P319)))/(1+cDR)^A$5:A$65536,(cPHr+(cNES*L319+(cNES+cOSEX)*G319+(cNES+cEREX)*H319+(cNES+cHOEX)*I319 + (cNES+cNES)*S319 +(cNES+ cOSEX)*N319 + (cNES+cEREX)*O319 + (cNES+cHOEX)*P319))/(1+cDR)^A$5:A$65536)</f>
        <v>128259.27691862771</v>
      </c>
      <c r="X319" s="112">
        <f t="shared" si="89"/>
        <v>936.84871442993699</v>
      </c>
      <c r="Y319" s="32">
        <f>(uNES*L319+ uOCEX*G319+uEREX*'PH + UC'!H319+uHOEX*I319+uNES*S319+ uOCEX*N319+uEREX*O319+uHOEX*P319)/(1+oDR)^A$5:A$65536</f>
        <v>563.62814403433379</v>
      </c>
    </row>
    <row r="320" spans="1:25" x14ac:dyDescent="0.25">
      <c r="A320" s="4">
        <v>314</v>
      </c>
      <c r="C320" s="110">
        <f>IF(male=0,VLOOKUP(((A318:A1152/'Life tables'!$I$2)*2)+age,lifetable,13,1),IF(male=1,VLOOKUP(((A318:A1152/'Life tables'!$I$2)*2)+age,lifetable,10,1),"error"))</f>
        <v>2.3219220175896282E-4</v>
      </c>
      <c r="F320" s="101">
        <f t="shared" si="72"/>
        <v>149.3786716030643</v>
      </c>
      <c r="G320" s="101">
        <f t="shared" si="73"/>
        <v>15.00540019486289</v>
      </c>
      <c r="H320" s="101">
        <f t="shared" si="74"/>
        <v>0.34338014856507582</v>
      </c>
      <c r="I320" s="101">
        <f t="shared" si="75"/>
        <v>0.34338014856507582</v>
      </c>
      <c r="J320" s="101">
        <f t="shared" si="76"/>
        <v>3.8328159950335436E-2</v>
      </c>
      <c r="K320" s="101">
        <f t="shared" si="77"/>
        <v>2.6917267785316959E-2</v>
      </c>
      <c r="L320" s="101">
        <f t="shared" si="84"/>
        <v>133.62126568333562</v>
      </c>
      <c r="M320" s="101">
        <f t="shared" si="78"/>
        <v>787.4700428268726</v>
      </c>
      <c r="N320" s="101">
        <f t="shared" si="79"/>
        <v>75.835071278468533</v>
      </c>
      <c r="O320" s="101">
        <f t="shared" si="80"/>
        <v>1.8101752907199586</v>
      </c>
      <c r="P320" s="101">
        <f t="shared" si="81"/>
        <v>1.8101752907199586</v>
      </c>
      <c r="Q320" s="101">
        <f t="shared" si="82"/>
        <v>0.20129333240653569</v>
      </c>
      <c r="R320" s="101">
        <f t="shared" si="83"/>
        <v>2.1090094036880506E-2</v>
      </c>
      <c r="S320" s="101">
        <f t="shared" si="85"/>
        <v>707.79223754052077</v>
      </c>
      <c r="T320" s="101">
        <f t="shared" si="86"/>
        <v>45.064940709999441</v>
      </c>
      <c r="U320" s="101">
        <f t="shared" si="87"/>
        <v>18.37397371424246</v>
      </c>
      <c r="V320" s="33">
        <f t="shared" si="88"/>
        <v>999.99999999999977</v>
      </c>
      <c r="W320" s="105">
        <f>IF(A320=1,((cPH1_+cPHr+(cNES*L320+(cNES+cOSEX)*G320+(cNES+cEREX)*H320+(cNES+cHOEX)*I320 + (cNES+cNES)*S320 +(cNES+ cOSEX)*N320 + (cNES+cEREX)*O320 + (cNES+cHOEX)*P320)))/(1+cDR)^A$5:A$65536,(cPHr+(cNES*L320+(cNES+cOSEX)*G320+(cNES+cEREX)*H320+(cNES+cHOEX)*I320 + (cNES+cNES)*S320 +(cNES+ cOSEX)*N320 + (cNES+cEREX)*O320 + (cNES+cHOEX)*P320))/(1+cDR)^A$5:A$65536)</f>
        <v>128072.53551896651</v>
      </c>
      <c r="X320" s="112">
        <f t="shared" si="89"/>
        <v>936.56108557575794</v>
      </c>
      <c r="Y320" s="32">
        <f>(uNES*L320+ uOCEX*G320+uEREX*'PH + UC'!H320+uHOEX*I320+uNES*S320+ uOCEX*N320+uEREX*O320+uHOEX*P320)/(1+oDR)^A$5:A$65536</f>
        <v>563.2930573266965</v>
      </c>
    </row>
    <row r="321" spans="1:25" x14ac:dyDescent="0.25">
      <c r="A321" s="4">
        <v>315</v>
      </c>
      <c r="C321" s="110">
        <f>IF(male=0,VLOOKUP(((A319:A1153/'Life tables'!$I$2)*2)+age,lifetable,13,1),IF(male=1,VLOOKUP(((A319:A1153/'Life tables'!$I$2)*2)+age,lifetable,10,1),"error"))</f>
        <v>2.3219220175896282E-4</v>
      </c>
      <c r="F321" s="101">
        <f t="shared" si="72"/>
        <v>149.33277510097437</v>
      </c>
      <c r="G321" s="101">
        <f t="shared" si="73"/>
        <v>15.000789795171871</v>
      </c>
      <c r="H321" s="101">
        <f t="shared" si="74"/>
        <v>0.34327464523225643</v>
      </c>
      <c r="I321" s="101">
        <f t="shared" si="75"/>
        <v>0.34327464523225643</v>
      </c>
      <c r="J321" s="101">
        <f t="shared" si="76"/>
        <v>3.8316383647504601E-2</v>
      </c>
      <c r="K321" s="101">
        <f t="shared" si="77"/>
        <v>2.6908997471865204E-2</v>
      </c>
      <c r="L321" s="101">
        <f t="shared" si="84"/>
        <v>133.58021063421862</v>
      </c>
      <c r="M321" s="101">
        <f t="shared" si="78"/>
        <v>787.22831047478348</v>
      </c>
      <c r="N321" s="101">
        <f t="shared" si="79"/>
        <v>75.811791929218387</v>
      </c>
      <c r="O321" s="101">
        <f t="shared" si="80"/>
        <v>1.8096196150663826</v>
      </c>
      <c r="P321" s="101">
        <f t="shared" si="81"/>
        <v>1.8096196150663826</v>
      </c>
      <c r="Q321" s="101">
        <f t="shared" si="82"/>
        <v>0.20123154070900287</v>
      </c>
      <c r="R321" s="101">
        <f t="shared" si="83"/>
        <v>2.1083619939124335E-2</v>
      </c>
      <c r="S321" s="101">
        <f t="shared" si="85"/>
        <v>707.5749641547842</v>
      </c>
      <c r="T321" s="101">
        <f t="shared" si="86"/>
        <v>45.304488634355948</v>
      </c>
      <c r="U321" s="101">
        <f t="shared" si="87"/>
        <v>18.421966331653451</v>
      </c>
      <c r="V321" s="33">
        <f t="shared" si="88"/>
        <v>999.99999999999977</v>
      </c>
      <c r="W321" s="105">
        <f>IF(A321=1,((cPH1_+cPHr+(cNES*L321+(cNES+cOSEX)*G321+(cNES+cEREX)*H321+(cNES+cHOEX)*I321 + (cNES+cNES)*S321 +(cNES+ cOSEX)*N321 + (cNES+cEREX)*O321 + (cNES+cHOEX)*P321)))/(1+cDR)^A$5:A$65536,(cPHr+(cNES*L321+(cNES+cOSEX)*G321+(cNES+cEREX)*H321+(cNES+cHOEX)*I321 + (cNES+cNES)*S321 +(cNES+ cOSEX)*N321 + (cNES+cEREX)*O321 + (cNES+cHOEX)*P321))/(1+cDR)^A$5:A$65536)</f>
        <v>127886.0659181113</v>
      </c>
      <c r="X321" s="112">
        <f t="shared" si="89"/>
        <v>936.27354503399033</v>
      </c>
      <c r="Y321" s="32">
        <f>(uNES*L321+ uOCEX*G321+uEREX*'PH + UC'!H321+uHOEX*I321+uNES*S321+ uOCEX*N321+uEREX*O321+uHOEX*P321)/(1+oDR)^A$5:A$65536</f>
        <v>562.95816983653776</v>
      </c>
    </row>
    <row r="322" spans="1:25" x14ac:dyDescent="0.25">
      <c r="A322" s="4">
        <v>316</v>
      </c>
      <c r="C322" s="110">
        <f>IF(male=0,VLOOKUP(((A320:A1154/'Life tables'!$I$2)*2)+age,lifetable,13,1),IF(male=1,VLOOKUP(((A320:A1154/'Life tables'!$I$2)*2)+age,lifetable,10,1),"error"))</f>
        <v>2.3219220175896282E-4</v>
      </c>
      <c r="F322" s="101">
        <f t="shared" si="72"/>
        <v>149.28689424773515</v>
      </c>
      <c r="G322" s="101">
        <f t="shared" si="73"/>
        <v>14.996180967440655</v>
      </c>
      <c r="H322" s="101">
        <f t="shared" si="74"/>
        <v>0.34316917787180595</v>
      </c>
      <c r="I322" s="101">
        <f t="shared" si="75"/>
        <v>0.34316917787180595</v>
      </c>
      <c r="J322" s="101">
        <f t="shared" si="76"/>
        <v>3.830461135991671E-2</v>
      </c>
      <c r="K322" s="101">
        <f t="shared" si="77"/>
        <v>2.6900729978255804E-2</v>
      </c>
      <c r="L322" s="101">
        <f t="shared" si="84"/>
        <v>133.5391695832127</v>
      </c>
      <c r="M322" s="101">
        <f t="shared" si="78"/>
        <v>786.98665078625527</v>
      </c>
      <c r="N322" s="101">
        <f t="shared" si="79"/>
        <v>75.788519577626602</v>
      </c>
      <c r="O322" s="101">
        <f t="shared" si="80"/>
        <v>1.8090641064461861</v>
      </c>
      <c r="P322" s="101">
        <f t="shared" si="81"/>
        <v>1.8090641064461861</v>
      </c>
      <c r="Q322" s="101">
        <f t="shared" si="82"/>
        <v>0.20116976758575167</v>
      </c>
      <c r="R322" s="101">
        <f t="shared" si="83"/>
        <v>2.1077147787450241E-2</v>
      </c>
      <c r="S322" s="101">
        <f t="shared" si="85"/>
        <v>707.35775608036306</v>
      </c>
      <c r="T322" s="101">
        <f t="shared" si="86"/>
        <v>45.543963013301614</v>
      </c>
      <c r="U322" s="101">
        <f t="shared" si="87"/>
        <v>18.469944209419157</v>
      </c>
      <c r="V322" s="33">
        <f t="shared" si="88"/>
        <v>999.99999999999989</v>
      </c>
      <c r="W322" s="105">
        <f>IF(A322=1,((cPH1_+cPHr+(cNES*L322+(cNES+cOSEX)*G322+(cNES+cEREX)*H322+(cNES+cHOEX)*I322 + (cNES+cNES)*S322 +(cNES+ cOSEX)*N322 + (cNES+cEREX)*O322 + (cNES+cHOEX)*P322)))/(1+cDR)^A$5:A$65536,(cPHr+(cNES*L322+(cNES+cOSEX)*G322+(cNES+cEREX)*H322+(cNES+cHOEX)*I322 + (cNES+cNES)*S322 +(cNES+ cOSEX)*N322 + (cNES+cEREX)*O322 + (cNES+cHOEX)*P322))/(1+cDR)^A$5:A$65536)</f>
        <v>127699.8677247122</v>
      </c>
      <c r="X322" s="112">
        <f t="shared" si="89"/>
        <v>935.98609277727905</v>
      </c>
      <c r="Y322" s="32">
        <f>(uNES*L322+ uOCEX*G322+uEREX*'PH + UC'!H322+uHOEX*I322+uNES*S322+ uOCEX*N322+uEREX*O322+uHOEX*P322)/(1+oDR)^A$5:A$65536</f>
        <v>562.62348144529926</v>
      </c>
    </row>
    <row r="323" spans="1:25" x14ac:dyDescent="0.25">
      <c r="A323" s="4">
        <v>317</v>
      </c>
      <c r="C323" s="110">
        <f>IF(male=0,VLOOKUP(((A321:A1155/'Life tables'!$I$2)*2)+age,lifetable,13,1),IF(male=1,VLOOKUP(((A321:A1155/'Life tables'!$I$2)*2)+age,lifetable,10,1),"error"))</f>
        <v>2.3219220175896282E-4</v>
      </c>
      <c r="F323" s="101">
        <f t="shared" si="72"/>
        <v>149.24102896854419</v>
      </c>
      <c r="G323" s="101">
        <f t="shared" si="73"/>
        <v>14.991573704155183</v>
      </c>
      <c r="H323" s="101">
        <f t="shared" si="74"/>
        <v>0.34306374631177428</v>
      </c>
      <c r="I323" s="101">
        <f t="shared" si="75"/>
        <v>0.34306374631177428</v>
      </c>
      <c r="J323" s="101">
        <f t="shared" si="76"/>
        <v>3.8292843068378615E-2</v>
      </c>
      <c r="K323" s="101">
        <f t="shared" si="77"/>
        <v>2.6892465291009741E-2</v>
      </c>
      <c r="L323" s="101">
        <f t="shared" si="84"/>
        <v>133.49814246340605</v>
      </c>
      <c r="M323" s="101">
        <f t="shared" si="78"/>
        <v>786.74506380873481</v>
      </c>
      <c r="N323" s="101">
        <f t="shared" si="79"/>
        <v>75.765254228262393</v>
      </c>
      <c r="O323" s="101">
        <f t="shared" si="80"/>
        <v>1.8085087649684362</v>
      </c>
      <c r="P323" s="101">
        <f t="shared" si="81"/>
        <v>1.8085087649684362</v>
      </c>
      <c r="Q323" s="101">
        <f t="shared" si="82"/>
        <v>0.20110801304891046</v>
      </c>
      <c r="R323" s="101">
        <f t="shared" si="83"/>
        <v>2.107067758312894E-2</v>
      </c>
      <c r="S323" s="101">
        <f t="shared" si="85"/>
        <v>707.14061335990345</v>
      </c>
      <c r="T323" s="101">
        <f t="shared" si="86"/>
        <v>45.783363869418906</v>
      </c>
      <c r="U323" s="101">
        <f t="shared" si="87"/>
        <v>18.517907352293296</v>
      </c>
      <c r="V323" s="33">
        <f t="shared" si="88"/>
        <v>999.99999999999966</v>
      </c>
      <c r="W323" s="105">
        <f>IF(A323=1,((cPH1_+cPHr+(cNES*L323+(cNES+cOSEX)*G323+(cNES+cEREX)*H323+(cNES+cHOEX)*I323 + (cNES+cNES)*S323 +(cNES+ cOSEX)*N323 + (cNES+cEREX)*O323 + (cNES+cHOEX)*P323)))/(1+cDR)^A$5:A$65536,(cPHr+(cNES*L323+(cNES+cOSEX)*G323+(cNES+cEREX)*H323+(cNES+cHOEX)*I323 + (cNES+cNES)*S323 +(cNES+ cOSEX)*N323 + (cNES+cEREX)*O323 + (cNES+cHOEX)*P323))/(1+cDR)^A$5:A$65536)</f>
        <v>127513.94054778662</v>
      </c>
      <c r="X323" s="112">
        <f t="shared" si="89"/>
        <v>935.69872877828743</v>
      </c>
      <c r="Y323" s="32">
        <f>(uNES*L323+ uOCEX*G323+uEREX*'PH + UC'!H323+uHOEX*I323+uNES*S323+ uOCEX*N323+uEREX*O323+uHOEX*P323)/(1+oDR)^A$5:A$65536</f>
        <v>562.28899203449816</v>
      </c>
    </row>
    <row r="324" spans="1:25" x14ac:dyDescent="0.25">
      <c r="A324" s="4">
        <v>318</v>
      </c>
      <c r="C324" s="110">
        <f>IF(male=0,VLOOKUP(((A322:A1156/'Life tables'!$I$2)*2)+age,lifetable,13,1),IF(male=1,VLOOKUP(((A322:A1156/'Life tables'!$I$2)*2)+age,lifetable,10,1),"error"))</f>
        <v>2.3219220175896282E-4</v>
      </c>
      <c r="F324" s="101">
        <f t="shared" si="72"/>
        <v>149.19517919176738</v>
      </c>
      <c r="G324" s="101">
        <f t="shared" si="73"/>
        <v>14.986967998119656</v>
      </c>
      <c r="H324" s="101">
        <f t="shared" si="74"/>
        <v>0.34295835038749445</v>
      </c>
      <c r="I324" s="101">
        <f t="shared" si="75"/>
        <v>0.34295835038749445</v>
      </c>
      <c r="J324" s="101">
        <f t="shared" si="76"/>
        <v>3.8281078754510173E-2</v>
      </c>
      <c r="K324" s="101">
        <f t="shared" si="77"/>
        <v>2.6884203397218923E-2</v>
      </c>
      <c r="L324" s="101">
        <f t="shared" si="84"/>
        <v>133.45712921072101</v>
      </c>
      <c r="M324" s="101">
        <f t="shared" si="78"/>
        <v>786.50354958652019</v>
      </c>
      <c r="N324" s="101">
        <f t="shared" si="79"/>
        <v>75.741995885391773</v>
      </c>
      <c r="O324" s="101">
        <f t="shared" si="80"/>
        <v>1.807953590734962</v>
      </c>
      <c r="P324" s="101">
        <f t="shared" si="81"/>
        <v>1.807953590734962</v>
      </c>
      <c r="Q324" s="101">
        <f t="shared" si="82"/>
        <v>0.20104627710980266</v>
      </c>
      <c r="R324" s="101">
        <f t="shared" si="83"/>
        <v>2.1064209327346834E-2</v>
      </c>
      <c r="S324" s="101">
        <f t="shared" si="85"/>
        <v>706.92353603322135</v>
      </c>
      <c r="T324" s="101">
        <f t="shared" si="86"/>
        <v>46.022691225283218</v>
      </c>
      <c r="U324" s="101">
        <f t="shared" si="87"/>
        <v>18.565855765017862</v>
      </c>
      <c r="V324" s="33">
        <f t="shared" si="88"/>
        <v>999.99999999999989</v>
      </c>
      <c r="W324" s="105">
        <f>IF(A324=1,((cPH1_+cPHr+(cNES*L324+(cNES+cOSEX)*G324+(cNES+cEREX)*H324+(cNES+cHOEX)*I324 + (cNES+cNES)*S324 +(cNES+ cOSEX)*N324 + (cNES+cEREX)*O324 + (cNES+cHOEX)*P324)))/(1+cDR)^A$5:A$65536,(cPHr+(cNES*L324+(cNES+cOSEX)*G324+(cNES+cEREX)*H324+(cNES+cHOEX)*I324 + (cNES+cNES)*S324 +(cNES+ cOSEX)*N324 + (cNES+cEREX)*O324 + (cNES+cHOEX)*P324))/(1+cDR)^A$5:A$65536)</f>
        <v>127328.28399672898</v>
      </c>
      <c r="X324" s="112">
        <f t="shared" si="89"/>
        <v>935.41145300969879</v>
      </c>
      <c r="Y324" s="32">
        <f>(uNES*L324+ uOCEX*G324+uEREX*'PH + UC'!H324+uHOEX*I324+uNES*S324+ uOCEX*N324+uEREX*O324+uHOEX*P324)/(1+oDR)^A$5:A$65536</f>
        <v>561.95470148572872</v>
      </c>
    </row>
    <row r="325" spans="1:25" x14ac:dyDescent="0.25">
      <c r="A325" s="4">
        <v>319</v>
      </c>
      <c r="C325" s="110">
        <f>IF(male=0,VLOOKUP(((A323:A1157/'Life tables'!$I$2)*2)+age,lifetable,13,1),IF(male=1,VLOOKUP(((A323:A1157/'Life tables'!$I$2)*2)+age,lifetable,10,1),"error"))</f>
        <v>2.3219220175896282E-4</v>
      </c>
      <c r="F325" s="101">
        <f t="shared" si="72"/>
        <v>149.14934484879652</v>
      </c>
      <c r="G325" s="101">
        <f t="shared" si="73"/>
        <v>14.982363842442238</v>
      </c>
      <c r="H325" s="101">
        <f t="shared" si="74"/>
        <v>0.34285298994125524</v>
      </c>
      <c r="I325" s="101">
        <f t="shared" si="75"/>
        <v>0.34285298994125524</v>
      </c>
      <c r="J325" s="101">
        <f t="shared" si="76"/>
        <v>3.826931840070763E-2</v>
      </c>
      <c r="K325" s="101">
        <f t="shared" si="77"/>
        <v>2.6875944284520496E-2</v>
      </c>
      <c r="L325" s="101">
        <f t="shared" si="84"/>
        <v>133.41612976378653</v>
      </c>
      <c r="M325" s="101">
        <f t="shared" si="78"/>
        <v>786.26210816090224</v>
      </c>
      <c r="N325" s="101">
        <f t="shared" si="79"/>
        <v>75.71874455299114</v>
      </c>
      <c r="O325" s="101">
        <f t="shared" si="80"/>
        <v>1.8073985838406794</v>
      </c>
      <c r="P325" s="101">
        <f t="shared" si="81"/>
        <v>1.8073985838406794</v>
      </c>
      <c r="Q325" s="101">
        <f t="shared" si="82"/>
        <v>0.20098455977898316</v>
      </c>
      <c r="R325" s="101">
        <f t="shared" si="83"/>
        <v>2.1057743021209774E-2</v>
      </c>
      <c r="S325" s="101">
        <f t="shared" si="85"/>
        <v>706.7065241374296</v>
      </c>
      <c r="T325" s="101">
        <f t="shared" si="86"/>
        <v>46.261945103462907</v>
      </c>
      <c r="U325" s="101">
        <f t="shared" si="87"/>
        <v>18.613789452323591</v>
      </c>
      <c r="V325" s="33">
        <f t="shared" si="88"/>
        <v>999.99999999999977</v>
      </c>
      <c r="W325" s="105">
        <f>IF(A325=1,((cPH1_+cPHr+(cNES*L325+(cNES+cOSEX)*G325+(cNES+cEREX)*H325+(cNES+cHOEX)*I325 + (cNES+cNES)*S325 +(cNES+ cOSEX)*N325 + (cNES+cEREX)*O325 + (cNES+cHOEX)*P325)))/(1+cDR)^A$5:A$65536,(cPHr+(cNES*L325+(cNES+cOSEX)*G325+(cNES+cEREX)*H325+(cNES+cHOEX)*I325 + (cNES+cNES)*S325 +(cNES+ cOSEX)*N325 + (cNES+cEREX)*O325 + (cNES+cHOEX)*P325))/(1+cDR)^A$5:A$65536)</f>
        <v>127142.89768131814</v>
      </c>
      <c r="X325" s="112">
        <f t="shared" si="89"/>
        <v>935.12426544421328</v>
      </c>
      <c r="Y325" s="32">
        <f>(uNES*L325+ uOCEX*G325+uEREX*'PH + UC'!H325+uHOEX*I325+uNES*S325+ uOCEX*N325+uEREX*O325+uHOEX*P325)/(1+oDR)^A$5:A$65536</f>
        <v>561.62060968065953</v>
      </c>
    </row>
    <row r="326" spans="1:25" x14ac:dyDescent="0.25">
      <c r="A326" s="4">
        <v>320</v>
      </c>
      <c r="C326" s="110">
        <f>IF(male=0,VLOOKUP(((A324:A1158/'Life tables'!$I$2)*2)+age,lifetable,13,1),IF(male=1,VLOOKUP(((A324:A1158/'Life tables'!$I$2)*2)+age,lifetable,10,1),"error"))</f>
        <v>2.3219220175896282E-4</v>
      </c>
      <c r="F326" s="101">
        <f t="shared" si="72"/>
        <v>149.10352587391316</v>
      </c>
      <c r="G326" s="101">
        <f t="shared" si="73"/>
        <v>14.977761230521374</v>
      </c>
      <c r="H326" s="101">
        <f t="shared" si="74"/>
        <v>0.34274766482198821</v>
      </c>
      <c r="I326" s="101">
        <f t="shared" si="75"/>
        <v>0.34274766482198821</v>
      </c>
      <c r="J326" s="101">
        <f t="shared" si="76"/>
        <v>3.8257561990108692E-2</v>
      </c>
      <c r="K326" s="101">
        <f t="shared" si="77"/>
        <v>2.6867687941072343E-2</v>
      </c>
      <c r="L326" s="101">
        <f t="shared" si="84"/>
        <v>133.37514406381663</v>
      </c>
      <c r="M326" s="101">
        <f t="shared" si="78"/>
        <v>786.02073957030029</v>
      </c>
      <c r="N326" s="101">
        <f t="shared" si="79"/>
        <v>75.695500234760345</v>
      </c>
      <c r="O326" s="101">
        <f t="shared" si="80"/>
        <v>1.8068437443739043</v>
      </c>
      <c r="P326" s="101">
        <f t="shared" si="81"/>
        <v>1.8068437443739043</v>
      </c>
      <c r="Q326" s="101">
        <f t="shared" si="82"/>
        <v>0.20092286106627263</v>
      </c>
      <c r="R326" s="101">
        <f t="shared" si="83"/>
        <v>2.1051278665746714E-2</v>
      </c>
      <c r="S326" s="101">
        <f t="shared" si="85"/>
        <v>706.48957770706011</v>
      </c>
      <c r="T326" s="101">
        <f t="shared" si="86"/>
        <v>46.501125526519289</v>
      </c>
      <c r="U326" s="101">
        <f t="shared" si="87"/>
        <v>18.661708418930409</v>
      </c>
      <c r="V326" s="33">
        <f t="shared" si="88"/>
        <v>1000</v>
      </c>
      <c r="W326" s="105">
        <f>IF(A326=1,((cPH1_+cPHr+(cNES*L326+(cNES+cOSEX)*G326+(cNES+cEREX)*H326+(cNES+cHOEX)*I326 + (cNES+cNES)*S326 +(cNES+ cOSEX)*N326 + (cNES+cEREX)*O326 + (cNES+cHOEX)*P326)))/(1+cDR)^A$5:A$65536,(cPHr+(cNES*L326+(cNES+cOSEX)*G326+(cNES+cEREX)*H326+(cNES+cHOEX)*I326 + (cNES+cNES)*S326 +(cNES+ cOSEX)*N326 + (cNES+cEREX)*O326 + (cNES+cHOEX)*P326))/(1+cDR)^A$5:A$65536)</f>
        <v>126957.78121172621</v>
      </c>
      <c r="X326" s="112">
        <f t="shared" si="89"/>
        <v>934.83716605455027</v>
      </c>
      <c r="Y326" s="32">
        <f>(uNES*L326+ uOCEX*G326+uEREX*'PH + UC'!H326+uHOEX*I326+uNES*S326+ uOCEX*N326+uEREX*O326+uHOEX*P326)/(1+oDR)^A$5:A$65536</f>
        <v>561.28671650103342</v>
      </c>
    </row>
    <row r="327" spans="1:25" x14ac:dyDescent="0.25">
      <c r="A327" s="4">
        <v>321</v>
      </c>
      <c r="C327" s="110">
        <f>IF(male=0,VLOOKUP(((A325:A1159/'Life tables'!$I$2)*2)+age,lifetable,13,1),IF(male=1,VLOOKUP(((A325:A1159/'Life tables'!$I$2)*2)+age,lifetable,10,1),"error"))</f>
        <v>2.3219220175896282E-4</v>
      </c>
      <c r="F327" s="101">
        <f t="shared" ref="F327:F390" si="90">E326*(1-pCAPH)+(L326+G326+H326+I326)*(1-pCAPH)+(S326+N326+O326+P326)*(pUAPH)</f>
        <v>149.05772220415921</v>
      </c>
      <c r="G327" s="101">
        <f t="shared" ref="G327:G390" si="91">F327*(rrOSEX)</f>
        <v>14.97316015603279</v>
      </c>
      <c r="H327" s="101">
        <f t="shared" ref="H327:H390" si="92">F327*rrEREX</f>
        <v>0.34264237488497007</v>
      </c>
      <c r="I327" s="101">
        <f t="shared" ref="I327:I390" si="93">F327*rrHOEX</f>
        <v>0.34264237488497007</v>
      </c>
      <c r="J327" s="101">
        <f t="shared" ref="J327:J390" si="94">F327*mr + G327*mr + H327*mr+I327*mr</f>
        <v>3.8245809506559321E-2</v>
      </c>
      <c r="K327" s="101">
        <f t="shared" ref="K327:K390" si="95">F327*amr + I327*amrHOEX</f>
        <v>2.6859434355529732E-2</v>
      </c>
      <c r="L327" s="101">
        <f t="shared" si="84"/>
        <v>133.33417205449439</v>
      </c>
      <c r="M327" s="101">
        <f t="shared" ref="M327:M390" si="96">E326*pCAPH+(L326+G326+H326+I326)*pCAPH+(S326+N326+O326+P326)*(1-pUAPH)</f>
        <v>785.77944385039086</v>
      </c>
      <c r="N327" s="101">
        <f t="shared" ref="N327:N390" si="97">M327*rrOSEXc</f>
        <v>75.672262934135134</v>
      </c>
      <c r="O327" s="101">
        <f t="shared" ref="O327:O390" si="98">M327*rrEREXc</f>
        <v>1.8062890724166465</v>
      </c>
      <c r="P327" s="101">
        <f t="shared" ref="P327:P390" si="99">M327*rrHOEXc</f>
        <v>1.8062890724166465</v>
      </c>
      <c r="Q327" s="101">
        <f t="shared" ref="Q327:Q390" si="100">M327*mr + N327*mr + O327*mr+P327*mr</f>
        <v>0.20086118098079073</v>
      </c>
      <c r="R327" s="101">
        <f t="shared" ref="R327:R390" si="101">M327*amrc + P327*amrHOEX</f>
        <v>2.1044816261913145E-2</v>
      </c>
      <c r="S327" s="101">
        <f t="shared" si="85"/>
        <v>706.27269677417974</v>
      </c>
      <c r="T327" s="101">
        <f t="shared" si="86"/>
        <v>46.740232517006639</v>
      </c>
      <c r="U327" s="101">
        <f t="shared" si="87"/>
        <v>18.709612669547852</v>
      </c>
      <c r="V327" s="33">
        <f t="shared" si="88"/>
        <v>999.99999999999977</v>
      </c>
      <c r="W327" s="105">
        <f>IF(A327=1,((cPH1_+cPHr+(cNES*L327+(cNES+cOSEX)*G327+(cNES+cEREX)*H327+(cNES+cHOEX)*I327 + (cNES+cNES)*S327 +(cNES+ cOSEX)*N327 + (cNES+cEREX)*O327 + (cNES+cHOEX)*P327)))/(1+cDR)^A$5:A$65536,(cPHr+(cNES*L327+(cNES+cOSEX)*G327+(cNES+cEREX)*H327+(cNES+cHOEX)*I327 + (cNES+cNES)*S327 +(cNES+ cOSEX)*N327 + (cNES+cEREX)*O327 + (cNES+cHOEX)*P327))/(1+cDR)^A$5:A$65536)</f>
        <v>126772.93419852506</v>
      </c>
      <c r="X327" s="112">
        <f t="shared" si="89"/>
        <v>934.55015481344526</v>
      </c>
      <c r="Y327" s="32">
        <f>(uNES*L327+ uOCEX*G327+uEREX*'PH + UC'!H327+uHOEX*I327+uNES*S327+ uOCEX*N327+uEREX*O327+uHOEX*P327)/(1+oDR)^A$5:A$65536</f>
        <v>560.95302182866976</v>
      </c>
    </row>
    <row r="328" spans="1:25" x14ac:dyDescent="0.25">
      <c r="A328" s="4">
        <v>322</v>
      </c>
      <c r="C328" s="110">
        <f>IF(male=0,VLOOKUP(((A326:A1160/'Life tables'!$I$2)*2)+age,lifetable,13,1),IF(male=1,VLOOKUP(((A326:A1160/'Life tables'!$I$2)*2)+age,lifetable,10,1),"error"))</f>
        <v>2.3219220175896282E-4</v>
      </c>
      <c r="F328" s="101">
        <f t="shared" si="90"/>
        <v>149.01193377921277</v>
      </c>
      <c r="G328" s="101">
        <f t="shared" si="91"/>
        <v>14.968560612917026</v>
      </c>
      <c r="H328" s="101">
        <f t="shared" si="92"/>
        <v>0.34253711999153758</v>
      </c>
      <c r="I328" s="101">
        <f t="shared" si="93"/>
        <v>0.34253711999153758</v>
      </c>
      <c r="J328" s="101">
        <f t="shared" si="94"/>
        <v>3.8234060934581891E-2</v>
      </c>
      <c r="K328" s="101">
        <f t="shared" si="95"/>
        <v>2.6851183517022974E-2</v>
      </c>
      <c r="L328" s="101">
        <f t="shared" ref="L328:L391" si="102">F328-SUM(G328:K328)</f>
        <v>133.29321368186106</v>
      </c>
      <c r="M328" s="101">
        <f t="shared" si="96"/>
        <v>785.53822103423249</v>
      </c>
      <c r="N328" s="101">
        <f t="shared" si="97"/>
        <v>75.649032654299091</v>
      </c>
      <c r="O328" s="101">
        <f t="shared" si="98"/>
        <v>1.8057345680448991</v>
      </c>
      <c r="P328" s="101">
        <f t="shared" si="99"/>
        <v>1.8057345680448991</v>
      </c>
      <c r="Q328" s="101">
        <f t="shared" si="100"/>
        <v>0.20079951953098785</v>
      </c>
      <c r="R328" s="101">
        <f t="shared" si="101"/>
        <v>2.103835581059444E-2</v>
      </c>
      <c r="S328" s="101">
        <f t="shared" ref="S328:S391" si="103">M328-SUM(N328:R328)</f>
        <v>706.05588136850201</v>
      </c>
      <c r="T328" s="101">
        <f t="shared" ref="T328:T391" si="104">J328+Q328+T327</f>
        <v>46.979266097472205</v>
      </c>
      <c r="U328" s="101">
        <f t="shared" ref="U328:U391" si="105">K328+R328+U327</f>
        <v>18.757502208875469</v>
      </c>
      <c r="V328" s="33">
        <f t="shared" ref="V328:V391" si="106">SUM(G328:I328,L328,N328,O328,P328,S328,T328,U328)</f>
        <v>999.99999999999977</v>
      </c>
      <c r="W328" s="105">
        <f>IF(A328=1,((cPH1_+cPHr+(cNES*L328+(cNES+cOSEX)*G328+(cNES+cEREX)*H328+(cNES+cHOEX)*I328 + (cNES+cNES)*S328 +(cNES+ cOSEX)*N328 + (cNES+cEREX)*O328 + (cNES+cHOEX)*P328)))/(1+cDR)^A$5:A$65536,(cPHr+(cNES*L328+(cNES+cOSEX)*G328+(cNES+cEREX)*H328+(cNES+cHOEX)*I328 + (cNES+cNES)*S328 +(cNES+ cOSEX)*N328 + (cNES+cEREX)*O328 + (cNES+cHOEX)*P328))/(1+cDR)^A$5:A$65536)</f>
        <v>126588.35625269442</v>
      </c>
      <c r="X328" s="112">
        <f t="shared" ref="X328:X391" si="107">(L328+G328+H328+I328+N328+O328+P328+S328)</f>
        <v>934.26323169365207</v>
      </c>
      <c r="Y328" s="32">
        <f>(uNES*L328+ uOCEX*G328+uEREX*'PH + UC'!H328+uHOEX*I328+uNES*S328+ uOCEX*N328+uEREX*O328+uHOEX*P328)/(1+oDR)^A$5:A$65536</f>
        <v>560.61952554546133</v>
      </c>
    </row>
    <row r="329" spans="1:25" x14ac:dyDescent="0.25">
      <c r="A329" s="4">
        <v>323</v>
      </c>
      <c r="C329" s="110">
        <f>IF(male=0,VLOOKUP(((A327:A1161/'Life tables'!$I$2)*2)+age,lifetable,13,1),IF(male=1,VLOOKUP(((A327:A1161/'Life tables'!$I$2)*2)+age,lifetable,10,1),"error"))</f>
        <v>2.3219220175896282E-4</v>
      </c>
      <c r="F329" s="101">
        <f t="shared" si="90"/>
        <v>148.96616054126972</v>
      </c>
      <c r="G329" s="101">
        <f t="shared" si="91"/>
        <v>14.963962595367537</v>
      </c>
      <c r="H329" s="101">
        <f t="shared" si="92"/>
        <v>0.34243190000881502</v>
      </c>
      <c r="I329" s="101">
        <f t="shared" si="93"/>
        <v>0.34243190000881502</v>
      </c>
      <c r="J329" s="101">
        <f t="shared" si="94"/>
        <v>3.8222316259344802E-2</v>
      </c>
      <c r="K329" s="101">
        <f t="shared" si="95"/>
        <v>2.6842935415136056E-2</v>
      </c>
      <c r="L329" s="101">
        <f t="shared" si="102"/>
        <v>133.25226889421006</v>
      </c>
      <c r="M329" s="101">
        <f t="shared" si="96"/>
        <v>785.29707115238239</v>
      </c>
      <c r="N329" s="101">
        <f t="shared" si="97"/>
        <v>75.62580939819496</v>
      </c>
      <c r="O329" s="101">
        <f t="shared" si="98"/>
        <v>1.805180231328904</v>
      </c>
      <c r="P329" s="101">
        <f t="shared" si="99"/>
        <v>1.805180231328904</v>
      </c>
      <c r="Q329" s="101">
        <f t="shared" si="100"/>
        <v>0.20073787672467511</v>
      </c>
      <c r="R329" s="101">
        <f t="shared" si="101"/>
        <v>2.1031897312608988E-2</v>
      </c>
      <c r="S329" s="101">
        <f t="shared" si="103"/>
        <v>705.83913151749232</v>
      </c>
      <c r="T329" s="101">
        <f t="shared" si="104"/>
        <v>47.218226290456222</v>
      </c>
      <c r="U329" s="101">
        <f t="shared" si="105"/>
        <v>18.805377041603215</v>
      </c>
      <c r="V329" s="33">
        <f t="shared" si="106"/>
        <v>999.99999999999977</v>
      </c>
      <c r="W329" s="105">
        <f>IF(A329=1,((cPH1_+cPHr+(cNES*L329+(cNES+cOSEX)*G329+(cNES+cEREX)*H329+(cNES+cHOEX)*I329 + (cNES+cNES)*S329 +(cNES+ cOSEX)*N329 + (cNES+cEREX)*O329 + (cNES+cHOEX)*P329)))/(1+cDR)^A$5:A$65536,(cPHr+(cNES*L329+(cNES+cOSEX)*G329+(cNES+cEREX)*H329+(cNES+cHOEX)*I329 + (cNES+cNES)*S329 +(cNES+ cOSEX)*N329 + (cNES+cEREX)*O329 + (cNES+cHOEX)*P329))/(1+cDR)^A$5:A$65536)</f>
        <v>126404.04698562781</v>
      </c>
      <c r="X329" s="112">
        <f t="shared" si="107"/>
        <v>933.97639666794032</v>
      </c>
      <c r="Y329" s="32">
        <f>(uNES*L329+ uOCEX*G329+uEREX*'PH + UC'!H329+uHOEX*I329+uNES*S329+ uOCEX*N329+uEREX*O329+uHOEX*P329)/(1+oDR)^A$5:A$65536</f>
        <v>560.28622753337572</v>
      </c>
    </row>
    <row r="330" spans="1:25" x14ac:dyDescent="0.25">
      <c r="A330" s="4">
        <v>324</v>
      </c>
      <c r="C330" s="110">
        <f>IF(male=0,VLOOKUP(((A328:A1162/'Life tables'!$I$2)*2)+age,lifetable,13,1),IF(male=1,VLOOKUP(((A328:A1162/'Life tables'!$I$2)*2)+age,lifetable,10,1),"error"))</f>
        <v>2.3219220175896282E-4</v>
      </c>
      <c r="F330" s="101">
        <f t="shared" si="90"/>
        <v>148.92040243493068</v>
      </c>
      <c r="G330" s="101">
        <f t="shared" si="91"/>
        <v>14.959366097819341</v>
      </c>
      <c r="H330" s="101">
        <f t="shared" si="92"/>
        <v>0.34232671480945465</v>
      </c>
      <c r="I330" s="101">
        <f t="shared" si="93"/>
        <v>0.34232671480945465</v>
      </c>
      <c r="J330" s="101">
        <f t="shared" si="94"/>
        <v>3.8210575466633465E-2</v>
      </c>
      <c r="K330" s="101">
        <f t="shared" si="95"/>
        <v>2.6834690039886304E-2</v>
      </c>
      <c r="L330" s="101">
        <f t="shared" si="102"/>
        <v>133.21133764198592</v>
      </c>
      <c r="M330" s="101">
        <f t="shared" si="96"/>
        <v>785.05599423300964</v>
      </c>
      <c r="N330" s="101">
        <f t="shared" si="97"/>
        <v>75.602593168535492</v>
      </c>
      <c r="O330" s="101">
        <f t="shared" si="98"/>
        <v>1.8046260623334145</v>
      </c>
      <c r="P330" s="101">
        <f t="shared" si="99"/>
        <v>1.8046260623334145</v>
      </c>
      <c r="Q330" s="101">
        <f t="shared" si="100"/>
        <v>0.20067625256905311</v>
      </c>
      <c r="R330" s="101">
        <f t="shared" si="101"/>
        <v>2.1025440768711216E-2</v>
      </c>
      <c r="S330" s="101">
        <f t="shared" si="103"/>
        <v>705.62244724646962</v>
      </c>
      <c r="T330" s="101">
        <f t="shared" si="104"/>
        <v>47.457113118491911</v>
      </c>
      <c r="U330" s="101">
        <f t="shared" si="105"/>
        <v>18.853237172411813</v>
      </c>
      <c r="V330" s="33">
        <f t="shared" si="106"/>
        <v>999.99999999999977</v>
      </c>
      <c r="W330" s="105">
        <f>IF(A330=1,((cPH1_+cPHr+(cNES*L330+(cNES+cOSEX)*G330+(cNES+cEREX)*H330+(cNES+cHOEX)*I330 + (cNES+cNES)*S330 +(cNES+ cOSEX)*N330 + (cNES+cEREX)*O330 + (cNES+cHOEX)*P330)))/(1+cDR)^A$5:A$65536,(cPHr+(cNES*L330+(cNES+cOSEX)*G330+(cNES+cEREX)*H330+(cNES+cHOEX)*I330 + (cNES+cNES)*S330 +(cNES+ cOSEX)*N330 + (cNES+cEREX)*O330 + (cNES+cHOEX)*P330))/(1+cDR)^A$5:A$65536)</f>
        <v>126220.00600913957</v>
      </c>
      <c r="X330" s="112">
        <f t="shared" si="107"/>
        <v>933.6896497090961</v>
      </c>
      <c r="Y330" s="32">
        <f>(uNES*L330+ uOCEX*G330+uEREX*'PH + UC'!H330+uHOEX*I330+uNES*S330+ uOCEX*N330+uEREX*O330+uHOEX*P330)/(1+oDR)^A$5:A$65536</f>
        <v>559.95312767445455</v>
      </c>
    </row>
    <row r="331" spans="1:25" x14ac:dyDescent="0.25">
      <c r="A331" s="4">
        <v>325</v>
      </c>
      <c r="C331" s="110">
        <f>IF(male=0,VLOOKUP(((A329:A1163/'Life tables'!$I$2)*2)+age,lifetable,13,1),IF(male=1,VLOOKUP(((A329:A1163/'Life tables'!$I$2)*2)+age,lifetable,10,1),"error"))</f>
        <v>2.3219220175896282E-4</v>
      </c>
      <c r="F331" s="101">
        <f t="shared" si="90"/>
        <v>148.87465940709308</v>
      </c>
      <c r="G331" s="101">
        <f t="shared" si="91"/>
        <v>14.954771114938172</v>
      </c>
      <c r="H331" s="101">
        <f t="shared" si="92"/>
        <v>0.34222156427138833</v>
      </c>
      <c r="I331" s="101">
        <f t="shared" si="93"/>
        <v>0.34222156427138833</v>
      </c>
      <c r="J331" s="101">
        <f t="shared" si="94"/>
        <v>3.8198838542822598E-2</v>
      </c>
      <c r="K331" s="101">
        <f t="shared" si="95"/>
        <v>2.68264473817049E-2</v>
      </c>
      <c r="L331" s="101">
        <f t="shared" si="102"/>
        <v>133.17041987768761</v>
      </c>
      <c r="M331" s="101">
        <f t="shared" si="96"/>
        <v>784.81499030200314</v>
      </c>
      <c r="N331" s="101">
        <f t="shared" si="97"/>
        <v>75.579383967813826</v>
      </c>
      <c r="O331" s="101">
        <f t="shared" si="98"/>
        <v>1.8040720611179419</v>
      </c>
      <c r="P331" s="101">
        <f t="shared" si="99"/>
        <v>1.8040720611179419</v>
      </c>
      <c r="Q331" s="101">
        <f t="shared" si="100"/>
        <v>0.20061464707073956</v>
      </c>
      <c r="R331" s="101">
        <f t="shared" si="101"/>
        <v>2.1018986179594482E-2</v>
      </c>
      <c r="S331" s="101">
        <f t="shared" si="103"/>
        <v>705.40582857870311</v>
      </c>
      <c r="T331" s="101">
        <f t="shared" si="104"/>
        <v>47.695926604105473</v>
      </c>
      <c r="U331" s="101">
        <f t="shared" si="105"/>
        <v>18.901082605973112</v>
      </c>
      <c r="V331" s="33">
        <f t="shared" si="106"/>
        <v>1000</v>
      </c>
      <c r="W331" s="105">
        <f>IF(A331=1,((cPH1_+cPHr+(cNES*L331+(cNES+cOSEX)*G331+(cNES+cEREX)*H331+(cNES+cHOEX)*I331 + (cNES+cNES)*S331 +(cNES+ cOSEX)*N331 + (cNES+cEREX)*O331 + (cNES+cHOEX)*P331)))/(1+cDR)^A$5:A$65536,(cPHr+(cNES*L331+(cNES+cOSEX)*G331+(cNES+cEREX)*H331+(cNES+cHOEX)*I331 + (cNES+cNES)*S331 +(cNES+ cOSEX)*N331 + (cNES+cEREX)*O331 + (cNES+cHOEX)*P331))/(1+cDR)^A$5:A$65536)</f>
        <v>126036.23293547051</v>
      </c>
      <c r="X331" s="112">
        <f t="shared" si="107"/>
        <v>933.40299078992143</v>
      </c>
      <c r="Y331" s="32">
        <f>(uNES*L331+ uOCEX*G331+uEREX*'PH + UC'!H331+uHOEX*I331+uNES*S331+ uOCEX*N331+uEREX*O331+uHOEX*P331)/(1+oDR)^A$5:A$65536</f>
        <v>559.6202258508132</v>
      </c>
    </row>
    <row r="332" spans="1:25" x14ac:dyDescent="0.25">
      <c r="A332" s="4">
        <v>326</v>
      </c>
      <c r="C332" s="110">
        <f>IF(male=0,VLOOKUP(((A330:A1164/'Life tables'!$I$2)*2)+age,lifetable,13,1),IF(male=1,VLOOKUP(((A330:A1164/'Life tables'!$I$2)*2)+age,lifetable,10,1),"error"))</f>
        <v>2.3219220175896282E-4</v>
      </c>
      <c r="F332" s="101">
        <f t="shared" si="90"/>
        <v>148.82893140684791</v>
      </c>
      <c r="G332" s="101">
        <f t="shared" si="91"/>
        <v>14.950177641610113</v>
      </c>
      <c r="H332" s="101">
        <f t="shared" si="92"/>
        <v>0.34211644827759047</v>
      </c>
      <c r="I332" s="101">
        <f t="shared" si="93"/>
        <v>0.34211644827759047</v>
      </c>
      <c r="J332" s="101">
        <f t="shared" si="94"/>
        <v>3.8187105474849797E-2</v>
      </c>
      <c r="K332" s="101">
        <f t="shared" si="95"/>
        <v>2.6818207431418311E-2</v>
      </c>
      <c r="L332" s="101">
        <f t="shared" si="102"/>
        <v>133.12951555577635</v>
      </c>
      <c r="M332" s="101">
        <f t="shared" si="96"/>
        <v>784.5740593830734</v>
      </c>
      <c r="N332" s="101">
        <f t="shared" si="97"/>
        <v>75.556181798313332</v>
      </c>
      <c r="O332" s="101">
        <f t="shared" si="98"/>
        <v>1.8035182277369901</v>
      </c>
      <c r="P332" s="101">
        <f t="shared" si="99"/>
        <v>1.8035182277369901</v>
      </c>
      <c r="Q332" s="101">
        <f t="shared" si="100"/>
        <v>0.20055306023579528</v>
      </c>
      <c r="R332" s="101">
        <f t="shared" si="101"/>
        <v>2.1012533545893802E-2</v>
      </c>
      <c r="S332" s="101">
        <f t="shared" si="103"/>
        <v>705.18927553550441</v>
      </c>
      <c r="T332" s="101">
        <f t="shared" si="104"/>
        <v>47.934666769816118</v>
      </c>
      <c r="U332" s="101">
        <f t="shared" si="105"/>
        <v>18.948913346950423</v>
      </c>
      <c r="V332" s="33">
        <f t="shared" si="106"/>
        <v>999.99999999999989</v>
      </c>
      <c r="W332" s="105">
        <f>IF(A332=1,((cPH1_+cPHr+(cNES*L332+(cNES+cOSEX)*G332+(cNES+cEREX)*H332+(cNES+cHOEX)*I332 + (cNES+cNES)*S332 +(cNES+ cOSEX)*N332 + (cNES+cEREX)*O332 + (cNES+cHOEX)*P332)))/(1+cDR)^A$5:A$65536,(cPHr+(cNES*L332+(cNES+cOSEX)*G332+(cNES+cEREX)*H332+(cNES+cHOEX)*I332 + (cNES+cNES)*S332 +(cNES+ cOSEX)*N332 + (cNES+cEREX)*O332 + (cNES+cHOEX)*P332))/(1+cDR)^A$5:A$65536)</f>
        <v>125852.72737729385</v>
      </c>
      <c r="X332" s="112">
        <f t="shared" si="107"/>
        <v>933.11641988323333</v>
      </c>
      <c r="Y332" s="32">
        <f>(uNES*L332+ uOCEX*G332+uEREX*'PH + UC'!H332+uHOEX*I332+uNES*S332+ uOCEX*N332+uEREX*O332+uHOEX*P332)/(1+oDR)^A$5:A$65536</f>
        <v>559.28752194464062</v>
      </c>
    </row>
    <row r="333" spans="1:25" x14ac:dyDescent="0.25">
      <c r="A333" s="4">
        <v>327</v>
      </c>
      <c r="C333" s="110">
        <f>IF(male=0,VLOOKUP(((A331:A1165/'Life tables'!$I$2)*2)+age,lifetable,13,1),IF(male=1,VLOOKUP(((A331:A1165/'Life tables'!$I$2)*2)+age,lifetable,10,1),"error"))</f>
        <v>2.3219220175896282E-4</v>
      </c>
      <c r="F333" s="101">
        <f t="shared" si="90"/>
        <v>148.78321838538125</v>
      </c>
      <c r="G333" s="101">
        <f t="shared" si="91"/>
        <v>14.945585672931704</v>
      </c>
      <c r="H333" s="101">
        <f t="shared" si="92"/>
        <v>0.34201136671585119</v>
      </c>
      <c r="I333" s="101">
        <f t="shared" si="93"/>
        <v>0.34201136671585119</v>
      </c>
      <c r="J333" s="101">
        <f t="shared" si="94"/>
        <v>3.8175376250190178E-2</v>
      </c>
      <c r="K333" s="101">
        <f t="shared" si="95"/>
        <v>2.6809970180230513E-2</v>
      </c>
      <c r="L333" s="101">
        <f t="shared" si="102"/>
        <v>133.08862463258743</v>
      </c>
      <c r="M333" s="101">
        <f t="shared" si="96"/>
        <v>784.33320149785209</v>
      </c>
      <c r="N333" s="101">
        <f t="shared" si="97"/>
        <v>75.53298666211721</v>
      </c>
      <c r="O333" s="101">
        <f t="shared" si="98"/>
        <v>1.8029645622402843</v>
      </c>
      <c r="P333" s="101">
        <f t="shared" si="99"/>
        <v>1.8029645622402843</v>
      </c>
      <c r="Q333" s="101">
        <f t="shared" si="100"/>
        <v>0.20049149206974981</v>
      </c>
      <c r="R333" s="101">
        <f t="shared" si="101"/>
        <v>2.1006082868188516E-2</v>
      </c>
      <c r="S333" s="101">
        <f t="shared" si="103"/>
        <v>704.97278813631635</v>
      </c>
      <c r="T333" s="101">
        <f t="shared" si="104"/>
        <v>48.173333638136057</v>
      </c>
      <c r="U333" s="101">
        <f t="shared" si="105"/>
        <v>18.996729399998841</v>
      </c>
      <c r="V333" s="33">
        <f t="shared" si="106"/>
        <v>999.99999999999989</v>
      </c>
      <c r="W333" s="105">
        <f>IF(A333=1,((cPH1_+cPHr+(cNES*L333+(cNES+cOSEX)*G333+(cNES+cEREX)*H333+(cNES+cHOEX)*I333 + (cNES+cNES)*S333 +(cNES+ cOSEX)*N333 + (cNES+cEREX)*O333 + (cNES+cHOEX)*P333)))/(1+cDR)^A$5:A$65536,(cPHr+(cNES*L333+(cNES+cOSEX)*G333+(cNES+cEREX)*H333+(cNES+cHOEX)*I333 + (cNES+cNES)*S333 +(cNES+ cOSEX)*N333 + (cNES+cEREX)*O333 + (cNES+cHOEX)*P333))/(1+cDR)^A$5:A$65536)</f>
        <v>125669.48894772066</v>
      </c>
      <c r="X333" s="112">
        <f t="shared" si="107"/>
        <v>932.82993696186486</v>
      </c>
      <c r="Y333" s="32">
        <f>(uNES*L333+ uOCEX*G333+uEREX*'PH + UC'!H333+uHOEX*I333+uNES*S333+ uOCEX*N333+uEREX*O333+uHOEX*P333)/(1+oDR)^A$5:A$65536</f>
        <v>558.9550158381993</v>
      </c>
    </row>
    <row r="334" spans="1:25" x14ac:dyDescent="0.25">
      <c r="A334" s="4">
        <v>328</v>
      </c>
      <c r="C334" s="110">
        <f>IF(male=0,VLOOKUP(((A332:A1166/'Life tables'!$I$2)*2)+age,lifetable,13,1),IF(male=1,VLOOKUP(((A332:A1166/'Life tables'!$I$2)*2)+age,lifetable,10,1),"error"))</f>
        <v>2.3219220175896282E-4</v>
      </c>
      <c r="F334" s="101">
        <f t="shared" si="90"/>
        <v>148.7375202958803</v>
      </c>
      <c r="G334" s="101">
        <f t="shared" si="91"/>
        <v>14.940995204200501</v>
      </c>
      <c r="H334" s="101">
        <f t="shared" si="92"/>
        <v>0.34190631947856104</v>
      </c>
      <c r="I334" s="101">
        <f t="shared" si="93"/>
        <v>0.34190631947856104</v>
      </c>
      <c r="J334" s="101">
        <f t="shared" si="94"/>
        <v>3.8163650856832342E-2</v>
      </c>
      <c r="K334" s="101">
        <f t="shared" si="95"/>
        <v>2.6801735619706082E-2</v>
      </c>
      <c r="L334" s="101">
        <f t="shared" si="102"/>
        <v>133.04774706624613</v>
      </c>
      <c r="M334" s="101">
        <f t="shared" si="96"/>
        <v>784.09241666598462</v>
      </c>
      <c r="N334" s="101">
        <f t="shared" si="97"/>
        <v>75.509798561117336</v>
      </c>
      <c r="O334" s="101">
        <f t="shared" si="98"/>
        <v>1.8024110646729838</v>
      </c>
      <c r="P334" s="101">
        <f t="shared" si="99"/>
        <v>1.8024110646729838</v>
      </c>
      <c r="Q334" s="101">
        <f t="shared" si="100"/>
        <v>0.20042994257762489</v>
      </c>
      <c r="R334" s="101">
        <f t="shared" si="101"/>
        <v>2.0999634147004776E-2</v>
      </c>
      <c r="S334" s="101">
        <f t="shared" si="103"/>
        <v>704.75636639879667</v>
      </c>
      <c r="T334" s="101">
        <f t="shared" si="104"/>
        <v>48.411927231570516</v>
      </c>
      <c r="U334" s="101">
        <f t="shared" si="105"/>
        <v>19.044530769765551</v>
      </c>
      <c r="V334" s="33">
        <f t="shared" si="106"/>
        <v>999.99999999999977</v>
      </c>
      <c r="W334" s="105">
        <f>IF(A334=1,((cPH1_+cPHr+(cNES*L334+(cNES+cOSEX)*G334+(cNES+cEREX)*H334+(cNES+cHOEX)*I334 + (cNES+cNES)*S334 +(cNES+ cOSEX)*N334 + (cNES+cEREX)*O334 + (cNES+cHOEX)*P334)))/(1+cDR)^A$5:A$65536,(cPHr+(cNES*L334+(cNES+cOSEX)*G334+(cNES+cEREX)*H334+(cNES+cHOEX)*I334 + (cNES+cNES)*S334 +(cNES+ cOSEX)*N334 + (cNES+cEREX)*O334 + (cNES+cHOEX)*P334))/(1+cDR)^A$5:A$65536)</f>
        <v>125486.51726030505</v>
      </c>
      <c r="X334" s="112">
        <f t="shared" si="107"/>
        <v>932.54354199866373</v>
      </c>
      <c r="Y334" s="32">
        <f>(uNES*L334+ uOCEX*G334+uEREX*'PH + UC'!H334+uHOEX*I334+uNES*S334+ uOCEX*N334+uEREX*O334+uHOEX*P334)/(1+oDR)^A$5:A$65536</f>
        <v>558.62270741382531</v>
      </c>
    </row>
    <row r="335" spans="1:25" x14ac:dyDescent="0.25">
      <c r="A335" s="4">
        <v>329</v>
      </c>
      <c r="C335" s="110">
        <f>IF(male=0,VLOOKUP(((A333:A1167/'Life tables'!$I$2)*2)+age,lifetable,13,1),IF(male=1,VLOOKUP(((A333:A1167/'Life tables'!$I$2)*2)+age,lifetable,10,1),"error"))</f>
        <v>2.3219220175896282E-4</v>
      </c>
      <c r="F335" s="101">
        <f t="shared" si="90"/>
        <v>148.69183709344338</v>
      </c>
      <c r="G335" s="101">
        <f t="shared" si="91"/>
        <v>14.936406230906037</v>
      </c>
      <c r="H335" s="101">
        <f t="shared" si="92"/>
        <v>0.34180130646250345</v>
      </c>
      <c r="I335" s="101">
        <f t="shared" si="93"/>
        <v>0.34180130646250345</v>
      </c>
      <c r="J335" s="101">
        <f t="shared" si="94"/>
        <v>3.8151929283255247E-2</v>
      </c>
      <c r="K335" s="101">
        <f t="shared" si="95"/>
        <v>2.6793503741753971E-2</v>
      </c>
      <c r="L335" s="101">
        <f t="shared" si="102"/>
        <v>133.00688281658734</v>
      </c>
      <c r="M335" s="101">
        <f t="shared" si="96"/>
        <v>783.85170490522046</v>
      </c>
      <c r="N335" s="101">
        <f t="shared" si="97"/>
        <v>75.486617497023033</v>
      </c>
      <c r="O335" s="101">
        <f t="shared" si="98"/>
        <v>1.8018577350758898</v>
      </c>
      <c r="P335" s="101">
        <f t="shared" si="99"/>
        <v>1.8018577350758898</v>
      </c>
      <c r="Q335" s="101">
        <f t="shared" si="100"/>
        <v>0.20036841176395773</v>
      </c>
      <c r="R335" s="101">
        <f t="shared" si="101"/>
        <v>2.0993187382817944E-2</v>
      </c>
      <c r="S335" s="101">
        <f t="shared" si="103"/>
        <v>704.54001033889892</v>
      </c>
      <c r="T335" s="101">
        <f t="shared" si="104"/>
        <v>48.650447572617729</v>
      </c>
      <c r="U335" s="101">
        <f t="shared" si="105"/>
        <v>19.092317460890122</v>
      </c>
      <c r="V335" s="33">
        <f t="shared" si="106"/>
        <v>1000</v>
      </c>
      <c r="W335" s="105">
        <f>IF(A335=1,((cPH1_+cPHr+(cNES*L335+(cNES+cOSEX)*G335+(cNES+cEREX)*H335+(cNES+cHOEX)*I335 + (cNES+cNES)*S335 +(cNES+ cOSEX)*N335 + (cNES+cEREX)*O335 + (cNES+cHOEX)*P335)))/(1+cDR)^A$5:A$65536,(cPHr+(cNES*L335+(cNES+cOSEX)*G335+(cNES+cEREX)*H335+(cNES+cHOEX)*I335 + (cNES+cNES)*S335 +(cNES+ cOSEX)*N335 + (cNES+cEREX)*O335 + (cNES+cHOEX)*P335))/(1+cDR)^A$5:A$65536)</f>
        <v>125303.81192904907</v>
      </c>
      <c r="X335" s="112">
        <f t="shared" si="107"/>
        <v>932.25723496649221</v>
      </c>
      <c r="Y335" s="32">
        <f>(uNES*L335+ uOCEX*G335+uEREX*'PH + UC'!H335+uHOEX*I335+uNES*S335+ uOCEX*N335+uEREX*O335+uHOEX*P335)/(1+oDR)^A$5:A$65536</f>
        <v>558.29059655392734</v>
      </c>
    </row>
    <row r="336" spans="1:25" x14ac:dyDescent="0.25">
      <c r="A336" s="4">
        <v>330</v>
      </c>
      <c r="C336" s="110">
        <f>IF(male=0,VLOOKUP(((A334:A1168/'Life tables'!$I$2)*2)+age,lifetable,13,1),IF(male=1,VLOOKUP(((A334:A1168/'Life tables'!$I$2)*2)+age,lifetable,10,1),"error"))</f>
        <v>2.3219220175896282E-4</v>
      </c>
      <c r="F336" s="101">
        <f t="shared" si="90"/>
        <v>148.64616873499415</v>
      </c>
      <c r="G336" s="101">
        <f t="shared" si="91"/>
        <v>14.931818748721204</v>
      </c>
      <c r="H336" s="101">
        <f t="shared" si="92"/>
        <v>0.34169632756865781</v>
      </c>
      <c r="I336" s="101">
        <f t="shared" si="93"/>
        <v>0.34169632756865781</v>
      </c>
      <c r="J336" s="101">
        <f t="shared" si="94"/>
        <v>3.8140211518406172E-2</v>
      </c>
      <c r="K336" s="101">
        <f t="shared" si="95"/>
        <v>2.6785274538612035E-2</v>
      </c>
      <c r="L336" s="101">
        <f t="shared" si="102"/>
        <v>132.96603184507862</v>
      </c>
      <c r="M336" s="101">
        <f t="shared" si="96"/>
        <v>783.61106623149817</v>
      </c>
      <c r="N336" s="101">
        <f t="shared" si="97"/>
        <v>75.463443471369203</v>
      </c>
      <c r="O336" s="101">
        <f t="shared" si="98"/>
        <v>1.8013045734856405</v>
      </c>
      <c r="P336" s="101">
        <f t="shared" si="99"/>
        <v>1.8013045734856405</v>
      </c>
      <c r="Q336" s="101">
        <f t="shared" si="100"/>
        <v>0.20030689963282247</v>
      </c>
      <c r="R336" s="101">
        <f t="shared" si="101"/>
        <v>2.0986742576054887E-2</v>
      </c>
      <c r="S336" s="101">
        <f t="shared" si="103"/>
        <v>704.32371997094879</v>
      </c>
      <c r="T336" s="101">
        <f t="shared" si="104"/>
        <v>48.88889468376896</v>
      </c>
      <c r="U336" s="101">
        <f t="shared" si="105"/>
        <v>19.140089478004789</v>
      </c>
      <c r="V336" s="33">
        <f t="shared" si="106"/>
        <v>1000.0000000000002</v>
      </c>
      <c r="W336" s="105">
        <f>IF(A336=1,((cPH1_+cPHr+(cNES*L336+(cNES+cOSEX)*G336+(cNES+cEREX)*H336+(cNES+cHOEX)*I336 + (cNES+cNES)*S336 +(cNES+ cOSEX)*N336 + (cNES+cEREX)*O336 + (cNES+cHOEX)*P336)))/(1+cDR)^A$5:A$65536,(cPHr+(cNES*L336+(cNES+cOSEX)*G336+(cNES+cEREX)*H336+(cNES+cHOEX)*I336 + (cNES+cNES)*S336 +(cNES+ cOSEX)*N336 + (cNES+cEREX)*O336 + (cNES+cHOEX)*P336))/(1+cDR)^A$5:A$65536)</f>
        <v>125121.37256840717</v>
      </c>
      <c r="X336" s="112">
        <f t="shared" si="107"/>
        <v>931.97101583822644</v>
      </c>
      <c r="Y336" s="32">
        <f>(uNES*L336+ uOCEX*G336+uEREX*'PH + UC'!H336+uHOEX*I336+uNES*S336+ uOCEX*N336+uEREX*O336+uHOEX*P336)/(1+oDR)^A$5:A$65536</f>
        <v>557.95868314098732</v>
      </c>
    </row>
    <row r="337" spans="1:25" x14ac:dyDescent="0.25">
      <c r="A337" s="4">
        <v>331</v>
      </c>
      <c r="C337" s="110">
        <f>IF(male=0,VLOOKUP(((A335:A1169/'Life tables'!$I$2)*2)+age,lifetable,13,1),IF(male=1,VLOOKUP(((A335:A1169/'Life tables'!$I$2)*2)+age,lifetable,10,1),"error"))</f>
        <v>2.3219220175896282E-4</v>
      </c>
      <c r="F337" s="101">
        <f t="shared" si="90"/>
        <v>148.60051517919965</v>
      </c>
      <c r="G337" s="101">
        <f t="shared" si="91"/>
        <v>14.927232753494019</v>
      </c>
      <c r="H337" s="101">
        <f t="shared" si="92"/>
        <v>0.34159138270201111</v>
      </c>
      <c r="I337" s="101">
        <f t="shared" si="93"/>
        <v>0.34159138270201111</v>
      </c>
      <c r="J337" s="101">
        <f t="shared" si="94"/>
        <v>3.8128497551679769E-2</v>
      </c>
      <c r="K337" s="101">
        <f t="shared" si="95"/>
        <v>2.6777048002832295E-2</v>
      </c>
      <c r="L337" s="101">
        <f t="shared" si="102"/>
        <v>132.92519411474709</v>
      </c>
      <c r="M337" s="101">
        <f t="shared" si="96"/>
        <v>783.37050065902656</v>
      </c>
      <c r="N337" s="101">
        <f t="shared" si="97"/>
        <v>75.440276485524208</v>
      </c>
      <c r="O337" s="101">
        <f t="shared" si="98"/>
        <v>1.8007515799348983</v>
      </c>
      <c r="P337" s="101">
        <f t="shared" si="99"/>
        <v>1.8007515799348983</v>
      </c>
      <c r="Q337" s="101">
        <f t="shared" si="100"/>
        <v>0.20024540618785119</v>
      </c>
      <c r="R337" s="101">
        <f t="shared" si="101"/>
        <v>2.0980299727096155E-2</v>
      </c>
      <c r="S337" s="101">
        <f t="shared" si="103"/>
        <v>704.10749530771761</v>
      </c>
      <c r="T337" s="101">
        <f t="shared" si="104"/>
        <v>49.127268587508489</v>
      </c>
      <c r="U337" s="101">
        <f t="shared" si="105"/>
        <v>19.187846825734717</v>
      </c>
      <c r="V337" s="33">
        <f t="shared" si="106"/>
        <v>1000</v>
      </c>
      <c r="W337" s="105">
        <f>IF(A337=1,((cPH1_+cPHr+(cNES*L337+(cNES+cOSEX)*G337+(cNES+cEREX)*H337+(cNES+cHOEX)*I337 + (cNES+cNES)*S337 +(cNES+ cOSEX)*N337 + (cNES+cEREX)*O337 + (cNES+cHOEX)*P337)))/(1+cDR)^A$5:A$65536,(cPHr+(cNES*L337+(cNES+cOSEX)*G337+(cNES+cEREX)*H337+(cNES+cHOEX)*I337 + (cNES+cNES)*S337 +(cNES+ cOSEX)*N337 + (cNES+cEREX)*O337 + (cNES+cHOEX)*P337))/(1+cDR)^A$5:A$65536)</f>
        <v>124939.19879329074</v>
      </c>
      <c r="X337" s="112">
        <f t="shared" si="107"/>
        <v>931.68488458675677</v>
      </c>
      <c r="Y337" s="32">
        <f>(uNES*L337+ uOCEX*G337+uEREX*'PH + UC'!H337+uHOEX*I337+uNES*S337+ uOCEX*N337+uEREX*O337+uHOEX*P337)/(1+oDR)^A$5:A$65536</f>
        <v>557.62696705755911</v>
      </c>
    </row>
    <row r="338" spans="1:25" x14ac:dyDescent="0.25">
      <c r="A338" s="4">
        <v>332</v>
      </c>
      <c r="C338" s="110">
        <f>IF(male=0,VLOOKUP(((A336:A1170/'Life tables'!$I$2)*2)+age,lifetable,13,1),IF(male=1,VLOOKUP(((A336:A1170/'Life tables'!$I$2)*2)+age,lifetable,10,1),"error"))</f>
        <v>2.3219220175896282E-4</v>
      </c>
      <c r="F338" s="101">
        <f t="shared" si="90"/>
        <v>148.5548763863921</v>
      </c>
      <c r="G338" s="101">
        <f t="shared" si="91"/>
        <v>14.922648241239768</v>
      </c>
      <c r="H338" s="101">
        <f t="shared" si="92"/>
        <v>0.3414864717713782</v>
      </c>
      <c r="I338" s="101">
        <f t="shared" si="93"/>
        <v>0.3414864717713782</v>
      </c>
      <c r="J338" s="101">
        <f t="shared" si="94"/>
        <v>3.8116787372897906E-2</v>
      </c>
      <c r="K338" s="101">
        <f t="shared" si="95"/>
        <v>2.6768824127266819E-2</v>
      </c>
      <c r="L338" s="101">
        <f t="shared" si="102"/>
        <v>132.8843695901094</v>
      </c>
      <c r="M338" s="101">
        <f t="shared" si="96"/>
        <v>783.13000820036461</v>
      </c>
      <c r="N338" s="101">
        <f t="shared" si="97"/>
        <v>75.417116540697492</v>
      </c>
      <c r="O338" s="101">
        <f t="shared" si="98"/>
        <v>1.8001987544525326</v>
      </c>
      <c r="P338" s="101">
        <f t="shared" si="99"/>
        <v>1.8001987544525326</v>
      </c>
      <c r="Q338" s="101">
        <f t="shared" si="100"/>
        <v>0.20018393143225427</v>
      </c>
      <c r="R338" s="101">
        <f t="shared" si="101"/>
        <v>2.0973858836278093E-2</v>
      </c>
      <c r="S338" s="101">
        <f t="shared" si="103"/>
        <v>703.89133636049348</v>
      </c>
      <c r="T338" s="101">
        <f t="shared" si="104"/>
        <v>49.365569306313638</v>
      </c>
      <c r="U338" s="101">
        <f t="shared" si="105"/>
        <v>19.235589508698261</v>
      </c>
      <c r="V338" s="33">
        <f t="shared" si="106"/>
        <v>999.99999999999989</v>
      </c>
      <c r="W338" s="105">
        <f>IF(A338=1,((cPH1_+cPHr+(cNES*L338+(cNES+cOSEX)*G338+(cNES+cEREX)*H338+(cNES+cHOEX)*I338 + (cNES+cNES)*S338 +(cNES+ cOSEX)*N338 + (cNES+cEREX)*O338 + (cNES+cHOEX)*P338)))/(1+cDR)^A$5:A$65536,(cPHr+(cNES*L338+(cNES+cOSEX)*G338+(cNES+cEREX)*H338+(cNES+cHOEX)*I338 + (cNES+cNES)*S338 +(cNES+ cOSEX)*N338 + (cNES+cEREX)*O338 + (cNES+cHOEX)*P338))/(1+cDR)^A$5:A$65536)</f>
        <v>124757.29021907234</v>
      </c>
      <c r="X338" s="112">
        <f t="shared" si="107"/>
        <v>931.39884118498799</v>
      </c>
      <c r="Y338" s="32">
        <f>(uNES*L338+ uOCEX*G338+uEREX*'PH + UC'!H338+uHOEX*I338+uNES*S338+ uOCEX*N338+uEREX*O338+uHOEX*P338)/(1+oDR)^A$5:A$65536</f>
        <v>557.29544818627028</v>
      </c>
    </row>
    <row r="339" spans="1:25" x14ac:dyDescent="0.25">
      <c r="A339" s="4">
        <v>333</v>
      </c>
      <c r="C339" s="110">
        <f>IF(male=0,VLOOKUP(((A337:A1171/'Life tables'!$I$2)*2)+age,lifetable,13,1),IF(male=1,VLOOKUP(((A337:A1171/'Life tables'!$I$2)*2)+age,lifetable,10,1),"error"))</f>
        <v>2.3219220175896282E-4</v>
      </c>
      <c r="F339" s="101">
        <f t="shared" si="90"/>
        <v>148.50925231849408</v>
      </c>
      <c r="G339" s="101">
        <f t="shared" si="91"/>
        <v>14.9180652081335</v>
      </c>
      <c r="H339" s="101">
        <f t="shared" si="92"/>
        <v>0.34138159468922963</v>
      </c>
      <c r="I339" s="101">
        <f t="shared" si="93"/>
        <v>0.34138159468922963</v>
      </c>
      <c r="J339" s="101">
        <f t="shared" si="94"/>
        <v>3.8105080972290546E-2</v>
      </c>
      <c r="K339" s="101">
        <f t="shared" si="95"/>
        <v>2.6760602905054259E-2</v>
      </c>
      <c r="L339" s="101">
        <f t="shared" si="102"/>
        <v>132.84355823710479</v>
      </c>
      <c r="M339" s="101">
        <f t="shared" si="96"/>
        <v>782.8895888664938</v>
      </c>
      <c r="N339" s="101">
        <f t="shared" si="97"/>
        <v>75.393963637946598</v>
      </c>
      <c r="O339" s="101">
        <f t="shared" si="98"/>
        <v>1.7996460970637866</v>
      </c>
      <c r="P339" s="101">
        <f t="shared" si="99"/>
        <v>1.7996460970637866</v>
      </c>
      <c r="Q339" s="101">
        <f t="shared" si="100"/>
        <v>0.2001224753688387</v>
      </c>
      <c r="R339" s="101">
        <f t="shared" si="101"/>
        <v>2.0967419903894814E-2</v>
      </c>
      <c r="S339" s="101">
        <f t="shared" si="103"/>
        <v>703.67524313914691</v>
      </c>
      <c r="T339" s="101">
        <f t="shared" si="104"/>
        <v>49.603796862654768</v>
      </c>
      <c r="U339" s="101">
        <f t="shared" si="105"/>
        <v>19.283317531507212</v>
      </c>
      <c r="V339" s="33">
        <f t="shared" si="106"/>
        <v>999.99999999999989</v>
      </c>
      <c r="W339" s="105">
        <f>IF(A339=1,((cPH1_+cPHr+(cNES*L339+(cNES+cOSEX)*G339+(cNES+cEREX)*H339+(cNES+cHOEX)*I339 + (cNES+cNES)*S339 +(cNES+ cOSEX)*N339 + (cNES+cEREX)*O339 + (cNES+cHOEX)*P339)))/(1+cDR)^A$5:A$65536,(cPHr+(cNES*L339+(cNES+cOSEX)*G339+(cNES+cEREX)*H339+(cNES+cHOEX)*I339 + (cNES+cNES)*S339 +(cNES+ cOSEX)*N339 + (cNES+cEREX)*O339 + (cNES+cHOEX)*P339))/(1+cDR)^A$5:A$65536)</f>
        <v>124575.64646158939</v>
      </c>
      <c r="X339" s="112">
        <f t="shared" si="107"/>
        <v>931.11288560583785</v>
      </c>
      <c r="Y339" s="32">
        <f>(uNES*L339+ uOCEX*G339+uEREX*'PH + UC'!H339+uHOEX*I339+uNES*S339+ uOCEX*N339+uEREX*O339+uHOEX*P339)/(1+oDR)^A$5:A$65536</f>
        <v>556.96412640981987</v>
      </c>
    </row>
    <row r="340" spans="1:25" x14ac:dyDescent="0.25">
      <c r="A340" s="4">
        <v>334</v>
      </c>
      <c r="C340" s="110">
        <f>IF(male=0,VLOOKUP(((A338:A1172/'Life tables'!$I$2)*2)+age,lifetable,13,1),IF(male=1,VLOOKUP(((A338:A1172/'Life tables'!$I$2)*2)+age,lifetable,10,1),"error"))</f>
        <v>2.3219220175896282E-4</v>
      </c>
      <c r="F340" s="101">
        <f t="shared" si="90"/>
        <v>148.46364293894715</v>
      </c>
      <c r="G340" s="101">
        <f t="shared" si="91"/>
        <v>14.913483650502839</v>
      </c>
      <c r="H340" s="101">
        <f t="shared" si="92"/>
        <v>0.34127675137152758</v>
      </c>
      <c r="I340" s="101">
        <f t="shared" si="93"/>
        <v>0.34127675137152758</v>
      </c>
      <c r="J340" s="101">
        <f t="shared" si="94"/>
        <v>3.8093378340477387E-2</v>
      </c>
      <c r="K340" s="101">
        <f t="shared" si="95"/>
        <v>2.675238432960696E-2</v>
      </c>
      <c r="L340" s="101">
        <f t="shared" si="102"/>
        <v>132.80276002303117</v>
      </c>
      <c r="M340" s="101">
        <f t="shared" si="96"/>
        <v>782.64924266689093</v>
      </c>
      <c r="N340" s="101">
        <f t="shared" si="97"/>
        <v>75.370817778184161</v>
      </c>
      <c r="O340" s="101">
        <f t="shared" si="98"/>
        <v>1.7990936077904454</v>
      </c>
      <c r="P340" s="101">
        <f t="shared" si="99"/>
        <v>1.7990936077904454</v>
      </c>
      <c r="Q340" s="101">
        <f t="shared" si="100"/>
        <v>0.200061038000027</v>
      </c>
      <c r="R340" s="101">
        <f t="shared" si="101"/>
        <v>2.0960982930200128E-2</v>
      </c>
      <c r="S340" s="101">
        <f t="shared" si="103"/>
        <v>703.45921565219567</v>
      </c>
      <c r="T340" s="101">
        <f t="shared" si="104"/>
        <v>49.841951278995275</v>
      </c>
      <c r="U340" s="101">
        <f t="shared" si="105"/>
        <v>19.331030898767018</v>
      </c>
      <c r="V340" s="33">
        <f t="shared" si="106"/>
        <v>1000.0000000000001</v>
      </c>
      <c r="W340" s="105">
        <f>IF(A340=1,((cPH1_+cPHr+(cNES*L340+(cNES+cOSEX)*G340+(cNES+cEREX)*H340+(cNES+cHOEX)*I340 + (cNES+cNES)*S340 +(cNES+ cOSEX)*N340 + (cNES+cEREX)*O340 + (cNES+cHOEX)*P340)))/(1+cDR)^A$5:A$65536,(cPHr+(cNES*L340+(cNES+cOSEX)*G340+(cNES+cEREX)*H340+(cNES+cHOEX)*I340 + (cNES+cNES)*S340 +(cNES+ cOSEX)*N340 + (cNES+cEREX)*O340 + (cNES+cHOEX)*P340))/(1+cDR)^A$5:A$65536)</f>
        <v>124394.26713714813</v>
      </c>
      <c r="X340" s="112">
        <f t="shared" si="107"/>
        <v>930.82701782223785</v>
      </c>
      <c r="Y340" s="32">
        <f>(uNES*L340+ uOCEX*G340+uEREX*'PH + UC'!H340+uHOEX*I340+uNES*S340+ uOCEX*N340+uEREX*O340+uHOEX*P340)/(1+oDR)^A$5:A$65536</f>
        <v>556.63300161097982</v>
      </c>
    </row>
    <row r="341" spans="1:25" x14ac:dyDescent="0.25">
      <c r="A341" s="4">
        <v>335</v>
      </c>
      <c r="C341" s="110">
        <f>IF(male=0,VLOOKUP(((A339:A1173/'Life tables'!$I$2)*2)+age,lifetable,13,1),IF(male=1,VLOOKUP(((A339:A1173/'Life tables'!$I$2)*2)+age,lifetable,10,1),"error"))</f>
        <v>2.3219220175896282E-4</v>
      </c>
      <c r="F341" s="101">
        <f t="shared" si="90"/>
        <v>148.4180482126435</v>
      </c>
      <c r="G341" s="101">
        <f t="shared" si="91"/>
        <v>14.908903564821133</v>
      </c>
      <c r="H341" s="101">
        <f t="shared" si="92"/>
        <v>0.34117194173756904</v>
      </c>
      <c r="I341" s="101">
        <f t="shared" si="93"/>
        <v>0.34117194173756904</v>
      </c>
      <c r="J341" s="101">
        <f t="shared" si="94"/>
        <v>3.808167946845032E-2</v>
      </c>
      <c r="K341" s="101">
        <f t="shared" si="95"/>
        <v>2.6744168394598682E-2</v>
      </c>
      <c r="L341" s="101">
        <f t="shared" si="102"/>
        <v>132.76197491648418</v>
      </c>
      <c r="M341" s="101">
        <f t="shared" si="96"/>
        <v>782.40896960959435</v>
      </c>
      <c r="N341" s="101">
        <f t="shared" si="97"/>
        <v>75.34767896218429</v>
      </c>
      <c r="O341" s="101">
        <f t="shared" si="98"/>
        <v>1.7985412866509862</v>
      </c>
      <c r="P341" s="101">
        <f t="shared" si="99"/>
        <v>1.7985412866509862</v>
      </c>
      <c r="Q341" s="101">
        <f t="shared" si="100"/>
        <v>0.19999961932787397</v>
      </c>
      <c r="R341" s="101">
        <f t="shared" si="101"/>
        <v>2.0954547915409315E-2</v>
      </c>
      <c r="S341" s="101">
        <f t="shared" si="103"/>
        <v>703.24325390686477</v>
      </c>
      <c r="T341" s="101">
        <f t="shared" si="104"/>
        <v>50.080032577791599</v>
      </c>
      <c r="U341" s="101">
        <f t="shared" si="105"/>
        <v>19.378729615077027</v>
      </c>
      <c r="V341" s="33">
        <f t="shared" si="106"/>
        <v>1000.0000000000001</v>
      </c>
      <c r="W341" s="105">
        <f>IF(A341=1,((cPH1_+cPHr+(cNES*L341+(cNES+cOSEX)*G341+(cNES+cEREX)*H341+(cNES+cHOEX)*I341 + (cNES+cNES)*S341 +(cNES+ cOSEX)*N341 + (cNES+cEREX)*O341 + (cNES+cHOEX)*P341)))/(1+cDR)^A$5:A$65536,(cPHr+(cNES*L341+(cNES+cOSEX)*G341+(cNES+cEREX)*H341+(cNES+cHOEX)*I341 + (cNES+cNES)*S341 +(cNES+ cOSEX)*N341 + (cNES+cEREX)*O341 + (cNES+cHOEX)*P341))/(1+cDR)^A$5:A$65536)</f>
        <v>124213.15186252662</v>
      </c>
      <c r="X341" s="112">
        <f t="shared" si="107"/>
        <v>930.54123780713144</v>
      </c>
      <c r="Y341" s="32">
        <f>(uNES*L341+ uOCEX*G341+uEREX*'PH + UC'!H341+uHOEX*I341+uNES*S341+ uOCEX*N341+uEREX*O341+uHOEX*P341)/(1+oDR)^A$5:A$65536</f>
        <v>556.30207367259345</v>
      </c>
    </row>
    <row r="342" spans="1:25" x14ac:dyDescent="0.25">
      <c r="A342" s="4">
        <v>336</v>
      </c>
      <c r="C342" s="110">
        <f>IF(male=0,VLOOKUP(((A340:A1174/'Life tables'!$I$2)*2)+age,lifetable,13,1),IF(male=1,VLOOKUP(((A340:A1174/'Life tables'!$I$2)*2)+age,lifetable,10,1),"error"))</f>
        <v>2.3219220175896282E-4</v>
      </c>
      <c r="F342" s="101">
        <f t="shared" si="90"/>
        <v>148.37246810586109</v>
      </c>
      <c r="G342" s="101">
        <f t="shared" si="91"/>
        <v>14.904324947700932</v>
      </c>
      <c r="H342" s="101">
        <f t="shared" si="92"/>
        <v>0.34106716570983636</v>
      </c>
      <c r="I342" s="101">
        <f t="shared" si="93"/>
        <v>0.34106716570983636</v>
      </c>
      <c r="J342" s="101">
        <f t="shared" si="94"/>
        <v>3.8069984347556804E-2</v>
      </c>
      <c r="K342" s="101">
        <f t="shared" si="95"/>
        <v>2.6735955093952886E-2</v>
      </c>
      <c r="L342" s="101">
        <f t="shared" si="102"/>
        <v>132.72120288729897</v>
      </c>
      <c r="M342" s="101">
        <f t="shared" si="96"/>
        <v>782.16876970127055</v>
      </c>
      <c r="N342" s="101">
        <f t="shared" si="97"/>
        <v>75.324547190588973</v>
      </c>
      <c r="O342" s="101">
        <f t="shared" si="98"/>
        <v>1.7979891336607339</v>
      </c>
      <c r="P342" s="101">
        <f t="shared" si="99"/>
        <v>1.7979891336607339</v>
      </c>
      <c r="Q342" s="101">
        <f t="shared" si="100"/>
        <v>0.19993821935408362</v>
      </c>
      <c r="R342" s="101">
        <f t="shared" si="101"/>
        <v>2.0948114859700915E-2</v>
      </c>
      <c r="S342" s="101">
        <f t="shared" si="103"/>
        <v>703.0273579091463</v>
      </c>
      <c r="T342" s="101">
        <f t="shared" si="104"/>
        <v>50.318040781493238</v>
      </c>
      <c r="U342" s="101">
        <f t="shared" si="105"/>
        <v>19.426413685030681</v>
      </c>
      <c r="V342" s="33">
        <f t="shared" si="106"/>
        <v>1000.0000000000002</v>
      </c>
      <c r="W342" s="105">
        <f>IF(A342=1,((cPH1_+cPHr+(cNES*L342+(cNES+cOSEX)*G342+(cNES+cEREX)*H342+(cNES+cHOEX)*I342 + (cNES+cNES)*S342 +(cNES+ cOSEX)*N342 + (cNES+cEREX)*O342 + (cNES+cHOEX)*P342)))/(1+cDR)^A$5:A$65536,(cPHr+(cNES*L342+(cNES+cOSEX)*G342+(cNES+cEREX)*H342+(cNES+cHOEX)*I342 + (cNES+cNES)*S342 +(cNES+ cOSEX)*N342 + (cNES+cEREX)*O342 + (cNES+cHOEX)*P342))/(1+cDR)^A$5:A$65536)</f>
        <v>124032.30025497882</v>
      </c>
      <c r="X342" s="112">
        <f t="shared" si="107"/>
        <v>930.25554553347638</v>
      </c>
      <c r="Y342" s="32">
        <f>(uNES*L342+ uOCEX*G342+uEREX*'PH + UC'!H342+uHOEX*I342+uNES*S342+ uOCEX*N342+uEREX*O342+uHOEX*P342)/(1+oDR)^A$5:A$65536</f>
        <v>555.97134247757606</v>
      </c>
    </row>
    <row r="343" spans="1:25" x14ac:dyDescent="0.25">
      <c r="A343" s="4">
        <v>337</v>
      </c>
      <c r="C343" s="110">
        <f>IF(male=0,VLOOKUP(((A341:A1175/'Life tables'!$I$2)*2)+age,lifetable,13,1),IF(male=1,VLOOKUP(((A341:A1175/'Life tables'!$I$2)*2)+age,lifetable,10,1),"error"))</f>
        <v>2.3219220175896282E-4</v>
      </c>
      <c r="F343" s="101">
        <f t="shared" si="90"/>
        <v>148.3269025862013</v>
      </c>
      <c r="G343" s="101">
        <f t="shared" si="91"/>
        <v>14.899747795887727</v>
      </c>
      <c r="H343" s="101">
        <f t="shared" si="92"/>
        <v>0.34096242321385406</v>
      </c>
      <c r="I343" s="101">
        <f t="shared" si="93"/>
        <v>0.34096242321385406</v>
      </c>
      <c r="J343" s="101">
        <f t="shared" si="94"/>
        <v>3.805829296948389E-2</v>
      </c>
      <c r="K343" s="101">
        <f t="shared" si="95"/>
        <v>2.6727744421831508E-2</v>
      </c>
      <c r="L343" s="101">
        <f t="shared" si="102"/>
        <v>132.68044390649456</v>
      </c>
      <c r="M343" s="101">
        <f t="shared" si="96"/>
        <v>781.92864294727497</v>
      </c>
      <c r="N343" s="101">
        <f t="shared" si="97"/>
        <v>75.30142246391398</v>
      </c>
      <c r="O343" s="101">
        <f t="shared" si="98"/>
        <v>1.7974371488319991</v>
      </c>
      <c r="P343" s="101">
        <f t="shared" si="99"/>
        <v>1.7974371488319991</v>
      </c>
      <c r="Q343" s="101">
        <f t="shared" si="100"/>
        <v>0.19987683808002499</v>
      </c>
      <c r="R343" s="101">
        <f t="shared" si="101"/>
        <v>2.0941683763218366E-2</v>
      </c>
      <c r="S343" s="101">
        <f t="shared" si="103"/>
        <v>702.81152766385378</v>
      </c>
      <c r="T343" s="101">
        <f t="shared" si="104"/>
        <v>50.555975912542749</v>
      </c>
      <c r="U343" s="101">
        <f t="shared" si="105"/>
        <v>19.47408311321573</v>
      </c>
      <c r="V343" s="33">
        <f t="shared" si="106"/>
        <v>1000.0000000000002</v>
      </c>
      <c r="W343" s="105">
        <f>IF(A343=1,((cPH1_+cPHr+(cNES*L343+(cNES+cOSEX)*G343+(cNES+cEREX)*H343+(cNES+cHOEX)*I343 + (cNES+cNES)*S343 +(cNES+ cOSEX)*N343 + (cNES+cEREX)*O343 + (cNES+cHOEX)*P343)))/(1+cDR)^A$5:A$65536,(cPHr+(cNES*L343+(cNES+cOSEX)*G343+(cNES+cEREX)*H343+(cNES+cHOEX)*I343 + (cNES+cNES)*S343 +(cNES+ cOSEX)*N343 + (cNES+cEREX)*O343 + (cNES+cHOEX)*P343))/(1+cDR)^A$5:A$65536)</f>
        <v>123851.71193223684</v>
      </c>
      <c r="X343" s="112">
        <f t="shared" si="107"/>
        <v>929.96994097424169</v>
      </c>
      <c r="Y343" s="32">
        <f>(uNES*L343+ uOCEX*G343+uEREX*'PH + UC'!H343+uHOEX*I343+uNES*S343+ uOCEX*N343+uEREX*O343+uHOEX*P343)/(1+oDR)^A$5:A$65536</f>
        <v>555.64080790891524</v>
      </c>
    </row>
    <row r="344" spans="1:25" x14ac:dyDescent="0.25">
      <c r="A344" s="4">
        <v>338</v>
      </c>
      <c r="C344" s="110">
        <f>IF(male=0,VLOOKUP(((A342:A1176/'Life tables'!$I$2)*2)+age,lifetable,13,1),IF(male=1,VLOOKUP(((A342:A1176/'Life tables'!$I$2)*2)+age,lifetable,10,1),"error"))</f>
        <v>2.3219220175896282E-4</v>
      </c>
      <c r="F344" s="101">
        <f t="shared" si="90"/>
        <v>148.28135162252954</v>
      </c>
      <c r="G344" s="101">
        <f t="shared" si="91"/>
        <v>14.895172106253984</v>
      </c>
      <c r="H344" s="101">
        <f t="shared" si="92"/>
        <v>0.34085771417805238</v>
      </c>
      <c r="I344" s="101">
        <f t="shared" si="93"/>
        <v>0.34085771417805238</v>
      </c>
      <c r="J344" s="101">
        <f t="shared" si="94"/>
        <v>3.8046605326242953E-2</v>
      </c>
      <c r="K344" s="101">
        <f t="shared" si="95"/>
        <v>2.6719536372624256E-2</v>
      </c>
      <c r="L344" s="101">
        <f t="shared" si="102"/>
        <v>132.63969794622059</v>
      </c>
      <c r="M344" s="101">
        <f t="shared" si="96"/>
        <v>781.68858935171238</v>
      </c>
      <c r="N344" s="101">
        <f t="shared" si="97"/>
        <v>75.278304782554585</v>
      </c>
      <c r="O344" s="101">
        <f t="shared" si="98"/>
        <v>1.7968853321742175</v>
      </c>
      <c r="P344" s="101">
        <f t="shared" si="99"/>
        <v>1.7968853321742175</v>
      </c>
      <c r="Q344" s="101">
        <f t="shared" si="100"/>
        <v>0.19981547550674733</v>
      </c>
      <c r="R344" s="101">
        <f t="shared" si="101"/>
        <v>2.0935254626071598E-2</v>
      </c>
      <c r="S344" s="101">
        <f t="shared" si="103"/>
        <v>702.59576317467656</v>
      </c>
      <c r="T344" s="101">
        <f t="shared" si="104"/>
        <v>50.793837993375739</v>
      </c>
      <c r="U344" s="101">
        <f t="shared" si="105"/>
        <v>19.521737904214426</v>
      </c>
      <c r="V344" s="33">
        <f t="shared" si="106"/>
        <v>1000.0000000000005</v>
      </c>
      <c r="W344" s="105">
        <f>IF(A344=1,((cPH1_+cPHr+(cNES*L344+(cNES+cOSEX)*G344+(cNES+cEREX)*H344+(cNES+cHOEX)*I344 + (cNES+cNES)*S344 +(cNES+ cOSEX)*N344 + (cNES+cEREX)*O344 + (cNES+cHOEX)*P344)))/(1+cDR)^A$5:A$65536,(cPHr+(cNES*L344+(cNES+cOSEX)*G344+(cNES+cEREX)*H344+(cNES+cHOEX)*I344 + (cNES+cNES)*S344 +(cNES+ cOSEX)*N344 + (cNES+cEREX)*O344 + (cNES+cHOEX)*P344))/(1+cDR)^A$5:A$65536)</f>
        <v>123671.3865125146</v>
      </c>
      <c r="X344" s="112">
        <f t="shared" si="107"/>
        <v>929.68442410241028</v>
      </c>
      <c r="Y344" s="32">
        <f>(uNES*L344+ uOCEX*G344+uEREX*'PH + UC'!H344+uHOEX*I344+uNES*S344+ uOCEX*N344+uEREX*O344+uHOEX*P344)/(1+oDR)^A$5:A$65536</f>
        <v>555.31046984966997</v>
      </c>
    </row>
    <row r="345" spans="1:25" x14ac:dyDescent="0.25">
      <c r="A345" s="4">
        <v>339</v>
      </c>
      <c r="C345" s="110">
        <f>IF(male=0,VLOOKUP(((A343:A1177/'Life tables'!$I$2)*2)+age,lifetable,13,1),IF(male=1,VLOOKUP(((A343:A1177/'Life tables'!$I$2)*2)+age,lifetable,10,1),"error"))</f>
        <v>2.5345550293476293E-4</v>
      </c>
      <c r="F345" s="101">
        <f t="shared" si="90"/>
        <v>148.23581518491849</v>
      </c>
      <c r="G345" s="101">
        <f t="shared" si="91"/>
        <v>14.890597875793441</v>
      </c>
      <c r="H345" s="101">
        <f t="shared" si="92"/>
        <v>0.34075303853363675</v>
      </c>
      <c r="I345" s="101">
        <f t="shared" si="93"/>
        <v>0.34075303853363675</v>
      </c>
      <c r="J345" s="101">
        <f t="shared" si="94"/>
        <v>4.1518018529762807E-2</v>
      </c>
      <c r="K345" s="101">
        <f t="shared" si="95"/>
        <v>2.6711330940938381E-2</v>
      </c>
      <c r="L345" s="101">
        <f t="shared" si="102"/>
        <v>132.59548188258708</v>
      </c>
      <c r="M345" s="101">
        <f t="shared" si="96"/>
        <v>781.44860891749181</v>
      </c>
      <c r="N345" s="101">
        <f t="shared" si="97"/>
        <v>75.255194146790942</v>
      </c>
      <c r="O345" s="101">
        <f t="shared" si="98"/>
        <v>1.7963336836940762</v>
      </c>
      <c r="P345" s="101">
        <f t="shared" si="99"/>
        <v>1.7963336836940762</v>
      </c>
      <c r="Q345" s="101">
        <f t="shared" si="100"/>
        <v>0.21804687458626057</v>
      </c>
      <c r="R345" s="101">
        <f t="shared" si="101"/>
        <v>2.092882744833852E-2</v>
      </c>
      <c r="S345" s="101">
        <f t="shared" si="103"/>
        <v>702.36177170127814</v>
      </c>
      <c r="T345" s="101">
        <f t="shared" si="104"/>
        <v>51.05340288649176</v>
      </c>
      <c r="U345" s="101">
        <f t="shared" si="105"/>
        <v>19.569378062603704</v>
      </c>
      <c r="V345" s="33">
        <f t="shared" si="106"/>
        <v>1000.0000000000006</v>
      </c>
      <c r="W345" s="105">
        <f>IF(A345=1,((cPH1_+cPHr+(cNES*L345+(cNES+cOSEX)*G345+(cNES+cEREX)*H345+(cNES+cHOEX)*I345 + (cNES+cNES)*S345 +(cNES+ cOSEX)*N345 + (cNES+cEREX)*O345 + (cNES+cHOEX)*P345)))/(1+cDR)^A$5:A$65536,(cPHr+(cNES*L345+(cNES+cOSEX)*G345+(cNES+cEREX)*H345+(cNES+cHOEX)*I345 + (cNES+cNES)*S345 +(cNES+ cOSEX)*N345 + (cNES+cEREX)*O345 + (cNES+cHOEX)*P345))/(1+cDR)^A$5:A$65536)</f>
        <v>123488.81552615763</v>
      </c>
      <c r="X345" s="112">
        <f t="shared" si="107"/>
        <v>929.37721905090507</v>
      </c>
      <c r="Y345" s="32">
        <f>(uNES*L345+ uOCEX*G345+uEREX*'PH + UC'!H345+uHOEX*I345+uNES*S345+ uOCEX*N345+uEREX*O345+uHOEX*P345)/(1+oDR)^A$5:A$65536</f>
        <v>554.96711356763899</v>
      </c>
    </row>
    <row r="346" spans="1:25" x14ac:dyDescent="0.25">
      <c r="A346" s="4">
        <v>340</v>
      </c>
      <c r="C346" s="110">
        <f>IF(male=0,VLOOKUP(((A344:A1178/'Life tables'!$I$2)*2)+age,lifetable,13,1),IF(male=1,VLOOKUP(((A344:A1178/'Life tables'!$I$2)*2)+age,lifetable,10,1),"error"))</f>
        <v>2.5345550293476293E-4</v>
      </c>
      <c r="F346" s="101">
        <f t="shared" si="90"/>
        <v>148.18681020682143</v>
      </c>
      <c r="G346" s="101">
        <f t="shared" si="91"/>
        <v>14.885675223181824</v>
      </c>
      <c r="H346" s="101">
        <f t="shared" si="92"/>
        <v>0.34064038967634797</v>
      </c>
      <c r="I346" s="101">
        <f t="shared" si="93"/>
        <v>0.34064038967634797</v>
      </c>
      <c r="J346" s="101">
        <f t="shared" si="94"/>
        <v>4.1504293172053897E-2</v>
      </c>
      <c r="K346" s="101">
        <f t="shared" si="95"/>
        <v>2.6702500496109165E-2</v>
      </c>
      <c r="L346" s="101">
        <f t="shared" si="102"/>
        <v>132.55164741061876</v>
      </c>
      <c r="M346" s="101">
        <f t="shared" si="96"/>
        <v>781.19040884408378</v>
      </c>
      <c r="N346" s="101">
        <f t="shared" si="97"/>
        <v>75.230328920298362</v>
      </c>
      <c r="O346" s="101">
        <f t="shared" si="98"/>
        <v>1.7957401533151078</v>
      </c>
      <c r="P346" s="101">
        <f t="shared" si="99"/>
        <v>1.7957401533151078</v>
      </c>
      <c r="Q346" s="101">
        <f t="shared" si="100"/>
        <v>0.21797482926122946</v>
      </c>
      <c r="R346" s="101">
        <f t="shared" si="101"/>
        <v>2.0921912310577905E-2</v>
      </c>
      <c r="S346" s="101">
        <f t="shared" si="103"/>
        <v>702.12970287558335</v>
      </c>
      <c r="T346" s="101">
        <f t="shared" si="104"/>
        <v>51.312882008925044</v>
      </c>
      <c r="U346" s="101">
        <f t="shared" si="105"/>
        <v>19.617002475410391</v>
      </c>
      <c r="V346" s="33">
        <f t="shared" si="106"/>
        <v>1000.0000000000006</v>
      </c>
      <c r="W346" s="105">
        <f>IF(A346=1,((cPH1_+cPHr+(cNES*L346+(cNES+cOSEX)*G346+(cNES+cEREX)*H346+(cNES+cHOEX)*I346 + (cNES+cNES)*S346 +(cNES+ cOSEX)*N346 + (cNES+cEREX)*O346 + (cNES+cHOEX)*P346)))/(1+cDR)^A$5:A$65536,(cPHr+(cNES*L346+(cNES+cOSEX)*G346+(cNES+cEREX)*H346+(cNES+cHOEX)*I346 + (cNES+cNES)*S346 +(cNES+ cOSEX)*N346 + (cNES+cEREX)*O346 + (cNES+cHOEX)*P346))/(1+cDR)^A$5:A$65536)</f>
        <v>123306.13029485804</v>
      </c>
      <c r="X346" s="112">
        <f t="shared" si="107"/>
        <v>929.07011551566518</v>
      </c>
      <c r="Y346" s="32">
        <f>(uNES*L346+ uOCEX*G346+uEREX*'PH + UC'!H346+uHOEX*I346+uNES*S346+ uOCEX*N346+uEREX*O346+uHOEX*P346)/(1+oDR)^A$5:A$65536</f>
        <v>554.62418087608398</v>
      </c>
    </row>
    <row r="347" spans="1:25" x14ac:dyDescent="0.25">
      <c r="A347" s="4">
        <v>341</v>
      </c>
      <c r="C347" s="110">
        <f>IF(male=0,VLOOKUP(((A345:A1179/'Life tables'!$I$2)*2)+age,lifetable,13,1),IF(male=1,VLOOKUP(((A345:A1179/'Life tables'!$I$2)*2)+age,lifetable,10,1),"error"))</f>
        <v>2.5345550293476293E-4</v>
      </c>
      <c r="F347" s="101">
        <f t="shared" si="90"/>
        <v>148.1378224076507</v>
      </c>
      <c r="G347" s="101">
        <f t="shared" si="91"/>
        <v>14.880754296229309</v>
      </c>
      <c r="H347" s="101">
        <f t="shared" si="92"/>
        <v>0.34052778030864772</v>
      </c>
      <c r="I347" s="101">
        <f t="shared" si="93"/>
        <v>0.34052778030864772</v>
      </c>
      <c r="J347" s="101">
        <f t="shared" si="94"/>
        <v>4.1490572625833902E-2</v>
      </c>
      <c r="K347" s="101">
        <f t="shared" si="95"/>
        <v>2.669367314683406E-2</v>
      </c>
      <c r="L347" s="101">
        <f t="shared" si="102"/>
        <v>132.50782830503144</v>
      </c>
      <c r="M347" s="101">
        <f t="shared" si="96"/>
        <v>780.93229310801451</v>
      </c>
      <c r="N347" s="101">
        <f t="shared" si="97"/>
        <v>75.205471815674244</v>
      </c>
      <c r="O347" s="101">
        <f t="shared" si="98"/>
        <v>1.7951468168042974</v>
      </c>
      <c r="P347" s="101">
        <f t="shared" si="99"/>
        <v>1.7951468168042974</v>
      </c>
      <c r="Q347" s="101">
        <f t="shared" si="100"/>
        <v>0.21790280746876711</v>
      </c>
      <c r="R347" s="101">
        <f t="shared" si="101"/>
        <v>2.0914999431547537E-2</v>
      </c>
      <c r="S347" s="101">
        <f t="shared" si="103"/>
        <v>701.89770985183134</v>
      </c>
      <c r="T347" s="101">
        <f t="shared" si="104"/>
        <v>51.572275389019644</v>
      </c>
      <c r="U347" s="101">
        <f t="shared" si="105"/>
        <v>19.664611147988772</v>
      </c>
      <c r="V347" s="33">
        <f t="shared" si="106"/>
        <v>1000.0000000000007</v>
      </c>
      <c r="W347" s="105">
        <f>IF(A347=1,((cPH1_+cPHr+(cNES*L347+(cNES+cOSEX)*G347+(cNES+cEREX)*H347+(cNES+cHOEX)*I347 + (cNES+cNES)*S347 +(cNES+ cOSEX)*N347 + (cNES+cEREX)*O347 + (cNES+cHOEX)*P347)))/(1+cDR)^A$5:A$65536,(cPHr+(cNES*L347+(cNES+cOSEX)*G347+(cNES+cEREX)*H347+(cNES+cHOEX)*I347 + (cNES+cNES)*S347 +(cNES+ cOSEX)*N347 + (cNES+cEREX)*O347 + (cNES+cHOEX)*P347))/(1+cDR)^A$5:A$65536)</f>
        <v>123123.71526971097</v>
      </c>
      <c r="X347" s="112">
        <f t="shared" si="107"/>
        <v>928.76311346299224</v>
      </c>
      <c r="Y347" s="32">
        <f>(uNES*L347+ uOCEX*G347+uEREX*'PH + UC'!H347+uHOEX*I347+uNES*S347+ uOCEX*N347+uEREX*O347+uHOEX*P347)/(1+oDR)^A$5:A$65536</f>
        <v>554.28146009564978</v>
      </c>
    </row>
    <row r="348" spans="1:25" x14ac:dyDescent="0.25">
      <c r="A348" s="4">
        <v>342</v>
      </c>
      <c r="C348" s="110">
        <f>IF(male=0,VLOOKUP(((A346:A1180/'Life tables'!$I$2)*2)+age,lifetable,13,1),IF(male=1,VLOOKUP(((A346:A1180/'Life tables'!$I$2)*2)+age,lifetable,10,1),"error"))</f>
        <v>2.5345550293476293E-4</v>
      </c>
      <c r="F348" s="101">
        <f t="shared" si="90"/>
        <v>148.08885173741646</v>
      </c>
      <c r="G348" s="101">
        <f t="shared" si="91"/>
        <v>14.875835089914313</v>
      </c>
      <c r="H348" s="101">
        <f t="shared" si="92"/>
        <v>0.34041521031562327</v>
      </c>
      <c r="I348" s="101">
        <f t="shared" si="93"/>
        <v>0.34041521031562327</v>
      </c>
      <c r="J348" s="101">
        <f t="shared" si="94"/>
        <v>4.1476856877101634E-2</v>
      </c>
      <c r="K348" s="101">
        <f t="shared" si="95"/>
        <v>2.6684848884105147E-2</v>
      </c>
      <c r="L348" s="101">
        <f t="shared" si="102"/>
        <v>132.46402452110971</v>
      </c>
      <c r="M348" s="101">
        <f t="shared" si="96"/>
        <v>780.67426172557578</v>
      </c>
      <c r="N348" s="101">
        <f t="shared" si="97"/>
        <v>75.180622834487508</v>
      </c>
      <c r="O348" s="101">
        <f t="shared" si="98"/>
        <v>1.7945536741990953</v>
      </c>
      <c r="P348" s="101">
        <f t="shared" si="99"/>
        <v>1.7945536741990953</v>
      </c>
      <c r="Q348" s="101">
        <f t="shared" si="100"/>
        <v>0.21783080921341941</v>
      </c>
      <c r="R348" s="101">
        <f t="shared" si="101"/>
        <v>2.0908088811683746E-2</v>
      </c>
      <c r="S348" s="101">
        <f t="shared" si="103"/>
        <v>701.66579264466498</v>
      </c>
      <c r="T348" s="101">
        <f t="shared" si="104"/>
        <v>51.831583055110166</v>
      </c>
      <c r="U348" s="101">
        <f t="shared" si="105"/>
        <v>19.712204085684562</v>
      </c>
      <c r="V348" s="33">
        <f t="shared" si="106"/>
        <v>1000.0000000000007</v>
      </c>
      <c r="W348" s="105">
        <f>IF(A348=1,((cPH1_+cPHr+(cNES*L348+(cNES+cOSEX)*G348+(cNES+cEREX)*H348+(cNES+cHOEX)*I348 + (cNES+cNES)*S348 +(cNES+ cOSEX)*N348 + (cNES+cEREX)*O348 + (cNES+cHOEX)*P348)))/(1+cDR)^A$5:A$65536,(cPHr+(cNES*L348+(cNES+cOSEX)*G348+(cNES+cEREX)*H348+(cNES+cHOEX)*I348 + (cNES+cNES)*S348 +(cNES+ cOSEX)*N348 + (cNES+cEREX)*O348 + (cNES+cHOEX)*P348))/(1+cDR)^A$5:A$65536)</f>
        <v>122941.57005355025</v>
      </c>
      <c r="X348" s="112">
        <f t="shared" si="107"/>
        <v>928.45621285920595</v>
      </c>
      <c r="Y348" s="32">
        <f>(uNES*L348+ uOCEX*G348+uEREX*'PH + UC'!H348+uHOEX*I348+uNES*S348+ uOCEX*N348+uEREX*O348+uHOEX*P348)/(1+oDR)^A$5:A$65536</f>
        <v>553.93895109531695</v>
      </c>
    </row>
    <row r="349" spans="1:25" x14ac:dyDescent="0.25">
      <c r="A349" s="4">
        <v>343</v>
      </c>
      <c r="C349" s="110">
        <f>IF(male=0,VLOOKUP(((A347:A1181/'Life tables'!$I$2)*2)+age,lifetable,13,1),IF(male=1,VLOOKUP(((A347:A1181/'Life tables'!$I$2)*2)+age,lifetable,10,1),"error"))</f>
        <v>2.5345550293476293E-4</v>
      </c>
      <c r="F349" s="101">
        <f t="shared" si="90"/>
        <v>148.03989814813741</v>
      </c>
      <c r="G349" s="101">
        <f t="shared" si="91"/>
        <v>14.870917599417014</v>
      </c>
      <c r="H349" s="101">
        <f t="shared" si="92"/>
        <v>0.3403026795869788</v>
      </c>
      <c r="I349" s="101">
        <f t="shared" si="93"/>
        <v>0.3403026795869788</v>
      </c>
      <c r="J349" s="101">
        <f t="shared" si="94"/>
        <v>4.1463145912418439E-2</v>
      </c>
      <c r="K349" s="101">
        <f t="shared" si="95"/>
        <v>2.6676027699276444E-2</v>
      </c>
      <c r="L349" s="101">
        <f t="shared" si="102"/>
        <v>132.42023601593473</v>
      </c>
      <c r="M349" s="101">
        <f t="shared" si="96"/>
        <v>780.41631471106848</v>
      </c>
      <c r="N349" s="101">
        <f t="shared" si="97"/>
        <v>75.155781978115371</v>
      </c>
      <c r="O349" s="101">
        <f t="shared" si="98"/>
        <v>1.7939607255323753</v>
      </c>
      <c r="P349" s="101">
        <f t="shared" si="99"/>
        <v>1.7939607255323753</v>
      </c>
      <c r="Q349" s="101">
        <f t="shared" si="100"/>
        <v>0.21775883449917674</v>
      </c>
      <c r="R349" s="101">
        <f t="shared" si="101"/>
        <v>2.0901180451369541E-2</v>
      </c>
      <c r="S349" s="101">
        <f t="shared" si="103"/>
        <v>701.43395126693781</v>
      </c>
      <c r="T349" s="101">
        <f t="shared" si="104"/>
        <v>52.090805035521761</v>
      </c>
      <c r="U349" s="101">
        <f t="shared" si="105"/>
        <v>19.759781293835207</v>
      </c>
      <c r="V349" s="33">
        <f t="shared" si="106"/>
        <v>1000.0000000000006</v>
      </c>
      <c r="W349" s="105">
        <f>IF(A349=1,((cPH1_+cPHr+(cNES*L349+(cNES+cOSEX)*G349+(cNES+cEREX)*H349+(cNES+cHOEX)*I349 + (cNES+cNES)*S349 +(cNES+ cOSEX)*N349 + (cNES+cEREX)*O349 + (cNES+cHOEX)*P349)))/(1+cDR)^A$5:A$65536,(cPHr+(cNES*L349+(cNES+cOSEX)*G349+(cNES+cEREX)*H349+(cNES+cHOEX)*I349 + (cNES+cNES)*S349 +(cNES+ cOSEX)*N349 + (cNES+cEREX)*O349 + (cNES+cHOEX)*P349))/(1+cDR)^A$5:A$65536)</f>
        <v>122759.69424967868</v>
      </c>
      <c r="X349" s="112">
        <f t="shared" si="107"/>
        <v>928.14941367064364</v>
      </c>
      <c r="Y349" s="32">
        <f>(uNES*L349+ uOCEX*G349+uEREX*'PH + UC'!H349+uHOEX*I349+uNES*S349+ uOCEX*N349+uEREX*O349+uHOEX*P349)/(1+oDR)^A$5:A$65536</f>
        <v>553.59665374415056</v>
      </c>
    </row>
    <row r="350" spans="1:25" x14ac:dyDescent="0.25">
      <c r="A350" s="4">
        <v>344</v>
      </c>
      <c r="C350" s="110">
        <f>IF(male=0,VLOOKUP(((A348:A1182/'Life tables'!$I$2)*2)+age,lifetable,13,1),IF(male=1,VLOOKUP(((A348:A1182/'Life tables'!$I$2)*2)+age,lifetable,10,1),"error"))</f>
        <v>2.5345550293476293E-4</v>
      </c>
      <c r="F350" s="101">
        <f t="shared" si="90"/>
        <v>147.99096159375074</v>
      </c>
      <c r="G350" s="101">
        <f t="shared" si="91"/>
        <v>14.866001820110307</v>
      </c>
      <c r="H350" s="101">
        <f t="shared" si="92"/>
        <v>0.34019018801682877</v>
      </c>
      <c r="I350" s="101">
        <f t="shared" si="93"/>
        <v>0.34019018801682877</v>
      </c>
      <c r="J350" s="101">
        <f t="shared" si="94"/>
        <v>4.1449439718882992E-2</v>
      </c>
      <c r="K350" s="101">
        <f t="shared" si="95"/>
        <v>2.6667209584047672E-2</v>
      </c>
      <c r="L350" s="101">
        <f t="shared" si="102"/>
        <v>132.37646274830385</v>
      </c>
      <c r="M350" s="101">
        <f t="shared" si="96"/>
        <v>780.1584520768929</v>
      </c>
      <c r="N350" s="101">
        <f t="shared" si="97"/>
        <v>75.130949247751985</v>
      </c>
      <c r="O350" s="101">
        <f t="shared" si="98"/>
        <v>1.7933679708326424</v>
      </c>
      <c r="P350" s="101">
        <f t="shared" si="99"/>
        <v>1.7933679708326424</v>
      </c>
      <c r="Q350" s="101">
        <f t="shared" si="100"/>
        <v>0.21768688332949912</v>
      </c>
      <c r="R350" s="101">
        <f t="shared" si="101"/>
        <v>2.0894274350937027E-2</v>
      </c>
      <c r="S350" s="101">
        <f t="shared" si="103"/>
        <v>701.20218572979513</v>
      </c>
      <c r="T350" s="101">
        <f t="shared" si="104"/>
        <v>52.349941358570142</v>
      </c>
      <c r="U350" s="101">
        <f t="shared" si="105"/>
        <v>19.807342777770192</v>
      </c>
      <c r="V350" s="33">
        <f t="shared" si="106"/>
        <v>1000.0000000000006</v>
      </c>
      <c r="W350" s="105">
        <f>IF(A350=1,((cPH1_+cPHr+(cNES*L350+(cNES+cOSEX)*G350+(cNES+cEREX)*H350+(cNES+cHOEX)*I350 + (cNES+cNES)*S350 +(cNES+ cOSEX)*N350 + (cNES+cEREX)*O350 + (cNES+cHOEX)*P350)))/(1+cDR)^A$5:A$65536,(cPHr+(cNES*L350+(cNES+cOSEX)*G350+(cNES+cEREX)*H350+(cNES+cHOEX)*I350 + (cNES+cNES)*S350 +(cNES+ cOSEX)*N350 + (cNES+cEREX)*O350 + (cNES+cHOEX)*P350))/(1+cDR)^A$5:A$65536)</f>
        <v>122578.08746187294</v>
      </c>
      <c r="X350" s="112">
        <f t="shared" si="107"/>
        <v>927.84271586366026</v>
      </c>
      <c r="Y350" s="32">
        <f>(uNES*L350+ uOCEX*G350+uEREX*'PH + UC'!H350+uHOEX*I350+uNES*S350+ uOCEX*N350+uEREX*O350+uHOEX*P350)/(1+oDR)^A$5:A$65536</f>
        <v>553.25456791129966</v>
      </c>
    </row>
    <row r="351" spans="1:25" x14ac:dyDescent="0.25">
      <c r="A351" s="4">
        <v>345</v>
      </c>
      <c r="C351" s="110">
        <f>IF(male=0,VLOOKUP(((A349:A1183/'Life tables'!$I$2)*2)+age,lifetable,13,1),IF(male=1,VLOOKUP(((A349:A1183/'Life tables'!$I$2)*2)+age,lifetable,10,1),"error"))</f>
        <v>2.5345550293476293E-4</v>
      </c>
      <c r="F351" s="101">
        <f t="shared" si="90"/>
        <v>147.94204203002587</v>
      </c>
      <c r="G351" s="101">
        <f t="shared" si="91"/>
        <v>14.861087747551139</v>
      </c>
      <c r="H351" s="101">
        <f t="shared" si="92"/>
        <v>0.34007773550349929</v>
      </c>
      <c r="I351" s="101">
        <f t="shared" si="93"/>
        <v>0.34007773550349929</v>
      </c>
      <c r="J351" s="101">
        <f t="shared" si="94"/>
        <v>4.1435738284107175E-2</v>
      </c>
      <c r="K351" s="101">
        <f t="shared" si="95"/>
        <v>2.6658394530448708E-2</v>
      </c>
      <c r="L351" s="101">
        <f t="shared" si="102"/>
        <v>132.33270467865319</v>
      </c>
      <c r="M351" s="101">
        <f t="shared" si="96"/>
        <v>779.9006738336343</v>
      </c>
      <c r="N351" s="101">
        <f t="shared" si="97"/>
        <v>75.106124644416752</v>
      </c>
      <c r="O351" s="101">
        <f t="shared" si="98"/>
        <v>1.7927754101242288</v>
      </c>
      <c r="P351" s="101">
        <f t="shared" si="99"/>
        <v>1.7927754101242288</v>
      </c>
      <c r="Q351" s="101">
        <f t="shared" si="100"/>
        <v>0.21761495570734013</v>
      </c>
      <c r="R351" s="101">
        <f t="shared" si="101"/>
        <v>2.0887370510669693E-2</v>
      </c>
      <c r="S351" s="101">
        <f t="shared" si="103"/>
        <v>700.97049604275105</v>
      </c>
      <c r="T351" s="101">
        <f t="shared" si="104"/>
        <v>52.60899205256159</v>
      </c>
      <c r="U351" s="101">
        <f t="shared" si="105"/>
        <v>19.85488854281131</v>
      </c>
      <c r="V351" s="33">
        <f t="shared" si="106"/>
        <v>1000.0000000000005</v>
      </c>
      <c r="W351" s="105">
        <f>IF(A351=1,((cPH1_+cPHr+(cNES*L351+(cNES+cOSEX)*G351+(cNES+cEREX)*H351+(cNES+cHOEX)*I351 + (cNES+cNES)*S351 +(cNES+ cOSEX)*N351 + (cNES+cEREX)*O351 + (cNES+cHOEX)*P351)))/(1+cDR)^A$5:A$65536,(cPHr+(cNES*L351+(cNES+cOSEX)*G351+(cNES+cEREX)*H351+(cNES+cHOEX)*I351 + (cNES+cNES)*S351 +(cNES+ cOSEX)*N351 + (cNES+cEREX)*O351 + (cNES+cHOEX)*P351))/(1+cDR)^A$5:A$65536)</f>
        <v>122396.74929438767</v>
      </c>
      <c r="X351" s="112">
        <f t="shared" si="107"/>
        <v>927.53611940462758</v>
      </c>
      <c r="Y351" s="32">
        <f>(uNES*L351+ uOCEX*G351+uEREX*'PH + UC'!H351+uHOEX*I351+uNES*S351+ uOCEX*N351+uEREX*O351+uHOEX*P351)/(1+oDR)^A$5:A$65536</f>
        <v>552.91269346599847</v>
      </c>
    </row>
    <row r="352" spans="1:25" x14ac:dyDescent="0.25">
      <c r="A352" s="4">
        <v>346</v>
      </c>
      <c r="C352" s="110">
        <f>IF(male=0,VLOOKUP(((A350:A1184/'Life tables'!$I$2)*2)+age,lifetable,13,1),IF(male=1,VLOOKUP(((A350:A1184/'Life tables'!$I$2)*2)+age,lifetable,10,1),"error"))</f>
        <v>2.5345550293476293E-4</v>
      </c>
      <c r="F352" s="101">
        <f t="shared" si="90"/>
        <v>147.89313941448214</v>
      </c>
      <c r="G352" s="101">
        <f t="shared" si="91"/>
        <v>14.856175377472235</v>
      </c>
      <c r="H352" s="101">
        <f t="shared" si="92"/>
        <v>0.33996532194933904</v>
      </c>
      <c r="I352" s="101">
        <f t="shared" si="93"/>
        <v>0.33996532194933904</v>
      </c>
      <c r="J352" s="101">
        <f t="shared" si="94"/>
        <v>4.1422041596192942E-2</v>
      </c>
      <c r="K352" s="101">
        <f t="shared" si="95"/>
        <v>2.664958253082475E-2</v>
      </c>
      <c r="L352" s="101">
        <f t="shared" si="102"/>
        <v>132.28896176898419</v>
      </c>
      <c r="M352" s="101">
        <f t="shared" si="96"/>
        <v>779.64297999014548</v>
      </c>
      <c r="N352" s="101">
        <f t="shared" si="97"/>
        <v>75.081308168962224</v>
      </c>
      <c r="O352" s="101">
        <f t="shared" si="98"/>
        <v>1.792183043427485</v>
      </c>
      <c r="P352" s="101">
        <f t="shared" si="99"/>
        <v>1.792183043427485</v>
      </c>
      <c r="Q352" s="101">
        <f t="shared" si="100"/>
        <v>0.21754305163517001</v>
      </c>
      <c r="R352" s="101">
        <f t="shared" si="101"/>
        <v>2.0880468930804644E-2</v>
      </c>
      <c r="S352" s="101">
        <f t="shared" si="103"/>
        <v>700.73888221376228</v>
      </c>
      <c r="T352" s="101">
        <f t="shared" si="104"/>
        <v>52.86795714579295</v>
      </c>
      <c r="U352" s="101">
        <f t="shared" si="105"/>
        <v>19.902418594272937</v>
      </c>
      <c r="V352" s="33">
        <f t="shared" si="106"/>
        <v>1000.0000000000005</v>
      </c>
      <c r="W352" s="105">
        <f>IF(A352=1,((cPH1_+cPHr+(cNES*L352+(cNES+cOSEX)*G352+(cNES+cEREX)*H352+(cNES+cHOEX)*I352 + (cNES+cNES)*S352 +(cNES+ cOSEX)*N352 + (cNES+cEREX)*O352 + (cNES+cHOEX)*P352)))/(1+cDR)^A$5:A$65536,(cPHr+(cNES*L352+(cNES+cOSEX)*G352+(cNES+cEREX)*H352+(cNES+cHOEX)*I352 + (cNES+cNES)*S352 +(cNES+ cOSEX)*N352 + (cNES+cEREX)*O352 + (cNES+cHOEX)*P352))/(1+cDR)^A$5:A$65536)</f>
        <v>122215.67935196021</v>
      </c>
      <c r="X352" s="112">
        <f t="shared" si="107"/>
        <v>927.22962425993455</v>
      </c>
      <c r="Y352" s="32">
        <f>(uNES*L352+ uOCEX*G352+uEREX*'PH + UC'!H352+uHOEX*I352+uNES*S352+ uOCEX*N352+uEREX*O352+uHOEX*P352)/(1+oDR)^A$5:A$65536</f>
        <v>552.57103027756261</v>
      </c>
    </row>
    <row r="353" spans="1:25" x14ac:dyDescent="0.25">
      <c r="A353" s="4">
        <v>347</v>
      </c>
      <c r="C353" s="110">
        <f>IF(male=0,VLOOKUP(((A351:A1185/'Life tables'!$I$2)*2)+age,lifetable,13,1),IF(male=1,VLOOKUP(((A351:A1185/'Life tables'!$I$2)*2)+age,lifetable,10,1),"error"))</f>
        <v>2.5345550293476293E-4</v>
      </c>
      <c r="F353" s="101">
        <f t="shared" si="90"/>
        <v>147.84425370631027</v>
      </c>
      <c r="G353" s="101">
        <f t="shared" si="91"/>
        <v>14.851264705774222</v>
      </c>
      <c r="H353" s="101">
        <f t="shared" si="92"/>
        <v>0.339852947260539</v>
      </c>
      <c r="I353" s="101">
        <f t="shared" si="93"/>
        <v>0.339852947260539</v>
      </c>
      <c r="J353" s="101">
        <f t="shared" si="94"/>
        <v>4.1408349643710429E-2</v>
      </c>
      <c r="K353" s="101">
        <f t="shared" si="95"/>
        <v>2.6640773577822185E-2</v>
      </c>
      <c r="L353" s="101">
        <f t="shared" si="102"/>
        <v>132.24523398279342</v>
      </c>
      <c r="M353" s="101">
        <f t="shared" si="96"/>
        <v>779.38537055362428</v>
      </c>
      <c r="N353" s="101">
        <f t="shared" si="97"/>
        <v>75.056499822081534</v>
      </c>
      <c r="O353" s="101">
        <f t="shared" si="98"/>
        <v>1.7915908707589565</v>
      </c>
      <c r="P353" s="101">
        <f t="shared" si="99"/>
        <v>1.7915908707589565</v>
      </c>
      <c r="Q353" s="101">
        <f t="shared" si="100"/>
        <v>0.21747117111499711</v>
      </c>
      <c r="R353" s="101">
        <f t="shared" si="101"/>
        <v>2.0873569611534647E-2</v>
      </c>
      <c r="S353" s="101">
        <f t="shared" si="103"/>
        <v>700.50734424929828</v>
      </c>
      <c r="T353" s="101">
        <f t="shared" si="104"/>
        <v>53.126836666551654</v>
      </c>
      <c r="U353" s="101">
        <f t="shared" si="105"/>
        <v>19.949932937462293</v>
      </c>
      <c r="V353" s="33">
        <f t="shared" si="106"/>
        <v>1000.0000000000005</v>
      </c>
      <c r="W353" s="105">
        <f>IF(A353=1,((cPH1_+cPHr+(cNES*L353+(cNES+cOSEX)*G353+(cNES+cEREX)*H353+(cNES+cHOEX)*I353 + (cNES+cNES)*S353 +(cNES+ cOSEX)*N353 + (cNES+cEREX)*O353 + (cNES+cHOEX)*P353)))/(1+cDR)^A$5:A$65536,(cPHr+(cNES*L353+(cNES+cOSEX)*G353+(cNES+cEREX)*H353+(cNES+cHOEX)*I353 + (cNES+cNES)*S353 +(cNES+ cOSEX)*N353 + (cNES+cEREX)*O353 + (cNES+cHOEX)*P353))/(1+cDR)^A$5:A$65536)</f>
        <v>122034.87723981436</v>
      </c>
      <c r="X353" s="112">
        <f t="shared" si="107"/>
        <v>926.92323039598648</v>
      </c>
      <c r="Y353" s="32">
        <f>(uNES*L353+ uOCEX*G353+uEREX*'PH + UC'!H353+uHOEX*I353+uNES*S353+ uOCEX*N353+uEREX*O353+uHOEX*P353)/(1+oDR)^A$5:A$65536</f>
        <v>552.22957821539239</v>
      </c>
    </row>
    <row r="354" spans="1:25" x14ac:dyDescent="0.25">
      <c r="A354" s="4">
        <v>348</v>
      </c>
      <c r="C354" s="110">
        <f>IF(male=0,VLOOKUP(((A352:A1186/'Life tables'!$I$2)*2)+age,lifetable,13,1),IF(male=1,VLOOKUP(((A352:A1186/'Life tables'!$I$2)*2)+age,lifetable,10,1),"error"))</f>
        <v>2.5345550293476293E-4</v>
      </c>
      <c r="F354" s="101">
        <f t="shared" si="90"/>
        <v>147.79538486629738</v>
      </c>
      <c r="G354" s="101">
        <f t="shared" si="91"/>
        <v>14.846355728518079</v>
      </c>
      <c r="H354" s="101">
        <f t="shared" si="92"/>
        <v>0.33974061134695943</v>
      </c>
      <c r="I354" s="101">
        <f t="shared" si="93"/>
        <v>0.33974061134695943</v>
      </c>
      <c r="J354" s="101">
        <f t="shared" si="94"/>
        <v>4.1394662415676825E-2</v>
      </c>
      <c r="K354" s="101">
        <f t="shared" si="95"/>
        <v>2.6631967664375051E-2</v>
      </c>
      <c r="L354" s="101">
        <f t="shared" si="102"/>
        <v>132.20152128500533</v>
      </c>
      <c r="M354" s="101">
        <f t="shared" si="96"/>
        <v>779.1278455296889</v>
      </c>
      <c r="N354" s="101">
        <f t="shared" si="97"/>
        <v>75.031699604315762</v>
      </c>
      <c r="O354" s="101">
        <f t="shared" si="98"/>
        <v>1.7909988921315583</v>
      </c>
      <c r="P354" s="101">
        <f t="shared" si="99"/>
        <v>1.7909988921315583</v>
      </c>
      <c r="Q354" s="101">
        <f t="shared" si="100"/>
        <v>0.21739931414838912</v>
      </c>
      <c r="R354" s="101">
        <f t="shared" si="101"/>
        <v>2.0866672553010172E-2</v>
      </c>
      <c r="S354" s="101">
        <f t="shared" si="103"/>
        <v>700.27588215440858</v>
      </c>
      <c r="T354" s="101">
        <f t="shared" si="104"/>
        <v>53.385630643115718</v>
      </c>
      <c r="U354" s="101">
        <f t="shared" si="105"/>
        <v>19.997431577679677</v>
      </c>
      <c r="V354" s="33">
        <f t="shared" si="106"/>
        <v>1000.0000000000002</v>
      </c>
      <c r="W354" s="105">
        <f>IF(A354=1,((cPH1_+cPHr+(cNES*L354+(cNES+cOSEX)*G354+(cNES+cEREX)*H354+(cNES+cHOEX)*I354 + (cNES+cNES)*S354 +(cNES+ cOSEX)*N354 + (cNES+cEREX)*O354 + (cNES+cHOEX)*P354)))/(1+cDR)^A$5:A$65536,(cPHr+(cNES*L354+(cNES+cOSEX)*G354+(cNES+cEREX)*H354+(cNES+cHOEX)*I354 + (cNES+cNES)*S354 +(cNES+ cOSEX)*N354 + (cNES+cEREX)*O354 + (cNES+cHOEX)*P354))/(1+cDR)^A$5:A$65536)</f>
        <v>121854.34256366434</v>
      </c>
      <c r="X354" s="112">
        <f t="shared" si="107"/>
        <v>926.61693777920482</v>
      </c>
      <c r="Y354" s="32">
        <f>(uNES*L354+ uOCEX*G354+uEREX*'PH + UC'!H354+uHOEX*I354+uNES*S354+ uOCEX*N354+uEREX*O354+uHOEX*P354)/(1+oDR)^A$5:A$65536</f>
        <v>551.88833714897169</v>
      </c>
    </row>
    <row r="355" spans="1:25" x14ac:dyDescent="0.25">
      <c r="A355" s="4">
        <v>349</v>
      </c>
      <c r="C355" s="110">
        <f>IF(male=0,VLOOKUP(((A353:A1187/'Life tables'!$I$2)*2)+age,lifetable,13,1),IF(male=1,VLOOKUP(((A353:A1187/'Life tables'!$I$2)*2)+age,lifetable,10,1),"error"))</f>
        <v>2.5345550293476293E-4</v>
      </c>
      <c r="F355" s="101">
        <f t="shared" si="90"/>
        <v>147.74653285675518</v>
      </c>
      <c r="G355" s="101">
        <f t="shared" si="91"/>
        <v>14.841448441917942</v>
      </c>
      <c r="H355" s="101">
        <f t="shared" si="92"/>
        <v>0.33962831412196554</v>
      </c>
      <c r="I355" s="101">
        <f t="shared" si="93"/>
        <v>0.33962831412196554</v>
      </c>
      <c r="J355" s="101">
        <f t="shared" si="94"/>
        <v>4.1380979901536365E-2</v>
      </c>
      <c r="K355" s="101">
        <f t="shared" si="95"/>
        <v>2.6623164783692106E-2</v>
      </c>
      <c r="L355" s="101">
        <f t="shared" si="102"/>
        <v>132.15782364190807</v>
      </c>
      <c r="M355" s="101">
        <f t="shared" si="96"/>
        <v>778.87040492244978</v>
      </c>
      <c r="N355" s="101">
        <f t="shared" si="97"/>
        <v>75.00690751606075</v>
      </c>
      <c r="O355" s="101">
        <f t="shared" si="98"/>
        <v>1.790407107554739</v>
      </c>
      <c r="P355" s="101">
        <f t="shared" si="99"/>
        <v>1.790407107554739</v>
      </c>
      <c r="Q355" s="101">
        <f t="shared" si="100"/>
        <v>0.21732748073649294</v>
      </c>
      <c r="R355" s="101">
        <f t="shared" si="101"/>
        <v>2.0859777755341306E-2</v>
      </c>
      <c r="S355" s="101">
        <f t="shared" si="103"/>
        <v>700.04449593278775</v>
      </c>
      <c r="T355" s="101">
        <f t="shared" si="104"/>
        <v>53.644339103753744</v>
      </c>
      <c r="U355" s="101">
        <f t="shared" si="105"/>
        <v>20.044914520218711</v>
      </c>
      <c r="V355" s="33">
        <f t="shared" si="106"/>
        <v>1000.0000000000005</v>
      </c>
      <c r="W355" s="105">
        <f>IF(A355=1,((cPH1_+cPHr+(cNES*L355+(cNES+cOSEX)*G355+(cNES+cEREX)*H355+(cNES+cHOEX)*I355 + (cNES+cNES)*S355 +(cNES+ cOSEX)*N355 + (cNES+cEREX)*O355 + (cNES+cHOEX)*P355)))/(1+cDR)^A$5:A$65536,(cPHr+(cNES*L355+(cNES+cOSEX)*G355+(cNES+cEREX)*H355+(cNES+cHOEX)*I355 + (cNES+cNES)*S355 +(cNES+ cOSEX)*N355 + (cNES+cEREX)*O355 + (cNES+cHOEX)*P355))/(1+cDR)^A$5:A$65536)</f>
        <v>121674.07492971823</v>
      </c>
      <c r="X355" s="112">
        <f t="shared" si="107"/>
        <v>926.31074637602796</v>
      </c>
      <c r="Y355" s="32">
        <f>(uNES*L355+ uOCEX*G355+uEREX*'PH + UC'!H355+uHOEX*I355+uNES*S355+ uOCEX*N355+uEREX*O355+uHOEX*P355)/(1+oDR)^A$5:A$65536</f>
        <v>551.54730694786724</v>
      </c>
    </row>
    <row r="356" spans="1:25" x14ac:dyDescent="0.25">
      <c r="A356" s="4">
        <v>350</v>
      </c>
      <c r="C356" s="110">
        <f>IF(male=0,VLOOKUP(((A354:A1188/'Life tables'!$I$2)*2)+age,lifetable,13,1),IF(male=1,VLOOKUP(((A354:A1188/'Life tables'!$I$2)*2)+age,lifetable,10,1),"error"))</f>
        <v>2.5345550293476293E-4</v>
      </c>
      <c r="F356" s="101">
        <f t="shared" si="90"/>
        <v>147.69769764145144</v>
      </c>
      <c r="G356" s="101">
        <f t="shared" si="91"/>
        <v>14.836542842334207</v>
      </c>
      <c r="H356" s="101">
        <f t="shared" si="92"/>
        <v>0.33951605550226938</v>
      </c>
      <c r="I356" s="101">
        <f t="shared" si="93"/>
        <v>0.33951605550226938</v>
      </c>
      <c r="J356" s="101">
        <f t="shared" si="94"/>
        <v>4.1367302091141103E-2</v>
      </c>
      <c r="K356" s="101">
        <f t="shared" si="95"/>
        <v>2.6614364929244499E-2</v>
      </c>
      <c r="L356" s="101">
        <f t="shared" si="102"/>
        <v>132.11414102109231</v>
      </c>
      <c r="M356" s="101">
        <f t="shared" si="96"/>
        <v>778.61304873457652</v>
      </c>
      <c r="N356" s="101">
        <f t="shared" si="97"/>
        <v>74.982123557573559</v>
      </c>
      <c r="O356" s="101">
        <f t="shared" si="98"/>
        <v>1.7898155170346353</v>
      </c>
      <c r="P356" s="101">
        <f t="shared" si="99"/>
        <v>1.7898155170346353</v>
      </c>
      <c r="Q356" s="101">
        <f t="shared" si="100"/>
        <v>0.21725567088005343</v>
      </c>
      <c r="R356" s="101">
        <f t="shared" si="101"/>
        <v>2.0852885218599546E-2</v>
      </c>
      <c r="S356" s="101">
        <f t="shared" si="103"/>
        <v>699.81318558683506</v>
      </c>
      <c r="T356" s="101">
        <f t="shared" si="104"/>
        <v>53.90296207672494</v>
      </c>
      <c r="U356" s="101">
        <f t="shared" si="105"/>
        <v>20.092381770366554</v>
      </c>
      <c r="V356" s="33">
        <f t="shared" si="106"/>
        <v>1000.0000000000005</v>
      </c>
      <c r="W356" s="105">
        <f>IF(A356=1,((cPH1_+cPHr+(cNES*L356+(cNES+cOSEX)*G356+(cNES+cEREX)*H356+(cNES+cHOEX)*I356 + (cNES+cNES)*S356 +(cNES+ cOSEX)*N356 + (cNES+cEREX)*O356 + (cNES+cHOEX)*P356)))/(1+cDR)^A$5:A$65536,(cPHr+(cNES*L356+(cNES+cOSEX)*G356+(cNES+cEREX)*H356+(cNES+cHOEX)*I356 + (cNES+cNES)*S356 +(cNES+ cOSEX)*N356 + (cNES+cEREX)*O356 + (cNES+cHOEX)*P356))/(1+cDR)^A$5:A$65536)</f>
        <v>121494.0739446815</v>
      </c>
      <c r="X356" s="112">
        <f t="shared" si="107"/>
        <v>926.00465615290886</v>
      </c>
      <c r="Y356" s="32">
        <f>(uNES*L356+ uOCEX*G356+uEREX*'PH + UC'!H356+uHOEX*I356+uNES*S356+ uOCEX*N356+uEREX*O356+uHOEX*P356)/(1+oDR)^A$5:A$65536</f>
        <v>551.20648748172812</v>
      </c>
    </row>
    <row r="357" spans="1:25" x14ac:dyDescent="0.25">
      <c r="A357" s="4">
        <v>351</v>
      </c>
      <c r="C357" s="110">
        <f>IF(male=0,VLOOKUP(((A355:A1189/'Life tables'!$I$2)*2)+age,lifetable,13,1),IF(male=1,VLOOKUP(((A355:A1189/'Life tables'!$I$2)*2)+age,lifetable,10,1),"error"))</f>
        <v>2.5345550293476293E-4</v>
      </c>
      <c r="F357" s="101">
        <f t="shared" si="90"/>
        <v>147.64887918554484</v>
      </c>
      <c r="G357" s="101">
        <f t="shared" si="91"/>
        <v>14.83163892626699</v>
      </c>
      <c r="H357" s="101">
        <f t="shared" si="92"/>
        <v>0.33940383540778041</v>
      </c>
      <c r="I357" s="101">
        <f t="shared" si="93"/>
        <v>0.33940383540778041</v>
      </c>
      <c r="J357" s="101">
        <f t="shared" si="94"/>
        <v>4.1353628974732666E-2</v>
      </c>
      <c r="K357" s="101">
        <f t="shared" si="95"/>
        <v>2.6605568094753992E-2</v>
      </c>
      <c r="L357" s="101">
        <f t="shared" si="102"/>
        <v>132.0704733913928</v>
      </c>
      <c r="M357" s="101">
        <f t="shared" si="96"/>
        <v>778.35577696736414</v>
      </c>
      <c r="N357" s="101">
        <f t="shared" si="97"/>
        <v>74.957347728978917</v>
      </c>
      <c r="O357" s="101">
        <f t="shared" si="98"/>
        <v>1.7892241205742239</v>
      </c>
      <c r="P357" s="101">
        <f t="shared" si="99"/>
        <v>1.7892241205742239</v>
      </c>
      <c r="Q357" s="101">
        <f t="shared" si="100"/>
        <v>0.217183884579432</v>
      </c>
      <c r="R357" s="101">
        <f t="shared" si="101"/>
        <v>2.0845994942819572E-2</v>
      </c>
      <c r="S357" s="101">
        <f t="shared" si="103"/>
        <v>699.58195111771454</v>
      </c>
      <c r="T357" s="101">
        <f t="shared" si="104"/>
        <v>54.161499590279107</v>
      </c>
      <c r="U357" s="101">
        <f t="shared" si="105"/>
        <v>20.139833333404127</v>
      </c>
      <c r="V357" s="33">
        <f t="shared" si="106"/>
        <v>1000.0000000000005</v>
      </c>
      <c r="W357" s="105">
        <f>IF(A357=1,((cPH1_+cPHr+(cNES*L357+(cNES+cOSEX)*G357+(cNES+cEREX)*H357+(cNES+cHOEX)*I357 + (cNES+cNES)*S357 +(cNES+ cOSEX)*N357 + (cNES+cEREX)*O357 + (cNES+cHOEX)*P357)))/(1+cDR)^A$5:A$65536,(cPHr+(cNES*L357+(cNES+cOSEX)*G357+(cNES+cEREX)*H357+(cNES+cHOEX)*I357 + (cNES+cNES)*S357 +(cNES+ cOSEX)*N357 + (cNES+cEREX)*O357 + (cNES+cHOEX)*P357))/(1+cDR)^A$5:A$65536)</f>
        <v>121314.33921575987</v>
      </c>
      <c r="X357" s="112">
        <f t="shared" si="107"/>
        <v>925.69866707631718</v>
      </c>
      <c r="Y357" s="32">
        <f>(uNES*L357+ uOCEX*G357+uEREX*'PH + UC'!H357+uHOEX*I357+uNES*S357+ uOCEX*N357+uEREX*O357+uHOEX*P357)/(1+oDR)^A$5:A$65536</f>
        <v>550.86587862028716</v>
      </c>
    </row>
    <row r="358" spans="1:25" x14ac:dyDescent="0.25">
      <c r="A358" s="4">
        <v>352</v>
      </c>
      <c r="C358" s="110">
        <f>IF(male=0,VLOOKUP(((A356:A1190/'Life tables'!$I$2)*2)+age,lifetable,13,1),IF(male=1,VLOOKUP(((A356:A1190/'Life tables'!$I$2)*2)+age,lifetable,10,1),"error"))</f>
        <v>2.5345550293476293E-4</v>
      </c>
      <c r="F358" s="101">
        <f t="shared" si="90"/>
        <v>147.60007745552235</v>
      </c>
      <c r="G358" s="101">
        <f t="shared" si="91"/>
        <v>14.826736690349838</v>
      </c>
      <c r="H358" s="101">
        <f t="shared" si="92"/>
        <v>0.33929165376146159</v>
      </c>
      <c r="I358" s="101">
        <f t="shared" si="93"/>
        <v>0.33929165376146159</v>
      </c>
      <c r="J358" s="101">
        <f t="shared" si="94"/>
        <v>4.1339960542924659E-2</v>
      </c>
      <c r="K358" s="101">
        <f t="shared" si="95"/>
        <v>2.6596774274181716E-2</v>
      </c>
      <c r="L358" s="101">
        <f t="shared" si="102"/>
        <v>132.0268207228325</v>
      </c>
      <c r="M358" s="101">
        <f t="shared" si="96"/>
        <v>778.09858962079488</v>
      </c>
      <c r="N358" s="101">
        <f t="shared" si="97"/>
        <v>74.932580030275133</v>
      </c>
      <c r="O358" s="101">
        <f t="shared" si="98"/>
        <v>1.7886329181734644</v>
      </c>
      <c r="P358" s="101">
        <f t="shared" si="99"/>
        <v>1.7886329181734644</v>
      </c>
      <c r="Q358" s="101">
        <f t="shared" si="100"/>
        <v>0.21711212183462372</v>
      </c>
      <c r="R358" s="101">
        <f t="shared" si="101"/>
        <v>2.0839106928000915E-2</v>
      </c>
      <c r="S358" s="101">
        <f t="shared" si="103"/>
        <v>699.35079252541027</v>
      </c>
      <c r="T358" s="101">
        <f t="shared" si="104"/>
        <v>54.419951672656651</v>
      </c>
      <c r="U358" s="101">
        <f t="shared" si="105"/>
        <v>20.18726921460631</v>
      </c>
      <c r="V358" s="33">
        <f t="shared" si="106"/>
        <v>1000.0000000000006</v>
      </c>
      <c r="W358" s="105">
        <f>IF(A358=1,((cPH1_+cPHr+(cNES*L358+(cNES+cOSEX)*G358+(cNES+cEREX)*H358+(cNES+cHOEX)*I358 + (cNES+cNES)*S358 +(cNES+ cOSEX)*N358 + (cNES+cEREX)*O358 + (cNES+cHOEX)*P358)))/(1+cDR)^A$5:A$65536,(cPHr+(cNES*L358+(cNES+cOSEX)*G358+(cNES+cEREX)*H358+(cNES+cHOEX)*I358 + (cNES+cNES)*S358 +(cNES+ cOSEX)*N358 + (cNES+cEREX)*O358 + (cNES+cHOEX)*P358))/(1+cDR)^A$5:A$65536)</f>
        <v>121134.87035066301</v>
      </c>
      <c r="X358" s="112">
        <f t="shared" si="107"/>
        <v>925.39277911273757</v>
      </c>
      <c r="Y358" s="32">
        <f>(uNES*L358+ uOCEX*G358+uEREX*'PH + UC'!H358+uHOEX*I358+uNES*S358+ uOCEX*N358+uEREX*O358+uHOEX*P358)/(1+oDR)^A$5:A$65536</f>
        <v>550.52548023335851</v>
      </c>
    </row>
    <row r="359" spans="1:25" x14ac:dyDescent="0.25">
      <c r="A359" s="4">
        <v>353</v>
      </c>
      <c r="C359" s="110">
        <f>IF(male=0,VLOOKUP(((A357:A1191/'Life tables'!$I$2)*2)+age,lifetable,13,1),IF(male=1,VLOOKUP(((A357:A1191/'Life tables'!$I$2)*2)+age,lifetable,10,1),"error"))</f>
        <v>2.5345550293476293E-4</v>
      </c>
      <c r="F359" s="101">
        <f t="shared" si="90"/>
        <v>147.55129241913966</v>
      </c>
      <c r="G359" s="101">
        <f t="shared" si="91"/>
        <v>14.821836131343741</v>
      </c>
      <c r="H359" s="101">
        <f t="shared" si="92"/>
        <v>0.33917951048919204</v>
      </c>
      <c r="I359" s="101">
        <f t="shared" si="93"/>
        <v>0.33917951048919204</v>
      </c>
      <c r="J359" s="101">
        <f t="shared" si="94"/>
        <v>4.132629678668609E-2</v>
      </c>
      <c r="K359" s="101">
        <f t="shared" si="95"/>
        <v>2.658798346171741E-2</v>
      </c>
      <c r="L359" s="101">
        <f t="shared" si="102"/>
        <v>131.98318298656912</v>
      </c>
      <c r="M359" s="101">
        <f t="shared" si="96"/>
        <v>777.84148669359797</v>
      </c>
      <c r="N359" s="101">
        <f t="shared" si="97"/>
        <v>74.907820461339796</v>
      </c>
      <c r="O359" s="101">
        <f t="shared" si="98"/>
        <v>1.7880419098294353</v>
      </c>
      <c r="P359" s="101">
        <f t="shared" si="99"/>
        <v>1.7880419098294353</v>
      </c>
      <c r="Q359" s="101">
        <f t="shared" si="100"/>
        <v>0.21704038264527389</v>
      </c>
      <c r="R359" s="101">
        <f t="shared" si="101"/>
        <v>2.0832221174109534E-2</v>
      </c>
      <c r="S359" s="101">
        <f t="shared" si="103"/>
        <v>699.11970980877993</v>
      </c>
      <c r="T359" s="101">
        <f t="shared" si="104"/>
        <v>54.67831835208861</v>
      </c>
      <c r="U359" s="101">
        <f t="shared" si="105"/>
        <v>20.234689419242137</v>
      </c>
      <c r="V359" s="33">
        <f t="shared" si="106"/>
        <v>1000.0000000000007</v>
      </c>
      <c r="W359" s="105">
        <f>IF(A359=1,((cPH1_+cPHr+(cNES*L359+(cNES+cOSEX)*G359+(cNES+cEREX)*H359+(cNES+cHOEX)*I359 + (cNES+cNES)*S359 +(cNES+ cOSEX)*N359 + (cNES+cEREX)*O359 + (cNES+cHOEX)*P359)))/(1+cDR)^A$5:A$65536,(cPHr+(cNES*L359+(cNES+cOSEX)*G359+(cNES+cEREX)*H359+(cNES+cHOEX)*I359 + (cNES+cNES)*S359 +(cNES+ cOSEX)*N359 + (cNES+cEREX)*O359 + (cNES+cHOEX)*P359))/(1+cDR)^A$5:A$65536)</f>
        <v>120955.66695760647</v>
      </c>
      <c r="X359" s="112">
        <f t="shared" si="107"/>
        <v>925.08699222866994</v>
      </c>
      <c r="Y359" s="32">
        <f>(uNES*L359+ uOCEX*G359+uEREX*'PH + UC'!H359+uHOEX*I359+uNES*S359+ uOCEX*N359+uEREX*O359+uHOEX*P359)/(1+oDR)^A$5:A$65536</f>
        <v>550.1852921908403</v>
      </c>
    </row>
    <row r="360" spans="1:25" x14ac:dyDescent="0.25">
      <c r="A360" s="4">
        <v>354</v>
      </c>
      <c r="C360" s="110">
        <f>IF(male=0,VLOOKUP(((A358:A1192/'Life tables'!$I$2)*2)+age,lifetable,13,1),IF(male=1,VLOOKUP(((A358:A1192/'Life tables'!$I$2)*2)+age,lifetable,10,1),"error"))</f>
        <v>2.5345550293476293E-4</v>
      </c>
      <c r="F360" s="101">
        <f t="shared" si="90"/>
        <v>147.50252404536417</v>
      </c>
      <c r="G360" s="101">
        <f t="shared" si="91"/>
        <v>14.81693724613141</v>
      </c>
      <c r="H360" s="101">
        <f t="shared" si="92"/>
        <v>0.33906740551963654</v>
      </c>
      <c r="I360" s="101">
        <f t="shared" si="93"/>
        <v>0.33906740551963654</v>
      </c>
      <c r="J360" s="101">
        <f t="shared" si="94"/>
        <v>4.1312637697325315E-2</v>
      </c>
      <c r="K360" s="101">
        <f t="shared" si="95"/>
        <v>2.6579195651769166E-2</v>
      </c>
      <c r="L360" s="101">
        <f t="shared" si="102"/>
        <v>131.9395601548444</v>
      </c>
      <c r="M360" s="101">
        <f t="shared" si="96"/>
        <v>777.58446818330572</v>
      </c>
      <c r="N360" s="101">
        <f t="shared" si="97"/>
        <v>74.883069021935285</v>
      </c>
      <c r="O360" s="101">
        <f t="shared" si="98"/>
        <v>1.7874510955364642</v>
      </c>
      <c r="P360" s="101">
        <f t="shared" si="99"/>
        <v>1.7874510955364642</v>
      </c>
      <c r="Q360" s="101">
        <f t="shared" si="100"/>
        <v>0.21696866701069406</v>
      </c>
      <c r="R360" s="101">
        <f t="shared" si="101"/>
        <v>2.0825337681079345E-2</v>
      </c>
      <c r="S360" s="101">
        <f t="shared" si="103"/>
        <v>698.88870296560572</v>
      </c>
      <c r="T360" s="101">
        <f t="shared" si="104"/>
        <v>54.936599656796631</v>
      </c>
      <c r="U360" s="101">
        <f t="shared" si="105"/>
        <v>20.282093952574986</v>
      </c>
      <c r="V360" s="33">
        <f t="shared" si="106"/>
        <v>1000.0000000000006</v>
      </c>
      <c r="W360" s="105">
        <f>IF(A360=1,((cPH1_+cPHr+(cNES*L360+(cNES+cOSEX)*G360+(cNES+cEREX)*H360+(cNES+cHOEX)*I360 + (cNES+cNES)*S360 +(cNES+ cOSEX)*N360 + (cNES+cEREX)*O360 + (cNES+cHOEX)*P360)))/(1+cDR)^A$5:A$65536,(cPHr+(cNES*L360+(cNES+cOSEX)*G360+(cNES+cEREX)*H360+(cNES+cHOEX)*I360 + (cNES+cNES)*S360 +(cNES+ cOSEX)*N360 + (cNES+cEREX)*O360 + (cNES+cHOEX)*P360))/(1+cDR)^A$5:A$65536)</f>
        <v>120776.72864531516</v>
      </c>
      <c r="X360" s="112">
        <f t="shared" si="107"/>
        <v>924.78130639062897</v>
      </c>
      <c r="Y360" s="32">
        <f>(uNES*L360+ uOCEX*G360+uEREX*'PH + UC'!H360+uHOEX*I360+uNES*S360+ uOCEX*N360+uEREX*O360+uHOEX*P360)/(1+oDR)^A$5:A$65536</f>
        <v>549.84531436271277</v>
      </c>
    </row>
    <row r="361" spans="1:25" x14ac:dyDescent="0.25">
      <c r="A361" s="4">
        <v>355</v>
      </c>
      <c r="C361" s="110">
        <f>IF(male=0,VLOOKUP(((A359:A1193/'Life tables'!$I$2)*2)+age,lifetable,13,1),IF(male=1,VLOOKUP(((A359:A1193/'Life tables'!$I$2)*2)+age,lifetable,10,1),"error"))</f>
        <v>2.5345550293476293E-4</v>
      </c>
      <c r="F361" s="101">
        <f t="shared" si="90"/>
        <v>147.45377230432069</v>
      </c>
      <c r="G361" s="101">
        <f t="shared" si="91"/>
        <v>14.812040031711819</v>
      </c>
      <c r="H361" s="101">
        <f t="shared" si="92"/>
        <v>0.33895533878412026</v>
      </c>
      <c r="I361" s="101">
        <f t="shared" si="93"/>
        <v>0.33895533878412026</v>
      </c>
      <c r="J361" s="101">
        <f t="shared" si="94"/>
        <v>4.1298983266474881E-2</v>
      </c>
      <c r="K361" s="101">
        <f t="shared" si="95"/>
        <v>2.6570410838953621E-2</v>
      </c>
      <c r="L361" s="101">
        <f t="shared" si="102"/>
        <v>131.8959522009352</v>
      </c>
      <c r="M361" s="101">
        <f t="shared" si="96"/>
        <v>777.32753408630822</v>
      </c>
      <c r="N361" s="101">
        <f t="shared" si="97"/>
        <v>74.858325711713945</v>
      </c>
      <c r="O361" s="101">
        <f t="shared" si="98"/>
        <v>1.7868604752862529</v>
      </c>
      <c r="P361" s="101">
        <f t="shared" si="99"/>
        <v>1.7868604752862529</v>
      </c>
      <c r="Q361" s="101">
        <f t="shared" si="100"/>
        <v>0.21689697492987697</v>
      </c>
      <c r="R361" s="101">
        <f t="shared" si="101"/>
        <v>2.0818456448813662E-2</v>
      </c>
      <c r="S361" s="101">
        <f t="shared" si="103"/>
        <v>698.65777199264312</v>
      </c>
      <c r="T361" s="101">
        <f t="shared" si="104"/>
        <v>55.194795614992984</v>
      </c>
      <c r="U361" s="101">
        <f t="shared" si="105"/>
        <v>20.329482819862754</v>
      </c>
      <c r="V361" s="33">
        <f t="shared" si="106"/>
        <v>1000.0000000000005</v>
      </c>
      <c r="W361" s="105">
        <f>IF(A361=1,((cPH1_+cPHr+(cNES*L361+(cNES+cOSEX)*G361+(cNES+cEREX)*H361+(cNES+cHOEX)*I361 + (cNES+cNES)*S361 +(cNES+ cOSEX)*N361 + (cNES+cEREX)*O361 + (cNES+cHOEX)*P361)))/(1+cDR)^A$5:A$65536,(cPHr+(cNES*L361+(cNES+cOSEX)*G361+(cNES+cEREX)*H361+(cNES+cHOEX)*I361 + (cNES+cNES)*S361 +(cNES+ cOSEX)*N361 + (cNES+cEREX)*O361 + (cNES+cHOEX)*P361))/(1+cDR)^A$5:A$65536)</f>
        <v>120598.05502302526</v>
      </c>
      <c r="X361" s="112">
        <f t="shared" si="107"/>
        <v>924.47572156514491</v>
      </c>
      <c r="Y361" s="32">
        <f>(uNES*L361+ uOCEX*G361+uEREX*'PH + UC'!H361+uHOEX*I361+uNES*S361+ uOCEX*N361+uEREX*O361+uHOEX*P361)/(1+oDR)^A$5:A$65536</f>
        <v>549.5055466190372</v>
      </c>
    </row>
    <row r="362" spans="1:25" x14ac:dyDescent="0.25">
      <c r="A362" s="4">
        <v>356</v>
      </c>
      <c r="C362" s="110">
        <f>IF(male=0,VLOOKUP(((A360:A1194/'Life tables'!$I$2)*2)+age,lifetable,13,1),IF(male=1,VLOOKUP(((A360:A1194/'Life tables'!$I$2)*2)+age,lifetable,10,1),"error"))</f>
        <v>2.5345550293476293E-4</v>
      </c>
      <c r="F362" s="101">
        <f t="shared" si="90"/>
        <v>147.40503716723939</v>
      </c>
      <c r="G362" s="101">
        <f t="shared" si="91"/>
        <v>14.80714448519498</v>
      </c>
      <c r="H362" s="101">
        <f t="shared" si="92"/>
        <v>0.33884331021650932</v>
      </c>
      <c r="I362" s="101">
        <f t="shared" si="93"/>
        <v>0.33884331021650932</v>
      </c>
      <c r="J362" s="101">
        <f t="shared" si="94"/>
        <v>4.1285333486076888E-2</v>
      </c>
      <c r="K362" s="101">
        <f t="shared" si="95"/>
        <v>2.6561629018086601E-2</v>
      </c>
      <c r="L362" s="101">
        <f t="shared" si="102"/>
        <v>131.85235909910722</v>
      </c>
      <c r="M362" s="101">
        <f t="shared" si="96"/>
        <v>777.07068439790567</v>
      </c>
      <c r="N362" s="101">
        <f t="shared" si="97"/>
        <v>74.833590530223191</v>
      </c>
      <c r="O362" s="101">
        <f t="shared" si="98"/>
        <v>1.7862700490679979</v>
      </c>
      <c r="P362" s="101">
        <f t="shared" si="99"/>
        <v>1.7862700490679979</v>
      </c>
      <c r="Q362" s="101">
        <f t="shared" si="100"/>
        <v>0.2168253064015111</v>
      </c>
      <c r="R362" s="101">
        <f t="shared" si="101"/>
        <v>2.0811577477186618E-2</v>
      </c>
      <c r="S362" s="101">
        <f t="shared" si="103"/>
        <v>698.42691688566777</v>
      </c>
      <c r="T362" s="101">
        <f t="shared" si="104"/>
        <v>55.452906254880574</v>
      </c>
      <c r="U362" s="101">
        <f t="shared" si="105"/>
        <v>20.376856026358027</v>
      </c>
      <c r="V362" s="33">
        <f t="shared" si="106"/>
        <v>1000.0000000000007</v>
      </c>
      <c r="W362" s="105">
        <f>IF(A362=1,((cPH1_+cPHr+(cNES*L362+(cNES+cOSEX)*G362+(cNES+cEREX)*H362+(cNES+cHOEX)*I362 + (cNES+cNES)*S362 +(cNES+ cOSEX)*N362 + (cNES+cEREX)*O362 + (cNES+cHOEX)*P362)))/(1+cDR)^A$5:A$65536,(cPHr+(cNES*L362+(cNES+cOSEX)*G362+(cNES+cEREX)*H362+(cNES+cHOEX)*I362 + (cNES+cNES)*S362 +(cNES+ cOSEX)*N362 + (cNES+cEREX)*O362 + (cNES+cHOEX)*P362))/(1+cDR)^A$5:A$65536)</f>
        <v>120419.64570048693</v>
      </c>
      <c r="X362" s="112">
        <f t="shared" si="107"/>
        <v>924.17023771876211</v>
      </c>
      <c r="Y362" s="32">
        <f>(uNES*L362+ uOCEX*G362+uEREX*'PH + UC'!H362+uHOEX*I362+uNES*S362+ uOCEX*N362+uEREX*O362+uHOEX*P362)/(1+oDR)^A$5:A$65536</f>
        <v>549.165988829958</v>
      </c>
    </row>
    <row r="363" spans="1:25" x14ac:dyDescent="0.25">
      <c r="A363" s="4">
        <v>357</v>
      </c>
      <c r="C363" s="110">
        <f>IF(male=0,VLOOKUP(((A361:A1195/'Life tables'!$I$2)*2)+age,lifetable,13,1),IF(male=1,VLOOKUP(((A361:A1195/'Life tables'!$I$2)*2)+age,lifetable,10,1),"error"))</f>
        <v>2.5345550293476293E-4</v>
      </c>
      <c r="F363" s="101">
        <f t="shared" si="90"/>
        <v>147.35631860640609</v>
      </c>
      <c r="G363" s="101">
        <f t="shared" si="91"/>
        <v>14.802250603796946</v>
      </c>
      <c r="H363" s="101">
        <f t="shared" si="92"/>
        <v>0.3387313197530965</v>
      </c>
      <c r="I363" s="101">
        <f t="shared" si="93"/>
        <v>0.3387313197530965</v>
      </c>
      <c r="J363" s="101">
        <f t="shared" si="94"/>
        <v>4.1271688348369126E-2</v>
      </c>
      <c r="K363" s="101">
        <f t="shared" si="95"/>
        <v>2.6552850184174158E-2</v>
      </c>
      <c r="L363" s="101">
        <f t="shared" si="102"/>
        <v>131.80878082457042</v>
      </c>
      <c r="M363" s="101">
        <f t="shared" si="96"/>
        <v>776.81391911235596</v>
      </c>
      <c r="N363" s="101">
        <f t="shared" si="97"/>
        <v>74.80886347691002</v>
      </c>
      <c r="O363" s="101">
        <f t="shared" si="98"/>
        <v>1.7856798168684995</v>
      </c>
      <c r="P363" s="101">
        <f t="shared" si="99"/>
        <v>1.7856798168684995</v>
      </c>
      <c r="Q363" s="101">
        <f t="shared" si="100"/>
        <v>0.21675366142399438</v>
      </c>
      <c r="R363" s="101">
        <f t="shared" si="101"/>
        <v>2.0804700766044428E-2</v>
      </c>
      <c r="S363" s="101">
        <f t="shared" si="103"/>
        <v>698.19613763951895</v>
      </c>
      <c r="T363" s="101">
        <f t="shared" si="104"/>
        <v>55.710931604652934</v>
      </c>
      <c r="U363" s="101">
        <f t="shared" si="105"/>
        <v>20.424213577308244</v>
      </c>
      <c r="V363" s="33">
        <f t="shared" si="106"/>
        <v>1000.0000000000007</v>
      </c>
      <c r="W363" s="105">
        <f>IF(A363=1,((cPH1_+cPHr+(cNES*L363+(cNES+cOSEX)*G363+(cNES+cEREX)*H363+(cNES+cHOEX)*I363 + (cNES+cNES)*S363 +(cNES+ cOSEX)*N363 + (cNES+cEREX)*O363 + (cNES+cHOEX)*P363)))/(1+cDR)^A$5:A$65536,(cPHr+(cNES*L363+(cNES+cOSEX)*G363+(cNES+cEREX)*H363+(cNES+cHOEX)*I363 + (cNES+cNES)*S363 +(cNES+ cOSEX)*N363 + (cNES+cEREX)*O363 + (cNES+cHOEX)*P363))/(1+cDR)^A$5:A$65536)</f>
        <v>120241.50028796621</v>
      </c>
      <c r="X363" s="112">
        <f t="shared" si="107"/>
        <v>923.86485481803948</v>
      </c>
      <c r="Y363" s="32">
        <f>(uNES*L363+ uOCEX*G363+uEREX*'PH + UC'!H363+uHOEX*I363+uNES*S363+ uOCEX*N363+uEREX*O363+uHOEX*P363)/(1+oDR)^A$5:A$65536</f>
        <v>548.82664086570151</v>
      </c>
    </row>
    <row r="364" spans="1:25" x14ac:dyDescent="0.25">
      <c r="A364" s="4">
        <v>358</v>
      </c>
      <c r="C364" s="110">
        <f>IF(male=0,VLOOKUP(((A362:A1196/'Life tables'!$I$2)*2)+age,lifetable,13,1),IF(male=1,VLOOKUP(((A362:A1196/'Life tables'!$I$2)*2)+age,lifetable,10,1),"error"))</f>
        <v>2.5345550293476293E-4</v>
      </c>
      <c r="F364" s="101">
        <f t="shared" si="90"/>
        <v>147.30761659511526</v>
      </c>
      <c r="G364" s="101">
        <f t="shared" si="91"/>
        <v>14.797358384835087</v>
      </c>
      <c r="H364" s="101">
        <f t="shared" si="92"/>
        <v>0.33861936733249326</v>
      </c>
      <c r="I364" s="101">
        <f t="shared" si="93"/>
        <v>0.33861936733249326</v>
      </c>
      <c r="J364" s="101">
        <f t="shared" si="94"/>
        <v>4.1258047845871892E-2</v>
      </c>
      <c r="K364" s="101">
        <f t="shared" si="95"/>
        <v>2.6544074332404084E-2</v>
      </c>
      <c r="L364" s="101">
        <f t="shared" si="102"/>
        <v>131.76521735343692</v>
      </c>
      <c r="M364" s="101">
        <f t="shared" si="96"/>
        <v>776.5572382229243</v>
      </c>
      <c r="N364" s="101">
        <f t="shared" si="97"/>
        <v>74.784144551125891</v>
      </c>
      <c r="O364" s="101">
        <f t="shared" si="98"/>
        <v>1.7850897786722766</v>
      </c>
      <c r="P364" s="101">
        <f t="shared" si="99"/>
        <v>1.7850897786722766</v>
      </c>
      <c r="Q364" s="101">
        <f t="shared" si="100"/>
        <v>0.21668203999544761</v>
      </c>
      <c r="R364" s="101">
        <f t="shared" si="101"/>
        <v>2.0797826315206717E-2</v>
      </c>
      <c r="S364" s="101">
        <f t="shared" si="103"/>
        <v>697.9654342481432</v>
      </c>
      <c r="T364" s="101">
        <f t="shared" si="104"/>
        <v>55.968871692494254</v>
      </c>
      <c r="U364" s="101">
        <f t="shared" si="105"/>
        <v>20.471555477955853</v>
      </c>
      <c r="V364" s="33">
        <f t="shared" si="106"/>
        <v>1000.0000000000008</v>
      </c>
      <c r="W364" s="105">
        <f>IF(A364=1,((cPH1_+cPHr+(cNES*L364+(cNES+cOSEX)*G364+(cNES+cEREX)*H364+(cNES+cHOEX)*I364 + (cNES+cNES)*S364 +(cNES+ cOSEX)*N364 + (cNES+cEREX)*O364 + (cNES+cHOEX)*P364)))/(1+cDR)^A$5:A$65536,(cPHr+(cNES*L364+(cNES+cOSEX)*G364+(cNES+cEREX)*H364+(cNES+cHOEX)*I364 + (cNES+cNES)*S364 +(cNES+ cOSEX)*N364 + (cNES+cEREX)*O364 + (cNES+cHOEX)*P364))/(1+cDR)^A$5:A$65536)</f>
        <v>120063.61839624746</v>
      </c>
      <c r="X364" s="112">
        <f t="shared" si="107"/>
        <v>923.55957282955069</v>
      </c>
      <c r="Y364" s="32">
        <f>(uNES*L364+ uOCEX*G364+uEREX*'PH + UC'!H364+uHOEX*I364+uNES*S364+ uOCEX*N364+uEREX*O364+uHOEX*P364)/(1+oDR)^A$5:A$65536</f>
        <v>548.48750259657493</v>
      </c>
    </row>
    <row r="365" spans="1:25" x14ac:dyDescent="0.25">
      <c r="A365" s="4">
        <v>359</v>
      </c>
      <c r="C365" s="110">
        <f>IF(male=0,VLOOKUP(((A363:A1197/'Life tables'!$I$2)*2)+age,lifetable,13,1),IF(male=1,VLOOKUP(((A363:A1197/'Life tables'!$I$2)*2)+age,lifetable,10,1),"error"))</f>
        <v>2.5345550293476293E-4</v>
      </c>
      <c r="F365" s="101">
        <f t="shared" si="90"/>
        <v>147.25893110762436</v>
      </c>
      <c r="G365" s="101">
        <f t="shared" si="91"/>
        <v>14.792467825723515</v>
      </c>
      <c r="H365" s="101">
        <f t="shared" si="92"/>
        <v>0.33850745289552459</v>
      </c>
      <c r="I365" s="101">
        <f t="shared" si="93"/>
        <v>0.33850745289552459</v>
      </c>
      <c r="J365" s="101">
        <f t="shared" si="94"/>
        <v>4.1244411971375197E-2</v>
      </c>
      <c r="K365" s="101">
        <f t="shared" si="95"/>
        <v>2.6535301458137713E-2</v>
      </c>
      <c r="L365" s="101">
        <f t="shared" si="102"/>
        <v>131.72166866268029</v>
      </c>
      <c r="M365" s="101">
        <f t="shared" si="96"/>
        <v>776.30064172192624</v>
      </c>
      <c r="N365" s="101">
        <f t="shared" si="97"/>
        <v>74.759433752130747</v>
      </c>
      <c r="O365" s="101">
        <f t="shared" si="98"/>
        <v>1.7844999344616643</v>
      </c>
      <c r="P365" s="101">
        <f t="shared" si="99"/>
        <v>1.7844999344616643</v>
      </c>
      <c r="Q365" s="101">
        <f t="shared" si="100"/>
        <v>0.21661044211372649</v>
      </c>
      <c r="R365" s="101">
        <f t="shared" si="101"/>
        <v>2.0790954124467676E-2</v>
      </c>
      <c r="S365" s="101">
        <f t="shared" si="103"/>
        <v>697.73480670463391</v>
      </c>
      <c r="T365" s="101">
        <f t="shared" si="104"/>
        <v>56.226726546579357</v>
      </c>
      <c r="U365" s="101">
        <f t="shared" si="105"/>
        <v>20.518881733538457</v>
      </c>
      <c r="V365" s="33">
        <f t="shared" si="106"/>
        <v>1000.0000000000007</v>
      </c>
      <c r="W365" s="105">
        <f>IF(A365=1,((cPH1_+cPHr+(cNES*L365+(cNES+cOSEX)*G365+(cNES+cEREX)*H365+(cNES+cHOEX)*I365 + (cNES+cNES)*S365 +(cNES+ cOSEX)*N365 + (cNES+cEREX)*O365 + (cNES+cHOEX)*P365)))/(1+cDR)^A$5:A$65536,(cPHr+(cNES*L365+(cNES+cOSEX)*G365+(cNES+cEREX)*H365+(cNES+cHOEX)*I365 + (cNES+cNES)*S365 +(cNES+ cOSEX)*N365 + (cNES+cEREX)*O365 + (cNES+cHOEX)*P365))/(1+cDR)^A$5:A$65536)</f>
        <v>119885.99963663481</v>
      </c>
      <c r="X365" s="112">
        <f t="shared" si="107"/>
        <v>923.25439171988285</v>
      </c>
      <c r="Y365" s="32">
        <f>(uNES*L365+ uOCEX*G365+uEREX*'PH + UC'!H365+uHOEX*I365+uNES*S365+ uOCEX*N365+uEREX*O365+uHOEX*P365)/(1+oDR)^A$5:A$65536</f>
        <v>548.14857389296878</v>
      </c>
    </row>
    <row r="366" spans="1:25" x14ac:dyDescent="0.25">
      <c r="A366" s="4">
        <v>360</v>
      </c>
      <c r="C366" s="110">
        <f>IF(male=0,VLOOKUP(((A364:A1198/'Life tables'!$I$2)*2)+age,lifetable,13,1),IF(male=1,VLOOKUP(((A364:A1198/'Life tables'!$I$2)*2)+age,lifetable,10,1),"error"))</f>
        <v>2.5345550293476293E-4</v>
      </c>
      <c r="F366" s="101">
        <f t="shared" si="90"/>
        <v>147.21026211911087</v>
      </c>
      <c r="G366" s="101">
        <f t="shared" si="91"/>
        <v>14.787578923968754</v>
      </c>
      <c r="H366" s="101">
        <f t="shared" si="92"/>
        <v>0.33839557638513035</v>
      </c>
      <c r="I366" s="101">
        <f t="shared" si="93"/>
        <v>0.33839557638513035</v>
      </c>
      <c r="J366" s="101">
        <f t="shared" si="94"/>
        <v>4.1230780717926706E-2</v>
      </c>
      <c r="K366" s="101">
        <f t="shared" si="95"/>
        <v>2.6526531556902148E-2</v>
      </c>
      <c r="L366" s="101">
        <f t="shared" si="102"/>
        <v>131.67813473009701</v>
      </c>
      <c r="M366" s="101">
        <f t="shared" si="96"/>
        <v>776.04412960077195</v>
      </c>
      <c r="N366" s="101">
        <f t="shared" si="97"/>
        <v>74.734731079097372</v>
      </c>
      <c r="O366" s="101">
        <f t="shared" si="98"/>
        <v>1.7839102842169177</v>
      </c>
      <c r="P366" s="101">
        <f t="shared" si="99"/>
        <v>1.7839102842169177</v>
      </c>
      <c r="Q366" s="101">
        <f t="shared" si="100"/>
        <v>0.21653886777643427</v>
      </c>
      <c r="R366" s="101">
        <f t="shared" si="101"/>
        <v>2.0784084193597265E-2</v>
      </c>
      <c r="S366" s="101">
        <f t="shared" si="103"/>
        <v>697.50425500127074</v>
      </c>
      <c r="T366" s="101">
        <f t="shared" si="104"/>
        <v>56.484496195073717</v>
      </c>
      <c r="U366" s="101">
        <f t="shared" si="105"/>
        <v>20.566192349288958</v>
      </c>
      <c r="V366" s="33">
        <f t="shared" si="106"/>
        <v>1000.0000000000006</v>
      </c>
      <c r="W366" s="105">
        <f>IF(A366=1,((cPH1_+cPHr+(cNES*L366+(cNES+cOSEX)*G366+(cNES+cEREX)*H366+(cNES+cHOEX)*I366 + (cNES+cNES)*S366 +(cNES+ cOSEX)*N366 + (cNES+cEREX)*O366 + (cNES+cHOEX)*P366)))/(1+cDR)^A$5:A$65536,(cPHr+(cNES*L366+(cNES+cOSEX)*G366+(cNES+cEREX)*H366+(cNES+cHOEX)*I366 + (cNES+cNES)*S366 +(cNES+ cOSEX)*N366 + (cNES+cEREX)*O366 + (cNES+cHOEX)*P366))/(1+cDR)^A$5:A$65536)</f>
        <v>119708.64362095452</v>
      </c>
      <c r="X366" s="112">
        <f t="shared" si="107"/>
        <v>922.94931145563794</v>
      </c>
      <c r="Y366" s="32">
        <f>(uNES*L366+ uOCEX*G366+uEREX*'PH + UC'!H366+uHOEX*I366+uNES*S366+ uOCEX*N366+uEREX*O366+uHOEX*P366)/(1+oDR)^A$5:A$65536</f>
        <v>547.80985462535341</v>
      </c>
    </row>
    <row r="367" spans="1:25" x14ac:dyDescent="0.25">
      <c r="A367" s="4">
        <v>361</v>
      </c>
      <c r="C367" s="110">
        <f>IF(male=0,VLOOKUP(((A365:A1199/'Life tables'!$I$2)*2)+age,lifetable,13,1),IF(male=1,VLOOKUP(((A365:A1199/'Life tables'!$I$2)*2)+age,lifetable,10,1),"error"))</f>
        <v>2.5345550293476293E-4</v>
      </c>
      <c r="F367" s="101">
        <f t="shared" si="90"/>
        <v>147.16160960563076</v>
      </c>
      <c r="G367" s="101">
        <f t="shared" si="91"/>
        <v>14.782691677165575</v>
      </c>
      <c r="H367" s="101">
        <f t="shared" si="92"/>
        <v>0.33828373774626991</v>
      </c>
      <c r="I367" s="101">
        <f t="shared" si="93"/>
        <v>0.33828373774626991</v>
      </c>
      <c r="J367" s="101">
        <f t="shared" si="94"/>
        <v>4.1217154078820178E-2</v>
      </c>
      <c r="K367" s="101">
        <f t="shared" si="95"/>
        <v>2.6517764624382809E-2</v>
      </c>
      <c r="L367" s="101">
        <f t="shared" si="102"/>
        <v>131.63461553426944</v>
      </c>
      <c r="M367" s="101">
        <f t="shared" si="96"/>
        <v>775.78770185000735</v>
      </c>
      <c r="N367" s="101">
        <f t="shared" si="97"/>
        <v>74.710036531115321</v>
      </c>
      <c r="O367" s="101">
        <f t="shared" si="98"/>
        <v>1.7833208279163038</v>
      </c>
      <c r="P367" s="101">
        <f t="shared" si="99"/>
        <v>1.7833208279163038</v>
      </c>
      <c r="Q367" s="101">
        <f t="shared" si="100"/>
        <v>0.21646731698093302</v>
      </c>
      <c r="R367" s="101">
        <f t="shared" si="101"/>
        <v>2.0777216522342268E-2</v>
      </c>
      <c r="S367" s="101">
        <f t="shared" si="103"/>
        <v>697.27377912955615</v>
      </c>
      <c r="T367" s="101">
        <f t="shared" si="104"/>
        <v>56.742180666133471</v>
      </c>
      <c r="U367" s="101">
        <f t="shared" si="105"/>
        <v>20.613487330435682</v>
      </c>
      <c r="V367" s="33">
        <f t="shared" si="106"/>
        <v>1000.0000000000007</v>
      </c>
      <c r="W367" s="105">
        <f>IF(A367=1,((cPH1_+cPHr+(cNES*L367+(cNES+cOSEX)*G367+(cNES+cEREX)*H367+(cNES+cHOEX)*I367 + (cNES+cNES)*S367 +(cNES+ cOSEX)*N367 + (cNES+cEREX)*O367 + (cNES+cHOEX)*P367)))/(1+cDR)^A$5:A$65536,(cPHr+(cNES*L367+(cNES+cOSEX)*G367+(cNES+cEREX)*H367+(cNES+cHOEX)*I367 + (cNES+cNES)*S367 +(cNES+ cOSEX)*N367 + (cNES+cEREX)*O367 + (cNES+cHOEX)*P367))/(1+cDR)^A$5:A$65536)</f>
        <v>119531.54996155611</v>
      </c>
      <c r="X367" s="112">
        <f t="shared" si="107"/>
        <v>922.6443320034316</v>
      </c>
      <c r="Y367" s="32">
        <f>(uNES*L367+ uOCEX*G367+uEREX*'PH + UC'!H367+uHOEX*I367+uNES*S367+ uOCEX*N367+uEREX*O367+uHOEX*P367)/(1+oDR)^A$5:A$65536</f>
        <v>547.47134466428236</v>
      </c>
    </row>
    <row r="368" spans="1:25" x14ac:dyDescent="0.25">
      <c r="A368" s="4">
        <v>362</v>
      </c>
      <c r="C368" s="110">
        <f>IF(male=0,VLOOKUP(((A366:A1200/'Life tables'!$I$2)*2)+age,lifetable,13,1),IF(male=1,VLOOKUP(((A366:A1200/'Life tables'!$I$2)*2)+age,lifetable,10,1),"error"))</f>
        <v>2.5345550293476293E-4</v>
      </c>
      <c r="F368" s="101">
        <f t="shared" si="90"/>
        <v>147.11297354407941</v>
      </c>
      <c r="G368" s="101">
        <f t="shared" si="91"/>
        <v>14.777806082993074</v>
      </c>
      <c r="H368" s="101">
        <f t="shared" si="92"/>
        <v>0.33817193692583219</v>
      </c>
      <c r="I368" s="101">
        <f t="shared" si="93"/>
        <v>0.33817193692583219</v>
      </c>
      <c r="J368" s="101">
        <f t="shared" si="94"/>
        <v>4.1203532047584451E-2</v>
      </c>
      <c r="K368" s="101">
        <f t="shared" si="95"/>
        <v>2.6509000656416357E-2</v>
      </c>
      <c r="L368" s="101">
        <f t="shared" si="102"/>
        <v>131.59111105453067</v>
      </c>
      <c r="M368" s="101">
        <f t="shared" si="96"/>
        <v>775.5313584593523</v>
      </c>
      <c r="N368" s="101">
        <f t="shared" si="97"/>
        <v>74.685350107194608</v>
      </c>
      <c r="O368" s="101">
        <f t="shared" si="98"/>
        <v>1.7827315655361917</v>
      </c>
      <c r="P368" s="101">
        <f t="shared" si="99"/>
        <v>1.7827315655361917</v>
      </c>
      <c r="Q368" s="101">
        <f t="shared" si="100"/>
        <v>0.21639578972435419</v>
      </c>
      <c r="R368" s="101">
        <f t="shared" si="101"/>
        <v>2.0770351110427375E-2</v>
      </c>
      <c r="S368" s="101">
        <f t="shared" si="103"/>
        <v>697.04337908025047</v>
      </c>
      <c r="T368" s="101">
        <f t="shared" si="104"/>
        <v>56.999779987905413</v>
      </c>
      <c r="U368" s="101">
        <f t="shared" si="105"/>
        <v>20.660766682202524</v>
      </c>
      <c r="V368" s="33">
        <f t="shared" si="106"/>
        <v>1000.0000000000008</v>
      </c>
      <c r="W368" s="105">
        <f>IF(A368=1,((cPH1_+cPHr+(cNES*L368+(cNES+cOSEX)*G368+(cNES+cEREX)*H368+(cNES+cHOEX)*I368 + (cNES+cNES)*S368 +(cNES+ cOSEX)*N368 + (cNES+cEREX)*O368 + (cNES+cHOEX)*P368)))/(1+cDR)^A$5:A$65536,(cPHr+(cNES*L368+(cNES+cOSEX)*G368+(cNES+cEREX)*H368+(cNES+cHOEX)*I368 + (cNES+cNES)*S368 +(cNES+ cOSEX)*N368 + (cNES+cEREX)*O368 + (cNES+cHOEX)*P368))/(1+cDR)^A$5:A$65536)</f>
        <v>119354.71827131414</v>
      </c>
      <c r="X368" s="112">
        <f t="shared" si="107"/>
        <v>922.33945332989288</v>
      </c>
      <c r="Y368" s="32">
        <f>(uNES*L368+ uOCEX*G368+uEREX*'PH + UC'!H368+uHOEX*I368+uNES*S368+ uOCEX*N368+uEREX*O368+uHOEX*P368)/(1+oDR)^A$5:A$65536</f>
        <v>547.13304388038875</v>
      </c>
    </row>
    <row r="369" spans="1:25" x14ac:dyDescent="0.25">
      <c r="A369" s="4">
        <v>363</v>
      </c>
      <c r="C369" s="110">
        <f>IF(male=0,VLOOKUP(((A367:A1201/'Life tables'!$I$2)*2)+age,lifetable,13,1),IF(male=1,VLOOKUP(((A367:A1201/'Life tables'!$I$2)*2)+age,lifetable,10,1),"error"))</f>
        <v>2.5345550293476293E-4</v>
      </c>
      <c r="F369" s="101">
        <f t="shared" si="90"/>
        <v>147.06435391215365</v>
      </c>
      <c r="G369" s="101">
        <f t="shared" si="91"/>
        <v>14.772922139210849</v>
      </c>
      <c r="H369" s="101">
        <f t="shared" si="92"/>
        <v>0.33806017387254833</v>
      </c>
      <c r="I369" s="101">
        <f t="shared" si="93"/>
        <v>0.33806017387254833</v>
      </c>
      <c r="J369" s="101">
        <f t="shared" si="94"/>
        <v>4.1189914617972813E-2</v>
      </c>
      <c r="K369" s="101">
        <f t="shared" si="95"/>
        <v>2.6500239648983868E-2</v>
      </c>
      <c r="L369" s="101">
        <f t="shared" si="102"/>
        <v>131.54762127093073</v>
      </c>
      <c r="M369" s="101">
        <f t="shared" si="96"/>
        <v>775.27509941773928</v>
      </c>
      <c r="N369" s="101">
        <f t="shared" si="97"/>
        <v>74.660671806269391</v>
      </c>
      <c r="O369" s="101">
        <f t="shared" si="98"/>
        <v>1.7821424970511401</v>
      </c>
      <c r="P369" s="101">
        <f t="shared" si="99"/>
        <v>1.7821424970511401</v>
      </c>
      <c r="Q369" s="101">
        <f t="shared" si="100"/>
        <v>0.21632428600360976</v>
      </c>
      <c r="R369" s="101">
        <f t="shared" si="101"/>
        <v>2.0763487957556163E-2</v>
      </c>
      <c r="S369" s="101">
        <f t="shared" si="103"/>
        <v>696.81305484340646</v>
      </c>
      <c r="T369" s="101">
        <f t="shared" si="104"/>
        <v>57.257294188526998</v>
      </c>
      <c r="U369" s="101">
        <f t="shared" si="105"/>
        <v>20.708030409809066</v>
      </c>
      <c r="V369" s="33">
        <f t="shared" si="106"/>
        <v>1000.0000000000009</v>
      </c>
      <c r="W369" s="105">
        <f>IF(A369=1,((cPH1_+cPHr+(cNES*L369+(cNES+cOSEX)*G369+(cNES+cEREX)*H369+(cNES+cHOEX)*I369 + (cNES+cNES)*S369 +(cNES+ cOSEX)*N369 + (cNES+cEREX)*O369 + (cNES+cHOEX)*P369)))/(1+cDR)^A$5:A$65536,(cPHr+(cNES*L369+(cNES+cOSEX)*G369+(cNES+cEREX)*H369+(cNES+cHOEX)*I369 + (cNES+cNES)*S369 +(cNES+ cOSEX)*N369 + (cNES+cEREX)*O369 + (cNES+cHOEX)*P369))/(1+cDR)^A$5:A$65536)</f>
        <v>119178.14816362996</v>
      </c>
      <c r="X369" s="112">
        <f t="shared" si="107"/>
        <v>922.0346754016648</v>
      </c>
      <c r="Y369" s="32">
        <f>(uNES*L369+ uOCEX*G369+uEREX*'PH + UC'!H369+uHOEX*I369+uNES*S369+ uOCEX*N369+uEREX*O369+uHOEX*P369)/(1+oDR)^A$5:A$65536</f>
        <v>546.79495214438805</v>
      </c>
    </row>
    <row r="370" spans="1:25" x14ac:dyDescent="0.25">
      <c r="A370" s="4">
        <v>364</v>
      </c>
      <c r="C370" s="110">
        <f>IF(male=0,VLOOKUP(((A368:A1202/'Life tables'!$I$2)*2)+age,lifetable,13,1),IF(male=1,VLOOKUP(((A368:A1202/'Life tables'!$I$2)*2)+age,lifetable,10,1),"error"))</f>
        <v>2.5345550293476293E-4</v>
      </c>
      <c r="F370" s="101">
        <f t="shared" si="90"/>
        <v>147.0157506883159</v>
      </c>
      <c r="G370" s="101">
        <f t="shared" si="91"/>
        <v>14.768039843655403</v>
      </c>
      <c r="H370" s="101">
        <f t="shared" si="92"/>
        <v>0.33794844853690942</v>
      </c>
      <c r="I370" s="101">
        <f t="shared" si="93"/>
        <v>0.33794844853690942</v>
      </c>
      <c r="J370" s="101">
        <f t="shared" si="94"/>
        <v>4.1176301783953012E-2</v>
      </c>
      <c r="K370" s="101">
        <f t="shared" si="95"/>
        <v>2.6491481598204393E-2</v>
      </c>
      <c r="L370" s="101">
        <f t="shared" si="102"/>
        <v>131.50414616420451</v>
      </c>
      <c r="M370" s="101">
        <f t="shared" si="96"/>
        <v>775.01892471334895</v>
      </c>
      <c r="N370" s="101">
        <f t="shared" si="97"/>
        <v>74.636001627201438</v>
      </c>
      <c r="O370" s="101">
        <f t="shared" si="98"/>
        <v>1.7815536224339799</v>
      </c>
      <c r="P370" s="101">
        <f t="shared" si="99"/>
        <v>1.7815536224339799</v>
      </c>
      <c r="Q370" s="101">
        <f t="shared" si="100"/>
        <v>0.21625280581540168</v>
      </c>
      <c r="R370" s="101">
        <f t="shared" si="101"/>
        <v>2.0756627063412091E-2</v>
      </c>
      <c r="S370" s="101">
        <f t="shared" si="103"/>
        <v>696.58280640840076</v>
      </c>
      <c r="T370" s="101">
        <f t="shared" si="104"/>
        <v>57.514723296126355</v>
      </c>
      <c r="U370" s="101">
        <f t="shared" si="105"/>
        <v>20.755278518470682</v>
      </c>
      <c r="V370" s="33">
        <f t="shared" si="106"/>
        <v>1000.000000000001</v>
      </c>
      <c r="W370" s="105">
        <f>IF(A370=1,((cPH1_+cPHr+(cNES*L370+(cNES+cOSEX)*G370+(cNES+cEREX)*H370+(cNES+cHOEX)*I370 + (cNES+cNES)*S370 +(cNES+ cOSEX)*N370 + (cNES+cEREX)*O370 + (cNES+cHOEX)*P370)))/(1+cDR)^A$5:A$65536,(cPHr+(cNES*L370+(cNES+cOSEX)*G370+(cNES+cEREX)*H370+(cNES+cHOEX)*I370 + (cNES+cNES)*S370 +(cNES+ cOSEX)*N370 + (cNES+cEREX)*O370 + (cNES+cHOEX)*P370))/(1+cDR)^A$5:A$65536)</f>
        <v>119001.83925243255</v>
      </c>
      <c r="X370" s="112">
        <f t="shared" si="107"/>
        <v>921.72999818540393</v>
      </c>
      <c r="Y370" s="32">
        <f>(uNES*L370+ uOCEX*G370+uEREX*'PH + UC'!H370+uHOEX*I370+uNES*S370+ uOCEX*N370+uEREX*O370+uHOEX*P370)/(1+oDR)^A$5:A$65536</f>
        <v>546.45706932707685</v>
      </c>
    </row>
    <row r="371" spans="1:25" x14ac:dyDescent="0.25">
      <c r="A371" s="4">
        <v>365</v>
      </c>
      <c r="C371" s="110">
        <f>IF(male=0,VLOOKUP(((A369:A1203/'Life tables'!$I$2)*2)+age,lifetable,13,1),IF(male=1,VLOOKUP(((A369:A1203/'Life tables'!$I$2)*2)+age,lifetable,10,1),"error"))</f>
        <v>2.5345550293476293E-4</v>
      </c>
      <c r="F371" s="101">
        <f t="shared" si="90"/>
        <v>146.96716385176003</v>
      </c>
      <c r="G371" s="101">
        <f t="shared" si="91"/>
        <v>14.763159194236719</v>
      </c>
      <c r="H371" s="101">
        <f t="shared" si="92"/>
        <v>0.33783676087108788</v>
      </c>
      <c r="I371" s="101">
        <f t="shared" si="93"/>
        <v>0.33783676087108788</v>
      </c>
      <c r="J371" s="101">
        <f t="shared" si="94"/>
        <v>4.1162693539697648E-2</v>
      </c>
      <c r="K371" s="101">
        <f t="shared" si="95"/>
        <v>2.648272650032877E-2</v>
      </c>
      <c r="L371" s="101">
        <f t="shared" si="102"/>
        <v>131.46068571574111</v>
      </c>
      <c r="M371" s="101">
        <f t="shared" si="96"/>
        <v>774.76283433364392</v>
      </c>
      <c r="N371" s="101">
        <f t="shared" si="97"/>
        <v>74.611339568783393</v>
      </c>
      <c r="O371" s="101">
        <f t="shared" si="98"/>
        <v>1.7809649416558908</v>
      </c>
      <c r="P371" s="101">
        <f t="shared" si="99"/>
        <v>1.7809649416558908</v>
      </c>
      <c r="Q371" s="101">
        <f t="shared" si="100"/>
        <v>0.21618134915623166</v>
      </c>
      <c r="R371" s="101">
        <f t="shared" si="101"/>
        <v>2.0749768427659382E-2</v>
      </c>
      <c r="S371" s="101">
        <f t="shared" si="103"/>
        <v>696.35263376396483</v>
      </c>
      <c r="T371" s="101">
        <f t="shared" si="104"/>
        <v>57.772067338822282</v>
      </c>
      <c r="U371" s="101">
        <f t="shared" si="105"/>
        <v>20.802511013398671</v>
      </c>
      <c r="V371" s="33">
        <f t="shared" si="106"/>
        <v>1000.0000000000009</v>
      </c>
      <c r="W371" s="105">
        <f>IF(A371=1,((cPH1_+cPHr+(cNES*L371+(cNES+cOSEX)*G371+(cNES+cEREX)*H371+(cNES+cHOEX)*I371 + (cNES+cNES)*S371 +(cNES+ cOSEX)*N371 + (cNES+cEREX)*O371 + (cNES+cHOEX)*P371)))/(1+cDR)^A$5:A$65536,(cPHr+(cNES*L371+(cNES+cOSEX)*G371+(cNES+cEREX)*H371+(cNES+cHOEX)*I371 + (cNES+cNES)*S371 +(cNES+ cOSEX)*N371 + (cNES+cEREX)*O371 + (cNES+cHOEX)*P371))/(1+cDR)^A$5:A$65536)</f>
        <v>118825.79115218006</v>
      </c>
      <c r="X371" s="112">
        <f t="shared" si="107"/>
        <v>921.42542164778001</v>
      </c>
      <c r="Y371" s="32">
        <f>(uNES*L371+ uOCEX*G371+uEREX*'PH + UC'!H371+uHOEX*I371+uNES*S371+ uOCEX*N371+uEREX*O371+uHOEX*P371)/(1+oDR)^A$5:A$65536</f>
        <v>546.11939529933193</v>
      </c>
    </row>
    <row r="372" spans="1:25" x14ac:dyDescent="0.25">
      <c r="A372" s="4">
        <v>366</v>
      </c>
      <c r="C372" s="110">
        <f>IF(male=0,VLOOKUP(((A370:A1204/'Life tables'!$I$2)*2)+age,lifetable,13,1),IF(male=1,VLOOKUP(((A370:A1204/'Life tables'!$I$2)*2)+age,lifetable,10,1),"error"))</f>
        <v>2.7596604845614436E-4</v>
      </c>
      <c r="F372" s="101">
        <f t="shared" si="90"/>
        <v>146.91859338237825</v>
      </c>
      <c r="G372" s="101">
        <f t="shared" si="91"/>
        <v>14.758280188934927</v>
      </c>
      <c r="H372" s="101">
        <f t="shared" si="92"/>
        <v>0.33772511082886159</v>
      </c>
      <c r="I372" s="101">
        <f t="shared" si="93"/>
        <v>0.33772511082886159</v>
      </c>
      <c r="J372" s="101">
        <f t="shared" si="94"/>
        <v>4.4803729254818646E-2</v>
      </c>
      <c r="K372" s="101">
        <f t="shared" si="95"/>
        <v>2.6473974351733674E-2</v>
      </c>
      <c r="L372" s="101">
        <f t="shared" si="102"/>
        <v>131.41358526817905</v>
      </c>
      <c r="M372" s="101">
        <f t="shared" si="96"/>
        <v>774.50682826540151</v>
      </c>
      <c r="N372" s="101">
        <f t="shared" si="97"/>
        <v>74.586685629741865</v>
      </c>
      <c r="O372" s="101">
        <f t="shared" si="98"/>
        <v>1.7803764546864778</v>
      </c>
      <c r="P372" s="101">
        <f t="shared" si="99"/>
        <v>1.7803764546864778</v>
      </c>
      <c r="Q372" s="101">
        <f t="shared" si="100"/>
        <v>0.23530362870931343</v>
      </c>
      <c r="R372" s="101">
        <f t="shared" si="101"/>
        <v>2.0742912049943905E-2</v>
      </c>
      <c r="S372" s="101">
        <f t="shared" si="103"/>
        <v>696.10334318552748</v>
      </c>
      <c r="T372" s="101">
        <f t="shared" si="104"/>
        <v>58.052174696786416</v>
      </c>
      <c r="U372" s="101">
        <f t="shared" si="105"/>
        <v>20.849727899800349</v>
      </c>
      <c r="V372" s="33">
        <f t="shared" si="106"/>
        <v>1000.0000000000008</v>
      </c>
      <c r="W372" s="105">
        <f>IF(A372=1,((cPH1_+cPHr+(cNES*L372+(cNES+cOSEX)*G372+(cNES+cEREX)*H372+(cNES+cHOEX)*I372 + (cNES+cNES)*S372 +(cNES+ cOSEX)*N372 + (cNES+cEREX)*O372 + (cNES+cHOEX)*P372)))/(1+cDR)^A$5:A$65536,(cPHr+(cNES*L372+(cNES+cOSEX)*G372+(cNES+cEREX)*H372+(cNES+cHOEX)*I372 + (cNES+cNES)*S372 +(cNES+ cOSEX)*N372 + (cNES+cEREX)*O372 + (cNES+cHOEX)*P372))/(1+cDR)^A$5:A$65536)</f>
        <v>118647.4523173925</v>
      </c>
      <c r="X372" s="112">
        <f t="shared" si="107"/>
        <v>921.09809740341404</v>
      </c>
      <c r="Y372" s="32">
        <f>(uNES*L372+ uOCEX*G372+uEREX*'PH + UC'!H372+uHOEX*I372+uNES*S372+ uOCEX*N372+uEREX*O372+uHOEX*P372)/(1+oDR)^A$5:A$65536</f>
        <v>545.76817172767426</v>
      </c>
    </row>
    <row r="373" spans="1:25" x14ac:dyDescent="0.25">
      <c r="A373" s="4">
        <v>367</v>
      </c>
      <c r="C373" s="110">
        <f>IF(male=0,VLOOKUP(((A371:A1205/'Life tables'!$I$2)*2)+age,lifetable,13,1),IF(male=1,VLOOKUP(((A371:A1205/'Life tables'!$I$2)*2)+age,lifetable,10,1),"error"))</f>
        <v>2.7596604845614436E-4</v>
      </c>
      <c r="F373" s="101">
        <f t="shared" si="90"/>
        <v>146.86638468324293</v>
      </c>
      <c r="G373" s="101">
        <f t="shared" si="91"/>
        <v>14.753035715839998</v>
      </c>
      <c r="H373" s="101">
        <f t="shared" si="92"/>
        <v>0.33760509750518503</v>
      </c>
      <c r="I373" s="101">
        <f t="shared" si="93"/>
        <v>0.33760509750518503</v>
      </c>
      <c r="J373" s="101">
        <f t="shared" si="94"/>
        <v>4.4787807890701609E-2</v>
      </c>
      <c r="K373" s="101">
        <f t="shared" si="95"/>
        <v>2.6464566612862603E-2</v>
      </c>
      <c r="L373" s="101">
        <f t="shared" si="102"/>
        <v>131.366886397889</v>
      </c>
      <c r="M373" s="101">
        <f t="shared" si="96"/>
        <v>774.231712720171</v>
      </c>
      <c r="N373" s="101">
        <f t="shared" si="97"/>
        <v>74.560191406663265</v>
      </c>
      <c r="O373" s="101">
        <f t="shared" si="98"/>
        <v>1.7797440403278546</v>
      </c>
      <c r="P373" s="101">
        <f t="shared" si="99"/>
        <v>1.7797440403278546</v>
      </c>
      <c r="Q373" s="101">
        <f t="shared" si="100"/>
        <v>0.2352200456035943</v>
      </c>
      <c r="R373" s="101">
        <f t="shared" si="101"/>
        <v>2.0735543880484288E-2</v>
      </c>
      <c r="S373" s="101">
        <f t="shared" si="103"/>
        <v>695.85607764336794</v>
      </c>
      <c r="T373" s="101">
        <f t="shared" si="104"/>
        <v>58.332182550280713</v>
      </c>
      <c r="U373" s="101">
        <f t="shared" si="105"/>
        <v>20.896928010293696</v>
      </c>
      <c r="V373" s="33">
        <f t="shared" si="106"/>
        <v>1000.0000000000006</v>
      </c>
      <c r="W373" s="105">
        <f>IF(A373=1,((cPH1_+cPHr+(cNES*L373+(cNES+cOSEX)*G373+(cNES+cEREX)*H373+(cNES+cHOEX)*I373 + (cNES+cNES)*S373 +(cNES+ cOSEX)*N373 + (cNES+cEREX)*O373 + (cNES+cHOEX)*P373)))/(1+cDR)^A$5:A$65536,(cPHr+(cNES*L373+(cNES+cOSEX)*G373+(cNES+cEREX)*H373+(cNES+cHOEX)*I373 + (cNES+cNES)*S373 +(cNES+ cOSEX)*N373 + (cNES+cEREX)*O373 + (cNES+cHOEX)*P373))/(1+cDR)^A$5:A$65536)</f>
        <v>118468.99079745091</v>
      </c>
      <c r="X373" s="112">
        <f t="shared" si="107"/>
        <v>920.77088943942624</v>
      </c>
      <c r="Y373" s="32">
        <f>(uNES*L373+ uOCEX*G373+uEREX*'PH + UC'!H373+uHOEX*I373+uNES*S373+ uOCEX*N373+uEREX*O373+uHOEX*P373)/(1+oDR)^A$5:A$65536</f>
        <v>545.4173940162226</v>
      </c>
    </row>
    <row r="374" spans="1:25" x14ac:dyDescent="0.25">
      <c r="A374" s="4">
        <v>368</v>
      </c>
      <c r="C374" s="110">
        <f>IF(male=0,VLOOKUP(((A372:A1206/'Life tables'!$I$2)*2)+age,lifetable,13,1),IF(male=1,VLOOKUP(((A372:A1206/'Life tables'!$I$2)*2)+age,lifetable,10,1),"error"))</f>
        <v>2.7596604845614436E-4</v>
      </c>
      <c r="F374" s="101">
        <f t="shared" si="90"/>
        <v>146.81419533180608</v>
      </c>
      <c r="G374" s="101">
        <f t="shared" si="91"/>
        <v>14.747793186261871</v>
      </c>
      <c r="H374" s="101">
        <f t="shared" si="92"/>
        <v>0.33748512865650276</v>
      </c>
      <c r="I374" s="101">
        <f t="shared" si="93"/>
        <v>0.33748512865650276</v>
      </c>
      <c r="J374" s="101">
        <f t="shared" si="94"/>
        <v>4.4771892426784268E-2</v>
      </c>
      <c r="K374" s="101">
        <f t="shared" si="95"/>
        <v>2.6455162360347222E-2</v>
      </c>
      <c r="L374" s="101">
        <f t="shared" si="102"/>
        <v>131.32020483344405</v>
      </c>
      <c r="M374" s="101">
        <f t="shared" si="96"/>
        <v>773.95669410762025</v>
      </c>
      <c r="N374" s="101">
        <f t="shared" si="97"/>
        <v>74.533706518411748</v>
      </c>
      <c r="O374" s="101">
        <f t="shared" si="98"/>
        <v>1.7791118487905864</v>
      </c>
      <c r="P374" s="101">
        <f t="shared" si="99"/>
        <v>1.7791118487905864</v>
      </c>
      <c r="Q374" s="101">
        <f t="shared" si="100"/>
        <v>0.23513649194708136</v>
      </c>
      <c r="R374" s="101">
        <f t="shared" si="101"/>
        <v>2.0728178307084486E-2</v>
      </c>
      <c r="S374" s="101">
        <f t="shared" si="103"/>
        <v>695.60889922137312</v>
      </c>
      <c r="T374" s="101">
        <f t="shared" si="104"/>
        <v>58.612090934654582</v>
      </c>
      <c r="U374" s="101">
        <f t="shared" si="105"/>
        <v>20.944111350961126</v>
      </c>
      <c r="V374" s="33">
        <f t="shared" si="106"/>
        <v>1000.0000000000008</v>
      </c>
      <c r="W374" s="105">
        <f>IF(A374=1,((cPH1_+cPHr+(cNES*L374+(cNES+cOSEX)*G374+(cNES+cEREX)*H374+(cNES+cHOEX)*I374 + (cNES+cNES)*S374 +(cNES+ cOSEX)*N374 + (cNES+cEREX)*O374 + (cNES+cHOEX)*P374)))/(1+cDR)^A$5:A$65536,(cPHr+(cNES*L374+(cNES+cOSEX)*G374+(cNES+cEREX)*H374+(cNES+cHOEX)*I374 + (cNES+cNES)*S374 +(cNES+ cOSEX)*N374 + (cNES+cEREX)*O374 + (cNES+cHOEX)*P374))/(1+cDR)^A$5:A$65536)</f>
        <v>118290.7976667687</v>
      </c>
      <c r="X374" s="112">
        <f t="shared" si="107"/>
        <v>920.44379771438503</v>
      </c>
      <c r="Y374" s="32">
        <f>(uNES*L374+ uOCEX*G374+uEREX*'PH + UC'!H374+uHOEX*I374+uNES*S374+ uOCEX*N374+uEREX*O374+uHOEX*P374)/(1+oDR)^A$5:A$65536</f>
        <v>545.06684175891201</v>
      </c>
    </row>
    <row r="375" spans="1:25" x14ac:dyDescent="0.25">
      <c r="A375" s="4">
        <v>369</v>
      </c>
      <c r="C375" s="110">
        <f>IF(male=0,VLOOKUP(((A373:A1207/'Life tables'!$I$2)*2)+age,lifetable,13,1),IF(male=1,VLOOKUP(((A373:A1207/'Life tables'!$I$2)*2)+age,lifetable,10,1),"error"))</f>
        <v>2.7596604845614436E-4</v>
      </c>
      <c r="F375" s="101">
        <f t="shared" si="90"/>
        <v>146.76202528515523</v>
      </c>
      <c r="G375" s="101">
        <f t="shared" si="91"/>
        <v>14.742552595889903</v>
      </c>
      <c r="H375" s="101">
        <f t="shared" si="92"/>
        <v>0.33736520418417104</v>
      </c>
      <c r="I375" s="101">
        <f t="shared" si="93"/>
        <v>0.33736520418417104</v>
      </c>
      <c r="J375" s="101">
        <f t="shared" si="94"/>
        <v>4.4755982849980259E-2</v>
      </c>
      <c r="K375" s="101">
        <f t="shared" si="95"/>
        <v>2.6445761586454918E-2</v>
      </c>
      <c r="L375" s="101">
        <f t="shared" si="102"/>
        <v>131.27354053646056</v>
      </c>
      <c r="M375" s="101">
        <f t="shared" si="96"/>
        <v>773.68177242922957</v>
      </c>
      <c r="N375" s="101">
        <f t="shared" si="97"/>
        <v>74.50723096512985</v>
      </c>
      <c r="O375" s="101">
        <f t="shared" si="98"/>
        <v>1.7784798800780757</v>
      </c>
      <c r="P375" s="101">
        <f t="shared" si="99"/>
        <v>1.7784798800780757</v>
      </c>
      <c r="Q375" s="101">
        <f t="shared" si="100"/>
        <v>0.23505296774022438</v>
      </c>
      <c r="R375" s="101">
        <f t="shared" si="101"/>
        <v>2.0720815329784141E-2</v>
      </c>
      <c r="S375" s="101">
        <f t="shared" si="103"/>
        <v>695.3618079208735</v>
      </c>
      <c r="T375" s="101">
        <f t="shared" si="104"/>
        <v>58.891899885244783</v>
      </c>
      <c r="U375" s="101">
        <f t="shared" si="105"/>
        <v>20.991277927877366</v>
      </c>
      <c r="V375" s="33">
        <f t="shared" si="106"/>
        <v>1000.0000000000005</v>
      </c>
      <c r="W375" s="105">
        <f>IF(A375=1,((cPH1_+cPHr+(cNES*L375+(cNES+cOSEX)*G375+(cNES+cEREX)*H375+(cNES+cHOEX)*I375 + (cNES+cNES)*S375 +(cNES+ cOSEX)*N375 + (cNES+cEREX)*O375 + (cNES+cHOEX)*P375)))/(1+cDR)^A$5:A$65536,(cPHr+(cNES*L375+(cNES+cOSEX)*G375+(cNES+cEREX)*H375+(cNES+cHOEX)*I375 + (cNES+cNES)*S375 +(cNES+ cOSEX)*N375 + (cNES+cEREX)*O375 + (cNES+cHOEX)*P375))/(1+cDR)^A$5:A$65536)</f>
        <v>118112.87252367532</v>
      </c>
      <c r="X375" s="112">
        <f t="shared" si="107"/>
        <v>920.11682218687827</v>
      </c>
      <c r="Y375" s="32">
        <f>(uNES*L375+ uOCEX*G375+uEREX*'PH + UC'!H375+uHOEX*I375+uNES*S375+ uOCEX*N375+uEREX*O375+uHOEX*P375)/(1+oDR)^A$5:A$65536</f>
        <v>544.71651481077993</v>
      </c>
    </row>
    <row r="376" spans="1:25" x14ac:dyDescent="0.25">
      <c r="A376" s="4">
        <v>370</v>
      </c>
      <c r="C376" s="110">
        <f>IF(male=0,VLOOKUP(((A374:A1208/'Life tables'!$I$2)*2)+age,lifetable,13,1),IF(male=1,VLOOKUP(((A374:A1208/'Life tables'!$I$2)*2)+age,lifetable,10,1),"error"))</f>
        <v>2.7596604845614436E-4</v>
      </c>
      <c r="F376" s="101">
        <f t="shared" si="90"/>
        <v>146.70987450201423</v>
      </c>
      <c r="G376" s="101">
        <f t="shared" si="91"/>
        <v>14.737313940577813</v>
      </c>
      <c r="H376" s="101">
        <f t="shared" si="92"/>
        <v>0.33724532399330731</v>
      </c>
      <c r="I376" s="101">
        <f t="shared" si="93"/>
        <v>0.33724532399330731</v>
      </c>
      <c r="J376" s="101">
        <f t="shared" si="94"/>
        <v>4.474007914770211E-2</v>
      </c>
      <c r="K376" s="101">
        <f t="shared" si="95"/>
        <v>2.6436364283747939E-2</v>
      </c>
      <c r="L376" s="101">
        <f t="shared" si="102"/>
        <v>131.22689347001835</v>
      </c>
      <c r="M376" s="101">
        <f t="shared" si="96"/>
        <v>773.40694768486412</v>
      </c>
      <c r="N376" s="101">
        <f t="shared" si="97"/>
        <v>74.48076474680461</v>
      </c>
      <c r="O376" s="101">
        <f t="shared" si="98"/>
        <v>1.7778481341900125</v>
      </c>
      <c r="P376" s="101">
        <f t="shared" si="99"/>
        <v>1.7778481341900125</v>
      </c>
      <c r="Q376" s="101">
        <f t="shared" si="100"/>
        <v>0.23496947298298237</v>
      </c>
      <c r="R376" s="101">
        <f t="shared" si="101"/>
        <v>2.0713454948579641E-2</v>
      </c>
      <c r="S376" s="101">
        <f t="shared" si="103"/>
        <v>695.11480374174789</v>
      </c>
      <c r="T376" s="101">
        <f t="shared" si="104"/>
        <v>59.171609437375466</v>
      </c>
      <c r="U376" s="101">
        <f t="shared" si="105"/>
        <v>21.038427747109694</v>
      </c>
      <c r="V376" s="33">
        <f t="shared" si="106"/>
        <v>1000.0000000000005</v>
      </c>
      <c r="W376" s="105">
        <f>IF(A376=1,((cPH1_+cPHr+(cNES*L376+(cNES+cOSEX)*G376+(cNES+cEREX)*H376+(cNES+cHOEX)*I376 + (cNES+cNES)*S376 +(cNES+ cOSEX)*N376 + (cNES+cEREX)*O376 + (cNES+cHOEX)*P376)))/(1+cDR)^A$5:A$65536,(cPHr+(cNES*L376+(cNES+cOSEX)*G376+(cNES+cEREX)*H376+(cNES+cHOEX)*I376 + (cNES+cNES)*S376 +(cNES+ cOSEX)*N376 + (cNES+cEREX)*O376 + (cNES+cHOEX)*P376))/(1+cDR)^A$5:A$65536)</f>
        <v>117935.21496701117</v>
      </c>
      <c r="X376" s="112">
        <f t="shared" si="107"/>
        <v>919.78996281551531</v>
      </c>
      <c r="Y376" s="32">
        <f>(uNES*L376+ uOCEX*G376+uEREX*'PH + UC'!H376+uHOEX*I376+uNES*S376+ uOCEX*N376+uEREX*O376+uHOEX*P376)/(1+oDR)^A$5:A$65536</f>
        <v>544.36641302696</v>
      </c>
    </row>
    <row r="377" spans="1:25" x14ac:dyDescent="0.25">
      <c r="A377" s="4">
        <v>371</v>
      </c>
      <c r="C377" s="110">
        <f>IF(male=0,VLOOKUP(((A375:A1209/'Life tables'!$I$2)*2)+age,lifetable,13,1),IF(male=1,VLOOKUP(((A375:A1209/'Life tables'!$I$2)*2)+age,lifetable,10,1),"error"))</f>
        <v>2.7596604845614436E-4</v>
      </c>
      <c r="F377" s="101">
        <f t="shared" si="90"/>
        <v>146.65774294266961</v>
      </c>
      <c r="G377" s="101">
        <f t="shared" si="91"/>
        <v>14.732077216336304</v>
      </c>
      <c r="H377" s="101">
        <f t="shared" si="92"/>
        <v>0.33712548799262143</v>
      </c>
      <c r="I377" s="101">
        <f t="shared" si="93"/>
        <v>0.33712548799262143</v>
      </c>
      <c r="J377" s="101">
        <f t="shared" si="94"/>
        <v>4.4724181307839006E-2</v>
      </c>
      <c r="K377" s="101">
        <f t="shared" si="95"/>
        <v>2.6426970445070124E-2</v>
      </c>
      <c r="L377" s="101">
        <f t="shared" si="102"/>
        <v>131.18026359859516</v>
      </c>
      <c r="M377" s="101">
        <f t="shared" si="96"/>
        <v>773.13221987284567</v>
      </c>
      <c r="N377" s="101">
        <f t="shared" si="97"/>
        <v>74.454307863274408</v>
      </c>
      <c r="O377" s="101">
        <f t="shared" si="98"/>
        <v>1.7772166111225391</v>
      </c>
      <c r="P377" s="101">
        <f t="shared" si="99"/>
        <v>1.7772166111225391</v>
      </c>
      <c r="Q377" s="101">
        <f t="shared" si="100"/>
        <v>0.23488600767484549</v>
      </c>
      <c r="R377" s="101">
        <f t="shared" si="101"/>
        <v>2.070609716342604E-2</v>
      </c>
      <c r="S377" s="101">
        <f t="shared" si="103"/>
        <v>694.86788668248789</v>
      </c>
      <c r="T377" s="101">
        <f t="shared" si="104"/>
        <v>59.451219626358153</v>
      </c>
      <c r="U377" s="101">
        <f t="shared" si="105"/>
        <v>21.085560814718189</v>
      </c>
      <c r="V377" s="33">
        <f t="shared" si="106"/>
        <v>1000.0000000000003</v>
      </c>
      <c r="W377" s="105">
        <f>IF(A377=1,((cPH1_+cPHr+(cNES*L377+(cNES+cOSEX)*G377+(cNES+cEREX)*H377+(cNES+cHOEX)*I377 + (cNES+cNES)*S377 +(cNES+ cOSEX)*N377 + (cNES+cEREX)*O377 + (cNES+cHOEX)*P377)))/(1+cDR)^A$5:A$65536,(cPHr+(cNES*L377+(cNES+cOSEX)*G377+(cNES+cEREX)*H377+(cNES+cHOEX)*I377 + (cNES+cNES)*S377 +(cNES+ cOSEX)*N377 + (cNES+cEREX)*O377 + (cNES+cHOEX)*P377))/(1+cDR)^A$5:A$65536)</f>
        <v>117757.82459613045</v>
      </c>
      <c r="X377" s="112">
        <f t="shared" si="107"/>
        <v>919.46321955892404</v>
      </c>
      <c r="Y377" s="32">
        <f>(uNES*L377+ uOCEX*G377+uEREX*'PH + UC'!H377+uHOEX*I377+uNES*S377+ uOCEX*N377+uEREX*O377+uHOEX*P377)/(1+oDR)^A$5:A$65536</f>
        <v>544.01653626268057</v>
      </c>
    </row>
    <row r="378" spans="1:25" x14ac:dyDescent="0.25">
      <c r="A378" s="4">
        <v>372</v>
      </c>
      <c r="C378" s="110">
        <f>IF(male=0,VLOOKUP(((A376:A1210/'Life tables'!$I$2)*2)+age,lifetable,13,1),IF(male=1,VLOOKUP(((A376:A1210/'Life tables'!$I$2)*2)+age,lifetable,10,1),"error"))</f>
        <v>2.7596604845614436E-4</v>
      </c>
      <c r="F378" s="101">
        <f t="shared" si="90"/>
        <v>146.60563056890055</v>
      </c>
      <c r="G378" s="101">
        <f t="shared" si="91"/>
        <v>14.726842419326012</v>
      </c>
      <c r="H378" s="101">
        <f t="shared" si="92"/>
        <v>0.33700569609425424</v>
      </c>
      <c r="I378" s="101">
        <f t="shared" si="93"/>
        <v>0.33700569609425424</v>
      </c>
      <c r="J378" s="101">
        <f t="shared" si="94"/>
        <v>4.4708289318735217E-2</v>
      </c>
      <c r="K378" s="101">
        <f t="shared" si="95"/>
        <v>2.6417580063534282E-2</v>
      </c>
      <c r="L378" s="101">
        <f t="shared" si="102"/>
        <v>131.13365088800376</v>
      </c>
      <c r="M378" s="101">
        <f t="shared" si="96"/>
        <v>772.85758899002349</v>
      </c>
      <c r="N378" s="101">
        <f t="shared" si="97"/>
        <v>74.427860314235815</v>
      </c>
      <c r="O378" s="101">
        <f t="shared" si="98"/>
        <v>1.7765853108684131</v>
      </c>
      <c r="P378" s="101">
        <f t="shared" si="99"/>
        <v>1.7765853108684131</v>
      </c>
      <c r="Q378" s="101">
        <f t="shared" si="100"/>
        <v>0.23480257181485642</v>
      </c>
      <c r="R378" s="101">
        <f t="shared" si="101"/>
        <v>2.069874197423896E-2</v>
      </c>
      <c r="S378" s="101">
        <f t="shared" si="103"/>
        <v>694.62105674026179</v>
      </c>
      <c r="T378" s="101">
        <f t="shared" si="104"/>
        <v>59.730730487491748</v>
      </c>
      <c r="U378" s="101">
        <f t="shared" si="105"/>
        <v>21.132677136755962</v>
      </c>
      <c r="V378" s="33">
        <f t="shared" si="106"/>
        <v>1000.0000000000006</v>
      </c>
      <c r="W378" s="105">
        <f>IF(A378=1,((cPH1_+cPHr+(cNES*L378+(cNES+cOSEX)*G378+(cNES+cEREX)*H378+(cNES+cHOEX)*I378 + (cNES+cNES)*S378 +(cNES+ cOSEX)*N378 + (cNES+cEREX)*O378 + (cNES+cHOEX)*P378)))/(1+cDR)^A$5:A$65536,(cPHr+(cNES*L378+(cNES+cOSEX)*G378+(cNES+cEREX)*H378+(cNES+cHOEX)*I378 + (cNES+cNES)*S378 +(cNES+ cOSEX)*N378 + (cNES+cEREX)*O378 + (cNES+cHOEX)*P378))/(1+cDR)^A$5:A$65536)</f>
        <v>117580.70101090522</v>
      </c>
      <c r="X378" s="112">
        <f t="shared" si="107"/>
        <v>919.1365923757528</v>
      </c>
      <c r="Y378" s="32">
        <f>(uNES*L378+ uOCEX*G378+uEREX*'PH + UC'!H378+uHOEX*I378+uNES*S378+ uOCEX*N378+uEREX*O378+uHOEX*P378)/(1+oDR)^A$5:A$65536</f>
        <v>543.6668843732657</v>
      </c>
    </row>
    <row r="379" spans="1:25" x14ac:dyDescent="0.25">
      <c r="A379" s="4">
        <v>373</v>
      </c>
      <c r="C379" s="110">
        <f>IF(male=0,VLOOKUP(((A377:A1211/'Life tables'!$I$2)*2)+age,lifetable,13,1),IF(male=1,VLOOKUP(((A377:A1211/'Life tables'!$I$2)*2)+age,lifetable,10,1),"error"))</f>
        <v>2.7596604845614436E-4</v>
      </c>
      <c r="F379" s="101">
        <f t="shared" si="90"/>
        <v>146.55353734391176</v>
      </c>
      <c r="G379" s="101">
        <f t="shared" si="91"/>
        <v>14.721609545850773</v>
      </c>
      <c r="H379" s="101">
        <f t="shared" si="92"/>
        <v>0.33688594821362361</v>
      </c>
      <c r="I379" s="101">
        <f t="shared" si="93"/>
        <v>0.33688594821362361</v>
      </c>
      <c r="J379" s="101">
        <f t="shared" si="94"/>
        <v>4.4692403169169836E-2</v>
      </c>
      <c r="K379" s="101">
        <f t="shared" si="95"/>
        <v>2.6408193132510083E-2</v>
      </c>
      <c r="L379" s="101">
        <f t="shared" si="102"/>
        <v>131.08705530533206</v>
      </c>
      <c r="M379" s="101">
        <f t="shared" si="96"/>
        <v>772.5830550318409</v>
      </c>
      <c r="N379" s="101">
        <f t="shared" si="97"/>
        <v>74.401422099250013</v>
      </c>
      <c r="O379" s="101">
        <f t="shared" si="98"/>
        <v>1.7759542334171596</v>
      </c>
      <c r="P379" s="101">
        <f t="shared" si="99"/>
        <v>1.7759542334171596</v>
      </c>
      <c r="Q379" s="101">
        <f t="shared" si="100"/>
        <v>0.2347191654016309</v>
      </c>
      <c r="R379" s="101">
        <f t="shared" si="101"/>
        <v>2.0691389380896357E-2</v>
      </c>
      <c r="S379" s="101">
        <f t="shared" si="103"/>
        <v>694.37431391097402</v>
      </c>
      <c r="T379" s="101">
        <f t="shared" si="104"/>
        <v>60.010142056062548</v>
      </c>
      <c r="U379" s="101">
        <f t="shared" si="105"/>
        <v>21.17977671926937</v>
      </c>
      <c r="V379" s="33">
        <f t="shared" si="106"/>
        <v>1000.0000000000005</v>
      </c>
      <c r="W379" s="105">
        <f>IF(A379=1,((cPH1_+cPHr+(cNES*L379+(cNES+cOSEX)*G379+(cNES+cEREX)*H379+(cNES+cHOEX)*I379 + (cNES+cNES)*S379 +(cNES+ cOSEX)*N379 + (cNES+cEREX)*O379 + (cNES+cHOEX)*P379)))/(1+cDR)^A$5:A$65536,(cPHr+(cNES*L379+(cNES+cOSEX)*G379+(cNES+cEREX)*H379+(cNES+cHOEX)*I379 + (cNES+cNES)*S379 +(cNES+ cOSEX)*N379 + (cNES+cEREX)*O379 + (cNES+cHOEX)*P379))/(1+cDR)^A$5:A$65536)</f>
        <v>117403.84381172797</v>
      </c>
      <c r="X379" s="112">
        <f t="shared" si="107"/>
        <v>918.81008122466847</v>
      </c>
      <c r="Y379" s="32">
        <f>(uNES*L379+ uOCEX*G379+uEREX*'PH + UC'!H379+uHOEX*I379+uNES*S379+ uOCEX*N379+uEREX*O379+uHOEX*P379)/(1+oDR)^A$5:A$65536</f>
        <v>543.31745721413449</v>
      </c>
    </row>
    <row r="380" spans="1:25" x14ac:dyDescent="0.25">
      <c r="A380" s="4">
        <v>374</v>
      </c>
      <c r="C380" s="110">
        <f>IF(male=0,VLOOKUP(((A378:A1212/'Life tables'!$I$2)*2)+age,lifetable,13,1),IF(male=1,VLOOKUP(((A378:A1212/'Life tables'!$I$2)*2)+age,lifetable,10,1),"error"))</f>
        <v>2.7596604845614436E-4</v>
      </c>
      <c r="F380" s="101">
        <f t="shared" si="90"/>
        <v>146.50146323226951</v>
      </c>
      <c r="G380" s="101">
        <f t="shared" si="91"/>
        <v>14.7163785923512</v>
      </c>
      <c r="H380" s="101">
        <f t="shared" si="92"/>
        <v>0.33676624426927726</v>
      </c>
      <c r="I380" s="101">
        <f t="shared" si="93"/>
        <v>0.33676624426927726</v>
      </c>
      <c r="J380" s="101">
        <f t="shared" si="94"/>
        <v>4.4676522848337119E-2</v>
      </c>
      <c r="K380" s="101">
        <f t="shared" si="95"/>
        <v>2.6398809645612562E-2</v>
      </c>
      <c r="L380" s="101">
        <f t="shared" si="102"/>
        <v>131.04047681888582</v>
      </c>
      <c r="M380" s="101">
        <f t="shared" si="96"/>
        <v>772.30861799239881</v>
      </c>
      <c r="N380" s="101">
        <f t="shared" si="97"/>
        <v>74.374993217748909</v>
      </c>
      <c r="O380" s="101">
        <f t="shared" si="98"/>
        <v>1.7753233787552183</v>
      </c>
      <c r="P380" s="101">
        <f t="shared" si="99"/>
        <v>1.7753233787552183</v>
      </c>
      <c r="Q380" s="101">
        <f t="shared" si="100"/>
        <v>0.23463578843337668</v>
      </c>
      <c r="R380" s="101">
        <f t="shared" si="101"/>
        <v>2.0684039383240243E-2</v>
      </c>
      <c r="S380" s="101">
        <f t="shared" si="103"/>
        <v>694.1276581893228</v>
      </c>
      <c r="T380" s="101">
        <f t="shared" si="104"/>
        <v>60.289454367344263</v>
      </c>
      <c r="U380" s="101">
        <f t="shared" si="105"/>
        <v>21.226859568298224</v>
      </c>
      <c r="V380" s="33">
        <f t="shared" si="106"/>
        <v>1000.0000000000001</v>
      </c>
      <c r="W380" s="105">
        <f>IF(A380=1,((cPH1_+cPHr+(cNES*L380+(cNES+cOSEX)*G380+(cNES+cEREX)*H380+(cNES+cHOEX)*I380 + (cNES+cNES)*S380 +(cNES+ cOSEX)*N380 + (cNES+cEREX)*O380 + (cNES+cHOEX)*P380)))/(1+cDR)^A$5:A$65536,(cPHr+(cNES*L380+(cNES+cOSEX)*G380+(cNES+cEREX)*H380+(cNES+cHOEX)*I380 + (cNES+cNES)*S380 +(cNES+ cOSEX)*N380 + (cNES+cEREX)*O380 + (cNES+cHOEX)*P380))/(1+cDR)^A$5:A$65536)</f>
        <v>117227.25259951482</v>
      </c>
      <c r="X380" s="112">
        <f t="shared" si="107"/>
        <v>918.4836860643577</v>
      </c>
      <c r="Y380" s="32">
        <f>(uNES*L380+ uOCEX*G380+uEREX*'PH + UC'!H380+uHOEX*I380+uNES*S380+ uOCEX*N380+uEREX*O380+uHOEX*P380)/(1+oDR)^A$5:A$65536</f>
        <v>542.96825464080234</v>
      </c>
    </row>
    <row r="381" spans="1:25" x14ac:dyDescent="0.25">
      <c r="A381" s="4">
        <v>375</v>
      </c>
      <c r="C381" s="110">
        <f>IF(male=0,VLOOKUP(((A379:A1213/'Life tables'!$I$2)*2)+age,lifetable,13,1),IF(male=1,VLOOKUP(((A379:A1213/'Life tables'!$I$2)*2)+age,lifetable,10,1),"error"))</f>
        <v>2.7596604845614436E-4</v>
      </c>
      <c r="F381" s="101">
        <f t="shared" si="90"/>
        <v>146.44940819984046</v>
      </c>
      <c r="G381" s="101">
        <f t="shared" si="91"/>
        <v>14.711149555398521</v>
      </c>
      <c r="H381" s="101">
        <f t="shared" si="92"/>
        <v>0.33664658418275201</v>
      </c>
      <c r="I381" s="101">
        <f t="shared" si="93"/>
        <v>0.33664658418275201</v>
      </c>
      <c r="J381" s="101">
        <f t="shared" si="94"/>
        <v>4.4660648345827877E-2</v>
      </c>
      <c r="K381" s="101">
        <f t="shared" si="95"/>
        <v>2.6389429596691057E-2</v>
      </c>
      <c r="L381" s="101">
        <f t="shared" si="102"/>
        <v>130.99391539813391</v>
      </c>
      <c r="M381" s="101">
        <f t="shared" si="96"/>
        <v>772.03427786451732</v>
      </c>
      <c r="N381" s="101">
        <f t="shared" si="97"/>
        <v>74.348573669041059</v>
      </c>
      <c r="O381" s="101">
        <f t="shared" si="98"/>
        <v>1.7746927468660847</v>
      </c>
      <c r="P381" s="101">
        <f t="shared" si="99"/>
        <v>1.7746927468660847</v>
      </c>
      <c r="Q381" s="101">
        <f t="shared" si="100"/>
        <v>0.23455244090791247</v>
      </c>
      <c r="R381" s="101">
        <f t="shared" si="101"/>
        <v>2.0676691981078327E-2</v>
      </c>
      <c r="S381" s="101">
        <f t="shared" si="103"/>
        <v>693.88108956885515</v>
      </c>
      <c r="T381" s="101">
        <f t="shared" si="104"/>
        <v>60.568667456598</v>
      </c>
      <c r="U381" s="101">
        <f t="shared" si="105"/>
        <v>21.273925689875995</v>
      </c>
      <c r="V381" s="33">
        <f t="shared" si="106"/>
        <v>1000.0000000000002</v>
      </c>
      <c r="W381" s="105">
        <f>IF(A381=1,((cPH1_+cPHr+(cNES*L381+(cNES+cOSEX)*G381+(cNES+cEREX)*H381+(cNES+cHOEX)*I381 + (cNES+cNES)*S381 +(cNES+ cOSEX)*N381 + (cNES+cEREX)*O381 + (cNES+cHOEX)*P381)))/(1+cDR)^A$5:A$65536,(cPHr+(cNES*L381+(cNES+cOSEX)*G381+(cNES+cEREX)*H381+(cNES+cHOEX)*I381 + (cNES+cNES)*S381 +(cNES+ cOSEX)*N381 + (cNES+cEREX)*O381 + (cNES+cHOEX)*P381))/(1+cDR)^A$5:A$65536)</f>
        <v>117050.92697570835</v>
      </c>
      <c r="X381" s="112">
        <f t="shared" si="107"/>
        <v>918.15740685352625</v>
      </c>
      <c r="Y381" s="32">
        <f>(uNES*L381+ uOCEX*G381+uEREX*'PH + UC'!H381+uHOEX*I381+uNES*S381+ uOCEX*N381+uEREX*O381+uHOEX*P381)/(1+oDR)^A$5:A$65536</f>
        <v>542.61927650887833</v>
      </c>
    </row>
    <row r="382" spans="1:25" x14ac:dyDescent="0.25">
      <c r="A382" s="4">
        <v>376</v>
      </c>
      <c r="C382" s="110">
        <f>IF(male=0,VLOOKUP(((A380:A1214/'Life tables'!$I$2)*2)+age,lifetable,13,1),IF(male=1,VLOOKUP(((A380:A1214/'Life tables'!$I$2)*2)+age,lifetable,10,1),"error"))</f>
        <v>2.7596604845614436E-4</v>
      </c>
      <c r="F382" s="101">
        <f t="shared" si="90"/>
        <v>146.39737221373321</v>
      </c>
      <c r="G382" s="101">
        <f t="shared" si="91"/>
        <v>14.705922431688728</v>
      </c>
      <c r="H382" s="101">
        <f t="shared" si="92"/>
        <v>0.33652696787843972</v>
      </c>
      <c r="I382" s="101">
        <f t="shared" si="93"/>
        <v>0.33652696787843972</v>
      </c>
      <c r="J382" s="101">
        <f t="shared" si="94"/>
        <v>4.4644779651611691E-2</v>
      </c>
      <c r="K382" s="101">
        <f t="shared" si="95"/>
        <v>2.638005297981871E-2</v>
      </c>
      <c r="L382" s="101">
        <f t="shared" si="102"/>
        <v>130.94737101365615</v>
      </c>
      <c r="M382" s="101">
        <f t="shared" si="96"/>
        <v>771.76003463979305</v>
      </c>
      <c r="N382" s="101">
        <f t="shared" si="97"/>
        <v>74.322163452317199</v>
      </c>
      <c r="O382" s="101">
        <f t="shared" si="98"/>
        <v>1.7740623377304416</v>
      </c>
      <c r="P382" s="101">
        <f t="shared" si="99"/>
        <v>1.7740623377304416</v>
      </c>
      <c r="Q382" s="101">
        <f t="shared" si="100"/>
        <v>0.23446912282268512</v>
      </c>
      <c r="R382" s="101">
        <f t="shared" si="101"/>
        <v>2.0669347174185546E-2</v>
      </c>
      <c r="S382" s="101">
        <f t="shared" si="103"/>
        <v>693.63460804201804</v>
      </c>
      <c r="T382" s="101">
        <f t="shared" si="104"/>
        <v>60.8477813590723</v>
      </c>
      <c r="U382" s="101">
        <f t="shared" si="105"/>
        <v>21.32097509003</v>
      </c>
      <c r="V382" s="33">
        <f t="shared" si="106"/>
        <v>1000.0000000000001</v>
      </c>
      <c r="W382" s="105">
        <f>IF(A382=1,((cPH1_+cPHr+(cNES*L382+(cNES+cOSEX)*G382+(cNES+cEREX)*H382+(cNES+cHOEX)*I382 + (cNES+cNES)*S382 +(cNES+ cOSEX)*N382 + (cNES+cEREX)*O382 + (cNES+cHOEX)*P382)))/(1+cDR)^A$5:A$65536,(cPHr+(cNES*L382+(cNES+cOSEX)*G382+(cNES+cEREX)*H382+(cNES+cHOEX)*I382 + (cNES+cNES)*S382 +(cNES+ cOSEX)*N382 + (cNES+cEREX)*O382 + (cNES+cHOEX)*P382))/(1+cDR)^A$5:A$65536)</f>
        <v>116874.86654228023</v>
      </c>
      <c r="X382" s="112">
        <f t="shared" si="107"/>
        <v>917.83124355089785</v>
      </c>
      <c r="Y382" s="32">
        <f>(uNES*L382+ uOCEX*G382+uEREX*'PH + UC'!H382+uHOEX*I382+uNES*S382+ uOCEX*N382+uEREX*O382+uHOEX*P382)/(1+oDR)^A$5:A$65536</f>
        <v>542.27052267406634</v>
      </c>
    </row>
    <row r="383" spans="1:25" x14ac:dyDescent="0.25">
      <c r="A383" s="4">
        <v>377</v>
      </c>
      <c r="C383" s="110">
        <f>IF(male=0,VLOOKUP(((A381:A1215/'Life tables'!$I$2)*2)+age,lifetable,13,1),IF(male=1,VLOOKUP(((A381:A1215/'Life tables'!$I$2)*2)+age,lifetable,10,1),"error"))</f>
        <v>2.7596604845614436E-4</v>
      </c>
      <c r="F383" s="101">
        <f t="shared" si="90"/>
        <v>146.3453552422427</v>
      </c>
      <c r="G383" s="101">
        <f t="shared" si="91"/>
        <v>14.700697218036984</v>
      </c>
      <c r="H383" s="101">
        <f t="shared" si="92"/>
        <v>0.33640739528345925</v>
      </c>
      <c r="I383" s="101">
        <f t="shared" si="93"/>
        <v>0.33640739528345925</v>
      </c>
      <c r="J383" s="101">
        <f t="shared" si="94"/>
        <v>4.4628916756019911E-2</v>
      </c>
      <c r="K383" s="101">
        <f t="shared" si="95"/>
        <v>2.6370679789282432E-2</v>
      </c>
      <c r="L383" s="101">
        <f t="shared" si="102"/>
        <v>130.90084363709349</v>
      </c>
      <c r="M383" s="101">
        <f t="shared" si="96"/>
        <v>771.48588830865526</v>
      </c>
      <c r="N383" s="101">
        <f t="shared" si="97"/>
        <v>74.295762566655654</v>
      </c>
      <c r="O383" s="101">
        <f t="shared" si="98"/>
        <v>1.773432151326289</v>
      </c>
      <c r="P383" s="101">
        <f t="shared" si="99"/>
        <v>1.773432151326289</v>
      </c>
      <c r="Q383" s="101">
        <f t="shared" si="100"/>
        <v>0.23438583417478703</v>
      </c>
      <c r="R383" s="101">
        <f t="shared" si="101"/>
        <v>2.066200496230558E-2</v>
      </c>
      <c r="S383" s="101">
        <f t="shared" si="103"/>
        <v>693.38821360020995</v>
      </c>
      <c r="T383" s="101">
        <f t="shared" si="104"/>
        <v>61.126796110003106</v>
      </c>
      <c r="U383" s="101">
        <f t="shared" si="105"/>
        <v>21.368007774781589</v>
      </c>
      <c r="V383" s="33">
        <f t="shared" si="106"/>
        <v>1000.0000000000002</v>
      </c>
      <c r="W383" s="105">
        <f>IF(A383=1,((cPH1_+cPHr+(cNES*L383+(cNES+cOSEX)*G383+(cNES+cEREX)*H383+(cNES+cHOEX)*I383 + (cNES+cNES)*S383 +(cNES+ cOSEX)*N383 + (cNES+cEREX)*O383 + (cNES+cHOEX)*P383)))/(1+cDR)^A$5:A$65536,(cPHr+(cNES*L383+(cNES+cOSEX)*G383+(cNES+cEREX)*H383+(cNES+cHOEX)*I383 + (cNES+cNES)*S383 +(cNES+ cOSEX)*N383 + (cNES+cEREX)*O383 + (cNES+cHOEX)*P383))/(1+cDR)^A$5:A$65536)</f>
        <v>116699.07090173336</v>
      </c>
      <c r="X383" s="112">
        <f t="shared" si="107"/>
        <v>917.50519611521554</v>
      </c>
      <c r="Y383" s="32">
        <f>(uNES*L383+ uOCEX*G383+uEREX*'PH + UC'!H383+uHOEX*I383+uNES*S383+ uOCEX*N383+uEREX*O383+uHOEX*P383)/(1+oDR)^A$5:A$65536</f>
        <v>541.92199299216611</v>
      </c>
    </row>
    <row r="384" spans="1:25" x14ac:dyDescent="0.25">
      <c r="A384" s="4">
        <v>378</v>
      </c>
      <c r="C384" s="110">
        <f>IF(male=0,VLOOKUP(((A382:A1216/'Life tables'!$I$2)*2)+age,lifetable,13,1),IF(male=1,VLOOKUP(((A382:A1216/'Life tables'!$I$2)*2)+age,lifetable,10,1),"error"))</f>
        <v>2.7596604845614436E-4</v>
      </c>
      <c r="F384" s="101">
        <f t="shared" si="90"/>
        <v>146.29335725479694</v>
      </c>
      <c r="G384" s="101">
        <f t="shared" si="91"/>
        <v>14.695473911372266</v>
      </c>
      <c r="H384" s="101">
        <f t="shared" si="92"/>
        <v>0.33628786632753399</v>
      </c>
      <c r="I384" s="101">
        <f t="shared" si="93"/>
        <v>0.33628786632753399</v>
      </c>
      <c r="J384" s="101">
        <f t="shared" si="94"/>
        <v>4.4613059649729406E-2</v>
      </c>
      <c r="K384" s="101">
        <f t="shared" si="95"/>
        <v>2.6361310019573314E-2</v>
      </c>
      <c r="L384" s="101">
        <f t="shared" si="102"/>
        <v>130.85433324110031</v>
      </c>
      <c r="M384" s="101">
        <f t="shared" si="96"/>
        <v>771.21183886041854</v>
      </c>
      <c r="N384" s="101">
        <f t="shared" si="97"/>
        <v>74.269371011027388</v>
      </c>
      <c r="O384" s="101">
        <f t="shared" si="98"/>
        <v>1.7728021876290634</v>
      </c>
      <c r="P384" s="101">
        <f t="shared" si="99"/>
        <v>1.7728021876290634</v>
      </c>
      <c r="Q384" s="101">
        <f t="shared" si="100"/>
        <v>0.23430257496097182</v>
      </c>
      <c r="R384" s="101">
        <f t="shared" si="101"/>
        <v>2.065466534515225E-2</v>
      </c>
      <c r="S384" s="101">
        <f t="shared" si="103"/>
        <v>693.14190623382683</v>
      </c>
      <c r="T384" s="101">
        <f t="shared" si="104"/>
        <v>61.405711744613804</v>
      </c>
      <c r="U384" s="101">
        <f t="shared" si="105"/>
        <v>21.415023750146315</v>
      </c>
      <c r="V384" s="33">
        <f t="shared" si="106"/>
        <v>1000.0000000000001</v>
      </c>
      <c r="W384" s="105">
        <f>IF(A384=1,((cPH1_+cPHr+(cNES*L384+(cNES+cOSEX)*G384+(cNES+cEREX)*H384+(cNES+cHOEX)*I384 + (cNES+cNES)*S384 +(cNES+ cOSEX)*N384 + (cNES+cEREX)*O384 + (cNES+cHOEX)*P384)))/(1+cDR)^A$5:A$65536,(cPHr+(cNES*L384+(cNES+cOSEX)*G384+(cNES+cEREX)*H384+(cNES+cHOEX)*I384 + (cNES+cNES)*S384 +(cNES+ cOSEX)*N384 + (cNES+cEREX)*O384 + (cNES+cHOEX)*P384))/(1+cDR)^A$5:A$65536)</f>
        <v>116523.53965710453</v>
      </c>
      <c r="X384" s="112">
        <f t="shared" si="107"/>
        <v>917.17926450523987</v>
      </c>
      <c r="Y384" s="32">
        <f>(uNES*L384+ uOCEX*G384+uEREX*'PH + UC'!H384+uHOEX*I384+uNES*S384+ uOCEX*N384+uEREX*O384+uHOEX*P384)/(1+oDR)^A$5:A$65536</f>
        <v>541.57368731907036</v>
      </c>
    </row>
    <row r="385" spans="1:25" x14ac:dyDescent="0.25">
      <c r="A385" s="4">
        <v>379</v>
      </c>
      <c r="C385" s="110">
        <f>IF(male=0,VLOOKUP(((A383:A1217/'Life tables'!$I$2)*2)+age,lifetable,13,1),IF(male=1,VLOOKUP(((A383:A1217/'Life tables'!$I$2)*2)+age,lifetable,10,1),"error"))</f>
        <v>2.7596604845614436E-4</v>
      </c>
      <c r="F385" s="101">
        <f t="shared" si="90"/>
        <v>146.2413782219059</v>
      </c>
      <c r="G385" s="101">
        <f t="shared" si="91"/>
        <v>14.690252508732238</v>
      </c>
      <c r="H385" s="101">
        <f t="shared" si="92"/>
        <v>0.33616838094287466</v>
      </c>
      <c r="I385" s="101">
        <f t="shared" si="93"/>
        <v>0.33616838094287466</v>
      </c>
      <c r="J385" s="101">
        <f t="shared" si="94"/>
        <v>4.4597208323747028E-2</v>
      </c>
      <c r="K385" s="101">
        <f t="shared" si="95"/>
        <v>2.6351943665377395E-2</v>
      </c>
      <c r="L385" s="101">
        <f t="shared" si="102"/>
        <v>130.80783979929879</v>
      </c>
      <c r="M385" s="101">
        <f t="shared" si="96"/>
        <v>770.93788628333402</v>
      </c>
      <c r="N385" s="101">
        <f t="shared" si="97"/>
        <v>74.242988784300962</v>
      </c>
      <c r="O385" s="101">
        <f t="shared" si="98"/>
        <v>1.7721724466117579</v>
      </c>
      <c r="P385" s="101">
        <f t="shared" si="99"/>
        <v>1.7721724466117579</v>
      </c>
      <c r="Q385" s="101">
        <f t="shared" si="100"/>
        <v>0.23421934517767007</v>
      </c>
      <c r="R385" s="101">
        <f t="shared" si="101"/>
        <v>2.0647328322410893E-2</v>
      </c>
      <c r="S385" s="101">
        <f t="shared" si="103"/>
        <v>692.89568593230945</v>
      </c>
      <c r="T385" s="101">
        <f t="shared" si="104"/>
        <v>61.684528298115218</v>
      </c>
      <c r="U385" s="101">
        <f t="shared" si="105"/>
        <v>21.462023022134101</v>
      </c>
      <c r="V385" s="33">
        <f t="shared" si="106"/>
        <v>1000</v>
      </c>
      <c r="W385" s="105">
        <f>IF(A385=1,((cPH1_+cPHr+(cNES*L385+(cNES+cOSEX)*G385+(cNES+cEREX)*H385+(cNES+cHOEX)*I385 + (cNES+cNES)*S385 +(cNES+ cOSEX)*N385 + (cNES+cEREX)*O385 + (cNES+cHOEX)*P385)))/(1+cDR)^A$5:A$65536,(cPHr+(cNES*L385+(cNES+cOSEX)*G385+(cNES+cEREX)*H385+(cNES+cHOEX)*I385 + (cNES+cNES)*S385 +(cNES+ cOSEX)*N385 + (cNES+cEREX)*O385 + (cNES+cHOEX)*P385))/(1+cDR)^A$5:A$65536)</f>
        <v>116348.27241196645</v>
      </c>
      <c r="X385" s="112">
        <f t="shared" si="107"/>
        <v>916.85344867975073</v>
      </c>
      <c r="Y385" s="32">
        <f>(uNES*L385+ uOCEX*G385+uEREX*'PH + UC'!H385+uHOEX*I385+uNES*S385+ uOCEX*N385+uEREX*O385+uHOEX*P385)/(1+oDR)^A$5:A$65536</f>
        <v>541.22560551076754</v>
      </c>
    </row>
    <row r="386" spans="1:25" x14ac:dyDescent="0.25">
      <c r="A386" s="4">
        <v>380</v>
      </c>
      <c r="C386" s="110">
        <f>IF(male=0,VLOOKUP(((A384:A1218/'Life tables'!$I$2)*2)+age,lifetable,13,1),IF(male=1,VLOOKUP(((A384:A1218/'Life tables'!$I$2)*2)+age,lifetable,10,1),"error"))</f>
        <v>2.7596604845614436E-4</v>
      </c>
      <c r="F386" s="101">
        <f t="shared" si="90"/>
        <v>146.18941811511328</v>
      </c>
      <c r="G386" s="101">
        <f t="shared" si="91"/>
        <v>14.685033007258408</v>
      </c>
      <c r="H386" s="101">
        <f t="shared" si="92"/>
        <v>0.33604893906406808</v>
      </c>
      <c r="I386" s="101">
        <f t="shared" si="93"/>
        <v>0.33604893906406808</v>
      </c>
      <c r="J386" s="101">
        <f t="shared" si="94"/>
        <v>4.4581362769394839E-2</v>
      </c>
      <c r="K386" s="101">
        <f t="shared" si="95"/>
        <v>2.6342580721567005E-2</v>
      </c>
      <c r="L386" s="101">
        <f t="shared" si="102"/>
        <v>130.76136328623579</v>
      </c>
      <c r="M386" s="101">
        <f t="shared" si="96"/>
        <v>770.66403056463741</v>
      </c>
      <c r="N386" s="101">
        <f t="shared" si="97"/>
        <v>74.216615885247151</v>
      </c>
      <c r="O386" s="101">
        <f t="shared" si="98"/>
        <v>1.7715429282450306</v>
      </c>
      <c r="P386" s="101">
        <f t="shared" si="99"/>
        <v>1.7715429282450306</v>
      </c>
      <c r="Q386" s="101">
        <f t="shared" si="100"/>
        <v>0.23413614482100384</v>
      </c>
      <c r="R386" s="101">
        <f t="shared" si="101"/>
        <v>2.0639993893739654E-2</v>
      </c>
      <c r="S386" s="101">
        <f t="shared" si="103"/>
        <v>692.64955268418544</v>
      </c>
      <c r="T386" s="101">
        <f t="shared" si="104"/>
        <v>61.963245805705618</v>
      </c>
      <c r="U386" s="101">
        <f t="shared" si="105"/>
        <v>21.509005596749407</v>
      </c>
      <c r="V386" s="33">
        <f t="shared" si="106"/>
        <v>1000</v>
      </c>
      <c r="W386" s="105">
        <f>IF(A386=1,((cPH1_+cPHr+(cNES*L386+(cNES+cOSEX)*G386+(cNES+cEREX)*H386+(cNES+cHOEX)*I386 + (cNES+cNES)*S386 +(cNES+ cOSEX)*N386 + (cNES+cEREX)*O386 + (cNES+cHOEX)*P386)))/(1+cDR)^A$5:A$65536,(cPHr+(cNES*L386+(cNES+cOSEX)*G386+(cNES+cEREX)*H386+(cNES+cHOEX)*I386 + (cNES+cNES)*S386 +(cNES+ cOSEX)*N386 + (cNES+cEREX)*O386 + (cNES+cHOEX)*P386))/(1+cDR)^A$5:A$65536)</f>
        <v>116173.26877042984</v>
      </c>
      <c r="X386" s="112">
        <f t="shared" si="107"/>
        <v>916.52774859754493</v>
      </c>
      <c r="Y386" s="32">
        <f>(uNES*L386+ uOCEX*G386+uEREX*'PH + UC'!H386+uHOEX*I386+uNES*S386+ uOCEX*N386+uEREX*O386+uHOEX*P386)/(1+oDR)^A$5:A$65536</f>
        <v>540.87774742333909</v>
      </c>
    </row>
    <row r="387" spans="1:25" x14ac:dyDescent="0.25">
      <c r="A387" s="4">
        <v>381</v>
      </c>
      <c r="C387" s="110">
        <f>IF(male=0,VLOOKUP(((A385:A1219/'Life tables'!$I$2)*2)+age,lifetable,13,1),IF(male=1,VLOOKUP(((A385:A1219/'Life tables'!$I$2)*2)+age,lifetable,10,1),"error"))</f>
        <v>2.7596604845614436E-4</v>
      </c>
      <c r="F387" s="101">
        <f t="shared" si="90"/>
        <v>146.1374769069499</v>
      </c>
      <c r="G387" s="101">
        <f t="shared" si="91"/>
        <v>14.679815404191435</v>
      </c>
      <c r="H387" s="101">
        <f t="shared" si="92"/>
        <v>0.33592954062797009</v>
      </c>
      <c r="I387" s="101">
        <f t="shared" si="93"/>
        <v>0.33592954062797009</v>
      </c>
      <c r="J387" s="101">
        <f t="shared" si="94"/>
        <v>4.4565522978295947E-2</v>
      </c>
      <c r="K387" s="101">
        <f t="shared" si="95"/>
        <v>2.633322118319233E-2</v>
      </c>
      <c r="L387" s="101">
        <f t="shared" si="102"/>
        <v>130.71490367734103</v>
      </c>
      <c r="M387" s="101">
        <f t="shared" si="96"/>
        <v>770.39027169059511</v>
      </c>
      <c r="N387" s="101">
        <f t="shared" si="97"/>
        <v>74.190252312543379</v>
      </c>
      <c r="O387" s="101">
        <f t="shared" si="98"/>
        <v>1.770913632497312</v>
      </c>
      <c r="P387" s="101">
        <f t="shared" si="99"/>
        <v>1.770913632497312</v>
      </c>
      <c r="Q387" s="101">
        <f t="shared" si="100"/>
        <v>0.23405297388680071</v>
      </c>
      <c r="R387" s="101">
        <f t="shared" si="101"/>
        <v>2.0632662058770724E-2</v>
      </c>
      <c r="S387" s="101">
        <f t="shared" si="103"/>
        <v>692.40350647711148</v>
      </c>
      <c r="T387" s="101">
        <f t="shared" si="104"/>
        <v>62.241864302570718</v>
      </c>
      <c r="U387" s="101">
        <f t="shared" si="105"/>
        <v>21.555971479991371</v>
      </c>
      <c r="V387" s="33">
        <f t="shared" si="106"/>
        <v>1000.0000000000001</v>
      </c>
      <c r="W387" s="105">
        <f>IF(A387=1,((cPH1_+cPHr+(cNES*L387+(cNES+cOSEX)*G387+(cNES+cEREX)*H387+(cNES+cHOEX)*I387 + (cNES+cNES)*S387 +(cNES+ cOSEX)*N387 + (cNES+cEREX)*O387 + (cNES+cHOEX)*P387)))/(1+cDR)^A$5:A$65536,(cPHr+(cNES*L387+(cNES+cOSEX)*G387+(cNES+cEREX)*H387+(cNES+cHOEX)*I387 + (cNES+cNES)*S387 +(cNES+ cOSEX)*N387 + (cNES+cEREX)*O387 + (cNES+cHOEX)*P387))/(1+cDR)^A$5:A$65536)</f>
        <v>115998.52833714504</v>
      </c>
      <c r="X387" s="112">
        <f t="shared" si="107"/>
        <v>916.20216421743794</v>
      </c>
      <c r="Y387" s="32">
        <f>(uNES*L387+ uOCEX*G387+uEREX*'PH + UC'!H387+uHOEX*I387+uNES*S387+ uOCEX*N387+uEREX*O387+uHOEX*P387)/(1+oDR)^A$5:A$65536</f>
        <v>540.5301129129615</v>
      </c>
    </row>
    <row r="388" spans="1:25" x14ac:dyDescent="0.25">
      <c r="A388" s="4">
        <v>382</v>
      </c>
      <c r="C388" s="110">
        <f>IF(male=0,VLOOKUP(((A386:A1220/'Life tables'!$I$2)*2)+age,lifetable,13,1),IF(male=1,VLOOKUP(((A386:A1220/'Life tables'!$I$2)*2)+age,lifetable,10,1),"error"))</f>
        <v>2.7596604845614436E-4</v>
      </c>
      <c r="F388" s="101">
        <f t="shared" si="90"/>
        <v>146.08555457088946</v>
      </c>
      <c r="G388" s="101">
        <f t="shared" si="91"/>
        <v>14.674599696866702</v>
      </c>
      <c r="H388" s="101">
        <f t="shared" si="92"/>
        <v>0.33581018557360426</v>
      </c>
      <c r="I388" s="101">
        <f t="shared" si="93"/>
        <v>0.33581018557360426</v>
      </c>
      <c r="J388" s="101">
        <f t="shared" si="94"/>
        <v>4.4549688942360978E-2</v>
      </c>
      <c r="K388" s="101">
        <f t="shared" si="95"/>
        <v>2.6323865045473474E-2</v>
      </c>
      <c r="L388" s="101">
        <f t="shared" si="102"/>
        <v>130.66846094888771</v>
      </c>
      <c r="M388" s="101">
        <f t="shared" si="96"/>
        <v>770.11660964654857</v>
      </c>
      <c r="N388" s="101">
        <f t="shared" si="97"/>
        <v>74.163898064777996</v>
      </c>
      <c r="O388" s="101">
        <f t="shared" si="98"/>
        <v>1.7702845593349064</v>
      </c>
      <c r="P388" s="101">
        <f t="shared" si="99"/>
        <v>1.7702845593349064</v>
      </c>
      <c r="Q388" s="101">
        <f t="shared" si="100"/>
        <v>0.23396983237060726</v>
      </c>
      <c r="R388" s="101">
        <f t="shared" si="101"/>
        <v>2.0625332817111517E-2</v>
      </c>
      <c r="S388" s="101">
        <f t="shared" si="103"/>
        <v>692.15754729791308</v>
      </c>
      <c r="T388" s="101">
        <f t="shared" si="104"/>
        <v>62.520383823883684</v>
      </c>
      <c r="U388" s="101">
        <f t="shared" si="105"/>
        <v>21.602920677853955</v>
      </c>
      <c r="V388" s="33">
        <f t="shared" si="106"/>
        <v>1000.0000000000001</v>
      </c>
      <c r="W388" s="105">
        <f>IF(A388=1,((cPH1_+cPHr+(cNES*L388+(cNES+cOSEX)*G388+(cNES+cEREX)*H388+(cNES+cHOEX)*I388 + (cNES+cNES)*S388 +(cNES+ cOSEX)*N388 + (cNES+cEREX)*O388 + (cNES+cHOEX)*P388)))/(1+cDR)^A$5:A$65536,(cPHr+(cNES*L388+(cNES+cOSEX)*G388+(cNES+cEREX)*H388+(cNES+cHOEX)*I388 + (cNES+cNES)*S388 +(cNES+ cOSEX)*N388 + (cNES+cEREX)*O388 + (cNES+cHOEX)*P388))/(1+cDR)^A$5:A$65536)</f>
        <v>115824.05071730414</v>
      </c>
      <c r="X388" s="112">
        <f t="shared" si="107"/>
        <v>915.87669549826251</v>
      </c>
      <c r="Y388" s="32">
        <f>(uNES*L388+ uOCEX*G388+uEREX*'PH + UC'!H388+uHOEX*I388+uNES*S388+ uOCEX*N388+uEREX*O388+uHOEX*P388)/(1+oDR)^A$5:A$65536</f>
        <v>540.18270183590494</v>
      </c>
    </row>
    <row r="389" spans="1:25" x14ac:dyDescent="0.25">
      <c r="A389" s="4">
        <v>383</v>
      </c>
      <c r="C389" s="110">
        <f>IF(male=0,VLOOKUP(((A387:A1221/'Life tables'!$I$2)*2)+age,lifetable,13,1),IF(male=1,VLOOKUP(((A387:A1221/'Life tables'!$I$2)*2)+age,lifetable,10,1),"error"))</f>
        <v>2.7596604845614436E-4</v>
      </c>
      <c r="F389" s="101">
        <f t="shared" si="90"/>
        <v>146.03365108130623</v>
      </c>
      <c r="G389" s="101">
        <f t="shared" si="91"/>
        <v>14.669385882710049</v>
      </c>
      <c r="H389" s="101">
        <f t="shared" si="92"/>
        <v>0.33569087384206409</v>
      </c>
      <c r="I389" s="101">
        <f t="shared" si="93"/>
        <v>0.33569087384206409</v>
      </c>
      <c r="J389" s="101">
        <f t="shared" si="94"/>
        <v>4.4533860653775237E-2</v>
      </c>
      <c r="K389" s="101">
        <f t="shared" si="95"/>
        <v>2.6314512303792812E-2</v>
      </c>
      <c r="L389" s="101">
        <f t="shared" si="102"/>
        <v>130.62203507795448</v>
      </c>
      <c r="M389" s="101">
        <f t="shared" si="96"/>
        <v>769.8430444169561</v>
      </c>
      <c r="N389" s="101">
        <f t="shared" si="97"/>
        <v>74.137553140454287</v>
      </c>
      <c r="O389" s="101">
        <f t="shared" si="98"/>
        <v>1.769655708722087</v>
      </c>
      <c r="P389" s="101">
        <f t="shared" si="99"/>
        <v>1.769655708722087</v>
      </c>
      <c r="Q389" s="101">
        <f t="shared" si="100"/>
        <v>0.23388672026770177</v>
      </c>
      <c r="R389" s="101">
        <f t="shared" si="101"/>
        <v>2.0618006168345786E-2</v>
      </c>
      <c r="S389" s="101">
        <f t="shared" si="103"/>
        <v>691.91167513262155</v>
      </c>
      <c r="T389" s="101">
        <f t="shared" si="104"/>
        <v>62.798804404805161</v>
      </c>
      <c r="U389" s="101">
        <f t="shared" si="105"/>
        <v>21.649853196326095</v>
      </c>
      <c r="V389" s="33">
        <f t="shared" si="106"/>
        <v>1000</v>
      </c>
      <c r="W389" s="105">
        <f>IF(A389=1,((cPH1_+cPHr+(cNES*L389+(cNES+cOSEX)*G389+(cNES+cEREX)*H389+(cNES+cHOEX)*I389 + (cNES+cNES)*S389 +(cNES+ cOSEX)*N389 + (cNES+cEREX)*O389 + (cNES+cHOEX)*P389)))/(1+cDR)^A$5:A$65536,(cPHr+(cNES*L389+(cNES+cOSEX)*G389+(cNES+cEREX)*H389+(cNES+cHOEX)*I389 + (cNES+cNES)*S389 +(cNES+ cOSEX)*N389 + (cNES+cEREX)*O389 + (cNES+cHOEX)*P389))/(1+cDR)^A$5:A$65536)</f>
        <v>115649.83551664205</v>
      </c>
      <c r="X389" s="112">
        <f t="shared" si="107"/>
        <v>915.55134239886866</v>
      </c>
      <c r="Y389" s="32">
        <f>(uNES*L389+ uOCEX*G389+uEREX*'PH + UC'!H389+uHOEX*I389+uNES*S389+ uOCEX*N389+uEREX*O389+uHOEX*P389)/(1+oDR)^A$5:A$65536</f>
        <v>539.83551404853279</v>
      </c>
    </row>
    <row r="390" spans="1:25" x14ac:dyDescent="0.25">
      <c r="A390" s="4">
        <v>384</v>
      </c>
      <c r="C390" s="110">
        <f>IF(male=0,VLOOKUP(((A388:A1222/'Life tables'!$I$2)*2)+age,lifetable,13,1),IF(male=1,VLOOKUP(((A388:A1222/'Life tables'!$I$2)*2)+age,lifetable,10,1),"error"))</f>
        <v>2.7596604845614436E-4</v>
      </c>
      <c r="F390" s="101">
        <f t="shared" si="90"/>
        <v>145.98176641343477</v>
      </c>
      <c r="G390" s="101">
        <f t="shared" si="91"/>
        <v>14.664173959233732</v>
      </c>
      <c r="H390" s="101">
        <f t="shared" si="92"/>
        <v>0.33557160537642067</v>
      </c>
      <c r="I390" s="101">
        <f t="shared" si="93"/>
        <v>0.33557160537642067</v>
      </c>
      <c r="J390" s="101">
        <f t="shared" si="94"/>
        <v>4.4518038104986342E-2</v>
      </c>
      <c r="K390" s="101">
        <f t="shared" si="95"/>
        <v>2.6305162953687733E-2</v>
      </c>
      <c r="L390" s="101">
        <f t="shared" si="102"/>
        <v>130.57562604238953</v>
      </c>
      <c r="M390" s="101">
        <f t="shared" si="96"/>
        <v>769.56957598543397</v>
      </c>
      <c r="N390" s="101">
        <f t="shared" si="97"/>
        <v>74.111217537994492</v>
      </c>
      <c r="O390" s="101">
        <f t="shared" si="98"/>
        <v>1.769027080621193</v>
      </c>
      <c r="P390" s="101">
        <f t="shared" si="99"/>
        <v>1.769027080621193</v>
      </c>
      <c r="Q390" s="101">
        <f t="shared" si="100"/>
        <v>0.23380363757310668</v>
      </c>
      <c r="R390" s="101">
        <f t="shared" si="101"/>
        <v>2.0610682112034748E-2</v>
      </c>
      <c r="S390" s="101">
        <f t="shared" si="103"/>
        <v>691.66588996651194</v>
      </c>
      <c r="T390" s="101">
        <f t="shared" si="104"/>
        <v>63.077126080483254</v>
      </c>
      <c r="U390" s="101">
        <f t="shared" si="105"/>
        <v>21.696769041391818</v>
      </c>
      <c r="V390" s="33">
        <f t="shared" si="106"/>
        <v>1000</v>
      </c>
      <c r="W390" s="105">
        <f>IF(A390=1,((cPH1_+cPHr+(cNES*L390+(cNES+cOSEX)*G390+(cNES+cEREX)*H390+(cNES+cHOEX)*I390 + (cNES+cNES)*S390 +(cNES+ cOSEX)*N390 + (cNES+cEREX)*O390 + (cNES+cHOEX)*P390)))/(1+cDR)^A$5:A$65536,(cPHr+(cNES*L390+(cNES+cOSEX)*G390+(cNES+cEREX)*H390+(cNES+cHOEX)*I390 + (cNES+cNES)*S390 +(cNES+ cOSEX)*N390 + (cNES+cEREX)*O390 + (cNES+cHOEX)*P390))/(1+cDR)^A$5:A$65536)</f>
        <v>115475.88234143901</v>
      </c>
      <c r="X390" s="112">
        <f t="shared" si="107"/>
        <v>915.22610487812494</v>
      </c>
      <c r="Y390" s="32">
        <f>(uNES*L390+ uOCEX*G390+uEREX*'PH + UC'!H390+uHOEX*I390+uNES*S390+ uOCEX*N390+uEREX*O390+uHOEX*P390)/(1+oDR)^A$5:A$65536</f>
        <v>539.48854940730291</v>
      </c>
    </row>
    <row r="391" spans="1:25" x14ac:dyDescent="0.25">
      <c r="A391" s="4">
        <v>385</v>
      </c>
      <c r="C391" s="110">
        <f>IF(male=0,VLOOKUP(((A389:A1223/'Life tables'!$I$2)*2)+age,lifetable,13,1),IF(male=1,VLOOKUP(((A389:A1223/'Life tables'!$I$2)*2)+age,lifetable,10,1),"error"))</f>
        <v>2.7596604845614436E-4</v>
      </c>
      <c r="F391" s="101">
        <f t="shared" ref="F391:F454" si="108">E390*(1-pCAPH)+(L390+G390+H390+I390)*(1-pCAPH)+(S390+N390+O390+P390)*(pUAPH)</f>
        <v>145.92990054333114</v>
      </c>
      <c r="G391" s="101">
        <f t="shared" ref="G391:G454" si="109">F391*(rrOSEX)</f>
        <v>14.658963924032538</v>
      </c>
      <c r="H391" s="101">
        <f t="shared" ref="H391:H454" si="110">F391*rrEREX</f>
        <v>0.33545238012163353</v>
      </c>
      <c r="I391" s="101">
        <f t="shared" ref="I391:I454" si="111">F391*rrHOEX</f>
        <v>0.33545238012163353</v>
      </c>
      <c r="J391" s="101">
        <f t="shared" ref="J391:J454" si="112">F391*mr + G391*mr + H391*mr+I391*mr</f>
        <v>4.450222128869244E-2</v>
      </c>
      <c r="K391" s="101">
        <f t="shared" ref="K391:K454" si="113">F391*amr + I391*amrHOEX</f>
        <v>2.6295816990843671E-2</v>
      </c>
      <c r="L391" s="101">
        <f t="shared" si="102"/>
        <v>130.5292338207758</v>
      </c>
      <c r="M391" s="101">
        <f t="shared" ref="M391:M454" si="114">E390*pCAPH+(L390+G390+H390+I390)*pCAPH+(S390+N390+O390+P390)*(1-pUAPH)</f>
        <v>769.29620433479374</v>
      </c>
      <c r="N391" s="101">
        <f t="shared" ref="N391:N454" si="115">M391*rrOSEXc</f>
        <v>74.084891255743301</v>
      </c>
      <c r="O391" s="101">
        <f t="shared" ref="O391:O454" si="116">M391*rrEREXc</f>
        <v>1.7683986749927123</v>
      </c>
      <c r="P391" s="101">
        <f t="shared" ref="P391:P454" si="117">M391*rrHOEXc</f>
        <v>1.7683986749927123</v>
      </c>
      <c r="Q391" s="101">
        <f t="shared" ref="Q391:Q454" si="118">M391*mr + N391*mr + O391*mr+P391*mr</f>
        <v>0.23372058428159992</v>
      </c>
      <c r="R391" s="101">
        <f t="shared" ref="R391:R454" si="119">M391*amrc + P391*amrHOEX</f>
        <v>2.0603360647718057E-2</v>
      </c>
      <c r="S391" s="101">
        <f t="shared" si="103"/>
        <v>691.42019178413568</v>
      </c>
      <c r="T391" s="101">
        <f t="shared" si="104"/>
        <v>63.355348886053548</v>
      </c>
      <c r="U391" s="101">
        <f t="shared" si="105"/>
        <v>21.743668219030379</v>
      </c>
      <c r="V391" s="33">
        <f t="shared" si="106"/>
        <v>1000</v>
      </c>
      <c r="W391" s="105">
        <f>IF(A391=1,((cPH1_+cPHr+(cNES*L391+(cNES+cOSEX)*G391+(cNES+cEREX)*H391+(cNES+cHOEX)*I391 + (cNES+cNES)*S391 +(cNES+ cOSEX)*N391 + (cNES+cEREX)*O391 + (cNES+cHOEX)*P391)))/(1+cDR)^A$5:A$65536,(cPHr+(cNES*L391+(cNES+cOSEX)*G391+(cNES+cEREX)*H391+(cNES+cHOEX)*I391 + (cNES+cNES)*S391 +(cNES+ cOSEX)*N391 + (cNES+cEREX)*O391 + (cNES+cHOEX)*P391))/(1+cDR)^A$5:A$65536)</f>
        <v>115302.19079852079</v>
      </c>
      <c r="X391" s="112">
        <f t="shared" si="107"/>
        <v>914.90098289491607</v>
      </c>
      <c r="Y391" s="32">
        <f>(uNES*L391+ uOCEX*G391+uEREX*'PH + UC'!H391+uHOEX*I391+uNES*S391+ uOCEX*N391+uEREX*O391+uHOEX*P391)/(1+oDR)^A$5:A$65536</f>
        <v>539.14180776876651</v>
      </c>
    </row>
    <row r="392" spans="1:25" x14ac:dyDescent="0.25">
      <c r="A392" s="4">
        <v>386</v>
      </c>
      <c r="C392" s="110">
        <f>IF(male=0,VLOOKUP(((A390:A1224/'Life tables'!$I$2)*2)+age,lifetable,13,1),IF(male=1,VLOOKUP(((A390:A1224/'Life tables'!$I$2)*2)+age,lifetable,10,1),"error"))</f>
        <v>2.7596604845614436E-4</v>
      </c>
      <c r="F392" s="101">
        <f t="shared" si="108"/>
        <v>145.87805344783615</v>
      </c>
      <c r="G392" s="101">
        <f t="shared" si="109"/>
        <v>14.653755774780073</v>
      </c>
      <c r="H392" s="101">
        <f t="shared" si="110"/>
        <v>0.33533319802446609</v>
      </c>
      <c r="I392" s="101">
        <f t="shared" si="111"/>
        <v>0.33533319802446609</v>
      </c>
      <c r="J392" s="101">
        <f t="shared" si="112"/>
        <v>4.4486410197830978E-2</v>
      </c>
      <c r="K392" s="101">
        <f t="shared" si="113"/>
        <v>2.6286474411087453E-2</v>
      </c>
      <c r="L392" s="101">
        <f t="shared" ref="L392:L455" si="120">F392-SUM(G392:K392)</f>
        <v>130.48285839239821</v>
      </c>
      <c r="M392" s="101">
        <f t="shared" si="114"/>
        <v>769.02292944707983</v>
      </c>
      <c r="N392" s="101">
        <f t="shared" si="115"/>
        <v>74.058574291971567</v>
      </c>
      <c r="O392" s="101">
        <f t="shared" si="116"/>
        <v>1.7677704917953703</v>
      </c>
      <c r="P392" s="101">
        <f t="shared" si="117"/>
        <v>1.7677704917953703</v>
      </c>
      <c r="Q392" s="101">
        <f t="shared" si="118"/>
        <v>0.2336375603877264</v>
      </c>
      <c r="R392" s="101">
        <f t="shared" si="119"/>
        <v>2.0596041774914826E-2</v>
      </c>
      <c r="S392" s="101">
        <f t="shared" ref="S392:S455" si="121">M392-SUM(N392:R392)</f>
        <v>691.17458056935493</v>
      </c>
      <c r="T392" s="101">
        <f t="shared" ref="T392:T455" si="122">J392+Q392+T391</f>
        <v>63.633472856639102</v>
      </c>
      <c r="U392" s="101">
        <f t="shared" ref="U392:U455" si="123">K392+R392+U391</f>
        <v>21.790550735216382</v>
      </c>
      <c r="V392" s="33">
        <f t="shared" ref="V392:V455" si="124">SUM(G392:I392,L392,N392,O392,P392,S392,T392,U392)</f>
        <v>999.99999999999989</v>
      </c>
      <c r="W392" s="105">
        <f>IF(A392=1,((cPH1_+cPHr+(cNES*L392+(cNES+cOSEX)*G392+(cNES+cEREX)*H392+(cNES+cHOEX)*I392 + (cNES+cNES)*S392 +(cNES+ cOSEX)*N392 + (cNES+cEREX)*O392 + (cNES+cHOEX)*P392)))/(1+cDR)^A$5:A$65536,(cPHr+(cNES*L392+(cNES+cOSEX)*G392+(cNES+cEREX)*H392+(cNES+cHOEX)*I392 + (cNES+cNES)*S392 +(cNES+ cOSEX)*N392 + (cNES+cEREX)*O392 + (cNES+cHOEX)*P392))/(1+cDR)^A$5:A$65536)</f>
        <v>115128.7604952609</v>
      </c>
      <c r="X392" s="112">
        <f t="shared" ref="X392:X455" si="125">(L392+G392+H392+I392+N392+O392+P392+S392)</f>
        <v>914.57597640814447</v>
      </c>
      <c r="Y392" s="32">
        <f>(uNES*L392+ uOCEX*G392+uEREX*'PH + UC'!H392+uHOEX*I392+uNES*S392+ uOCEX*N392+uEREX*O392+uHOEX*P392)/(1+oDR)^A$5:A$65536</f>
        <v>538.79528898956801</v>
      </c>
    </row>
    <row r="393" spans="1:25" x14ac:dyDescent="0.25">
      <c r="A393" s="4">
        <v>387</v>
      </c>
      <c r="C393" s="110">
        <f>IF(male=0,VLOOKUP(((A391:A1225/'Life tables'!$I$2)*2)+age,lifetable,13,1),IF(male=1,VLOOKUP(((A391:A1225/'Life tables'!$I$2)*2)+age,lifetable,10,1),"error"))</f>
        <v>2.7596604845614436E-4</v>
      </c>
      <c r="F393" s="101">
        <f t="shared" si="108"/>
        <v>145.82622510454016</v>
      </c>
      <c r="G393" s="101">
        <f t="shared" si="109"/>
        <v>14.648549509225244</v>
      </c>
      <c r="H393" s="101">
        <f t="shared" si="110"/>
        <v>0.33521405903340484</v>
      </c>
      <c r="I393" s="101">
        <f t="shared" si="111"/>
        <v>0.33521405903340484</v>
      </c>
      <c r="J393" s="101">
        <f t="shared" si="112"/>
        <v>4.4470604825568014E-2</v>
      </c>
      <c r="K393" s="101">
        <f t="shared" si="113"/>
        <v>2.6277135210380977E-2</v>
      </c>
      <c r="L393" s="101">
        <f t="shared" si="120"/>
        <v>130.43649973721216</v>
      </c>
      <c r="M393" s="101">
        <f t="shared" si="114"/>
        <v>768.74975130360417</v>
      </c>
      <c r="N393" s="101">
        <f t="shared" si="115"/>
        <v>74.032266644879584</v>
      </c>
      <c r="O393" s="101">
        <f t="shared" si="116"/>
        <v>1.7671425309862083</v>
      </c>
      <c r="P393" s="101">
        <f t="shared" si="117"/>
        <v>1.7671425309862083</v>
      </c>
      <c r="Q393" s="101">
        <f t="shared" si="118"/>
        <v>0.23355456588580853</v>
      </c>
      <c r="R393" s="101">
        <f t="shared" si="119"/>
        <v>2.058872549312455E-2</v>
      </c>
      <c r="S393" s="101">
        <f t="shared" si="121"/>
        <v>690.92905630537325</v>
      </c>
      <c r="T393" s="101">
        <f t="shared" si="122"/>
        <v>63.911498027350476</v>
      </c>
      <c r="U393" s="101">
        <f t="shared" si="123"/>
        <v>21.837416595919887</v>
      </c>
      <c r="V393" s="33">
        <f t="shared" si="124"/>
        <v>999.99999999999977</v>
      </c>
      <c r="W393" s="105">
        <f>IF(A393=1,((cPH1_+cPHr+(cNES*L393+(cNES+cOSEX)*G393+(cNES+cEREX)*H393+(cNES+cHOEX)*I393 + (cNES+cNES)*S393 +(cNES+ cOSEX)*N393 + (cNES+cEREX)*O393 + (cNES+cHOEX)*P393)))/(1+cDR)^A$5:A$65536,(cPHr+(cNES*L393+(cNES+cOSEX)*G393+(cNES+cEREX)*H393+(cNES+cHOEX)*I393 + (cNES+cNES)*S393 +(cNES+ cOSEX)*N393 + (cNES+cEREX)*O393 + (cNES+cHOEX)*P393))/(1+cDR)^A$5:A$65536)</f>
        <v>114955.59103958131</v>
      </c>
      <c r="X393" s="112">
        <f t="shared" si="125"/>
        <v>914.25108537672941</v>
      </c>
      <c r="Y393" s="32">
        <f>(uNES*L393+ uOCEX*G393+uEREX*'PH + UC'!H393+uHOEX*I393+uNES*S393+ uOCEX*N393+uEREX*O393+uHOEX*P393)/(1+oDR)^A$5:A$65536</f>
        <v>538.44899292644573</v>
      </c>
    </row>
    <row r="394" spans="1:25" x14ac:dyDescent="0.25">
      <c r="A394" s="4">
        <v>388</v>
      </c>
      <c r="C394" s="110">
        <f>IF(male=0,VLOOKUP(((A392:A1226/'Life tables'!$I$2)*2)+age,lifetable,13,1),IF(male=1,VLOOKUP(((A392:A1226/'Life tables'!$I$2)*2)+age,lifetable,10,1),"error"))</f>
        <v>2.7596604845614436E-4</v>
      </c>
      <c r="F394" s="101">
        <f t="shared" si="108"/>
        <v>145.77441549174949</v>
      </c>
      <c r="G394" s="101">
        <f t="shared" si="109"/>
        <v>14.643345125188878</v>
      </c>
      <c r="H394" s="101">
        <f t="shared" si="110"/>
        <v>0.335094963098582</v>
      </c>
      <c r="I394" s="101">
        <f t="shared" si="111"/>
        <v>0.335094963098582</v>
      </c>
      <c r="J394" s="101">
        <f t="shared" si="112"/>
        <v>4.4454805165287929E-2</v>
      </c>
      <c r="K394" s="101">
        <f t="shared" si="113"/>
        <v>2.6267799384815157E-2</v>
      </c>
      <c r="L394" s="101">
        <f t="shared" si="120"/>
        <v>130.39015783581334</v>
      </c>
      <c r="M394" s="101">
        <f t="shared" si="114"/>
        <v>768.47666988497997</v>
      </c>
      <c r="N394" s="101">
        <f t="shared" si="115"/>
        <v>74.005968312600373</v>
      </c>
      <c r="O394" s="101">
        <f t="shared" si="116"/>
        <v>1.7665147925206615</v>
      </c>
      <c r="P394" s="101">
        <f t="shared" si="117"/>
        <v>1.7665147925206615</v>
      </c>
      <c r="Q394" s="101">
        <f t="shared" si="118"/>
        <v>0.23347160076995627</v>
      </c>
      <c r="R394" s="101">
        <f t="shared" si="119"/>
        <v>2.0581411801828011E-2</v>
      </c>
      <c r="S394" s="101">
        <f t="shared" si="121"/>
        <v>690.68361897476643</v>
      </c>
      <c r="T394" s="101">
        <f t="shared" si="122"/>
        <v>64.189424433285723</v>
      </c>
      <c r="U394" s="101">
        <f t="shared" si="123"/>
        <v>21.88426580710653</v>
      </c>
      <c r="V394" s="33">
        <f t="shared" si="124"/>
        <v>999.99999999999977</v>
      </c>
      <c r="W394" s="105">
        <f>IF(A394=1,((cPH1_+cPHr+(cNES*L394+(cNES+cOSEX)*G394+(cNES+cEREX)*H394+(cNES+cHOEX)*I394 + (cNES+cNES)*S394 +(cNES+ cOSEX)*N394 + (cNES+cEREX)*O394 + (cNES+cHOEX)*P394)))/(1+cDR)^A$5:A$65536,(cPHr+(cNES*L394+(cNES+cOSEX)*G394+(cNES+cEREX)*H394+(cNES+cHOEX)*I394 + (cNES+cNES)*S394 +(cNES+ cOSEX)*N394 + (cNES+cEREX)*O394 + (cNES+cHOEX)*P394))/(1+cDR)^A$5:A$65536)</f>
        <v>114782.68203995393</v>
      </c>
      <c r="X394" s="112">
        <f t="shared" si="125"/>
        <v>913.92630975960753</v>
      </c>
      <c r="Y394" s="32">
        <f>(uNES*L394+ uOCEX*G394+uEREX*'PH + UC'!H394+uHOEX*I394+uNES*S394+ uOCEX*N394+uEREX*O394+uHOEX*P394)/(1+oDR)^A$5:A$65536</f>
        <v>538.10291943623008</v>
      </c>
    </row>
    <row r="395" spans="1:25" x14ac:dyDescent="0.25">
      <c r="A395" s="4">
        <v>389</v>
      </c>
      <c r="C395" s="110">
        <f>IF(male=0,VLOOKUP(((A393:A1227/'Life tables'!$I$2)*2)+age,lifetable,13,1),IF(male=1,VLOOKUP(((A393:A1227/'Life tables'!$I$2)*2)+age,lifetable,10,1),"error"))</f>
        <v>2.7596604845614436E-4</v>
      </c>
      <c r="F395" s="101">
        <f t="shared" si="108"/>
        <v>145.72262458845432</v>
      </c>
      <c r="G395" s="101">
        <f t="shared" si="109"/>
        <v>14.638142620560489</v>
      </c>
      <c r="H395" s="101">
        <f t="shared" si="110"/>
        <v>0.33497591017170186</v>
      </c>
      <c r="I395" s="101">
        <f t="shared" si="111"/>
        <v>0.33497591017170186</v>
      </c>
      <c r="J395" s="101">
        <f t="shared" si="112"/>
        <v>4.4439011210583641E-2</v>
      </c>
      <c r="K395" s="101">
        <f t="shared" si="113"/>
        <v>2.6258466930604133E-2</v>
      </c>
      <c r="L395" s="101">
        <f t="shared" si="120"/>
        <v>130.34383266940924</v>
      </c>
      <c r="M395" s="101">
        <f t="shared" si="114"/>
        <v>768.2036851711531</v>
      </c>
      <c r="N395" s="101">
        <f t="shared" si="115"/>
        <v>73.979679293202651</v>
      </c>
      <c r="O395" s="101">
        <f t="shared" si="116"/>
        <v>1.7658872763526308</v>
      </c>
      <c r="P395" s="101">
        <f t="shared" si="117"/>
        <v>1.7658872763526308</v>
      </c>
      <c r="Q395" s="101">
        <f t="shared" si="118"/>
        <v>0.2333886650340771</v>
      </c>
      <c r="R395" s="101">
        <f t="shared" si="119"/>
        <v>2.0574100700488113E-2</v>
      </c>
      <c r="S395" s="101">
        <f t="shared" si="121"/>
        <v>690.43826855951068</v>
      </c>
      <c r="T395" s="101">
        <f t="shared" si="122"/>
        <v>64.467252109530378</v>
      </c>
      <c r="U395" s="101">
        <f t="shared" si="123"/>
        <v>21.931098374737623</v>
      </c>
      <c r="V395" s="33">
        <f t="shared" si="124"/>
        <v>999.99999999999966</v>
      </c>
      <c r="W395" s="105">
        <f>IF(A395=1,((cPH1_+cPHr+(cNES*L395+(cNES+cOSEX)*G395+(cNES+cEREX)*H395+(cNES+cHOEX)*I395 + (cNES+cNES)*S395 +(cNES+ cOSEX)*N395 + (cNES+cEREX)*O395 + (cNES+cHOEX)*P395)))/(1+cDR)^A$5:A$65536,(cPHr+(cNES*L395+(cNES+cOSEX)*G395+(cNES+cEREX)*H395+(cNES+cHOEX)*I395 + (cNES+cNES)*S395 +(cNES+ cOSEX)*N395 + (cNES+cEREX)*O395 + (cNES+cHOEX)*P395))/(1+cDR)^A$5:A$65536)</f>
        <v>114610.03310540115</v>
      </c>
      <c r="X395" s="112">
        <f t="shared" si="125"/>
        <v>913.60164951573165</v>
      </c>
      <c r="Y395" s="32">
        <f>(uNES*L395+ uOCEX*G395+uEREX*'PH + UC'!H395+uHOEX*I395+uNES*S395+ uOCEX*N395+uEREX*O395+uHOEX*P395)/(1+oDR)^A$5:A$65536</f>
        <v>537.75706837584596</v>
      </c>
    </row>
    <row r="396" spans="1:25" x14ac:dyDescent="0.25">
      <c r="A396" s="4">
        <v>390</v>
      </c>
      <c r="C396" s="110">
        <f>IF(male=0,VLOOKUP(((A394:A1228/'Life tables'!$I$2)*2)+age,lifetable,13,1),IF(male=1,VLOOKUP(((A394:A1228/'Life tables'!$I$2)*2)+age,lifetable,10,1),"error"))</f>
        <v>2.7596604845614436E-4</v>
      </c>
      <c r="F396" s="101">
        <f t="shared" si="108"/>
        <v>145.67085237429797</v>
      </c>
      <c r="G396" s="101">
        <f t="shared" si="109"/>
        <v>14.632941993295209</v>
      </c>
      <c r="H396" s="101">
        <f t="shared" si="110"/>
        <v>0.33485690020596998</v>
      </c>
      <c r="I396" s="101">
        <f t="shared" si="111"/>
        <v>0.33485690020596998</v>
      </c>
      <c r="J396" s="101">
        <f t="shared" si="112"/>
        <v>4.4423222955247248E-2</v>
      </c>
      <c r="K396" s="101">
        <f t="shared" si="113"/>
        <v>2.6249137844079728E-2</v>
      </c>
      <c r="L396" s="101">
        <f t="shared" si="120"/>
        <v>130.29752421979148</v>
      </c>
      <c r="M396" s="101">
        <f t="shared" si="114"/>
        <v>767.93079714143369</v>
      </c>
      <c r="N396" s="101">
        <f t="shared" si="115"/>
        <v>73.953399584693969</v>
      </c>
      <c r="O396" s="101">
        <f t="shared" si="116"/>
        <v>1.7652599824345561</v>
      </c>
      <c r="P396" s="101">
        <f t="shared" si="117"/>
        <v>1.7652599824345561</v>
      </c>
      <c r="Q396" s="101">
        <f t="shared" si="118"/>
        <v>0.23330575867188516</v>
      </c>
      <c r="R396" s="101">
        <f t="shared" si="119"/>
        <v>2.0566792188550745E-2</v>
      </c>
      <c r="S396" s="101">
        <f t="shared" si="121"/>
        <v>690.19300504101011</v>
      </c>
      <c r="T396" s="101">
        <f t="shared" si="122"/>
        <v>64.744981091157513</v>
      </c>
      <c r="U396" s="101">
        <f t="shared" si="123"/>
        <v>21.977914304770252</v>
      </c>
      <c r="V396" s="33">
        <f t="shared" si="124"/>
        <v>999.99999999999966</v>
      </c>
      <c r="W396" s="105">
        <f>IF(A396=1,((cPH1_+cPHr+(cNES*L396+(cNES+cOSEX)*G396+(cNES+cEREX)*H396+(cNES+cHOEX)*I396 + (cNES+cNES)*S396 +(cNES+ cOSEX)*N396 + (cNES+cEREX)*O396 + (cNES+cHOEX)*P396)))/(1+cDR)^A$5:A$65536,(cPHr+(cNES*L396+(cNES+cOSEX)*G396+(cNES+cEREX)*H396+(cNES+cHOEX)*I396 + (cNES+cNES)*S396 +(cNES+ cOSEX)*N396 + (cNES+cEREX)*O396 + (cNES+cHOEX)*P396))/(1+cDR)^A$5:A$65536)</f>
        <v>114437.64384549724</v>
      </c>
      <c r="X396" s="112">
        <f t="shared" si="125"/>
        <v>913.27710460407184</v>
      </c>
      <c r="Y396" s="32">
        <f>(uNES*L396+ uOCEX*G396+uEREX*'PH + UC'!H396+uHOEX*I396+uNES*S396+ uOCEX*N396+uEREX*O396+uHOEX*P396)/(1+oDR)^A$5:A$65536</f>
        <v>537.41143960231022</v>
      </c>
    </row>
    <row r="397" spans="1:25" x14ac:dyDescent="0.25">
      <c r="A397" s="4">
        <v>391</v>
      </c>
      <c r="C397" s="110">
        <f>IF(male=0,VLOOKUP(((A395:A1229/'Life tables'!$I$2)*2)+age,lifetable,13,1),IF(male=1,VLOOKUP(((A395:A1229/'Life tables'!$I$2)*2)+age,lifetable,10,1),"error"))</f>
        <v>2.7596604845614436E-4</v>
      </c>
      <c r="F397" s="101">
        <f t="shared" si="108"/>
        <v>145.61909882954771</v>
      </c>
      <c r="G397" s="101">
        <f t="shared" si="109"/>
        <v>14.627743241410844</v>
      </c>
      <c r="H397" s="101">
        <f t="shared" si="110"/>
        <v>0.3347379331560264</v>
      </c>
      <c r="I397" s="101">
        <f t="shared" si="111"/>
        <v>0.3347379331560264</v>
      </c>
      <c r="J397" s="101">
        <f t="shared" si="112"/>
        <v>4.4407440393261152E-2</v>
      </c>
      <c r="K397" s="101">
        <f t="shared" si="113"/>
        <v>2.6239812121686214E-2</v>
      </c>
      <c r="L397" s="101">
        <f t="shared" si="120"/>
        <v>130.25123246930985</v>
      </c>
      <c r="M397" s="101">
        <f t="shared" si="114"/>
        <v>767.65800577452421</v>
      </c>
      <c r="N397" s="101">
        <f t="shared" si="115"/>
        <v>73.927129185023318</v>
      </c>
      <c r="O397" s="101">
        <f t="shared" si="116"/>
        <v>1.7646329107174803</v>
      </c>
      <c r="P397" s="101">
        <f t="shared" si="117"/>
        <v>1.7646329107174803</v>
      </c>
      <c r="Q397" s="101">
        <f t="shared" si="118"/>
        <v>0.23322288167691002</v>
      </c>
      <c r="R397" s="101">
        <f t="shared" si="119"/>
        <v>2.0559486265445511E-2</v>
      </c>
      <c r="S397" s="101">
        <f t="shared" si="121"/>
        <v>689.94782840012363</v>
      </c>
      <c r="T397" s="101">
        <f t="shared" si="122"/>
        <v>65.022611413227679</v>
      </c>
      <c r="U397" s="101">
        <f t="shared" si="123"/>
        <v>22.024713603157384</v>
      </c>
      <c r="V397" s="33">
        <f t="shared" si="124"/>
        <v>999.99999999999966</v>
      </c>
      <c r="W397" s="105">
        <f>IF(A397=1,((cPH1_+cPHr+(cNES*L397+(cNES+cOSEX)*G397+(cNES+cEREX)*H397+(cNES+cHOEX)*I397 + (cNES+cNES)*S397 +(cNES+ cOSEX)*N397 + (cNES+cEREX)*O397 + (cNES+cHOEX)*P397)))/(1+cDR)^A$5:A$65536,(cPHr+(cNES*L397+(cNES+cOSEX)*G397+(cNES+cEREX)*H397+(cNES+cHOEX)*I397 + (cNES+cNES)*S397 +(cNES+ cOSEX)*N397 + (cNES+cEREX)*O397 + (cNES+cHOEX)*P397))/(1+cDR)^A$5:A$65536)</f>
        <v>114265.51387036894</v>
      </c>
      <c r="X397" s="112">
        <f t="shared" si="125"/>
        <v>912.95267498361466</v>
      </c>
      <c r="Y397" s="32">
        <f>(uNES*L397+ uOCEX*G397+uEREX*'PH + UC'!H397+uHOEX*I397+uNES*S397+ uOCEX*N397+uEREX*O397+uHOEX*P397)/(1+oDR)^A$5:A$65536</f>
        <v>537.06603297273375</v>
      </c>
    </row>
    <row r="398" spans="1:25" x14ac:dyDescent="0.25">
      <c r="A398" s="4">
        <v>392</v>
      </c>
      <c r="C398" s="110">
        <f>IF(male=0,VLOOKUP(((A396:A1230/'Life tables'!$I$2)*2)+age,lifetable,13,1),IF(male=1,VLOOKUP(((A396:A1230/'Life tables'!$I$2)*2)+age,lifetable,10,1),"error"))</f>
        <v>3.0034427820335718E-4</v>
      </c>
      <c r="F398" s="101">
        <f t="shared" si="108"/>
        <v>145.56736393506671</v>
      </c>
      <c r="G398" s="101">
        <f t="shared" si="109"/>
        <v>14.622546362985059</v>
      </c>
      <c r="H398" s="101">
        <f t="shared" si="110"/>
        <v>0.33461900897788072</v>
      </c>
      <c r="I398" s="101">
        <f t="shared" si="111"/>
        <v>0.33461900897788072</v>
      </c>
      <c r="J398" s="101">
        <f t="shared" si="112"/>
        <v>4.8313124793378057E-2</v>
      </c>
      <c r="K398" s="101">
        <f t="shared" si="113"/>
        <v>2.6230489759975228E-2</v>
      </c>
      <c r="L398" s="101">
        <f t="shared" si="120"/>
        <v>130.20103593957253</v>
      </c>
      <c r="M398" s="101">
        <f t="shared" si="114"/>
        <v>767.38531104854803</v>
      </c>
      <c r="N398" s="101">
        <f t="shared" si="115"/>
        <v>73.900868092083911</v>
      </c>
      <c r="O398" s="101">
        <f t="shared" si="116"/>
        <v>1.7640060611511148</v>
      </c>
      <c r="P398" s="101">
        <f t="shared" si="117"/>
        <v>1.7640060611511148</v>
      </c>
      <c r="Q398" s="101">
        <f t="shared" si="118"/>
        <v>0.25373510849081887</v>
      </c>
      <c r="R398" s="101">
        <f t="shared" si="119"/>
        <v>2.0552182930586502E-2</v>
      </c>
      <c r="S398" s="101">
        <f t="shared" si="121"/>
        <v>689.6821435427405</v>
      </c>
      <c r="T398" s="101">
        <f t="shared" si="122"/>
        <v>65.324659646511876</v>
      </c>
      <c r="U398" s="101">
        <f t="shared" si="123"/>
        <v>22.071496275847945</v>
      </c>
      <c r="V398" s="33">
        <f t="shared" si="124"/>
        <v>999.99999999999989</v>
      </c>
      <c r="W398" s="105">
        <f>IF(A398=1,((cPH1_+cPHr+(cNES*L398+(cNES+cOSEX)*G398+(cNES+cEREX)*H398+(cNES+cHOEX)*I398 + (cNES+cNES)*S398 +(cNES+ cOSEX)*N398 + (cNES+cEREX)*O398 + (cNES+cHOEX)*P398)))/(1+cDR)^A$5:A$65536,(cPHr+(cNES*L398+(cNES+cOSEX)*G398+(cNES+cEREX)*H398+(cNES+cHOEX)*I398 + (cNES+cNES)*S398 +(cNES+ cOSEX)*N398 + (cNES+cEREX)*O398 + (cNES+cHOEX)*P398))/(1+cDR)^A$5:A$65536)</f>
        <v>114090.98600569984</v>
      </c>
      <c r="X398" s="112">
        <f t="shared" si="125"/>
        <v>912.60384407764002</v>
      </c>
      <c r="Y398" s="32">
        <f>(uNES*L398+ uOCEX*G398+uEREX*'PH + UC'!H398+uHOEX*I398+uNES*S398+ uOCEX*N398+uEREX*O398+uHOEX*P398)/(1+oDR)^A$5:A$65536</f>
        <v>536.70619562723539</v>
      </c>
    </row>
    <row r="399" spans="1:25" x14ac:dyDescent="0.25">
      <c r="A399" s="4">
        <v>393</v>
      </c>
      <c r="C399" s="110">
        <f>IF(male=0,VLOOKUP(((A397:A1231/'Life tables'!$I$2)*2)+age,lifetable,13,1),IF(male=1,VLOOKUP(((A397:A1231/'Life tables'!$I$2)*2)+age,lifetable,10,1),"error"))</f>
        <v>3.0034427820335718E-4</v>
      </c>
      <c r="F399" s="101">
        <f t="shared" si="108"/>
        <v>145.5117262770901</v>
      </c>
      <c r="G399" s="101">
        <f t="shared" si="109"/>
        <v>14.616957443798105</v>
      </c>
      <c r="H399" s="101">
        <f t="shared" si="110"/>
        <v>0.3344911134285577</v>
      </c>
      <c r="I399" s="101">
        <f t="shared" si="111"/>
        <v>0.3344911134285577</v>
      </c>
      <c r="J399" s="101">
        <f t="shared" si="112"/>
        <v>4.8294658915860114E-2</v>
      </c>
      <c r="K399" s="101">
        <f t="shared" si="113"/>
        <v>2.6220464140369482E-2</v>
      </c>
      <c r="L399" s="101">
        <f t="shared" si="120"/>
        <v>130.15127148337865</v>
      </c>
      <c r="M399" s="101">
        <f t="shared" si="114"/>
        <v>767.09211780055</v>
      </c>
      <c r="N399" s="101">
        <f t="shared" si="115"/>
        <v>73.872632947061163</v>
      </c>
      <c r="O399" s="101">
        <f t="shared" si="116"/>
        <v>1.7633320911661403</v>
      </c>
      <c r="P399" s="101">
        <f t="shared" si="117"/>
        <v>1.7633320911661403</v>
      </c>
      <c r="Q399" s="101">
        <f t="shared" si="118"/>
        <v>0.25363816446606563</v>
      </c>
      <c r="R399" s="101">
        <f t="shared" si="119"/>
        <v>2.0544330602453413E-2</v>
      </c>
      <c r="S399" s="101">
        <f t="shared" si="121"/>
        <v>689.41863817608805</v>
      </c>
      <c r="T399" s="101">
        <f t="shared" si="122"/>
        <v>65.626592469893808</v>
      </c>
      <c r="U399" s="101">
        <f t="shared" si="123"/>
        <v>22.118261070590769</v>
      </c>
      <c r="V399" s="33">
        <f t="shared" si="124"/>
        <v>999.99999999999989</v>
      </c>
      <c r="W399" s="105">
        <f>IF(A399=1,((cPH1_+cPHr+(cNES*L399+(cNES+cOSEX)*G399+(cNES+cEREX)*H399+(cNES+cHOEX)*I399 + (cNES+cNES)*S399 +(cNES+ cOSEX)*N399 + (cNES+cEREX)*O399 + (cNES+cHOEX)*P399)))/(1+cDR)^A$5:A$65536,(cPHr+(cNES*L399+(cNES+cOSEX)*G399+(cNES+cEREX)*H399+(cNES+cHOEX)*I399 + (cNES+cNES)*S399 +(cNES+ cOSEX)*N399 + (cNES+cEREX)*O399 + (cNES+cHOEX)*P399))/(1+cDR)^A$5:A$65536)</f>
        <v>113916.31821243829</v>
      </c>
      <c r="X399" s="112">
        <f t="shared" si="125"/>
        <v>912.25514645951534</v>
      </c>
      <c r="Y399" s="32">
        <f>(uNES*L399+ uOCEX*G399+uEREX*'PH + UC'!H399+uHOEX*I399+uNES*S399+ uOCEX*N399+uEREX*O399+uHOEX*P399)/(1+oDR)^A$5:A$65536</f>
        <v>536.34683365575938</v>
      </c>
    </row>
    <row r="400" spans="1:25" x14ac:dyDescent="0.25">
      <c r="A400" s="4">
        <v>394</v>
      </c>
      <c r="C400" s="110">
        <f>IF(male=0,VLOOKUP(((A398:A1232/'Life tables'!$I$2)*2)+age,lifetable,13,1),IF(male=1,VLOOKUP(((A398:A1232/'Life tables'!$I$2)*2)+age,lifetable,10,1),"error"))</f>
        <v>3.0034427820335718E-4</v>
      </c>
      <c r="F400" s="101">
        <f t="shared" si="108"/>
        <v>145.45611067448021</v>
      </c>
      <c r="G400" s="101">
        <f t="shared" si="109"/>
        <v>14.611370740118899</v>
      </c>
      <c r="H400" s="101">
        <f t="shared" si="110"/>
        <v>0.33436326857840754</v>
      </c>
      <c r="I400" s="101">
        <f t="shared" si="111"/>
        <v>0.33436326857840754</v>
      </c>
      <c r="J400" s="101">
        <f t="shared" si="112"/>
        <v>4.8276200358414859E-2</v>
      </c>
      <c r="K400" s="101">
        <f t="shared" si="113"/>
        <v>2.6210442495027297E-2</v>
      </c>
      <c r="L400" s="101">
        <f t="shared" si="120"/>
        <v>130.10152675435106</v>
      </c>
      <c r="M400" s="101">
        <f t="shared" si="114"/>
        <v>766.79903578503524</v>
      </c>
      <c r="N400" s="101">
        <f t="shared" si="115"/>
        <v>73.844408513967537</v>
      </c>
      <c r="O400" s="101">
        <f t="shared" si="116"/>
        <v>1.762658376873804</v>
      </c>
      <c r="P400" s="101">
        <f t="shared" si="117"/>
        <v>1.762658376873804</v>
      </c>
      <c r="Q400" s="101">
        <f t="shared" si="118"/>
        <v>0.25354125722021059</v>
      </c>
      <c r="R400" s="101">
        <f t="shared" si="119"/>
        <v>2.0536481253358767E-2</v>
      </c>
      <c r="S400" s="101">
        <f t="shared" si="121"/>
        <v>689.15523277884654</v>
      </c>
      <c r="T400" s="101">
        <f t="shared" si="122"/>
        <v>65.92840992747243</v>
      </c>
      <c r="U400" s="101">
        <f t="shared" si="123"/>
        <v>22.165007994339156</v>
      </c>
      <c r="V400" s="33">
        <f t="shared" si="124"/>
        <v>1000</v>
      </c>
      <c r="W400" s="105">
        <f>IF(A400=1,((cPH1_+cPHr+(cNES*L400+(cNES+cOSEX)*G400+(cNES+cEREX)*H400+(cNES+cHOEX)*I400 + (cNES+cNES)*S400 +(cNES+ cOSEX)*N400 + (cNES+cEREX)*O400 + (cNES+cHOEX)*P400)))/(1+cDR)^A$5:A$65536,(cPHr+(cNES*L400+(cNES+cOSEX)*G400+(cNES+cEREX)*H400+(cNES+cHOEX)*I400 + (cNES+cNES)*S400 +(cNES+ cOSEX)*N400 + (cNES+cEREX)*O400 + (cNES+cHOEX)*P400))/(1+cDR)^A$5:A$65536)</f>
        <v>113741.91778834796</v>
      </c>
      <c r="X400" s="112">
        <f t="shared" si="125"/>
        <v>911.90658207818842</v>
      </c>
      <c r="Y400" s="32">
        <f>(uNES*L400+ uOCEX*G400+uEREX*'PH + UC'!H400+uHOEX*I400+uNES*S400+ uOCEX*N400+uEREX*O400+uHOEX*P400)/(1+oDR)^A$5:A$65536</f>
        <v>535.9877123032644</v>
      </c>
    </row>
    <row r="401" spans="1:25" x14ac:dyDescent="0.25">
      <c r="A401" s="4">
        <v>395</v>
      </c>
      <c r="C401" s="110">
        <f>IF(male=0,VLOOKUP(((A399:A1233/'Life tables'!$I$2)*2)+age,lifetable,13,1),IF(male=1,VLOOKUP(((A399:A1233/'Life tables'!$I$2)*2)+age,lifetable,10,1),"error"))</f>
        <v>3.0034427820335718E-4</v>
      </c>
      <c r="F401" s="101">
        <f t="shared" si="108"/>
        <v>145.40051708295337</v>
      </c>
      <c r="G401" s="101">
        <f t="shared" si="109"/>
        <v>14.605786247499051</v>
      </c>
      <c r="H401" s="101">
        <f t="shared" si="110"/>
        <v>0.33423547432563444</v>
      </c>
      <c r="I401" s="101">
        <f t="shared" si="111"/>
        <v>0.33423547432563444</v>
      </c>
      <c r="J401" s="101">
        <f t="shared" si="112"/>
        <v>4.8257749106344727E-2</v>
      </c>
      <c r="K401" s="101">
        <f t="shared" si="113"/>
        <v>2.6200424815968994E-2</v>
      </c>
      <c r="L401" s="101">
        <f t="shared" si="120"/>
        <v>130.05180171288075</v>
      </c>
      <c r="M401" s="101">
        <f t="shared" si="114"/>
        <v>766.50606499523508</v>
      </c>
      <c r="N401" s="101">
        <f t="shared" si="115"/>
        <v>73.816194792151208</v>
      </c>
      <c r="O401" s="101">
        <f t="shared" si="116"/>
        <v>1.7619849182585463</v>
      </c>
      <c r="P401" s="101">
        <f t="shared" si="117"/>
        <v>1.7619849182585463</v>
      </c>
      <c r="Q401" s="101">
        <f t="shared" si="118"/>
        <v>0.25344438675101566</v>
      </c>
      <c r="R401" s="101">
        <f t="shared" si="119"/>
        <v>2.0528634883121285E-2</v>
      </c>
      <c r="S401" s="101">
        <f t="shared" si="121"/>
        <v>688.89192734493258</v>
      </c>
      <c r="T401" s="101">
        <f t="shared" si="122"/>
        <v>66.230112063329784</v>
      </c>
      <c r="U401" s="101">
        <f t="shared" si="123"/>
        <v>22.211737054038245</v>
      </c>
      <c r="V401" s="33">
        <f t="shared" si="124"/>
        <v>1000</v>
      </c>
      <c r="W401" s="105">
        <f>IF(A401=1,((cPH1_+cPHr+(cNES*L401+(cNES+cOSEX)*G401+(cNES+cEREX)*H401+(cNES+cHOEX)*I401 + (cNES+cNES)*S401 +(cNES+ cOSEX)*N401 + (cNES+cEREX)*O401 + (cNES+cHOEX)*P401)))/(1+cDR)^A$5:A$65536,(cPHr+(cNES*L401+(cNES+cOSEX)*G401+(cNES+cEREX)*H401+(cNES+cHOEX)*I401 + (cNES+cNES)*S401 +(cNES+ cOSEX)*N401 + (cNES+cEREX)*O401 + (cNES+cHOEX)*P401))/(1+cDR)^A$5:A$65536)</f>
        <v>113567.78432605148</v>
      </c>
      <c r="X401" s="112">
        <f t="shared" si="125"/>
        <v>911.55815088263194</v>
      </c>
      <c r="Y401" s="32">
        <f>(uNES*L401+ uOCEX*G401+uEREX*'PH + UC'!H401+uHOEX*I401+uNES*S401+ uOCEX*N401+uEREX*O401+uHOEX*P401)/(1+oDR)^A$5:A$65536</f>
        <v>535.6288314085823</v>
      </c>
    </row>
    <row r="402" spans="1:25" x14ac:dyDescent="0.25">
      <c r="A402" s="4">
        <v>396</v>
      </c>
      <c r="C402" s="110">
        <f>IF(male=0,VLOOKUP(((A400:A1234/'Life tables'!$I$2)*2)+age,lifetable,13,1),IF(male=1,VLOOKUP(((A400:A1234/'Life tables'!$I$2)*2)+age,lifetable,10,1),"error"))</f>
        <v>3.0034427820335718E-4</v>
      </c>
      <c r="F402" s="101">
        <f t="shared" si="108"/>
        <v>145.34494545985643</v>
      </c>
      <c r="G402" s="101">
        <f t="shared" si="109"/>
        <v>14.600203961653964</v>
      </c>
      <c r="H402" s="101">
        <f t="shared" si="110"/>
        <v>0.33410773057219062</v>
      </c>
      <c r="I402" s="101">
        <f t="shared" si="111"/>
        <v>0.33410773057219062</v>
      </c>
      <c r="J402" s="101">
        <f t="shared" si="112"/>
        <v>4.8239305145493384E-2</v>
      </c>
      <c r="K402" s="101">
        <f t="shared" si="113"/>
        <v>2.6190411095508688E-2</v>
      </c>
      <c r="L402" s="101">
        <f t="shared" si="120"/>
        <v>130.00209632081709</v>
      </c>
      <c r="M402" s="101">
        <f t="shared" si="114"/>
        <v>766.21320542277556</v>
      </c>
      <c r="N402" s="101">
        <f t="shared" si="115"/>
        <v>73.787991780805754</v>
      </c>
      <c r="O402" s="101">
        <f t="shared" si="116"/>
        <v>1.7613117153011184</v>
      </c>
      <c r="P402" s="101">
        <f t="shared" si="117"/>
        <v>1.7613117153011184</v>
      </c>
      <c r="Q402" s="101">
        <f t="shared" si="118"/>
        <v>0.25334755305571194</v>
      </c>
      <c r="R402" s="101">
        <f t="shared" si="119"/>
        <v>2.0520791491516699E-2</v>
      </c>
      <c r="S402" s="101">
        <f t="shared" si="121"/>
        <v>688.62872186682034</v>
      </c>
      <c r="T402" s="101">
        <f t="shared" si="122"/>
        <v>66.531698921530989</v>
      </c>
      <c r="U402" s="101">
        <f t="shared" si="123"/>
        <v>22.258448256625272</v>
      </c>
      <c r="V402" s="33">
        <f t="shared" si="124"/>
        <v>999.99999999999989</v>
      </c>
      <c r="W402" s="105">
        <f>IF(A402=1,((cPH1_+cPHr+(cNES*L402+(cNES+cOSEX)*G402+(cNES+cEREX)*H402+(cNES+cHOEX)*I402 + (cNES+cNES)*S402 +(cNES+ cOSEX)*N402 + (cNES+cEREX)*O402 + (cNES+cHOEX)*P402)))/(1+cDR)^A$5:A$65536,(cPHr+(cNES*L402+(cNES+cOSEX)*G402+(cNES+cEREX)*H402+(cNES+cHOEX)*I402 + (cNES+cNES)*S402 +(cNES+ cOSEX)*N402 + (cNES+cEREX)*O402 + (cNES+cHOEX)*P402))/(1+cDR)^A$5:A$65536)</f>
        <v>113393.91741870496</v>
      </c>
      <c r="X402" s="112">
        <f t="shared" si="125"/>
        <v>911.2098528218437</v>
      </c>
      <c r="Y402" s="32">
        <f>(uNES*L402+ uOCEX*G402+uEREX*'PH + UC'!H402+uHOEX*I402+uNES*S402+ uOCEX*N402+uEREX*O402+uHOEX*P402)/(1+oDR)^A$5:A$65536</f>
        <v>535.27019081065464</v>
      </c>
    </row>
    <row r="403" spans="1:25" x14ac:dyDescent="0.25">
      <c r="A403" s="4">
        <v>397</v>
      </c>
      <c r="C403" s="110">
        <f>IF(male=0,VLOOKUP(((A401:A1235/'Life tables'!$I$2)*2)+age,lifetable,13,1),IF(male=1,VLOOKUP(((A401:A1235/'Life tables'!$I$2)*2)+age,lifetable,10,1),"error"))</f>
        <v>3.0034427820335718E-4</v>
      </c>
      <c r="F403" s="101">
        <f t="shared" si="108"/>
        <v>145.28939576409374</v>
      </c>
      <c r="G403" s="101">
        <f t="shared" si="109"/>
        <v>14.594623878455494</v>
      </c>
      <c r="H403" s="101">
        <f t="shared" si="110"/>
        <v>0.33398003722360853</v>
      </c>
      <c r="I403" s="101">
        <f t="shared" si="111"/>
        <v>0.33398003722360853</v>
      </c>
      <c r="J403" s="101">
        <f t="shared" si="112"/>
        <v>4.8220868462221338E-2</v>
      </c>
      <c r="K403" s="101">
        <f t="shared" si="113"/>
        <v>2.6180401326241155E-2</v>
      </c>
      <c r="L403" s="101">
        <f t="shared" si="120"/>
        <v>129.95241054140257</v>
      </c>
      <c r="M403" s="101">
        <f t="shared" si="114"/>
        <v>765.9204570577499</v>
      </c>
      <c r="N403" s="101">
        <f t="shared" si="115"/>
        <v>73.759799478977129</v>
      </c>
      <c r="O403" s="101">
        <f t="shared" si="116"/>
        <v>1.7606387679787467</v>
      </c>
      <c r="P403" s="101">
        <f t="shared" si="117"/>
        <v>1.7606387679787467</v>
      </c>
      <c r="Q403" s="101">
        <f t="shared" si="118"/>
        <v>0.25325075613102388</v>
      </c>
      <c r="R403" s="101">
        <f t="shared" si="119"/>
        <v>2.0512951078279679E-2</v>
      </c>
      <c r="S403" s="101">
        <f t="shared" si="121"/>
        <v>688.36561633560598</v>
      </c>
      <c r="T403" s="101">
        <f t="shared" si="122"/>
        <v>66.833170546124236</v>
      </c>
      <c r="U403" s="101">
        <f t="shared" si="123"/>
        <v>22.305141609029793</v>
      </c>
      <c r="V403" s="33">
        <f t="shared" si="124"/>
        <v>999.99999999999989</v>
      </c>
      <c r="W403" s="105">
        <f>IF(A403=1,((cPH1_+cPHr+(cNES*L403+(cNES+cOSEX)*G403+(cNES+cEREX)*H403+(cNES+cHOEX)*I403 + (cNES+cNES)*S403 +(cNES+ cOSEX)*N403 + (cNES+cEREX)*O403 + (cNES+cHOEX)*P403)))/(1+cDR)^A$5:A$65536,(cPHr+(cNES*L403+(cNES+cOSEX)*G403+(cNES+cEREX)*H403+(cNES+cHOEX)*I403 + (cNES+cNES)*S403 +(cNES+ cOSEX)*N403 + (cNES+cEREX)*O403 + (cNES+cHOEX)*P403))/(1+cDR)^A$5:A$65536)</f>
        <v>113220.31666000102</v>
      </c>
      <c r="X403" s="112">
        <f t="shared" si="125"/>
        <v>910.86168784484585</v>
      </c>
      <c r="Y403" s="32">
        <f>(uNES*L403+ uOCEX*G403+uEREX*'PH + UC'!H403+uHOEX*I403+uNES*S403+ uOCEX*N403+uEREX*O403+uHOEX*P403)/(1+oDR)^A$5:A$65536</f>
        <v>534.91179034853371</v>
      </c>
    </row>
    <row r="404" spans="1:25" x14ac:dyDescent="0.25">
      <c r="A404" s="4">
        <v>398</v>
      </c>
      <c r="C404" s="110">
        <f>IF(male=0,VLOOKUP(((A402:A1236/'Life tables'!$I$2)*2)+age,lifetable,13,1),IF(male=1,VLOOKUP(((A402:A1236/'Life tables'!$I$2)*2)+age,lifetable,10,1),"error"))</f>
        <v>3.0034427820335718E-4</v>
      </c>
      <c r="F404" s="101">
        <f t="shared" si="108"/>
        <v>145.233867956057</v>
      </c>
      <c r="G404" s="101">
        <f t="shared" si="109"/>
        <v>14.589045993924904</v>
      </c>
      <c r="H404" s="101">
        <f t="shared" si="110"/>
        <v>0.33385239418883972</v>
      </c>
      <c r="I404" s="101">
        <f t="shared" si="111"/>
        <v>0.33385239418883972</v>
      </c>
      <c r="J404" s="101">
        <f t="shared" si="112"/>
        <v>4.8202439043382804E-2</v>
      </c>
      <c r="K404" s="101">
        <f t="shared" si="113"/>
        <v>2.6170395501029182E-2</v>
      </c>
      <c r="L404" s="101">
        <f t="shared" si="120"/>
        <v>129.90274433920999</v>
      </c>
      <c r="M404" s="101">
        <f t="shared" si="114"/>
        <v>765.62781988878885</v>
      </c>
      <c r="N404" s="101">
        <f t="shared" si="115"/>
        <v>73.731617885570458</v>
      </c>
      <c r="O404" s="101">
        <f t="shared" si="116"/>
        <v>1.7599660762652971</v>
      </c>
      <c r="P404" s="101">
        <f t="shared" si="117"/>
        <v>1.7599660762652971</v>
      </c>
      <c r="Q404" s="101">
        <f t="shared" si="118"/>
        <v>0.25315399597319221</v>
      </c>
      <c r="R404" s="101">
        <f t="shared" si="119"/>
        <v>2.0505113643105741E-2</v>
      </c>
      <c r="S404" s="101">
        <f t="shared" si="121"/>
        <v>688.10261074107143</v>
      </c>
      <c r="T404" s="101">
        <f t="shared" si="122"/>
        <v>67.134526981140809</v>
      </c>
      <c r="U404" s="101">
        <f t="shared" si="123"/>
        <v>22.351817118173926</v>
      </c>
      <c r="V404" s="33">
        <f t="shared" si="124"/>
        <v>999.99999999999977</v>
      </c>
      <c r="W404" s="105">
        <f>IF(A404=1,((cPH1_+cPHr+(cNES*L404+(cNES+cOSEX)*G404+(cNES+cEREX)*H404+(cNES+cHOEX)*I404 + (cNES+cNES)*S404 +(cNES+ cOSEX)*N404 + (cNES+cEREX)*O404 + (cNES+cHOEX)*P404)))/(1+cDR)^A$5:A$65536,(cPHr+(cNES*L404+(cNES+cOSEX)*G404+(cNES+cEREX)*H404+(cNES+cHOEX)*I404 + (cNES+cNES)*S404 +(cNES+ cOSEX)*N404 + (cNES+cEREX)*O404 + (cNES+cHOEX)*P404))/(1+cDR)^A$5:A$65536)</f>
        <v>113046.98164417221</v>
      </c>
      <c r="X404" s="112">
        <f t="shared" si="125"/>
        <v>910.51365590068508</v>
      </c>
      <c r="Y404" s="32">
        <f>(uNES*L404+ uOCEX*G404+uEREX*'PH + UC'!H404+uHOEX*I404+uNES*S404+ uOCEX*N404+uEREX*O404+uHOEX*P404)/(1+oDR)^A$5:A$65536</f>
        <v>534.55362986138232</v>
      </c>
    </row>
    <row r="405" spans="1:25" x14ac:dyDescent="0.25">
      <c r="A405" s="4">
        <v>399</v>
      </c>
      <c r="C405" s="110">
        <f>IF(male=0,VLOOKUP(((A403:A1237/'Life tables'!$I$2)*2)+age,lifetable,13,1),IF(male=1,VLOOKUP(((A403:A1237/'Life tables'!$I$2)*2)+age,lifetable,10,1),"error"))</f>
        <v>3.0034427820335718E-4</v>
      </c>
      <c r="F405" s="101">
        <f t="shared" si="108"/>
        <v>145.17836199755868</v>
      </c>
      <c r="G405" s="101">
        <f t="shared" si="109"/>
        <v>14.583470304226177</v>
      </c>
      <c r="H405" s="101">
        <f t="shared" si="110"/>
        <v>0.33372480138010163</v>
      </c>
      <c r="I405" s="101">
        <f t="shared" si="111"/>
        <v>0.33372480138010163</v>
      </c>
      <c r="J405" s="101">
        <f t="shared" si="112"/>
        <v>4.8184016876303498E-2</v>
      </c>
      <c r="K405" s="101">
        <f t="shared" si="113"/>
        <v>2.6160393612991582E-2</v>
      </c>
      <c r="L405" s="101">
        <f t="shared" si="120"/>
        <v>129.85309768008301</v>
      </c>
      <c r="M405" s="101">
        <f t="shared" si="114"/>
        <v>765.3352939031264</v>
      </c>
      <c r="N405" s="101">
        <f t="shared" si="115"/>
        <v>73.703446999356316</v>
      </c>
      <c r="O405" s="101">
        <f t="shared" si="116"/>
        <v>1.7592936401314236</v>
      </c>
      <c r="P405" s="101">
        <f t="shared" si="117"/>
        <v>1.7592936401314236</v>
      </c>
      <c r="Q405" s="101">
        <f t="shared" si="118"/>
        <v>0.25305727257799582</v>
      </c>
      <c r="R405" s="101">
        <f t="shared" si="119"/>
        <v>2.0497279185652979E-2</v>
      </c>
      <c r="S405" s="101">
        <f t="shared" si="121"/>
        <v>687.83970507174365</v>
      </c>
      <c r="T405" s="101">
        <f t="shared" si="122"/>
        <v>67.435768270595105</v>
      </c>
      <c r="U405" s="101">
        <f t="shared" si="123"/>
        <v>22.398474790972571</v>
      </c>
      <c r="V405" s="33">
        <f t="shared" si="124"/>
        <v>999.99999999999989</v>
      </c>
      <c r="W405" s="105">
        <f>IF(A405=1,((cPH1_+cPHr+(cNES*L405+(cNES+cOSEX)*G405+(cNES+cEREX)*H405+(cNES+cHOEX)*I405 + (cNES+cNES)*S405 +(cNES+ cOSEX)*N405 + (cNES+cEREX)*O405 + (cNES+cHOEX)*P405)))/(1+cDR)^A$5:A$65536,(cPHr+(cNES*L405+(cNES+cOSEX)*G405+(cNES+cEREX)*H405+(cNES+cHOEX)*I405 + (cNES+cNES)*S405 +(cNES+ cOSEX)*N405 + (cNES+cEREX)*O405 + (cNES+cHOEX)*P405))/(1+cDR)^A$5:A$65536)</f>
        <v>112873.9119659937</v>
      </c>
      <c r="X405" s="112">
        <f t="shared" si="125"/>
        <v>910.1657569384322</v>
      </c>
      <c r="Y405" s="32">
        <f>(uNES*L405+ uOCEX*G405+uEREX*'PH + UC'!H405+uHOEX*I405+uNES*S405+ uOCEX*N405+uEREX*O405+uHOEX*P405)/(1+oDR)^A$5:A$65536</f>
        <v>534.19570918847273</v>
      </c>
    </row>
    <row r="406" spans="1:25" x14ac:dyDescent="0.25">
      <c r="A406" s="4">
        <v>400</v>
      </c>
      <c r="C406" s="110">
        <f>IF(male=0,VLOOKUP(((A404:A1238/'Life tables'!$I$2)*2)+age,lifetable,13,1),IF(male=1,VLOOKUP(((A404:A1238/'Life tables'!$I$2)*2)+age,lifetable,10,1),"error"))</f>
        <v>3.0034427820335718E-4</v>
      </c>
      <c r="F406" s="101">
        <f t="shared" si="108"/>
        <v>145.12287785176792</v>
      </c>
      <c r="G406" s="101">
        <f t="shared" si="109"/>
        <v>14.577896805659575</v>
      </c>
      <c r="H406" s="101">
        <f t="shared" si="110"/>
        <v>0.33359725871273033</v>
      </c>
      <c r="I406" s="101">
        <f t="shared" si="111"/>
        <v>0.33359725871273033</v>
      </c>
      <c r="J406" s="101">
        <f t="shared" si="112"/>
        <v>4.8165601948759441E-2</v>
      </c>
      <c r="K406" s="101">
        <f t="shared" si="113"/>
        <v>2.6150395655491609E-2</v>
      </c>
      <c r="L406" s="101">
        <f t="shared" si="120"/>
        <v>129.80347053107863</v>
      </c>
      <c r="M406" s="101">
        <f t="shared" si="114"/>
        <v>765.04287908666436</v>
      </c>
      <c r="N406" s="101">
        <f t="shared" si="115"/>
        <v>73.675286818977042</v>
      </c>
      <c r="O406" s="101">
        <f t="shared" si="116"/>
        <v>1.7586214595447187</v>
      </c>
      <c r="P406" s="101">
        <f t="shared" si="117"/>
        <v>1.7586214595447187</v>
      </c>
      <c r="Q406" s="101">
        <f t="shared" si="118"/>
        <v>0.2529605859407732</v>
      </c>
      <c r="R406" s="101">
        <f t="shared" si="119"/>
        <v>2.0489447705543815E-2</v>
      </c>
      <c r="S406" s="101">
        <f t="shared" si="121"/>
        <v>687.57689931495156</v>
      </c>
      <c r="T406" s="101">
        <f t="shared" si="122"/>
        <v>67.736894458484642</v>
      </c>
      <c r="U406" s="101">
        <f t="shared" si="123"/>
        <v>22.445114634333606</v>
      </c>
      <c r="V406" s="33">
        <f t="shared" si="124"/>
        <v>999.99999999999977</v>
      </c>
      <c r="W406" s="105">
        <f>IF(A406=1,((cPH1_+cPHr+(cNES*L406+(cNES+cOSEX)*G406+(cNES+cEREX)*H406+(cNES+cHOEX)*I406 + (cNES+cNES)*S406 +(cNES+ cOSEX)*N406 + (cNES+cEREX)*O406 + (cNES+cHOEX)*P406)))/(1+cDR)^A$5:A$65536,(cPHr+(cNES*L406+(cNES+cOSEX)*G406+(cNES+cEREX)*H406+(cNES+cHOEX)*I406 + (cNES+cNES)*S406 +(cNES+ cOSEX)*N406 + (cNES+cEREX)*O406 + (cNES+cHOEX)*P406))/(1+cDR)^A$5:A$65536)</f>
        <v>112701.10722078648</v>
      </c>
      <c r="X406" s="112">
        <f t="shared" si="125"/>
        <v>909.81799090718164</v>
      </c>
      <c r="Y406" s="32">
        <f>(uNES*L406+ uOCEX*G406+uEREX*'PH + UC'!H406+uHOEX*I406+uNES*S406+ uOCEX*N406+uEREX*O406+uHOEX*P406)/(1+oDR)^A$5:A$65536</f>
        <v>533.8380281691866</v>
      </c>
    </row>
    <row r="407" spans="1:25" x14ac:dyDescent="0.25">
      <c r="A407" s="4">
        <v>401</v>
      </c>
      <c r="C407" s="110">
        <f>IF(male=0,VLOOKUP(((A405:A1239/'Life tables'!$I$2)*2)+age,lifetable,13,1),IF(male=1,VLOOKUP(((A405:A1239/'Life tables'!$I$2)*2)+age,lifetable,10,1),"error"))</f>
        <v>3.0034427820335718E-4</v>
      </c>
      <c r="F407" s="101">
        <f t="shared" si="108"/>
        <v>145.06741548314983</v>
      </c>
      <c r="G407" s="101">
        <f t="shared" si="109"/>
        <v>14.572325494655546</v>
      </c>
      <c r="H407" s="101">
        <f t="shared" si="110"/>
        <v>0.33346976610504092</v>
      </c>
      <c r="I407" s="101">
        <f t="shared" si="111"/>
        <v>0.33346976610504092</v>
      </c>
      <c r="J407" s="101">
        <f t="shared" si="112"/>
        <v>4.8147194248956783E-2</v>
      </c>
      <c r="K407" s="101">
        <f t="shared" si="113"/>
        <v>2.614040162212607E-2</v>
      </c>
      <c r="L407" s="101">
        <f t="shared" si="120"/>
        <v>129.75386286041311</v>
      </c>
      <c r="M407" s="101">
        <f t="shared" si="114"/>
        <v>764.75057542403204</v>
      </c>
      <c r="N407" s="101">
        <f t="shared" si="115"/>
        <v>73.647137342952405</v>
      </c>
      <c r="O407" s="101">
        <f t="shared" si="116"/>
        <v>1.757949534469849</v>
      </c>
      <c r="P407" s="101">
        <f t="shared" si="117"/>
        <v>1.757949534469849</v>
      </c>
      <c r="Q407" s="101">
        <f t="shared" si="118"/>
        <v>0.25286393605644214</v>
      </c>
      <c r="R407" s="101">
        <f t="shared" si="119"/>
        <v>2.0481619202366588E-2</v>
      </c>
      <c r="S407" s="101">
        <f t="shared" si="121"/>
        <v>687.31419345688118</v>
      </c>
      <c r="T407" s="101">
        <f t="shared" si="122"/>
        <v>68.037905588790039</v>
      </c>
      <c r="U407" s="101">
        <f t="shared" si="123"/>
        <v>22.4917366551581</v>
      </c>
      <c r="V407" s="33">
        <f t="shared" si="124"/>
        <v>1000.0000000000001</v>
      </c>
      <c r="W407" s="105">
        <f>IF(A407=1,((cPH1_+cPHr+(cNES*L407+(cNES+cOSEX)*G407+(cNES+cEREX)*H407+(cNES+cHOEX)*I407 + (cNES+cNES)*S407 +(cNES+ cOSEX)*N407 + (cNES+cEREX)*O407 + (cNES+cHOEX)*P407)))/(1+cDR)^A$5:A$65536,(cPHr+(cNES*L407+(cNES+cOSEX)*G407+(cNES+cEREX)*H407+(cNES+cHOEX)*I407 + (cNES+cNES)*S407 +(cNES+ cOSEX)*N407 + (cNES+cEREX)*O407 + (cNES+cHOEX)*P407))/(1+cDR)^A$5:A$65536)</f>
        <v>112528.56700441937</v>
      </c>
      <c r="X407" s="112">
        <f t="shared" si="125"/>
        <v>909.47035775605207</v>
      </c>
      <c r="Y407" s="32">
        <f>(uNES*L407+ uOCEX*G407+uEREX*'PH + UC'!H407+uHOEX*I407+uNES*S407+ uOCEX*N407+uEREX*O407+uHOEX*P407)/(1+oDR)^A$5:A$65536</f>
        <v>533.48058664301641</v>
      </c>
    </row>
    <row r="408" spans="1:25" x14ac:dyDescent="0.25">
      <c r="A408" s="4">
        <v>402</v>
      </c>
      <c r="C408" s="110">
        <f>IF(male=0,VLOOKUP(((A406:A1240/'Life tables'!$I$2)*2)+age,lifetable,13,1),IF(male=1,VLOOKUP(((A406:A1240/'Life tables'!$I$2)*2)+age,lifetable,10,1),"error"))</f>
        <v>3.0034427820335718E-4</v>
      </c>
      <c r="F408" s="101">
        <f t="shared" si="108"/>
        <v>145.0119748574073</v>
      </c>
      <c r="G408" s="101">
        <f t="shared" si="109"/>
        <v>14.566756367768871</v>
      </c>
      <c r="H408" s="101">
        <f t="shared" si="110"/>
        <v>0.33334232347819392</v>
      </c>
      <c r="I408" s="101">
        <f t="shared" si="111"/>
        <v>0.33334232347819392</v>
      </c>
      <c r="J408" s="101">
        <f t="shared" si="112"/>
        <v>4.8128793765512448E-2</v>
      </c>
      <c r="K408" s="101">
        <f t="shared" si="113"/>
        <v>2.6130411506714798E-2</v>
      </c>
      <c r="L408" s="101">
        <f t="shared" si="120"/>
        <v>129.70427463740981</v>
      </c>
      <c r="M408" s="101">
        <f t="shared" si="114"/>
        <v>764.45838289864469</v>
      </c>
      <c r="N408" s="101">
        <f t="shared" si="115"/>
        <v>73.618998569685246</v>
      </c>
      <c r="O408" s="101">
        <f t="shared" si="116"/>
        <v>1.7572778648686913</v>
      </c>
      <c r="P408" s="101">
        <f t="shared" si="117"/>
        <v>1.7572778648686913</v>
      </c>
      <c r="Q408" s="101">
        <f t="shared" si="118"/>
        <v>0.25276732291951864</v>
      </c>
      <c r="R408" s="101">
        <f t="shared" si="119"/>
        <v>2.0473793675677126E-2</v>
      </c>
      <c r="S408" s="101">
        <f t="shared" si="121"/>
        <v>687.05158748262681</v>
      </c>
      <c r="T408" s="101">
        <f t="shared" si="122"/>
        <v>68.338801705475063</v>
      </c>
      <c r="U408" s="101">
        <f t="shared" si="123"/>
        <v>22.53834086034049</v>
      </c>
      <c r="V408" s="33">
        <f t="shared" si="124"/>
        <v>999.99999999999989</v>
      </c>
      <c r="W408" s="105">
        <f>IF(A408=1,((cPH1_+cPHr+(cNES*L408+(cNES+cOSEX)*G408+(cNES+cEREX)*H408+(cNES+cHOEX)*I408 + (cNES+cNES)*S408 +(cNES+ cOSEX)*N408 + (cNES+cEREX)*O408 + (cNES+cHOEX)*P408)))/(1+cDR)^A$5:A$65536,(cPHr+(cNES*L408+(cNES+cOSEX)*G408+(cNES+cEREX)*H408+(cNES+cHOEX)*I408 + (cNES+cNES)*S408 +(cNES+ cOSEX)*N408 + (cNES+cEREX)*O408 + (cNES+cHOEX)*P408))/(1+cDR)^A$5:A$65536)</f>
        <v>112356.29091331213</v>
      </c>
      <c r="X408" s="112">
        <f t="shared" si="125"/>
        <v>909.12285743418454</v>
      </c>
      <c r="Y408" s="32">
        <f>(uNES*L408+ uOCEX*G408+uEREX*'PH + UC'!H408+uHOEX*I408+uNES*S408+ uOCEX*N408+uEREX*O408+uHOEX*P408)/(1+oDR)^A$5:A$65536</f>
        <v>533.12338444956288</v>
      </c>
    </row>
    <row r="409" spans="1:25" x14ac:dyDescent="0.25">
      <c r="A409" s="4">
        <v>403</v>
      </c>
      <c r="C409" s="110">
        <f>IF(male=0,VLOOKUP(((A407:A1241/'Life tables'!$I$2)*2)+age,lifetable,13,1),IF(male=1,VLOOKUP(((A407:A1241/'Life tables'!$I$2)*2)+age,lifetable,10,1),"error"))</f>
        <v>3.0034427820335718E-4</v>
      </c>
      <c r="F409" s="101">
        <f t="shared" si="108"/>
        <v>144.95655594142534</v>
      </c>
      <c r="G409" s="101">
        <f t="shared" si="109"/>
        <v>14.561189421673083</v>
      </c>
      <c r="H409" s="101">
        <f t="shared" si="110"/>
        <v>0.33321493075606712</v>
      </c>
      <c r="I409" s="101">
        <f t="shared" si="111"/>
        <v>0.33321493075606712</v>
      </c>
      <c r="J409" s="101">
        <f t="shared" si="112"/>
        <v>4.8110400487435749E-2</v>
      </c>
      <c r="K409" s="101">
        <f t="shared" si="113"/>
        <v>2.6120425303290638E-2</v>
      </c>
      <c r="L409" s="101">
        <f t="shared" si="120"/>
        <v>129.65470583244939</v>
      </c>
      <c r="M409" s="101">
        <f t="shared" si="114"/>
        <v>764.1663014927592</v>
      </c>
      <c r="N409" s="101">
        <f t="shared" si="115"/>
        <v>73.590870497466867</v>
      </c>
      <c r="O409" s="101">
        <f t="shared" si="116"/>
        <v>1.7566064507004588</v>
      </c>
      <c r="P409" s="101">
        <f t="shared" si="117"/>
        <v>1.7566064507004588</v>
      </c>
      <c r="Q409" s="101">
        <f t="shared" si="118"/>
        <v>0.25267074652413618</v>
      </c>
      <c r="R409" s="101">
        <f t="shared" si="119"/>
        <v>2.0465971125000235E-2</v>
      </c>
      <c r="S409" s="101">
        <f t="shared" si="121"/>
        <v>686.78908137624228</v>
      </c>
      <c r="T409" s="101">
        <f t="shared" si="122"/>
        <v>68.63958285248664</v>
      </c>
      <c r="U409" s="101">
        <f t="shared" si="123"/>
        <v>22.584927256768783</v>
      </c>
      <c r="V409" s="33">
        <f t="shared" si="124"/>
        <v>1000.0000000000001</v>
      </c>
      <c r="W409" s="105">
        <f>IF(A409=1,((cPH1_+cPHr+(cNES*L409+(cNES+cOSEX)*G409+(cNES+cEREX)*H409+(cNES+cHOEX)*I409 + (cNES+cNES)*S409 +(cNES+ cOSEX)*N409 + (cNES+cEREX)*O409 + (cNES+cHOEX)*P409)))/(1+cDR)^A$5:A$65536,(cPHr+(cNES*L409+(cNES+cOSEX)*G409+(cNES+cEREX)*H409+(cNES+cHOEX)*I409 + (cNES+cNES)*S409 +(cNES+ cOSEX)*N409 + (cNES+cEREX)*O409 + (cNES+cHOEX)*P409))/(1+cDR)^A$5:A$65536)</f>
        <v>112184.27854443731</v>
      </c>
      <c r="X409" s="112">
        <f t="shared" si="125"/>
        <v>908.77548989074467</v>
      </c>
      <c r="Y409" s="32">
        <f>(uNES*L409+ uOCEX*G409+uEREX*'PH + UC'!H409+uHOEX*I409+uNES*S409+ uOCEX*N409+uEREX*O409+uHOEX*P409)/(1+oDR)^A$5:A$65536</f>
        <v>532.76642142853689</v>
      </c>
    </row>
    <row r="410" spans="1:25" x14ac:dyDescent="0.25">
      <c r="A410" s="4">
        <v>404</v>
      </c>
      <c r="C410" s="110">
        <f>IF(male=0,VLOOKUP(((A408:A1242/'Life tables'!$I$2)*2)+age,lifetable,13,1),IF(male=1,VLOOKUP(((A408:A1242/'Life tables'!$I$2)*2)+age,lifetable,10,1),"error"))</f>
        <v>3.0034427820335718E-4</v>
      </c>
      <c r="F410" s="101">
        <f t="shared" si="108"/>
        <v>144.90115870321802</v>
      </c>
      <c r="G410" s="101">
        <f t="shared" si="109"/>
        <v>14.555624653155126</v>
      </c>
      <c r="H410" s="101">
        <f t="shared" si="110"/>
        <v>0.33308758786513371</v>
      </c>
      <c r="I410" s="101">
        <f t="shared" si="111"/>
        <v>0.33308758786513371</v>
      </c>
      <c r="J410" s="101">
        <f t="shared" si="112"/>
        <v>4.8092014404110692E-2</v>
      </c>
      <c r="K410" s="101">
        <f t="shared" si="113"/>
        <v>2.61104430060899E-2</v>
      </c>
      <c r="L410" s="101">
        <f t="shared" si="120"/>
        <v>129.60515641692243</v>
      </c>
      <c r="M410" s="101">
        <f t="shared" si="114"/>
        <v>763.87433118752665</v>
      </c>
      <c r="N410" s="101">
        <f t="shared" si="115"/>
        <v>73.562753124482086</v>
      </c>
      <c r="O410" s="101">
        <f t="shared" si="116"/>
        <v>1.755935291921823</v>
      </c>
      <c r="P410" s="101">
        <f t="shared" si="117"/>
        <v>1.755935291921823</v>
      </c>
      <c r="Q410" s="101">
        <f t="shared" si="118"/>
        <v>0.2525742068640624</v>
      </c>
      <c r="R410" s="101">
        <f t="shared" si="119"/>
        <v>2.0458151549831091E-2</v>
      </c>
      <c r="S410" s="101">
        <f t="shared" si="121"/>
        <v>686.52667512078699</v>
      </c>
      <c r="T410" s="101">
        <f t="shared" si="122"/>
        <v>68.940249073754813</v>
      </c>
      <c r="U410" s="101">
        <f t="shared" si="123"/>
        <v>22.631495851324704</v>
      </c>
      <c r="V410" s="33">
        <f t="shared" si="124"/>
        <v>1000.0000000000001</v>
      </c>
      <c r="W410" s="105">
        <f>IF(A410=1,((cPH1_+cPHr+(cNES*L410+(cNES+cOSEX)*G410+(cNES+cEREX)*H410+(cNES+cHOEX)*I410 + (cNES+cNES)*S410 +(cNES+ cOSEX)*N410 + (cNES+cEREX)*O410 + (cNES+cHOEX)*P410)))/(1+cDR)^A$5:A$65536,(cPHr+(cNES*L410+(cNES+cOSEX)*G410+(cNES+cEREX)*H410+(cNES+cHOEX)*I410 + (cNES+cNES)*S410 +(cNES+ cOSEX)*N410 + (cNES+cEREX)*O410 + (cNES+cHOEX)*P410))/(1+cDR)^A$5:A$65536)</f>
        <v>112012.5294953226</v>
      </c>
      <c r="X410" s="112">
        <f t="shared" si="125"/>
        <v>908.42825507492057</v>
      </c>
      <c r="Y410" s="32">
        <f>(uNES*L410+ uOCEX*G410+uEREX*'PH + UC'!H410+uHOEX*I410+uNES*S410+ uOCEX*N410+uEREX*O410+uHOEX*P410)/(1+oDR)^A$5:A$65536</f>
        <v>532.40969741975766</v>
      </c>
    </row>
    <row r="411" spans="1:25" x14ac:dyDescent="0.25">
      <c r="A411" s="4">
        <v>405</v>
      </c>
      <c r="C411" s="110">
        <f>IF(male=0,VLOOKUP(((A409:A1243/'Life tables'!$I$2)*2)+age,lifetable,13,1),IF(male=1,VLOOKUP(((A409:A1243/'Life tables'!$I$2)*2)+age,lifetable,10,1),"error"))</f>
        <v>3.0034427820335718E-4</v>
      </c>
      <c r="F411" s="101">
        <f t="shared" si="108"/>
        <v>144.84578311187786</v>
      </c>
      <c r="G411" s="101">
        <f t="shared" si="109"/>
        <v>14.55006205911028</v>
      </c>
      <c r="H411" s="101">
        <f t="shared" si="110"/>
        <v>0.33296029473434602</v>
      </c>
      <c r="I411" s="101">
        <f t="shared" si="111"/>
        <v>0.33296029473434602</v>
      </c>
      <c r="J411" s="101">
        <f t="shared" si="112"/>
        <v>4.8073635505279239E-2</v>
      </c>
      <c r="K411" s="101">
        <f t="shared" si="113"/>
        <v>2.6100464609543211E-2</v>
      </c>
      <c r="L411" s="101">
        <f t="shared" si="120"/>
        <v>129.55562636318407</v>
      </c>
      <c r="M411" s="101">
        <f t="shared" si="114"/>
        <v>763.58247196304262</v>
      </c>
      <c r="N411" s="101">
        <f t="shared" si="115"/>
        <v>73.534646448814058</v>
      </c>
      <c r="O411" s="101">
        <f t="shared" si="116"/>
        <v>1.7552643884870294</v>
      </c>
      <c r="P411" s="101">
        <f t="shared" si="117"/>
        <v>1.7552643884870294</v>
      </c>
      <c r="Q411" s="101">
        <f t="shared" si="118"/>
        <v>0.25247770393271579</v>
      </c>
      <c r="R411" s="101">
        <f t="shared" si="119"/>
        <v>2.0450334949636623E-2</v>
      </c>
      <c r="S411" s="101">
        <f t="shared" si="121"/>
        <v>686.2643686983721</v>
      </c>
      <c r="T411" s="101">
        <f t="shared" si="122"/>
        <v>69.240800413192815</v>
      </c>
      <c r="U411" s="101">
        <f t="shared" si="123"/>
        <v>22.678046650883886</v>
      </c>
      <c r="V411" s="33">
        <f t="shared" si="124"/>
        <v>999.99999999999989</v>
      </c>
      <c r="W411" s="105">
        <f>IF(A411=1,((cPH1_+cPHr+(cNES*L411+(cNES+cOSEX)*G411+(cNES+cEREX)*H411+(cNES+cHOEX)*I411 + (cNES+cNES)*S411 +(cNES+ cOSEX)*N411 + (cNES+cEREX)*O411 + (cNES+cHOEX)*P411)))/(1+cDR)^A$5:A$65536,(cPHr+(cNES*L411+(cNES+cOSEX)*G411+(cNES+cEREX)*H411+(cNES+cHOEX)*I411 + (cNES+cNES)*S411 +(cNES+ cOSEX)*N411 + (cNES+cEREX)*O411 + (cNES+cHOEX)*P411))/(1+cDR)^A$5:A$65536)</f>
        <v>111841.0433640527</v>
      </c>
      <c r="X411" s="112">
        <f t="shared" si="125"/>
        <v>908.08115293592323</v>
      </c>
      <c r="Y411" s="32">
        <f>(uNES*L411+ uOCEX*G411+uEREX*'PH + UC'!H411+uHOEX*I411+uNES*S411+ uOCEX*N411+uEREX*O411+uHOEX*P411)/(1+oDR)^A$5:A$65536</f>
        <v>532.05321226315391</v>
      </c>
    </row>
    <row r="412" spans="1:25" x14ac:dyDescent="0.25">
      <c r="A412" s="4">
        <v>406</v>
      </c>
      <c r="C412" s="110">
        <f>IF(male=0,VLOOKUP(((A410:A1244/'Life tables'!$I$2)*2)+age,lifetable,13,1),IF(male=1,VLOOKUP(((A410:A1244/'Life tables'!$I$2)*2)+age,lifetable,10,1),"error"))</f>
        <v>3.0034427820335718E-4</v>
      </c>
      <c r="F412" s="101">
        <f t="shared" si="108"/>
        <v>144.7904291375275</v>
      </c>
      <c r="G412" s="101">
        <f t="shared" si="109"/>
        <v>14.5445016365373</v>
      </c>
      <c r="H412" s="101">
        <f t="shared" si="110"/>
        <v>0.33283305129502422</v>
      </c>
      <c r="I412" s="101">
        <f t="shared" si="111"/>
        <v>0.33283305129502422</v>
      </c>
      <c r="J412" s="101">
        <f t="shared" si="112"/>
        <v>4.8055263781025225E-2</v>
      </c>
      <c r="K412" s="101">
        <f t="shared" si="113"/>
        <v>2.609049010826682E-2</v>
      </c>
      <c r="L412" s="101">
        <f t="shared" si="120"/>
        <v>129.50611564451086</v>
      </c>
      <c r="M412" s="101">
        <f t="shared" si="114"/>
        <v>763.29072379839579</v>
      </c>
      <c r="N412" s="101">
        <f t="shared" si="115"/>
        <v>73.506550468448964</v>
      </c>
      <c r="O412" s="101">
        <f t="shared" si="116"/>
        <v>1.7545937403480083</v>
      </c>
      <c r="P412" s="101">
        <f t="shared" si="117"/>
        <v>1.7545937403480083</v>
      </c>
      <c r="Q412" s="101">
        <f t="shared" si="118"/>
        <v>0.25238123772318211</v>
      </c>
      <c r="R412" s="101">
        <f t="shared" si="119"/>
        <v>2.0442521323856776E-2</v>
      </c>
      <c r="S412" s="101">
        <f t="shared" si="121"/>
        <v>686.0021620902038</v>
      </c>
      <c r="T412" s="101">
        <f t="shared" si="122"/>
        <v>69.541236914697024</v>
      </c>
      <c r="U412" s="101">
        <f t="shared" si="123"/>
        <v>22.72457966231601</v>
      </c>
      <c r="V412" s="33">
        <f t="shared" si="124"/>
        <v>1000</v>
      </c>
      <c r="W412" s="105">
        <f>IF(A412=1,((cPH1_+cPHr+(cNES*L412+(cNES+cOSEX)*G412+(cNES+cEREX)*H412+(cNES+cHOEX)*I412 + (cNES+cNES)*S412 +(cNES+ cOSEX)*N412 + (cNES+cEREX)*O412 + (cNES+cHOEX)*P412)))/(1+cDR)^A$5:A$65536,(cPHr+(cNES*L412+(cNES+cOSEX)*G412+(cNES+cEREX)*H412+(cNES+cHOEX)*I412 + (cNES+cNES)*S412 +(cNES+ cOSEX)*N412 + (cNES+cEREX)*O412 + (cNES+cHOEX)*P412))/(1+cDR)^A$5:A$65536)</f>
        <v>111669.81974927131</v>
      </c>
      <c r="X412" s="112">
        <f t="shared" si="125"/>
        <v>907.73418342298692</v>
      </c>
      <c r="Y412" s="32">
        <f>(uNES*L412+ uOCEX*G412+uEREX*'PH + UC'!H412+uHOEX*I412+uNES*S412+ uOCEX*N412+uEREX*O412+uHOEX*P412)/(1+oDR)^A$5:A$65536</f>
        <v>531.69696579876336</v>
      </c>
    </row>
    <row r="413" spans="1:25" x14ac:dyDescent="0.25">
      <c r="A413" s="4">
        <v>407</v>
      </c>
      <c r="C413" s="110">
        <f>IF(male=0,VLOOKUP(((A411:A1245/'Life tables'!$I$2)*2)+age,lifetable,13,1),IF(male=1,VLOOKUP(((A411:A1245/'Life tables'!$I$2)*2)+age,lifetable,10,1),"error"))</f>
        <v>3.0034427820335718E-4</v>
      </c>
      <c r="F413" s="101">
        <f t="shared" si="108"/>
        <v>144.73509675127323</v>
      </c>
      <c r="G413" s="101">
        <f t="shared" si="109"/>
        <v>14.538943382533756</v>
      </c>
      <c r="H413" s="101">
        <f t="shared" si="110"/>
        <v>0.33270585748074971</v>
      </c>
      <c r="I413" s="101">
        <f t="shared" si="111"/>
        <v>0.33270585748074971</v>
      </c>
      <c r="J413" s="101">
        <f t="shared" si="112"/>
        <v>4.803689922175898E-2</v>
      </c>
      <c r="K413" s="101">
        <f t="shared" si="113"/>
        <v>2.6080519497054235E-2</v>
      </c>
      <c r="L413" s="101">
        <f t="shared" si="120"/>
        <v>129.45662423505917</v>
      </c>
      <c r="M413" s="101">
        <f t="shared" si="114"/>
        <v>762.99908667171371</v>
      </c>
      <c r="N413" s="101">
        <f t="shared" si="115"/>
        <v>73.47846518128047</v>
      </c>
      <c r="O413" s="101">
        <f t="shared" si="116"/>
        <v>1.7539233474544815</v>
      </c>
      <c r="P413" s="101">
        <f t="shared" si="117"/>
        <v>1.7539233474544815</v>
      </c>
      <c r="Q413" s="101">
        <f t="shared" si="118"/>
        <v>0.2522848082282293</v>
      </c>
      <c r="R413" s="101">
        <f t="shared" si="119"/>
        <v>2.0434710671905765E-2</v>
      </c>
      <c r="S413" s="101">
        <f t="shared" si="121"/>
        <v>685.74005527662416</v>
      </c>
      <c r="T413" s="101">
        <f t="shared" si="122"/>
        <v>69.841558622147005</v>
      </c>
      <c r="U413" s="101">
        <f t="shared" si="123"/>
        <v>22.771094892484971</v>
      </c>
      <c r="V413" s="33">
        <f t="shared" si="124"/>
        <v>999.99999999999989</v>
      </c>
      <c r="W413" s="105">
        <f>IF(A413=1,((cPH1_+cPHr+(cNES*L413+(cNES+cOSEX)*G413+(cNES+cEREX)*H413+(cNES+cHOEX)*I413 + (cNES+cNES)*S413 +(cNES+ cOSEX)*N413 + (cNES+cEREX)*O413 + (cNES+cHOEX)*P413)))/(1+cDR)^A$5:A$65536,(cPHr+(cNES*L413+(cNES+cOSEX)*G413+(cNES+cEREX)*H413+(cNES+cHOEX)*I413 + (cNES+cNES)*S413 +(cNES+ cOSEX)*N413 + (cNES+cEREX)*O413 + (cNES+cHOEX)*P413))/(1+cDR)^A$5:A$65536)</f>
        <v>111498.85825018279</v>
      </c>
      <c r="X413" s="112">
        <f t="shared" si="125"/>
        <v>907.38734648536797</v>
      </c>
      <c r="Y413" s="32">
        <f>(uNES*L413+ uOCEX*G413+uEREX*'PH + UC'!H413+uHOEX*I413+uNES*S413+ uOCEX*N413+uEREX*O413+uHOEX*P413)/(1+oDR)^A$5:A$65536</f>
        <v>531.34095786673151</v>
      </c>
    </row>
    <row r="414" spans="1:25" x14ac:dyDescent="0.25">
      <c r="A414" s="4">
        <v>408</v>
      </c>
      <c r="C414" s="110">
        <f>IF(male=0,VLOOKUP(((A412:A1246/'Life tables'!$I$2)*2)+age,lifetable,13,1),IF(male=1,VLOOKUP(((A412:A1246/'Life tables'!$I$2)*2)+age,lifetable,10,1),"error"))</f>
        <v>3.0034427820335718E-4</v>
      </c>
      <c r="F414" s="101">
        <f t="shared" si="108"/>
        <v>144.67978592516116</v>
      </c>
      <c r="G414" s="101">
        <f t="shared" si="109"/>
        <v>14.533387294291616</v>
      </c>
      <c r="H414" s="101">
        <f t="shared" si="110"/>
        <v>0.33257871322726423</v>
      </c>
      <c r="I414" s="101">
        <f t="shared" si="111"/>
        <v>0.33257871322726423</v>
      </c>
      <c r="J414" s="101">
        <f t="shared" si="112"/>
        <v>4.8018541818202705E-2</v>
      </c>
      <c r="K414" s="101">
        <f t="shared" si="113"/>
        <v>2.60705527708683E-2</v>
      </c>
      <c r="L414" s="101">
        <f t="shared" si="120"/>
        <v>129.40715210982594</v>
      </c>
      <c r="M414" s="101">
        <f t="shared" si="114"/>
        <v>762.70756056020696</v>
      </c>
      <c r="N414" s="101">
        <f t="shared" si="115"/>
        <v>73.45039058511388</v>
      </c>
      <c r="O414" s="101">
        <f t="shared" si="116"/>
        <v>1.7532532097540621</v>
      </c>
      <c r="P414" s="101">
        <f t="shared" si="117"/>
        <v>1.7532532097540621</v>
      </c>
      <c r="Q414" s="101">
        <f t="shared" si="118"/>
        <v>0.252188415440322</v>
      </c>
      <c r="R414" s="101">
        <f t="shared" si="119"/>
        <v>2.0426902993173235E-2</v>
      </c>
      <c r="S414" s="101">
        <f t="shared" si="121"/>
        <v>685.47804823715148</v>
      </c>
      <c r="T414" s="101">
        <f t="shared" si="122"/>
        <v>70.141765579405529</v>
      </c>
      <c r="U414" s="101">
        <f t="shared" si="123"/>
        <v>22.817592348249011</v>
      </c>
      <c r="V414" s="33">
        <f t="shared" si="124"/>
        <v>1000.0000000000001</v>
      </c>
      <c r="W414" s="105">
        <f>IF(A414=1,((cPH1_+cPHr+(cNES*L414+(cNES+cOSEX)*G414+(cNES+cEREX)*H414+(cNES+cHOEX)*I414 + (cNES+cNES)*S414 +(cNES+ cOSEX)*N414 + (cNES+cEREX)*O414 + (cNES+cHOEX)*P414)))/(1+cDR)^A$5:A$65536,(cPHr+(cNES*L414+(cNES+cOSEX)*G414+(cNES+cEREX)*H414+(cNES+cHOEX)*I414 + (cNES+cNES)*S414 +(cNES+ cOSEX)*N414 + (cNES+cEREX)*O414 + (cNES+cHOEX)*P414))/(1+cDR)^A$5:A$65536)</f>
        <v>111328.15846655397</v>
      </c>
      <c r="X414" s="112">
        <f t="shared" si="125"/>
        <v>907.04064207234558</v>
      </c>
      <c r="Y414" s="32">
        <f>(uNES*L414+ uOCEX*G414+uEREX*'PH + UC'!H414+uHOEX*I414+uNES*S414+ uOCEX*N414+uEREX*O414+uHOEX*P414)/(1+oDR)^A$5:A$65536</f>
        <v>530.98518830731336</v>
      </c>
    </row>
    <row r="415" spans="1:25" x14ac:dyDescent="0.25">
      <c r="A415" s="4">
        <v>409</v>
      </c>
      <c r="C415" s="110">
        <f>IF(male=0,VLOOKUP(((A413:A1247/'Life tables'!$I$2)*2)+age,lifetable,13,1),IF(male=1,VLOOKUP(((A413:A1247/'Life tables'!$I$2)*2)+age,lifetable,10,1),"error"))</f>
        <v>3.0034427820335718E-4</v>
      </c>
      <c r="F415" s="101">
        <f t="shared" si="108"/>
        <v>144.62449663213479</v>
      </c>
      <c r="G415" s="101">
        <f t="shared" si="109"/>
        <v>14.527833369093003</v>
      </c>
      <c r="H415" s="101">
        <f t="shared" si="110"/>
        <v>0.33245161847237248</v>
      </c>
      <c r="I415" s="101">
        <f t="shared" si="111"/>
        <v>0.33245161847237248</v>
      </c>
      <c r="J415" s="101">
        <f t="shared" si="112"/>
        <v>4.8000191561376512E-2</v>
      </c>
      <c r="K415" s="101">
        <f t="shared" si="113"/>
        <v>2.606058992483359E-2</v>
      </c>
      <c r="L415" s="101">
        <f t="shared" si="120"/>
        <v>129.35769924461084</v>
      </c>
      <c r="M415" s="101">
        <f t="shared" si="114"/>
        <v>762.41614544021058</v>
      </c>
      <c r="N415" s="101">
        <f t="shared" si="115"/>
        <v>73.422326677670227</v>
      </c>
      <c r="O415" s="101">
        <f t="shared" si="116"/>
        <v>1.7525833271923508</v>
      </c>
      <c r="P415" s="101">
        <f t="shared" si="117"/>
        <v>1.7525833271923508</v>
      </c>
      <c r="Q415" s="101">
        <f t="shared" si="118"/>
        <v>0.25209205935163548</v>
      </c>
      <c r="R415" s="101">
        <f t="shared" si="119"/>
        <v>2.041909828702539E-2</v>
      </c>
      <c r="S415" s="101">
        <f t="shared" si="121"/>
        <v>685.216140950517</v>
      </c>
      <c r="T415" s="101">
        <f t="shared" si="122"/>
        <v>70.44185783031854</v>
      </c>
      <c r="U415" s="101">
        <f t="shared" si="123"/>
        <v>22.864072036460872</v>
      </c>
      <c r="V415" s="33">
        <f t="shared" si="124"/>
        <v>1000</v>
      </c>
      <c r="W415" s="105">
        <f>IF(A415=1,((cPH1_+cPHr+(cNES*L415+(cNES+cOSEX)*G415+(cNES+cEREX)*H415+(cNES+cHOEX)*I415 + (cNES+cNES)*S415 +(cNES+ cOSEX)*N415 + (cNES+cEREX)*O415 + (cNES+cHOEX)*P415)))/(1+cDR)^A$5:A$65536,(cPHr+(cNES*L415+(cNES+cOSEX)*G415+(cNES+cEREX)*H415+(cNES+cHOEX)*I415 + (cNES+cNES)*S415 +(cNES+ cOSEX)*N415 + (cNES+cEREX)*O415 + (cNES+cHOEX)*P415))/(1+cDR)^A$5:A$65536)</f>
        <v>111157.71999871521</v>
      </c>
      <c r="X415" s="112">
        <f t="shared" si="125"/>
        <v>906.69407013322052</v>
      </c>
      <c r="Y415" s="32">
        <f>(uNES*L415+ uOCEX*G415+uEREX*'PH + UC'!H415+uHOEX*I415+uNES*S415+ uOCEX*N415+uEREX*O415+uHOEX*P415)/(1+oDR)^A$5:A$65536</f>
        <v>530.62965696087156</v>
      </c>
    </row>
    <row r="416" spans="1:25" x14ac:dyDescent="0.25">
      <c r="A416" s="4">
        <v>410</v>
      </c>
      <c r="C416" s="110">
        <f>IF(male=0,VLOOKUP(((A414:A1248/'Life tables'!$I$2)*2)+age,lifetable,13,1),IF(male=1,VLOOKUP(((A414:A1248/'Life tables'!$I$2)*2)+age,lifetable,10,1),"error"))</f>
        <v>3.0034427820335718E-4</v>
      </c>
      <c r="F416" s="101">
        <f t="shared" si="108"/>
        <v>144.56922884599493</v>
      </c>
      <c r="G416" s="101">
        <f t="shared" si="109"/>
        <v>14.52228160430615</v>
      </c>
      <c r="H416" s="101">
        <f t="shared" si="110"/>
        <v>0.33232457315584968</v>
      </c>
      <c r="I416" s="101">
        <f t="shared" si="111"/>
        <v>0.33232457315584968</v>
      </c>
      <c r="J416" s="101">
        <f t="shared" si="112"/>
        <v>4.798184844258499E-2</v>
      </c>
      <c r="K416" s="101">
        <f t="shared" si="113"/>
        <v>2.6050630954229128E-2</v>
      </c>
      <c r="L416" s="101">
        <f t="shared" si="120"/>
        <v>129.30826561598028</v>
      </c>
      <c r="M416" s="101">
        <f t="shared" si="114"/>
        <v>762.12484128722554</v>
      </c>
      <c r="N416" s="101">
        <f t="shared" si="115"/>
        <v>73.39427345659017</v>
      </c>
      <c r="O416" s="101">
        <f t="shared" si="116"/>
        <v>1.7519136997130316</v>
      </c>
      <c r="P416" s="101">
        <f t="shared" si="117"/>
        <v>1.7519136997130316</v>
      </c>
      <c r="Q416" s="101">
        <f t="shared" si="118"/>
        <v>0.25199573995406904</v>
      </c>
      <c r="R416" s="101">
        <f t="shared" si="119"/>
        <v>2.0411296552806102E-2</v>
      </c>
      <c r="S416" s="101">
        <f t="shared" si="121"/>
        <v>684.95433339470242</v>
      </c>
      <c r="T416" s="101">
        <f t="shared" si="122"/>
        <v>70.741835418715198</v>
      </c>
      <c r="U416" s="101">
        <f t="shared" si="123"/>
        <v>22.910533963967907</v>
      </c>
      <c r="V416" s="33">
        <f t="shared" si="124"/>
        <v>1000</v>
      </c>
      <c r="W416" s="105">
        <f>IF(A416=1,((cPH1_+cPHr+(cNES*L416+(cNES+cOSEX)*G416+(cNES+cEREX)*H416+(cNES+cHOEX)*I416 + (cNES+cNES)*S416 +(cNES+ cOSEX)*N416 + (cNES+cEREX)*O416 + (cNES+cHOEX)*P416)))/(1+cDR)^A$5:A$65536,(cPHr+(cNES*L416+(cNES+cOSEX)*G416+(cNES+cEREX)*H416+(cNES+cHOEX)*I416 + (cNES+cNES)*S416 +(cNES+ cOSEX)*N416 + (cNES+cEREX)*O416 + (cNES+cHOEX)*P416))/(1+cDR)^A$5:A$65536)</f>
        <v>110987.5424475623</v>
      </c>
      <c r="X416" s="112">
        <f t="shared" si="125"/>
        <v>906.34763061731678</v>
      </c>
      <c r="Y416" s="32">
        <f>(uNES*L416+ uOCEX*G416+uEREX*'PH + UC'!H416+uHOEX*I416+uNES*S416+ uOCEX*N416+uEREX*O416+uHOEX*P416)/(1+oDR)^A$5:A$65536</f>
        <v>530.27436366787776</v>
      </c>
    </row>
    <row r="417" spans="1:25" x14ac:dyDescent="0.25">
      <c r="A417" s="4">
        <v>411</v>
      </c>
      <c r="C417" s="110">
        <f>IF(male=0,VLOOKUP(((A415:A1249/'Life tables'!$I$2)*2)+age,lifetable,13,1),IF(male=1,VLOOKUP(((A415:A1249/'Life tables'!$I$2)*2)+age,lifetable,10,1),"error"))</f>
        <v>3.0034427820335718E-4</v>
      </c>
      <c r="F417" s="101">
        <f t="shared" si="108"/>
        <v>144.51398254136123</v>
      </c>
      <c r="G417" s="101">
        <f t="shared" si="109"/>
        <v>14.51673199738155</v>
      </c>
      <c r="H417" s="101">
        <f t="shared" si="110"/>
        <v>0.33219757721935345</v>
      </c>
      <c r="I417" s="101">
        <f t="shared" si="111"/>
        <v>0.33219757721935345</v>
      </c>
      <c r="J417" s="101">
        <f t="shared" si="112"/>
        <v>4.7963512453404543E-2</v>
      </c>
      <c r="K417" s="101">
        <f t="shared" si="113"/>
        <v>2.6040675854481516E-2</v>
      </c>
      <c r="L417" s="101">
        <f t="shared" si="120"/>
        <v>129.25885120123309</v>
      </c>
      <c r="M417" s="101">
        <f t="shared" si="114"/>
        <v>761.83364807595547</v>
      </c>
      <c r="N417" s="101">
        <f t="shared" si="115"/>
        <v>73.366230919437655</v>
      </c>
      <c r="O417" s="101">
        <f t="shared" si="116"/>
        <v>1.7512443272579548</v>
      </c>
      <c r="P417" s="101">
        <f t="shared" si="117"/>
        <v>1.7512443272579548</v>
      </c>
      <c r="Q417" s="101">
        <f t="shared" si="118"/>
        <v>0.25189945723925866</v>
      </c>
      <c r="R417" s="101">
        <f t="shared" si="119"/>
        <v>2.0403497789837872E-2</v>
      </c>
      <c r="S417" s="101">
        <f t="shared" si="121"/>
        <v>684.69262554697275</v>
      </c>
      <c r="T417" s="101">
        <f t="shared" si="122"/>
        <v>71.041698388407866</v>
      </c>
      <c r="U417" s="101">
        <f t="shared" si="123"/>
        <v>22.956978137612225</v>
      </c>
      <c r="V417" s="33">
        <f t="shared" si="124"/>
        <v>999.99999999999977</v>
      </c>
      <c r="W417" s="105">
        <f>IF(A417=1,((cPH1_+cPHr+(cNES*L417+(cNES+cOSEX)*G417+(cNES+cEREX)*H417+(cNES+cHOEX)*I417 + (cNES+cNES)*S417 +(cNES+ cOSEX)*N417 + (cNES+cEREX)*O417 + (cNES+cHOEX)*P417)))/(1+cDR)^A$5:A$65536,(cPHr+(cNES*L417+(cNES+cOSEX)*G417+(cNES+cEREX)*H417+(cNES+cHOEX)*I417 + (cNES+cNES)*S417 +(cNES+ cOSEX)*N417 + (cNES+cEREX)*O417 + (cNES+cHOEX)*P417))/(1+cDR)^A$5:A$65536)</f>
        <v>110817.62541455749</v>
      </c>
      <c r="X417" s="112">
        <f t="shared" si="125"/>
        <v>906.00132347397971</v>
      </c>
      <c r="Y417" s="32">
        <f>(uNES*L417+ uOCEX*G417+uEREX*'PH + UC'!H417+uHOEX*I417+uNES*S417+ uOCEX*N417+uEREX*O417+uHOEX*P417)/(1+oDR)^A$5:A$65536</f>
        <v>529.91930826891121</v>
      </c>
    </row>
    <row r="418" spans="1:25" x14ac:dyDescent="0.25">
      <c r="A418" s="4">
        <v>412</v>
      </c>
      <c r="C418" s="110">
        <f>IF(male=0,VLOOKUP(((A416:A1250/'Life tables'!$I$2)*2)+age,lifetable,13,1),IF(male=1,VLOOKUP(((A416:A1250/'Life tables'!$I$2)*2)+age,lifetable,10,1),"error"))</f>
        <v>3.0034427820335718E-4</v>
      </c>
      <c r="F418" s="101">
        <f t="shared" si="108"/>
        <v>144.45875769363536</v>
      </c>
      <c r="G418" s="101">
        <f t="shared" si="109"/>
        <v>14.511184545848247</v>
      </c>
      <c r="H418" s="101">
        <f t="shared" si="110"/>
        <v>0.33207063060633912</v>
      </c>
      <c r="I418" s="101">
        <f t="shared" si="111"/>
        <v>0.33207063060633912</v>
      </c>
      <c r="J418" s="101">
        <f t="shared" si="112"/>
        <v>4.794518358567107E-2</v>
      </c>
      <c r="K418" s="101">
        <f t="shared" si="113"/>
        <v>2.6030724621158255E-2</v>
      </c>
      <c r="L418" s="101">
        <f t="shared" si="120"/>
        <v>129.2094559783676</v>
      </c>
      <c r="M418" s="101">
        <f t="shared" si="114"/>
        <v>761.54256578034426</v>
      </c>
      <c r="N418" s="101">
        <f t="shared" si="115"/>
        <v>73.338199063703385</v>
      </c>
      <c r="O418" s="101">
        <f t="shared" si="116"/>
        <v>1.7505752097672247</v>
      </c>
      <c r="P418" s="101">
        <f t="shared" si="117"/>
        <v>1.7505752097672247</v>
      </c>
      <c r="Q418" s="101">
        <f t="shared" si="118"/>
        <v>0.25180321119858873</v>
      </c>
      <c r="R418" s="101">
        <f t="shared" si="119"/>
        <v>2.0395701997422872E-2</v>
      </c>
      <c r="S418" s="101">
        <f t="shared" si="121"/>
        <v>684.43101738391044</v>
      </c>
      <c r="T418" s="101">
        <f t="shared" si="122"/>
        <v>71.341446783192126</v>
      </c>
      <c r="U418" s="101">
        <f t="shared" si="123"/>
        <v>23.003404564230806</v>
      </c>
      <c r="V418" s="33">
        <f t="shared" si="124"/>
        <v>999.99999999999977</v>
      </c>
      <c r="W418" s="105">
        <f>IF(A418=1,((cPH1_+cPHr+(cNES*L418+(cNES+cOSEX)*G418+(cNES+cEREX)*H418+(cNES+cHOEX)*I418 + (cNES+cNES)*S418 +(cNES+ cOSEX)*N418 + (cNES+cEREX)*O418 + (cNES+cHOEX)*P418)))/(1+cDR)^A$5:A$65536,(cPHr+(cNES*L418+(cNES+cOSEX)*G418+(cNES+cEREX)*H418+(cNES+cHOEX)*I418 + (cNES+cNES)*S418 +(cNES+ cOSEX)*N418 + (cNES+cEREX)*O418 + (cNES+cHOEX)*P418))/(1+cDR)^A$5:A$65536)</f>
        <v>110647.96850173082</v>
      </c>
      <c r="X418" s="112">
        <f t="shared" si="125"/>
        <v>905.65514865257683</v>
      </c>
      <c r="Y418" s="32">
        <f>(uNES*L418+ uOCEX*G418+uEREX*'PH + UC'!H418+uHOEX*I418+uNES*S418+ uOCEX*N418+uEREX*O418+uHOEX*P418)/(1+oDR)^A$5:A$65536</f>
        <v>529.56449060465911</v>
      </c>
    </row>
    <row r="419" spans="1:25" x14ac:dyDescent="0.25">
      <c r="A419" s="4">
        <v>413</v>
      </c>
      <c r="C419" s="110">
        <f>IF(male=0,VLOOKUP(((A417:A1251/'Life tables'!$I$2)*2)+age,lifetable,13,1),IF(male=1,VLOOKUP(((A417:A1251/'Life tables'!$I$2)*2)+age,lifetable,10,1),"error"))</f>
        <v>3.0034427820335718E-4</v>
      </c>
      <c r="F419" s="101">
        <f t="shared" si="108"/>
        <v>144.40355427896617</v>
      </c>
      <c r="G419" s="101">
        <f t="shared" si="109"/>
        <v>14.505639247310345</v>
      </c>
      <c r="H419" s="101">
        <f t="shared" si="110"/>
        <v>0.3319437332619794</v>
      </c>
      <c r="I419" s="101">
        <f t="shared" si="111"/>
        <v>0.3319437332619794</v>
      </c>
      <c r="J419" s="101">
        <f t="shared" si="112"/>
        <v>4.7926861831468513E-2</v>
      </c>
      <c r="K419" s="101">
        <f t="shared" si="113"/>
        <v>2.6020777249961494E-2</v>
      </c>
      <c r="L419" s="101">
        <f t="shared" si="120"/>
        <v>129.16007992605043</v>
      </c>
      <c r="M419" s="101">
        <f t="shared" si="114"/>
        <v>761.25159437361083</v>
      </c>
      <c r="N419" s="101">
        <f t="shared" si="115"/>
        <v>73.310177886808319</v>
      </c>
      <c r="O419" s="101">
        <f t="shared" si="116"/>
        <v>1.7499063471792788</v>
      </c>
      <c r="P419" s="101">
        <f t="shared" si="117"/>
        <v>1.7499063471792788</v>
      </c>
      <c r="Q419" s="101">
        <f t="shared" si="118"/>
        <v>0.25170700182320427</v>
      </c>
      <c r="R419" s="101">
        <f t="shared" si="119"/>
        <v>2.038790917484384E-2</v>
      </c>
      <c r="S419" s="101">
        <f t="shared" si="121"/>
        <v>684.16950888144595</v>
      </c>
      <c r="T419" s="101">
        <f t="shared" si="122"/>
        <v>71.641080646846802</v>
      </c>
      <c r="U419" s="101">
        <f t="shared" si="123"/>
        <v>23.04981325065561</v>
      </c>
      <c r="V419" s="33">
        <f t="shared" si="124"/>
        <v>1000</v>
      </c>
      <c r="W419" s="105">
        <f>IF(A419=1,((cPH1_+cPHr+(cNES*L419+(cNES+cOSEX)*G419+(cNES+cEREX)*H419+(cNES+cHOEX)*I419 + (cNES+cNES)*S419 +(cNES+ cOSEX)*N419 + (cNES+cEREX)*O419 + (cNES+cHOEX)*P419)))/(1+cDR)^A$5:A$65536,(cPHr+(cNES*L419+(cNES+cOSEX)*G419+(cNES+cEREX)*H419+(cNES+cHOEX)*I419 + (cNES+cNES)*S419 +(cNES+ cOSEX)*N419 + (cNES+cEREX)*O419 + (cNES+cHOEX)*P419))/(1+cDR)^A$5:A$65536)</f>
        <v>110478.57131168089</v>
      </c>
      <c r="X419" s="112">
        <f t="shared" si="125"/>
        <v>905.30910610249748</v>
      </c>
      <c r="Y419" s="32">
        <f>(uNES*L419+ uOCEX*G419+uEREX*'PH + UC'!H419+uHOEX*I419+uNES*S419+ uOCEX*N419+uEREX*O419+uHOEX*P419)/(1+oDR)^A$5:A$65536</f>
        <v>529.2099105159167</v>
      </c>
    </row>
    <row r="420" spans="1:25" x14ac:dyDescent="0.25">
      <c r="A420" s="4">
        <v>414</v>
      </c>
      <c r="C420" s="110">
        <f>IF(male=0,VLOOKUP(((A418:A1252/'Life tables'!$I$2)*2)+age,lifetable,13,1),IF(male=1,VLOOKUP(((A418:A1252/'Life tables'!$I$2)*2)+age,lifetable,10,1),"error"))</f>
        <v>3.0034427820335718E-4</v>
      </c>
      <c r="F420" s="101">
        <f t="shared" si="108"/>
        <v>144.34837227421593</v>
      </c>
      <c r="G420" s="101">
        <f t="shared" si="109"/>
        <v>14.500096099443612</v>
      </c>
      <c r="H420" s="101">
        <f t="shared" si="110"/>
        <v>0.33181688513308721</v>
      </c>
      <c r="I420" s="101">
        <f t="shared" si="111"/>
        <v>0.33181688513308721</v>
      </c>
      <c r="J420" s="101">
        <f t="shared" si="112"/>
        <v>4.7908547183117552E-2</v>
      </c>
      <c r="K420" s="101">
        <f t="shared" si="113"/>
        <v>2.6010833736721937E-2</v>
      </c>
      <c r="L420" s="101">
        <f t="shared" si="120"/>
        <v>129.1107230235863</v>
      </c>
      <c r="M420" s="101">
        <f t="shared" si="114"/>
        <v>760.9607338282816</v>
      </c>
      <c r="N420" s="101">
        <f t="shared" si="115"/>
        <v>73.28216738610665</v>
      </c>
      <c r="O420" s="101">
        <f t="shared" si="116"/>
        <v>1.7492377394309635</v>
      </c>
      <c r="P420" s="101">
        <f t="shared" si="117"/>
        <v>1.7492377394309635</v>
      </c>
      <c r="Q420" s="101">
        <f t="shared" si="118"/>
        <v>0.25161082910402099</v>
      </c>
      <c r="R420" s="101">
        <f t="shared" si="119"/>
        <v>2.0380119321364982E-2</v>
      </c>
      <c r="S420" s="101">
        <f t="shared" si="121"/>
        <v>683.90810001488762</v>
      </c>
      <c r="T420" s="101">
        <f t="shared" si="122"/>
        <v>71.940600023133939</v>
      </c>
      <c r="U420" s="101">
        <f t="shared" si="123"/>
        <v>23.096204203713697</v>
      </c>
      <c r="V420" s="33">
        <f t="shared" si="124"/>
        <v>999.99999999999989</v>
      </c>
      <c r="W420" s="105">
        <f>IF(A420=1,((cPH1_+cPHr+(cNES*L420+(cNES+cOSEX)*G420+(cNES+cEREX)*H420+(cNES+cHOEX)*I420 + (cNES+cNES)*S420 +(cNES+ cOSEX)*N420 + (cNES+cEREX)*O420 + (cNES+cHOEX)*P420)))/(1+cDR)^A$5:A$65536,(cPHr+(cNES*L420+(cNES+cOSEX)*G420+(cNES+cEREX)*H420+(cNES+cHOEX)*I420 + (cNES+cNES)*S420 +(cNES+ cOSEX)*N420 + (cNES+cEREX)*O420 + (cNES+cHOEX)*P420))/(1+cDR)^A$5:A$65536)</f>
        <v>110309.4334475762</v>
      </c>
      <c r="X420" s="112">
        <f t="shared" si="125"/>
        <v>904.96319577315228</v>
      </c>
      <c r="Y420" s="32">
        <f>(uNES*L420+ uOCEX*G420+uEREX*'PH + UC'!H420+uHOEX*I420+uNES*S420+ uOCEX*N420+uEREX*O420+uHOEX*P420)/(1+oDR)^A$5:A$65536</f>
        <v>528.85556784358675</v>
      </c>
    </row>
    <row r="421" spans="1:25" x14ac:dyDescent="0.25">
      <c r="A421" s="4">
        <v>415</v>
      </c>
      <c r="C421" s="110">
        <f>IF(male=0,VLOOKUP(((A419:A1253/'Life tables'!$I$2)*2)+age,lifetable,13,1),IF(male=1,VLOOKUP(((A419:A1253/'Life tables'!$I$2)*2)+age,lifetable,10,1),"error"))</f>
        <v>3.0034427820335718E-4</v>
      </c>
      <c r="F421" s="101">
        <f t="shared" si="108"/>
        <v>144.29321165692866</v>
      </c>
      <c r="G421" s="101">
        <f t="shared" si="109"/>
        <v>14.494555099992294</v>
      </c>
      <c r="H421" s="101">
        <f t="shared" si="110"/>
        <v>0.33169008616804235</v>
      </c>
      <c r="I421" s="101">
        <f t="shared" si="111"/>
        <v>0.33169008616804235</v>
      </c>
      <c r="J421" s="101">
        <f t="shared" si="112"/>
        <v>4.789023963316516E-2</v>
      </c>
      <c r="K421" s="101">
        <f t="shared" si="113"/>
        <v>2.6000894077393123E-2</v>
      </c>
      <c r="L421" s="101">
        <f t="shared" si="120"/>
        <v>129.06138525088971</v>
      </c>
      <c r="M421" s="101">
        <f t="shared" si="114"/>
        <v>760.66998411622376</v>
      </c>
      <c r="N421" s="101">
        <f t="shared" si="115"/>
        <v>73.254167558889165</v>
      </c>
      <c r="O421" s="101">
        <f t="shared" si="116"/>
        <v>1.7485693864576088</v>
      </c>
      <c r="P421" s="101">
        <f t="shared" si="117"/>
        <v>1.7485693864576088</v>
      </c>
      <c r="Q421" s="101">
        <f t="shared" si="118"/>
        <v>0.25151469303173696</v>
      </c>
      <c r="R421" s="101">
        <f t="shared" si="119"/>
        <v>2.0372332436232838E-2</v>
      </c>
      <c r="S421" s="101">
        <f t="shared" si="121"/>
        <v>683.6467907589514</v>
      </c>
      <c r="T421" s="101">
        <f t="shared" si="122"/>
        <v>72.240004955798838</v>
      </c>
      <c r="U421" s="101">
        <f t="shared" si="123"/>
        <v>23.142577430227323</v>
      </c>
      <c r="V421" s="33">
        <f t="shared" si="124"/>
        <v>1000.0000000000001</v>
      </c>
      <c r="W421" s="105">
        <f>IF(A421=1,((cPH1_+cPHr+(cNES*L421+(cNES+cOSEX)*G421+(cNES+cEREX)*H421+(cNES+cHOEX)*I421 + (cNES+cNES)*S421 +(cNES+ cOSEX)*N421 + (cNES+cEREX)*O421 + (cNES+cHOEX)*P421)))/(1+cDR)^A$5:A$65536,(cPHr+(cNES*L421+(cNES+cOSEX)*G421+(cNES+cEREX)*H421+(cNES+cHOEX)*I421 + (cNES+cNES)*S421 +(cNES+ cOSEX)*N421 + (cNES+cEREX)*O421 + (cNES+cHOEX)*P421))/(1+cDR)^A$5:A$65536)</f>
        <v>110140.55451315589</v>
      </c>
      <c r="X421" s="112">
        <f t="shared" si="125"/>
        <v>904.61741761397388</v>
      </c>
      <c r="Y421" s="32">
        <f>(uNES*L421+ uOCEX*G421+uEREX*'PH + UC'!H421+uHOEX*I421+uNES*S421+ uOCEX*N421+uEREX*O421+uHOEX*P421)/(1+oDR)^A$5:A$65536</f>
        <v>528.50146242868027</v>
      </c>
    </row>
    <row r="422" spans="1:25" x14ac:dyDescent="0.25">
      <c r="A422" s="4">
        <v>416</v>
      </c>
      <c r="C422" s="110">
        <f>IF(male=0,VLOOKUP(((A420:A1254/'Life tables'!$I$2)*2)+age,lifetable,13,1),IF(male=1,VLOOKUP(((A420:A1254/'Life tables'!$I$2)*2)+age,lifetable,10,1),"error"))</f>
        <v>3.0034427820335718E-4</v>
      </c>
      <c r="F422" s="101">
        <f t="shared" si="108"/>
        <v>144.23807240529922</v>
      </c>
      <c r="G422" s="101">
        <f t="shared" si="109"/>
        <v>14.48901624676602</v>
      </c>
      <c r="H422" s="101">
        <f t="shared" si="110"/>
        <v>0.33156333631672086</v>
      </c>
      <c r="I422" s="101">
        <f t="shared" si="111"/>
        <v>0.33156333631672086</v>
      </c>
      <c r="J422" s="101">
        <f t="shared" si="112"/>
        <v>4.7871939174374309E-2</v>
      </c>
      <c r="K422" s="101">
        <f t="shared" si="113"/>
        <v>2.5990958268045889E-2</v>
      </c>
      <c r="L422" s="101">
        <f t="shared" si="120"/>
        <v>129.01206658845734</v>
      </c>
      <c r="M422" s="101">
        <f t="shared" si="114"/>
        <v>760.37934520867464</v>
      </c>
      <c r="N422" s="101">
        <f t="shared" si="115"/>
        <v>73.226178402385941</v>
      </c>
      <c r="O422" s="101">
        <f t="shared" si="116"/>
        <v>1.7479012881930975</v>
      </c>
      <c r="P422" s="101">
        <f t="shared" si="117"/>
        <v>1.7479012881930975</v>
      </c>
      <c r="Q422" s="101">
        <f t="shared" si="118"/>
        <v>0.25141859359684177</v>
      </c>
      <c r="R422" s="101">
        <f t="shared" si="119"/>
        <v>2.0364548518677087E-2</v>
      </c>
      <c r="S422" s="101">
        <f t="shared" si="121"/>
        <v>683.38558108778705</v>
      </c>
      <c r="T422" s="101">
        <f t="shared" si="122"/>
        <v>72.539295488570048</v>
      </c>
      <c r="U422" s="101">
        <f t="shared" si="123"/>
        <v>23.188932937014048</v>
      </c>
      <c r="V422" s="33">
        <f t="shared" si="124"/>
        <v>1000.0000000000001</v>
      </c>
      <c r="W422" s="105">
        <f>IF(A422=1,((cPH1_+cPHr+(cNES*L422+(cNES+cOSEX)*G422+(cNES+cEREX)*H422+(cNES+cHOEX)*I422 + (cNES+cNES)*S422 +(cNES+ cOSEX)*N422 + (cNES+cEREX)*O422 + (cNES+cHOEX)*P422)))/(1+cDR)^A$5:A$65536,(cPHr+(cNES*L422+(cNES+cOSEX)*G422+(cNES+cEREX)*H422+(cNES+cHOEX)*I422 + (cNES+cNES)*S422 +(cNES+ cOSEX)*N422 + (cNES+cEREX)*O422 + (cNES+cHOEX)*P422))/(1+cDR)^A$5:A$65536)</f>
        <v>109971.93411273068</v>
      </c>
      <c r="X422" s="112">
        <f t="shared" si="125"/>
        <v>904.27177157441599</v>
      </c>
      <c r="Y422" s="32">
        <f>(uNES*L422+ uOCEX*G422+uEREX*'PH + UC'!H422+uHOEX*I422+uNES*S422+ uOCEX*N422+uEREX*O422+uHOEX*P422)/(1+oDR)^A$5:A$65536</f>
        <v>528.14759411231444</v>
      </c>
    </row>
    <row r="423" spans="1:25" x14ac:dyDescent="0.25">
      <c r="A423" s="4">
        <v>417</v>
      </c>
      <c r="C423" s="110">
        <f>IF(male=0,VLOOKUP(((A421:A1255/'Life tables'!$I$2)*2)+age,lifetable,13,1),IF(male=1,VLOOKUP(((A421:A1255/'Life tables'!$I$2)*2)+age,lifetable,10,1),"error"))</f>
        <v>3.0034427820335718E-4</v>
      </c>
      <c r="F423" s="101">
        <f t="shared" si="108"/>
        <v>144.18295449814457</v>
      </c>
      <c r="G423" s="101">
        <f t="shared" si="109"/>
        <v>14.483479537636912</v>
      </c>
      <c r="H423" s="101">
        <f t="shared" si="110"/>
        <v>0.3314366355304289</v>
      </c>
      <c r="I423" s="101">
        <f t="shared" si="111"/>
        <v>0.3314366355304289</v>
      </c>
      <c r="J423" s="101">
        <f t="shared" si="112"/>
        <v>4.7853645799714441E-2</v>
      </c>
      <c r="K423" s="101">
        <f t="shared" si="113"/>
        <v>2.5981026304863149E-2</v>
      </c>
      <c r="L423" s="101">
        <f t="shared" si="120"/>
        <v>128.96276701734223</v>
      </c>
      <c r="M423" s="101">
        <f t="shared" si="114"/>
        <v>760.08881707627143</v>
      </c>
      <c r="N423" s="101">
        <f t="shared" si="115"/>
        <v>73.198199913769272</v>
      </c>
      <c r="O423" s="101">
        <f t="shared" si="116"/>
        <v>1.7472334445699327</v>
      </c>
      <c r="P423" s="101">
        <f t="shared" si="117"/>
        <v>1.7472334445699327</v>
      </c>
      <c r="Q423" s="101">
        <f t="shared" si="118"/>
        <v>0.25132253078962657</v>
      </c>
      <c r="R423" s="101">
        <f t="shared" si="119"/>
        <v>2.0356767567911334E-2</v>
      </c>
      <c r="S423" s="101">
        <f t="shared" si="121"/>
        <v>683.12447097500478</v>
      </c>
      <c r="T423" s="101">
        <f t="shared" si="122"/>
        <v>72.838471665159389</v>
      </c>
      <c r="U423" s="101">
        <f t="shared" si="123"/>
        <v>23.235270730886821</v>
      </c>
      <c r="V423" s="33">
        <f t="shared" si="124"/>
        <v>1000.0000000000001</v>
      </c>
      <c r="W423" s="105">
        <f>IF(A423=1,((cPH1_+cPHr+(cNES*L423+(cNES+cOSEX)*G423+(cNES+cEREX)*H423+(cNES+cHOEX)*I423 + (cNES+cNES)*S423 +(cNES+ cOSEX)*N423 + (cNES+cEREX)*O423 + (cNES+cHOEX)*P423)))/(1+cDR)^A$5:A$65536,(cPHr+(cNES*L423+(cNES+cOSEX)*G423+(cNES+cEREX)*H423+(cNES+cHOEX)*I423 + (cNES+cNES)*S423 +(cNES+ cOSEX)*N423 + (cNES+cEREX)*O423 + (cNES+cHOEX)*P423))/(1+cDR)^A$5:A$65536)</f>
        <v>109803.57185118347</v>
      </c>
      <c r="X423" s="112">
        <f t="shared" si="125"/>
        <v>903.9262576039539</v>
      </c>
      <c r="Y423" s="32">
        <f>(uNES*L423+ uOCEX*G423+uEREX*'PH + UC'!H423+uHOEX*I423+uNES*S423+ uOCEX*N423+uEREX*O423+uHOEX*P423)/(1+oDR)^A$5:A$65536</f>
        <v>527.79396273571535</v>
      </c>
    </row>
    <row r="424" spans="1:25" x14ac:dyDescent="0.25">
      <c r="A424" s="4">
        <v>418</v>
      </c>
      <c r="C424" s="110">
        <f>IF(male=0,VLOOKUP(((A422:A1256/'Life tables'!$I$2)*2)+age,lifetable,13,1),IF(male=1,VLOOKUP(((A422:A1256/'Life tables'!$I$2)*2)+age,lifetable,10,1),"error"))</f>
        <v>3.2605221431214471E-4</v>
      </c>
      <c r="F424" s="101">
        <f t="shared" si="108"/>
        <v>144.12785791487553</v>
      </c>
      <c r="G424" s="101">
        <f t="shared" si="109"/>
        <v>14.477944970536742</v>
      </c>
      <c r="H424" s="101">
        <f t="shared" si="110"/>
        <v>0.33130998376183757</v>
      </c>
      <c r="I424" s="101">
        <f t="shared" si="111"/>
        <v>0.33130998376183757</v>
      </c>
      <c r="J424" s="101">
        <f t="shared" si="112"/>
        <v>5.1929821941202763E-2</v>
      </c>
      <c r="K424" s="101">
        <f t="shared" si="113"/>
        <v>2.5971098184134848E-2</v>
      </c>
      <c r="L424" s="101">
        <f t="shared" si="120"/>
        <v>128.90939205668977</v>
      </c>
      <c r="M424" s="101">
        <f t="shared" si="114"/>
        <v>759.79839968907834</v>
      </c>
      <c r="N424" s="101">
        <f t="shared" si="115"/>
        <v>73.17023209015629</v>
      </c>
      <c r="O424" s="101">
        <f t="shared" si="116"/>
        <v>1.7465658555193002</v>
      </c>
      <c r="P424" s="101">
        <f t="shared" si="117"/>
        <v>1.7465658555193002</v>
      </c>
      <c r="Q424" s="101">
        <f t="shared" si="118"/>
        <v>0.27273021017344506</v>
      </c>
      <c r="R424" s="101">
        <f t="shared" si="119"/>
        <v>2.0348989583133831E-2</v>
      </c>
      <c r="S424" s="101">
        <f t="shared" si="121"/>
        <v>682.84195668812686</v>
      </c>
      <c r="T424" s="101">
        <f t="shared" si="122"/>
        <v>73.163131697274039</v>
      </c>
      <c r="U424" s="101">
        <f t="shared" si="123"/>
        <v>23.281590818654088</v>
      </c>
      <c r="V424" s="33">
        <f t="shared" si="124"/>
        <v>1000</v>
      </c>
      <c r="W424" s="105">
        <f>IF(A424=1,((cPH1_+cPHr+(cNES*L424+(cNES+cOSEX)*G424+(cNES+cEREX)*H424+(cNES+cHOEX)*I424 + (cNES+cNES)*S424 +(cNES+ cOSEX)*N424 + (cNES+cEREX)*O424 + (cNES+cHOEX)*P424)))/(1+cDR)^A$5:A$65536,(cPHr+(cNES*L424+(cNES+cOSEX)*G424+(cNES+cEREX)*H424+(cNES+cHOEX)*I424 + (cNES+cNES)*S424 +(cNES+ cOSEX)*N424 + (cNES+cEREX)*O424 + (cNES+cHOEX)*P424))/(1+cDR)^A$5:A$65536)</f>
        <v>109632.77505161241</v>
      </c>
      <c r="X424" s="112">
        <f t="shared" si="125"/>
        <v>903.55527748407189</v>
      </c>
      <c r="Y424" s="32">
        <f>(uNES*L424+ uOCEX*G424+uEREX*'PH + UC'!H424+uHOEX*I424+uNES*S424+ uOCEX*N424+uEREX*O424+uHOEX*P424)/(1+oDR)^A$5:A$65536</f>
        <v>527.42538295365978</v>
      </c>
    </row>
    <row r="425" spans="1:25" x14ac:dyDescent="0.25">
      <c r="A425" s="4">
        <v>419</v>
      </c>
      <c r="C425" s="110">
        <f>IF(male=0,VLOOKUP(((A423:A1257/'Life tables'!$I$2)*2)+age,lifetable,13,1),IF(male=1,VLOOKUP(((A423:A1257/'Life tables'!$I$2)*2)+age,lifetable,10,1),"error"))</f>
        <v>3.2605221431214471E-4</v>
      </c>
      <c r="F425" s="101">
        <f t="shared" si="108"/>
        <v>144.06868824167907</v>
      </c>
      <c r="G425" s="101">
        <f t="shared" si="109"/>
        <v>14.472001253028854</v>
      </c>
      <c r="H425" s="101">
        <f t="shared" si="110"/>
        <v>0.33117396908882762</v>
      </c>
      <c r="I425" s="101">
        <f t="shared" si="111"/>
        <v>0.33117396908882762</v>
      </c>
      <c r="J425" s="101">
        <f t="shared" si="112"/>
        <v>5.19085028802116E-2</v>
      </c>
      <c r="K425" s="101">
        <f t="shared" si="113"/>
        <v>2.5960436113565421E-2</v>
      </c>
      <c r="L425" s="101">
        <f t="shared" si="120"/>
        <v>128.85647011147879</v>
      </c>
      <c r="M425" s="101">
        <f t="shared" si="114"/>
        <v>759.48658924239294</v>
      </c>
      <c r="N425" s="101">
        <f t="shared" si="115"/>
        <v>73.140204068563392</v>
      </c>
      <c r="O425" s="101">
        <f t="shared" si="116"/>
        <v>1.7458490897564376</v>
      </c>
      <c r="P425" s="101">
        <f t="shared" si="117"/>
        <v>1.7458490897564376</v>
      </c>
      <c r="Q425" s="101">
        <f t="shared" si="118"/>
        <v>0.2726182855777976</v>
      </c>
      <c r="R425" s="101">
        <f t="shared" si="119"/>
        <v>2.0340638647498657E-2</v>
      </c>
      <c r="S425" s="101">
        <f t="shared" si="121"/>
        <v>682.56172807009136</v>
      </c>
      <c r="T425" s="101">
        <f t="shared" si="122"/>
        <v>73.487658485732055</v>
      </c>
      <c r="U425" s="101">
        <f t="shared" si="123"/>
        <v>23.327891893415153</v>
      </c>
      <c r="V425" s="33">
        <f t="shared" si="124"/>
        <v>1000.0000000000001</v>
      </c>
      <c r="W425" s="105">
        <f>IF(A425=1,((cPH1_+cPHr+(cNES*L425+(cNES+cOSEX)*G425+(cNES+cEREX)*H425+(cNES+cHOEX)*I425 + (cNES+cNES)*S425 +(cNES+ cOSEX)*N425 + (cNES+cEREX)*O425 + (cNES+cHOEX)*P425)))/(1+cDR)^A$5:A$65536,(cPHr+(cNES*L425+(cNES+cOSEX)*G425+(cNES+cEREX)*H425+(cNES+cHOEX)*I425 + (cNES+cNES)*S425 +(cNES+ cOSEX)*N425 + (cNES+cEREX)*O425 + (cNES+cHOEX)*P425))/(1+cDR)^A$5:A$65536)</f>
        <v>109461.83199210206</v>
      </c>
      <c r="X425" s="112">
        <f t="shared" si="125"/>
        <v>903.184449620853</v>
      </c>
      <c r="Y425" s="32">
        <f>(uNES*L425+ uOCEX*G425+uEREX*'PH + UC'!H425+uHOEX*I425+uNES*S425+ uOCEX*N425+uEREX*O425+uHOEX*P425)/(1+oDR)^A$5:A$65536</f>
        <v>527.05730335985379</v>
      </c>
    </row>
    <row r="426" spans="1:25" x14ac:dyDescent="0.25">
      <c r="A426" s="4">
        <v>420</v>
      </c>
      <c r="C426" s="110">
        <f>IF(male=0,VLOOKUP(((A424:A1258/'Life tables'!$I$2)*2)+age,lifetable,13,1),IF(male=1,VLOOKUP(((A424:A1258/'Life tables'!$I$2)*2)+age,lifetable,10,1),"error"))</f>
        <v>3.2605221431214471E-4</v>
      </c>
      <c r="F426" s="101">
        <f t="shared" si="108"/>
        <v>144.00954367231108</v>
      </c>
      <c r="G426" s="101">
        <f t="shared" si="109"/>
        <v>14.466060057253076</v>
      </c>
      <c r="H426" s="101">
        <f t="shared" si="110"/>
        <v>0.33103801212255896</v>
      </c>
      <c r="I426" s="101">
        <f t="shared" si="111"/>
        <v>0.33103801212255896</v>
      </c>
      <c r="J426" s="101">
        <f t="shared" si="112"/>
        <v>5.1887192864226481E-2</v>
      </c>
      <c r="K426" s="101">
        <f t="shared" si="113"/>
        <v>2.5949778566576681E-2</v>
      </c>
      <c r="L426" s="101">
        <f t="shared" si="120"/>
        <v>128.80357061938207</v>
      </c>
      <c r="M426" s="101">
        <f t="shared" si="114"/>
        <v>759.174905948542</v>
      </c>
      <c r="N426" s="101">
        <f t="shared" si="115"/>
        <v>73.110188292063967</v>
      </c>
      <c r="O426" s="101">
        <f t="shared" si="116"/>
        <v>1.7451326162826863</v>
      </c>
      <c r="P426" s="101">
        <f t="shared" si="117"/>
        <v>1.7451326162826863</v>
      </c>
      <c r="Q426" s="101">
        <f t="shared" si="118"/>
        <v>0.27250640662375619</v>
      </c>
      <c r="R426" s="101">
        <f t="shared" si="119"/>
        <v>2.0332291117282211E-2</v>
      </c>
      <c r="S426" s="101">
        <f t="shared" si="121"/>
        <v>682.2816137261716</v>
      </c>
      <c r="T426" s="101">
        <f t="shared" si="122"/>
        <v>73.812052085220031</v>
      </c>
      <c r="U426" s="101">
        <f t="shared" si="123"/>
        <v>23.374173963099011</v>
      </c>
      <c r="V426" s="33">
        <f t="shared" si="124"/>
        <v>1000.0000000000002</v>
      </c>
      <c r="W426" s="105">
        <f>IF(A426=1,((cPH1_+cPHr+(cNES*L426+(cNES+cOSEX)*G426+(cNES+cEREX)*H426+(cNES+cHOEX)*I426 + (cNES+cNES)*S426 +(cNES+ cOSEX)*N426 + (cNES+cEREX)*O426 + (cNES+cHOEX)*P426)))/(1+cDR)^A$5:A$65536,(cPHr+(cNES*L426+(cNES+cOSEX)*G426+(cNES+cEREX)*H426+(cNES+cHOEX)*I426 + (cNES+cNES)*S426 +(cNES+ cOSEX)*N426 + (cNES+cEREX)*O426 + (cNES+cHOEX)*P426))/(1+cDR)^A$5:A$65536)</f>
        <v>109291.15543423976</v>
      </c>
      <c r="X426" s="112">
        <f t="shared" si="125"/>
        <v>902.81377395168124</v>
      </c>
      <c r="Y426" s="32">
        <f>(uNES*L426+ uOCEX*G426+uEREX*'PH + UC'!H426+uHOEX*I426+uNES*S426+ uOCEX*N426+uEREX*O426+uHOEX*P426)/(1+oDR)^A$5:A$65536</f>
        <v>526.68948064269034</v>
      </c>
    </row>
    <row r="427" spans="1:25" x14ac:dyDescent="0.25">
      <c r="A427" s="4">
        <v>421</v>
      </c>
      <c r="C427" s="110">
        <f>IF(male=0,VLOOKUP(((A425:A1259/'Life tables'!$I$2)*2)+age,lifetable,13,1),IF(male=1,VLOOKUP(((A425:A1259/'Life tables'!$I$2)*2)+age,lifetable,10,1),"error"))</f>
        <v>3.2605221431214471E-4</v>
      </c>
      <c r="F427" s="101">
        <f t="shared" si="108"/>
        <v>143.9504241595414</v>
      </c>
      <c r="G427" s="101">
        <f t="shared" si="109"/>
        <v>14.460121378465036</v>
      </c>
      <c r="H427" s="101">
        <f t="shared" si="110"/>
        <v>0.33090211275446246</v>
      </c>
      <c r="I427" s="101">
        <f t="shared" si="111"/>
        <v>0.33090211275446246</v>
      </c>
      <c r="J427" s="101">
        <f t="shared" si="112"/>
        <v>5.1865891876230148E-2</v>
      </c>
      <c r="K427" s="101">
        <f t="shared" si="113"/>
        <v>2.5939125534657988E-2</v>
      </c>
      <c r="L427" s="101">
        <f t="shared" si="120"/>
        <v>128.75069353815655</v>
      </c>
      <c r="M427" s="101">
        <f t="shared" si="114"/>
        <v>758.86334979213984</v>
      </c>
      <c r="N427" s="101">
        <f t="shared" si="115"/>
        <v>73.080184759176305</v>
      </c>
      <c r="O427" s="101">
        <f t="shared" si="116"/>
        <v>1.7444164350626792</v>
      </c>
      <c r="P427" s="101">
        <f t="shared" si="117"/>
        <v>1.7444164350626792</v>
      </c>
      <c r="Q427" s="101">
        <f t="shared" si="118"/>
        <v>0.27239457330579819</v>
      </c>
      <c r="R427" s="101">
        <f t="shared" si="119"/>
        <v>2.0323946992072441E-2</v>
      </c>
      <c r="S427" s="101">
        <f t="shared" si="121"/>
        <v>682.00161364254029</v>
      </c>
      <c r="T427" s="101">
        <f t="shared" si="122"/>
        <v>74.136312550402053</v>
      </c>
      <c r="U427" s="101">
        <f t="shared" si="123"/>
        <v>23.420437035625742</v>
      </c>
      <c r="V427" s="33">
        <f t="shared" si="124"/>
        <v>1000.0000000000002</v>
      </c>
      <c r="W427" s="105">
        <f>IF(A427=1,((cPH1_+cPHr+(cNES*L427+(cNES+cOSEX)*G427+(cNES+cEREX)*H427+(cNES+cHOEX)*I427 + (cNES+cNES)*S427 +(cNES+ cOSEX)*N427 + (cNES+cEREX)*O427 + (cNES+cHOEX)*P427)))/(1+cDR)^A$5:A$65536,(cPHr+(cNES*L427+(cNES+cOSEX)*G427+(cNES+cEREX)*H427+(cNES+cHOEX)*I427 + (cNES+cNES)*S427 +(cNES+ cOSEX)*N427 + (cNES+cEREX)*O427 + (cNES+cHOEX)*P427))/(1+cDR)^A$5:A$65536)</f>
        <v>109120.74496443714</v>
      </c>
      <c r="X427" s="112">
        <f t="shared" si="125"/>
        <v>902.44325041397246</v>
      </c>
      <c r="Y427" s="32">
        <f>(uNES*L427+ uOCEX*G427+uEREX*'PH + UC'!H427+uHOEX*I427+uNES*S427+ uOCEX*N427+uEREX*O427+uHOEX*P427)/(1+oDR)^A$5:A$65536</f>
        <v>526.32191462284175</v>
      </c>
    </row>
    <row r="428" spans="1:25" x14ac:dyDescent="0.25">
      <c r="A428" s="4">
        <v>422</v>
      </c>
      <c r="C428" s="110">
        <f>IF(male=0,VLOOKUP(((A426:A1260/'Life tables'!$I$2)*2)+age,lifetable,13,1),IF(male=1,VLOOKUP(((A426:A1260/'Life tables'!$I$2)*2)+age,lifetable,10,1),"error"))</f>
        <v>3.2605221431214471E-4</v>
      </c>
      <c r="F428" s="101">
        <f t="shared" si="108"/>
        <v>143.89132965782233</v>
      </c>
      <c r="G428" s="101">
        <f t="shared" si="109"/>
        <v>14.454185212089378</v>
      </c>
      <c r="H428" s="101">
        <f t="shared" si="110"/>
        <v>0.33076627087983668</v>
      </c>
      <c r="I428" s="101">
        <f t="shared" si="111"/>
        <v>0.33076627087983668</v>
      </c>
      <c r="J428" s="101">
        <f t="shared" si="112"/>
        <v>5.1844599899811633E-2</v>
      </c>
      <c r="K428" s="101">
        <f t="shared" si="113"/>
        <v>2.5928477009601891E-2</v>
      </c>
      <c r="L428" s="101">
        <f t="shared" si="120"/>
        <v>128.69783882706386</v>
      </c>
      <c r="M428" s="101">
        <f t="shared" si="114"/>
        <v>758.55192075615014</v>
      </c>
      <c r="N428" s="101">
        <f t="shared" si="115"/>
        <v>73.050193468259778</v>
      </c>
      <c r="O428" s="101">
        <f t="shared" si="116"/>
        <v>1.7437005460572541</v>
      </c>
      <c r="P428" s="101">
        <f t="shared" si="117"/>
        <v>1.7437005460572541</v>
      </c>
      <c r="Q428" s="101">
        <f t="shared" si="118"/>
        <v>0.27228278561780844</v>
      </c>
      <c r="R428" s="101">
        <f t="shared" si="119"/>
        <v>2.0315606271413076E-2</v>
      </c>
      <c r="S428" s="101">
        <f t="shared" si="121"/>
        <v>681.72172780388667</v>
      </c>
      <c r="T428" s="101">
        <f t="shared" si="122"/>
        <v>74.460439935919666</v>
      </c>
      <c r="U428" s="101">
        <f t="shared" si="123"/>
        <v>23.466681118906756</v>
      </c>
      <c r="V428" s="33">
        <f t="shared" si="124"/>
        <v>1000.0000000000003</v>
      </c>
      <c r="W428" s="105">
        <f>IF(A428=1,((cPH1_+cPHr+(cNES*L428+(cNES+cOSEX)*G428+(cNES+cEREX)*H428+(cNES+cHOEX)*I428 + (cNES+cNES)*S428 +(cNES+ cOSEX)*N428 + (cNES+cEREX)*O428 + (cNES+cHOEX)*P428)))/(1+cDR)^A$5:A$65536,(cPHr+(cNES*L428+(cNES+cOSEX)*G428+(cNES+cEREX)*H428+(cNES+cHOEX)*I428 + (cNES+cNES)*S428 +(cNES+ cOSEX)*N428 + (cNES+cEREX)*O428 + (cNES+cHOEX)*P428))/(1+cDR)^A$5:A$65536)</f>
        <v>108950.60016966065</v>
      </c>
      <c r="X428" s="112">
        <f t="shared" si="125"/>
        <v>902.0728789451739</v>
      </c>
      <c r="Y428" s="32">
        <f>(uNES*L428+ uOCEX*G428+uEREX*'PH + UC'!H428+uHOEX*I428+uNES*S428+ uOCEX*N428+uEREX*O428+uHOEX*P428)/(1+oDR)^A$5:A$65536</f>
        <v>525.95460512110787</v>
      </c>
    </row>
    <row r="429" spans="1:25" x14ac:dyDescent="0.25">
      <c r="A429" s="4">
        <v>423</v>
      </c>
      <c r="C429" s="110">
        <f>IF(male=0,VLOOKUP(((A427:A1261/'Life tables'!$I$2)*2)+age,lifetable,13,1),IF(male=1,VLOOKUP(((A427:A1261/'Life tables'!$I$2)*2)+age,lifetable,10,1),"error"))</f>
        <v>3.2605221431214471E-4</v>
      </c>
      <c r="F429" s="101">
        <f t="shared" si="108"/>
        <v>143.83226012321271</v>
      </c>
      <c r="G429" s="101">
        <f t="shared" si="109"/>
        <v>14.448251553712117</v>
      </c>
      <c r="H429" s="101">
        <f t="shared" si="110"/>
        <v>0.33063048639767301</v>
      </c>
      <c r="I429" s="101">
        <f t="shared" si="111"/>
        <v>0.33063048639767301</v>
      </c>
      <c r="J429" s="101">
        <f t="shared" si="112"/>
        <v>5.1823316919138739E-2</v>
      </c>
      <c r="K429" s="101">
        <f t="shared" si="113"/>
        <v>2.5917832983490409E-2</v>
      </c>
      <c r="L429" s="101">
        <f t="shared" si="120"/>
        <v>128.64500644680263</v>
      </c>
      <c r="M429" s="101">
        <f t="shared" si="114"/>
        <v>758.24061882196111</v>
      </c>
      <c r="N429" s="101">
        <f t="shared" si="115"/>
        <v>73.020214417522055</v>
      </c>
      <c r="O429" s="101">
        <f t="shared" si="116"/>
        <v>1.742984949223628</v>
      </c>
      <c r="P429" s="101">
        <f t="shared" si="117"/>
        <v>1.742984949223628</v>
      </c>
      <c r="Q429" s="101">
        <f t="shared" si="118"/>
        <v>0.27217104355310612</v>
      </c>
      <c r="R429" s="101">
        <f t="shared" si="119"/>
        <v>2.0307268954805651E-2</v>
      </c>
      <c r="S429" s="101">
        <f t="shared" si="121"/>
        <v>681.44195619348386</v>
      </c>
      <c r="T429" s="101">
        <f t="shared" si="122"/>
        <v>74.784434296391908</v>
      </c>
      <c r="U429" s="101">
        <f t="shared" si="123"/>
        <v>23.512906220845053</v>
      </c>
      <c r="V429" s="33">
        <f t="shared" si="124"/>
        <v>1000.0000000000002</v>
      </c>
      <c r="W429" s="105">
        <f>IF(A429=1,((cPH1_+cPHr+(cNES*L429+(cNES+cOSEX)*G429+(cNES+cEREX)*H429+(cNES+cHOEX)*I429 + (cNES+cNES)*S429 +(cNES+ cOSEX)*N429 + (cNES+cEREX)*O429 + (cNES+cHOEX)*P429)))/(1+cDR)^A$5:A$65536,(cPHr+(cNES*L429+(cNES+cOSEX)*G429+(cNES+cEREX)*H429+(cNES+cHOEX)*I429 + (cNES+cNES)*S429 +(cNES+ cOSEX)*N429 + (cNES+cEREX)*O429 + (cNES+cHOEX)*P429))/(1+cDR)^A$5:A$65536)</f>
        <v>108780.72063743435</v>
      </c>
      <c r="X429" s="112">
        <f t="shared" si="125"/>
        <v>901.70265948276324</v>
      </c>
      <c r="Y429" s="32">
        <f>(uNES*L429+ uOCEX*G429+uEREX*'PH + UC'!H429+uHOEX*I429+uNES*S429+ uOCEX*N429+uEREX*O429+uHOEX*P429)/(1+oDR)^A$5:A$65536</f>
        <v>525.58755195841616</v>
      </c>
    </row>
    <row r="430" spans="1:25" x14ac:dyDescent="0.25">
      <c r="A430" s="4">
        <v>424</v>
      </c>
      <c r="C430" s="110">
        <f>IF(male=0,VLOOKUP(((A428:A1262/'Life tables'!$I$2)*2)+age,lifetable,13,1),IF(male=1,VLOOKUP(((A428:A1262/'Life tables'!$I$2)*2)+age,lifetable,10,1),"error"))</f>
        <v>3.2605221431214471E-4</v>
      </c>
      <c r="F430" s="101">
        <f t="shared" si="108"/>
        <v>143.77321551330596</v>
      </c>
      <c r="G430" s="101">
        <f t="shared" si="109"/>
        <v>14.442320399073424</v>
      </c>
      <c r="H430" s="101">
        <f t="shared" si="110"/>
        <v>0.33049475921049049</v>
      </c>
      <c r="I430" s="101">
        <f t="shared" si="111"/>
        <v>0.33049475921049049</v>
      </c>
      <c r="J430" s="101">
        <f t="shared" si="112"/>
        <v>5.1802042918932222E-2</v>
      </c>
      <c r="K430" s="101">
        <f t="shared" si="113"/>
        <v>2.5907193448682104E-2</v>
      </c>
      <c r="L430" s="101">
        <f t="shared" si="120"/>
        <v>128.59219635944393</v>
      </c>
      <c r="M430" s="101">
        <f t="shared" si="114"/>
        <v>757.92944396945745</v>
      </c>
      <c r="N430" s="101">
        <f t="shared" si="115"/>
        <v>72.990247605025957</v>
      </c>
      <c r="O430" s="101">
        <f t="shared" si="116"/>
        <v>1.7422696445155614</v>
      </c>
      <c r="P430" s="101">
        <f t="shared" si="117"/>
        <v>1.7422696445155614</v>
      </c>
      <c r="Q430" s="101">
        <f t="shared" si="118"/>
        <v>0.27205934710447088</v>
      </c>
      <c r="R430" s="101">
        <f t="shared" si="119"/>
        <v>2.029893504171144E-2</v>
      </c>
      <c r="S430" s="101">
        <f t="shared" si="121"/>
        <v>681.16229879325419</v>
      </c>
      <c r="T430" s="101">
        <f t="shared" si="122"/>
        <v>75.108295686415318</v>
      </c>
      <c r="U430" s="101">
        <f t="shared" si="123"/>
        <v>23.559112349335447</v>
      </c>
      <c r="V430" s="33">
        <f t="shared" si="124"/>
        <v>1000.0000000000005</v>
      </c>
      <c r="W430" s="105">
        <f>IF(A430=1,((cPH1_+cPHr+(cNES*L430+(cNES+cOSEX)*G430+(cNES+cEREX)*H430+(cNES+cHOEX)*I430 + (cNES+cNES)*S430 +(cNES+ cOSEX)*N430 + (cNES+cEREX)*O430 + (cNES+cHOEX)*P430)))/(1+cDR)^A$5:A$65536,(cPHr+(cNES*L430+(cNES+cOSEX)*G430+(cNES+cEREX)*H430+(cNES+cHOEX)*I430 + (cNES+cNES)*S430 +(cNES+ cOSEX)*N430 + (cNES+cEREX)*O430 + (cNES+cHOEX)*P430))/(1+cDR)^A$5:A$65536)</f>
        <v>108611.10595584346</v>
      </c>
      <c r="X430" s="112">
        <f t="shared" si="125"/>
        <v>901.33259196424967</v>
      </c>
      <c r="Y430" s="32">
        <f>(uNES*L430+ uOCEX*G430+uEREX*'PH + UC'!H430+uHOEX*I430+uNES*S430+ uOCEX*N430+uEREX*O430+uHOEX*P430)/(1+oDR)^A$5:A$65536</f>
        <v>525.22075495582158</v>
      </c>
    </row>
    <row r="431" spans="1:25" x14ac:dyDescent="0.25">
      <c r="A431" s="4">
        <v>425</v>
      </c>
      <c r="C431" s="110">
        <f>IF(male=0,VLOOKUP(((A429:A1263/'Life tables'!$I$2)*2)+age,lifetable,13,1),IF(male=1,VLOOKUP(((A429:A1263/'Life tables'!$I$2)*2)+age,lifetable,10,1),"error"))</f>
        <v>3.2605221431214471E-4</v>
      </c>
      <c r="F431" s="101">
        <f t="shared" si="108"/>
        <v>143.7141957871612</v>
      </c>
      <c r="G431" s="101">
        <f t="shared" si="109"/>
        <v>14.436391744060701</v>
      </c>
      <c r="H431" s="101">
        <f t="shared" si="110"/>
        <v>0.33035908922417734</v>
      </c>
      <c r="I431" s="101">
        <f t="shared" si="111"/>
        <v>0.33035908922417734</v>
      </c>
      <c r="J431" s="101">
        <f t="shared" si="112"/>
        <v>5.1780777884440937E-2</v>
      </c>
      <c r="K431" s="101">
        <f t="shared" si="113"/>
        <v>2.5896558397799634E-2</v>
      </c>
      <c r="L431" s="101">
        <f t="shared" si="120"/>
        <v>128.5394085283699</v>
      </c>
      <c r="M431" s="101">
        <f t="shared" si="114"/>
        <v>757.61839617708836</v>
      </c>
      <c r="N431" s="101">
        <f t="shared" si="115"/>
        <v>72.960293028696114</v>
      </c>
      <c r="O431" s="101">
        <f t="shared" si="116"/>
        <v>1.7415546318835147</v>
      </c>
      <c r="P431" s="101">
        <f t="shared" si="117"/>
        <v>1.7415546318835147</v>
      </c>
      <c r="Q431" s="101">
        <f t="shared" si="118"/>
        <v>0.27194769626416709</v>
      </c>
      <c r="R431" s="101">
        <f t="shared" si="119"/>
        <v>2.0290604531553263E-2</v>
      </c>
      <c r="S431" s="101">
        <f t="shared" si="121"/>
        <v>680.88275558382952</v>
      </c>
      <c r="T431" s="101">
        <f t="shared" si="122"/>
        <v>75.432024160563927</v>
      </c>
      <c r="U431" s="101">
        <f t="shared" si="123"/>
        <v>23.6052995122648</v>
      </c>
      <c r="V431" s="33">
        <f t="shared" si="124"/>
        <v>1000.0000000000003</v>
      </c>
      <c r="W431" s="105">
        <f>IF(A431=1,((cPH1_+cPHr+(cNES*L431+(cNES+cOSEX)*G431+(cNES+cEREX)*H431+(cNES+cHOEX)*I431 + (cNES+cNES)*S431 +(cNES+ cOSEX)*N431 + (cNES+cEREX)*O431 + (cNES+cHOEX)*P431)))/(1+cDR)^A$5:A$65536,(cPHr+(cNES*L431+(cNES+cOSEX)*G431+(cNES+cEREX)*H431+(cNES+cHOEX)*I431 + (cNES+cNES)*S431 +(cNES+ cOSEX)*N431 + (cNES+cEREX)*O431 + (cNES+cHOEX)*P431))/(1+cDR)^A$5:A$65536)</f>
        <v>108441.75571353681</v>
      </c>
      <c r="X431" s="112">
        <f t="shared" si="125"/>
        <v>900.96267632717161</v>
      </c>
      <c r="Y431" s="32">
        <f>(uNES*L431+ uOCEX*G431+uEREX*'PH + UC'!H431+uHOEX*I431+uNES*S431+ uOCEX*N431+uEREX*O431+uHOEX*P431)/(1+oDR)^A$5:A$65536</f>
        <v>524.85421393450645</v>
      </c>
    </row>
    <row r="432" spans="1:25" x14ac:dyDescent="0.25">
      <c r="A432" s="4">
        <v>426</v>
      </c>
      <c r="C432" s="110">
        <f>IF(male=0,VLOOKUP(((A430:A1264/'Life tables'!$I$2)*2)+age,lifetable,13,1),IF(male=1,VLOOKUP(((A430:A1264/'Life tables'!$I$2)*2)+age,lifetable,10,1),"error"))</f>
        <v>3.2605221431214471E-4</v>
      </c>
      <c r="F432" s="101">
        <f t="shared" si="108"/>
        <v>143.65520090523728</v>
      </c>
      <c r="G432" s="101">
        <f t="shared" si="109"/>
        <v>14.430465584701958</v>
      </c>
      <c r="H432" s="101">
        <f t="shared" si="110"/>
        <v>0.33022347634783955</v>
      </c>
      <c r="I432" s="101">
        <f t="shared" si="111"/>
        <v>0.33022347634783955</v>
      </c>
      <c r="J432" s="101">
        <f t="shared" si="112"/>
        <v>5.1759521801418025E-2</v>
      </c>
      <c r="K432" s="101">
        <f t="shared" si="113"/>
        <v>2.5885927823717889E-2</v>
      </c>
      <c r="L432" s="101">
        <f t="shared" si="120"/>
        <v>128.4866429182145</v>
      </c>
      <c r="M432" s="101">
        <f t="shared" si="114"/>
        <v>757.30747542193444</v>
      </c>
      <c r="N432" s="101">
        <f t="shared" si="115"/>
        <v>72.93035068632534</v>
      </c>
      <c r="O432" s="101">
        <f t="shared" si="116"/>
        <v>1.7408399112748028</v>
      </c>
      <c r="P432" s="101">
        <f t="shared" si="117"/>
        <v>1.7408399112748028</v>
      </c>
      <c r="Q432" s="101">
        <f t="shared" si="118"/>
        <v>0.27183609102396772</v>
      </c>
      <c r="R432" s="101">
        <f t="shared" si="119"/>
        <v>2.0282277423717295E-2</v>
      </c>
      <c r="S432" s="101">
        <f t="shared" si="121"/>
        <v>680.60332654461183</v>
      </c>
      <c r="T432" s="101">
        <f t="shared" si="122"/>
        <v>75.755619773389313</v>
      </c>
      <c r="U432" s="101">
        <f t="shared" si="123"/>
        <v>23.651467717512237</v>
      </c>
      <c r="V432" s="33">
        <f t="shared" si="124"/>
        <v>1000.0000000000005</v>
      </c>
      <c r="W432" s="105">
        <f>IF(A432=1,((cPH1_+cPHr+(cNES*L432+(cNES+cOSEX)*G432+(cNES+cEREX)*H432+(cNES+cHOEX)*I432 + (cNES+cNES)*S432 +(cNES+ cOSEX)*N432 + (cNES+cEREX)*O432 + (cNES+cHOEX)*P432)))/(1+cDR)^A$5:A$65536,(cPHr+(cNES*L432+(cNES+cOSEX)*G432+(cNES+cEREX)*H432+(cNES+cHOEX)*I432 + (cNES+cNES)*S432 +(cNES+ cOSEX)*N432 + (cNES+cEREX)*O432 + (cNES+cHOEX)*P432))/(1+cDR)^A$5:A$65536)</f>
        <v>108272.66949972996</v>
      </c>
      <c r="X432" s="112">
        <f t="shared" si="125"/>
        <v>900.59291250909894</v>
      </c>
      <c r="Y432" s="32">
        <f>(uNES*L432+ uOCEX*G432+uEREX*'PH + UC'!H432+uHOEX*I432+uNES*S432+ uOCEX*N432+uEREX*O432+uHOEX*P432)/(1+oDR)^A$5:A$65536</f>
        <v>524.48792871577996</v>
      </c>
    </row>
    <row r="433" spans="1:25" x14ac:dyDescent="0.25">
      <c r="A433" s="4">
        <v>427</v>
      </c>
      <c r="C433" s="110">
        <f>IF(male=0,VLOOKUP(((A431:A1265/'Life tables'!$I$2)*2)+age,lifetable,13,1),IF(male=1,VLOOKUP(((A431:A1265/'Life tables'!$I$2)*2)+age,lifetable,10,1),"error"))</f>
        <v>3.2605221431214471E-4</v>
      </c>
      <c r="F433" s="101">
        <f t="shared" si="108"/>
        <v>143.59623082933001</v>
      </c>
      <c r="G433" s="101">
        <f t="shared" si="109"/>
        <v>14.424541917159504</v>
      </c>
      <c r="H433" s="101">
        <f t="shared" si="110"/>
        <v>0.33008792049365615</v>
      </c>
      <c r="I433" s="101">
        <f t="shared" si="111"/>
        <v>0.33008792049365615</v>
      </c>
      <c r="J433" s="101">
        <f t="shared" si="112"/>
        <v>5.1738274656098406E-2</v>
      </c>
      <c r="K433" s="101">
        <f t="shared" si="113"/>
        <v>2.5875301719552664E-2</v>
      </c>
      <c r="L433" s="101">
        <f t="shared" si="120"/>
        <v>128.43389949480755</v>
      </c>
      <c r="M433" s="101">
        <f t="shared" si="114"/>
        <v>756.9966816797687</v>
      </c>
      <c r="N433" s="101">
        <f t="shared" si="115"/>
        <v>72.900420575580512</v>
      </c>
      <c r="O433" s="101">
        <f t="shared" si="116"/>
        <v>1.7401254826337345</v>
      </c>
      <c r="P433" s="101">
        <f t="shared" si="117"/>
        <v>1.7401254826337345</v>
      </c>
      <c r="Q433" s="101">
        <f t="shared" si="118"/>
        <v>0.27172453137517644</v>
      </c>
      <c r="R433" s="101">
        <f t="shared" si="119"/>
        <v>2.0273953717554683E-2</v>
      </c>
      <c r="S433" s="101">
        <f t="shared" si="121"/>
        <v>680.32401165382805</v>
      </c>
      <c r="T433" s="101">
        <f t="shared" si="122"/>
        <v>76.079082579420586</v>
      </c>
      <c r="U433" s="101">
        <f t="shared" si="123"/>
        <v>23.697616972949344</v>
      </c>
      <c r="V433" s="33">
        <f t="shared" si="124"/>
        <v>1000.0000000000005</v>
      </c>
      <c r="W433" s="105">
        <f>IF(A433=1,((cPH1_+cPHr+(cNES*L433+(cNES+cOSEX)*G433+(cNES+cEREX)*H433+(cNES+cHOEX)*I433 + (cNES+cNES)*S433 +(cNES+ cOSEX)*N433 + (cNES+cEREX)*O433 + (cNES+cHOEX)*P433)))/(1+cDR)^A$5:A$65536,(cPHr+(cNES*L433+(cNES+cOSEX)*G433+(cNES+cEREX)*H433+(cNES+cHOEX)*I433 + (cNES+cNES)*S433 +(cNES+ cOSEX)*N433 + (cNES+cEREX)*O433 + (cNES+cHOEX)*P433))/(1+cDR)^A$5:A$65536)</f>
        <v>108103.84690420752</v>
      </c>
      <c r="X433" s="112">
        <f t="shared" si="125"/>
        <v>900.22330044763044</v>
      </c>
      <c r="Y433" s="32">
        <f>(uNES*L433+ uOCEX*G433+uEREX*'PH + UC'!H433+uHOEX*I433+uNES*S433+ uOCEX*N433+uEREX*O433+uHOEX*P433)/(1+oDR)^A$5:A$65536</f>
        <v>524.12189912107749</v>
      </c>
    </row>
    <row r="434" spans="1:25" x14ac:dyDescent="0.25">
      <c r="A434" s="4">
        <v>428</v>
      </c>
      <c r="C434" s="110">
        <f>IF(male=0,VLOOKUP(((A432:A1266/'Life tables'!$I$2)*2)+age,lifetable,13,1),IF(male=1,VLOOKUP(((A432:A1266/'Life tables'!$I$2)*2)+age,lifetable,10,1),"error"))</f>
        <v>3.2605221431214471E-4</v>
      </c>
      <c r="F434" s="101">
        <f t="shared" si="108"/>
        <v>143.53728552251221</v>
      </c>
      <c r="G434" s="101">
        <f t="shared" si="109"/>
        <v>14.418620737723925</v>
      </c>
      <c r="H434" s="101">
        <f t="shared" si="110"/>
        <v>0.32995242157674187</v>
      </c>
      <c r="I434" s="101">
        <f t="shared" si="111"/>
        <v>0.32995242157674187</v>
      </c>
      <c r="J434" s="101">
        <f t="shared" si="112"/>
        <v>5.1717036435177055E-2</v>
      </c>
      <c r="K434" s="101">
        <f t="shared" si="113"/>
        <v>2.5864680078649883E-2</v>
      </c>
      <c r="L434" s="101">
        <f t="shared" si="120"/>
        <v>128.38117822512098</v>
      </c>
      <c r="M434" s="101">
        <f t="shared" si="114"/>
        <v>756.68601492511812</v>
      </c>
      <c r="N434" s="101">
        <f t="shared" si="115"/>
        <v>72.870502694008536</v>
      </c>
      <c r="O434" s="101">
        <f t="shared" si="116"/>
        <v>1.7394113459017544</v>
      </c>
      <c r="P434" s="101">
        <f t="shared" si="117"/>
        <v>1.7394113459017544</v>
      </c>
      <c r="Q434" s="101">
        <f t="shared" si="118"/>
        <v>0.27161301730864973</v>
      </c>
      <c r="R434" s="101">
        <f t="shared" si="119"/>
        <v>2.0265633412383209E-2</v>
      </c>
      <c r="S434" s="101">
        <f t="shared" si="121"/>
        <v>680.04481088858506</v>
      </c>
      <c r="T434" s="101">
        <f t="shared" si="122"/>
        <v>76.402412633164417</v>
      </c>
      <c r="U434" s="101">
        <f t="shared" si="123"/>
        <v>23.743747286440378</v>
      </c>
      <c r="V434" s="33">
        <f t="shared" si="124"/>
        <v>1000.0000000000002</v>
      </c>
      <c r="W434" s="105">
        <f>IF(A434=1,((cPH1_+cPHr+(cNES*L434+(cNES+cOSEX)*G434+(cNES+cEREX)*H434+(cNES+cHOEX)*I434 + (cNES+cNES)*S434 +(cNES+ cOSEX)*N434 + (cNES+cEREX)*O434 + (cNES+cHOEX)*P434)))/(1+cDR)^A$5:A$65536,(cPHr+(cNES*L434+(cNES+cOSEX)*G434+(cNES+cEREX)*H434+(cNES+cHOEX)*I434 + (cNES+cNES)*S434 +(cNES+ cOSEX)*N434 + (cNES+cEREX)*O434 + (cNES+cHOEX)*P434))/(1+cDR)^A$5:A$65536)</f>
        <v>107935.28751732581</v>
      </c>
      <c r="X434" s="112">
        <f t="shared" si="125"/>
        <v>899.85384008039546</v>
      </c>
      <c r="Y434" s="32">
        <f>(uNES*L434+ uOCEX*G434+uEREX*'PH + UC'!H434+uHOEX*I434+uNES*S434+ uOCEX*N434+uEREX*O434+uHOEX*P434)/(1+oDR)^A$5:A$65536</f>
        <v>523.75612497196266</v>
      </c>
    </row>
    <row r="435" spans="1:25" x14ac:dyDescent="0.25">
      <c r="A435" s="4">
        <v>429</v>
      </c>
      <c r="C435" s="110">
        <f>IF(male=0,VLOOKUP(((A433:A1267/'Life tables'!$I$2)*2)+age,lifetable,13,1),IF(male=1,VLOOKUP(((A433:A1267/'Life tables'!$I$2)*2)+age,lifetable,10,1),"error"))</f>
        <v>3.2605221431214471E-4</v>
      </c>
      <c r="F435" s="101">
        <f t="shared" si="108"/>
        <v>143.47836494907619</v>
      </c>
      <c r="G435" s="101">
        <f t="shared" si="109"/>
        <v>14.412702042808313</v>
      </c>
      <c r="H435" s="101">
        <f t="shared" si="110"/>
        <v>0.3298169795150146</v>
      </c>
      <c r="I435" s="101">
        <f t="shared" si="111"/>
        <v>0.3298169795150146</v>
      </c>
      <c r="J435" s="101">
        <f t="shared" si="112"/>
        <v>5.1695807125788362E-2</v>
      </c>
      <c r="K435" s="101">
        <f t="shared" si="113"/>
        <v>2.5854062894575199E-2</v>
      </c>
      <c r="L435" s="101">
        <f t="shared" si="120"/>
        <v>128.32847907721748</v>
      </c>
      <c r="M435" s="101">
        <f t="shared" si="114"/>
        <v>756.37547513131938</v>
      </c>
      <c r="N435" s="101">
        <f t="shared" si="115"/>
        <v>72.840597039041668</v>
      </c>
      <c r="O435" s="101">
        <f t="shared" si="116"/>
        <v>1.7386975010175709</v>
      </c>
      <c r="P435" s="101">
        <f t="shared" si="117"/>
        <v>1.7386975010175709</v>
      </c>
      <c r="Q435" s="101">
        <f t="shared" si="118"/>
        <v>0.27150154881481692</v>
      </c>
      <c r="R435" s="101">
        <f t="shared" si="119"/>
        <v>2.0257316507488774E-2</v>
      </c>
      <c r="S435" s="101">
        <f t="shared" si="121"/>
        <v>679.76572422492029</v>
      </c>
      <c r="T435" s="101">
        <f t="shared" si="122"/>
        <v>76.725609989105024</v>
      </c>
      <c r="U435" s="101">
        <f t="shared" si="123"/>
        <v>23.789858665842441</v>
      </c>
      <c r="V435" s="33">
        <f t="shared" si="124"/>
        <v>1000.0000000000005</v>
      </c>
      <c r="W435" s="105">
        <f>IF(A435=1,((cPH1_+cPHr+(cNES*L435+(cNES+cOSEX)*G435+(cNES+cEREX)*H435+(cNES+cHOEX)*I435 + (cNES+cNES)*S435 +(cNES+ cOSEX)*N435 + (cNES+cEREX)*O435 + (cNES+cHOEX)*P435)))/(1+cDR)^A$5:A$65536,(cPHr+(cNES*L435+(cNES+cOSEX)*G435+(cNES+cEREX)*H435+(cNES+cHOEX)*I435 + (cNES+cNES)*S435 +(cNES+ cOSEX)*N435 + (cNES+cEREX)*O435 + (cNES+cHOEX)*P435))/(1+cDR)^A$5:A$65536)</f>
        <v>107766.99093001481</v>
      </c>
      <c r="X435" s="112">
        <f t="shared" si="125"/>
        <v>899.48453134505303</v>
      </c>
      <c r="Y435" s="32">
        <f>(uNES*L435+ uOCEX*G435+uEREX*'PH + UC'!H435+uHOEX*I435+uNES*S435+ uOCEX*N435+uEREX*O435+uHOEX*P435)/(1+oDR)^A$5:A$65536</f>
        <v>523.3906060901237</v>
      </c>
    </row>
    <row r="436" spans="1:25" x14ac:dyDescent="0.25">
      <c r="A436" s="4">
        <v>430</v>
      </c>
      <c r="C436" s="110">
        <f>IF(male=0,VLOOKUP(((A434:A1268/'Life tables'!$I$2)*2)+age,lifetable,13,1),IF(male=1,VLOOKUP(((A434:A1268/'Life tables'!$I$2)*2)+age,lifetable,10,1),"error"))</f>
        <v>3.2605221431214471E-4</v>
      </c>
      <c r="F436" s="101">
        <f t="shared" si="108"/>
        <v>143.41946907447922</v>
      </c>
      <c r="G436" s="101">
        <f t="shared" si="109"/>
        <v>14.406785828942771</v>
      </c>
      <c r="H436" s="101">
        <f t="shared" si="110"/>
        <v>0.32968159422907017</v>
      </c>
      <c r="I436" s="101">
        <f t="shared" si="111"/>
        <v>0.32968159422907017</v>
      </c>
      <c r="J436" s="101">
        <f t="shared" si="112"/>
        <v>5.1674586715486429E-2</v>
      </c>
      <c r="K436" s="101">
        <f t="shared" si="113"/>
        <v>2.5843450161104186E-2</v>
      </c>
      <c r="L436" s="101">
        <f t="shared" si="120"/>
        <v>128.27580202020172</v>
      </c>
      <c r="M436" s="101">
        <f t="shared" si="114"/>
        <v>756.06506227057366</v>
      </c>
      <c r="N436" s="101">
        <f t="shared" si="115"/>
        <v>72.810703608002811</v>
      </c>
      <c r="O436" s="101">
        <f t="shared" si="116"/>
        <v>1.7379839479172821</v>
      </c>
      <c r="P436" s="101">
        <f t="shared" si="117"/>
        <v>1.7379839479172821</v>
      </c>
      <c r="Q436" s="101">
        <f t="shared" si="118"/>
        <v>0.27139012588369948</v>
      </c>
      <c r="R436" s="101">
        <f t="shared" si="119"/>
        <v>2.0249003002126863E-2</v>
      </c>
      <c r="S436" s="101">
        <f t="shared" si="121"/>
        <v>679.48675163785049</v>
      </c>
      <c r="T436" s="101">
        <f t="shared" si="122"/>
        <v>77.048674701704215</v>
      </c>
      <c r="U436" s="101">
        <f t="shared" si="123"/>
        <v>23.835951119005671</v>
      </c>
      <c r="V436" s="33">
        <f t="shared" si="124"/>
        <v>1000.0000000000003</v>
      </c>
      <c r="W436" s="105">
        <f>IF(A436=1,((cPH1_+cPHr+(cNES*L436+(cNES+cOSEX)*G436+(cNES+cEREX)*H436+(cNES+cHOEX)*I436 + (cNES+cNES)*S436 +(cNES+ cOSEX)*N436 + (cNES+cEREX)*O436 + (cNES+cHOEX)*P436)))/(1+cDR)^A$5:A$65536,(cPHr+(cNES*L436+(cNES+cOSEX)*G436+(cNES+cEREX)*H436+(cNES+cHOEX)*I436 + (cNES+cNES)*S436 +(cNES+ cOSEX)*N436 + (cNES+cEREX)*O436 + (cNES+cHOEX)*P436))/(1+cDR)^A$5:A$65536)</f>
        <v>107598.95673378049</v>
      </c>
      <c r="X436" s="112">
        <f t="shared" si="125"/>
        <v>899.11537417929048</v>
      </c>
      <c r="Y436" s="32">
        <f>(uNES*L436+ uOCEX*G436+uEREX*'PH + UC'!H436+uHOEX*I436+uNES*S436+ uOCEX*N436+uEREX*O436+uHOEX*P436)/(1+oDR)^A$5:A$65536</f>
        <v>523.02534229737671</v>
      </c>
    </row>
    <row r="437" spans="1:25" x14ac:dyDescent="0.25">
      <c r="A437" s="4">
        <v>431</v>
      </c>
      <c r="C437" s="110">
        <f>IF(male=0,VLOOKUP(((A435:A1269/'Life tables'!$I$2)*2)+age,lifetable,13,1),IF(male=1,VLOOKUP(((A435:A1269/'Life tables'!$I$2)*2)+age,lifetable,10,1),"error"))</f>
        <v>3.2605221431214471E-4</v>
      </c>
      <c r="F437" s="101">
        <f t="shared" si="108"/>
        <v>143.36059786529108</v>
      </c>
      <c r="G437" s="101">
        <f t="shared" si="109"/>
        <v>14.400872092769172</v>
      </c>
      <c r="H437" s="101">
        <f t="shared" si="110"/>
        <v>0.32954626564206185</v>
      </c>
      <c r="I437" s="101">
        <f t="shared" si="111"/>
        <v>0.32954626564206185</v>
      </c>
      <c r="J437" s="101">
        <f t="shared" si="112"/>
        <v>5.1653375192226222E-2</v>
      </c>
      <c r="K437" s="101">
        <f t="shared" si="113"/>
        <v>2.5832841872212894E-2</v>
      </c>
      <c r="L437" s="101">
        <f t="shared" si="120"/>
        <v>128.22314702417336</v>
      </c>
      <c r="M437" s="101">
        <f t="shared" si="114"/>
        <v>755.75477631399951</v>
      </c>
      <c r="N437" s="101">
        <f t="shared" si="115"/>
        <v>72.780822398110644</v>
      </c>
      <c r="O437" s="101">
        <f t="shared" si="116"/>
        <v>1.7372706865344978</v>
      </c>
      <c r="P437" s="101">
        <f t="shared" si="117"/>
        <v>1.7372706865344978</v>
      </c>
      <c r="Q437" s="101">
        <f t="shared" si="118"/>
        <v>0.27127874850493039</v>
      </c>
      <c r="R437" s="101">
        <f t="shared" si="119"/>
        <v>2.0240692895523976E-2</v>
      </c>
      <c r="S437" s="101">
        <f t="shared" si="121"/>
        <v>679.20789310141936</v>
      </c>
      <c r="T437" s="101">
        <f t="shared" si="122"/>
        <v>77.371606825401372</v>
      </c>
      <c r="U437" s="101">
        <f t="shared" si="123"/>
        <v>23.882024653773406</v>
      </c>
      <c r="V437" s="33">
        <f t="shared" si="124"/>
        <v>1000.0000000000005</v>
      </c>
      <c r="W437" s="105">
        <f>IF(A437=1,((cPH1_+cPHr+(cNES*L437+(cNES+cOSEX)*G437+(cNES+cEREX)*H437+(cNES+cHOEX)*I437 + (cNES+cNES)*S437 +(cNES+ cOSEX)*N437 + (cNES+cEREX)*O437 + (cNES+cHOEX)*P437)))/(1+cDR)^A$5:A$65536,(cPHr+(cNES*L437+(cNES+cOSEX)*G437+(cNES+cEREX)*H437+(cNES+cHOEX)*I437 + (cNES+cNES)*S437 +(cNES+ cOSEX)*N437 + (cNES+cEREX)*O437 + (cNES+cHOEX)*P437))/(1+cDR)^A$5:A$65536)</f>
        <v>107431.18452070674</v>
      </c>
      <c r="X437" s="112">
        <f t="shared" si="125"/>
        <v>898.74636852082563</v>
      </c>
      <c r="Y437" s="32">
        <f>(uNES*L437+ uOCEX*G437+uEREX*'PH + UC'!H437+uHOEX*I437+uNES*S437+ uOCEX*N437+uEREX*O437+uHOEX*P437)/(1+oDR)^A$5:A$65536</f>
        <v>522.66033341566242</v>
      </c>
    </row>
    <row r="438" spans="1:25" x14ac:dyDescent="0.25">
      <c r="A438" s="4">
        <v>432</v>
      </c>
      <c r="C438" s="110">
        <f>IF(male=0,VLOOKUP(((A436:A1270/'Life tables'!$I$2)*2)+age,lifetable,13,1),IF(male=1,VLOOKUP(((A436:A1270/'Life tables'!$I$2)*2)+age,lifetable,10,1),"error"))</f>
        <v>3.2605221431214471E-4</v>
      </c>
      <c r="F438" s="101">
        <f t="shared" si="108"/>
        <v>143.30175128914425</v>
      </c>
      <c r="G438" s="101">
        <f t="shared" si="109"/>
        <v>14.394960831036123</v>
      </c>
      <c r="H438" s="101">
        <f t="shared" si="110"/>
        <v>0.32941099367958554</v>
      </c>
      <c r="I438" s="101">
        <f t="shared" si="111"/>
        <v>0.32941099367958554</v>
      </c>
      <c r="J438" s="101">
        <f t="shared" si="112"/>
        <v>5.1632172544345621E-2</v>
      </c>
      <c r="K438" s="101">
        <f t="shared" si="113"/>
        <v>2.5822238022068865E-2</v>
      </c>
      <c r="L438" s="101">
        <f t="shared" si="120"/>
        <v>128.17051406018254</v>
      </c>
      <c r="M438" s="101">
        <f t="shared" si="114"/>
        <v>755.44461723168149</v>
      </c>
      <c r="N438" s="101">
        <f t="shared" si="115"/>
        <v>72.750953406484214</v>
      </c>
      <c r="O438" s="101">
        <f t="shared" si="116"/>
        <v>1.7365577168004505</v>
      </c>
      <c r="P438" s="101">
        <f t="shared" si="117"/>
        <v>1.7365577168004505</v>
      </c>
      <c r="Q438" s="101">
        <f t="shared" si="118"/>
        <v>0.2711674166677715</v>
      </c>
      <c r="R438" s="101">
        <f t="shared" si="119"/>
        <v>2.023238618687891E-2</v>
      </c>
      <c r="S438" s="101">
        <f t="shared" si="121"/>
        <v>678.92914858874178</v>
      </c>
      <c r="T438" s="101">
        <f t="shared" si="122"/>
        <v>77.694406414613482</v>
      </c>
      <c r="U438" s="101">
        <f t="shared" si="123"/>
        <v>23.928079277982356</v>
      </c>
      <c r="V438" s="33">
        <f t="shared" si="124"/>
        <v>1000.0000000000005</v>
      </c>
      <c r="W438" s="105">
        <f>IF(A438=1,((cPH1_+cPHr+(cNES*L438+(cNES+cOSEX)*G438+(cNES+cEREX)*H438+(cNES+cHOEX)*I438 + (cNES+cNES)*S438 +(cNES+ cOSEX)*N438 + (cNES+cEREX)*O438 + (cNES+cHOEX)*P438)))/(1+cDR)^A$5:A$65536,(cPHr+(cNES*L438+(cNES+cOSEX)*G438+(cNES+cEREX)*H438+(cNES+cHOEX)*I438 + (cNES+cNES)*S438 +(cNES+ cOSEX)*N438 + (cNES+cEREX)*O438 + (cNES+cHOEX)*P438))/(1+cDR)^A$5:A$65536)</f>
        <v>107263.673883457</v>
      </c>
      <c r="X438" s="112">
        <f t="shared" si="125"/>
        <v>898.37751430740468</v>
      </c>
      <c r="Y438" s="32">
        <f>(uNES*L438+ uOCEX*G438+uEREX*'PH + UC'!H438+uHOEX*I438+uNES*S438+ uOCEX*N438+uEREX*O438+uHOEX*P438)/(1+oDR)^A$5:A$65536</f>
        <v>522.29557926704842</v>
      </c>
    </row>
    <row r="439" spans="1:25" x14ac:dyDescent="0.25">
      <c r="A439" s="4">
        <v>433</v>
      </c>
      <c r="C439" s="110">
        <f>IF(male=0,VLOOKUP(((A437:A1271/'Life tables'!$I$2)*2)+age,lifetable,13,1),IF(male=1,VLOOKUP(((A437:A1271/'Life tables'!$I$2)*2)+age,lifetable,10,1),"error"))</f>
        <v>3.2605221431214471E-4</v>
      </c>
      <c r="F439" s="101">
        <f t="shared" si="108"/>
        <v>143.24292931468622</v>
      </c>
      <c r="G439" s="101">
        <f t="shared" si="109"/>
        <v>14.389052040594205</v>
      </c>
      <c r="H439" s="101">
        <f t="shared" si="110"/>
        <v>0.32927577826957066</v>
      </c>
      <c r="I439" s="101">
        <f t="shared" si="111"/>
        <v>0.32927577826957066</v>
      </c>
      <c r="J439" s="101">
        <f t="shared" si="112"/>
        <v>5.1610978760548189E-2</v>
      </c>
      <c r="K439" s="101">
        <f t="shared" si="113"/>
        <v>2.5811638605022533E-2</v>
      </c>
      <c r="L439" s="101">
        <f t="shared" si="120"/>
        <v>128.11790310018731</v>
      </c>
      <c r="M439" s="101">
        <f t="shared" si="114"/>
        <v>755.13458499271849</v>
      </c>
      <c r="N439" s="101">
        <f t="shared" si="115"/>
        <v>72.721096630147713</v>
      </c>
      <c r="O439" s="101">
        <f t="shared" si="116"/>
        <v>1.7358450386441073</v>
      </c>
      <c r="P439" s="101">
        <f t="shared" si="117"/>
        <v>1.7358450386441073</v>
      </c>
      <c r="Q439" s="101">
        <f t="shared" si="118"/>
        <v>0.27105613036113069</v>
      </c>
      <c r="R439" s="101">
        <f t="shared" si="119"/>
        <v>2.0224082875364074E-2</v>
      </c>
      <c r="S439" s="101">
        <f t="shared" si="121"/>
        <v>678.65051807204611</v>
      </c>
      <c r="T439" s="101">
        <f t="shared" si="122"/>
        <v>78.017073523735164</v>
      </c>
      <c r="U439" s="101">
        <f t="shared" si="123"/>
        <v>23.974114999462742</v>
      </c>
      <c r="V439" s="33">
        <f t="shared" si="124"/>
        <v>1000.0000000000006</v>
      </c>
      <c r="W439" s="105">
        <f>IF(A439=1,((cPH1_+cPHr+(cNES*L439+(cNES+cOSEX)*G439+(cNES+cEREX)*H439+(cNES+cHOEX)*I439 + (cNES+cNES)*S439 +(cNES+ cOSEX)*N439 + (cNES+cEREX)*O439 + (cNES+cHOEX)*P439)))/(1+cDR)^A$5:A$65536,(cPHr+(cNES*L439+(cNES+cOSEX)*G439+(cNES+cEREX)*H439+(cNES+cHOEX)*I439 + (cNES+cNES)*S439 +(cNES+ cOSEX)*N439 + (cNES+cEREX)*O439 + (cNES+cHOEX)*P439))/(1+cDR)^A$5:A$65536)</f>
        <v>107096.42441527615</v>
      </c>
      <c r="X439" s="112">
        <f t="shared" si="125"/>
        <v>898.00881147680263</v>
      </c>
      <c r="Y439" s="32">
        <f>(uNES*L439+ uOCEX*G439+uEREX*'PH + UC'!H439+uHOEX*I439+uNES*S439+ uOCEX*N439+uEREX*O439+uHOEX*P439)/(1+oDR)^A$5:A$65536</f>
        <v>521.93107967372794</v>
      </c>
    </row>
    <row r="440" spans="1:25" x14ac:dyDescent="0.25">
      <c r="A440" s="4">
        <v>434</v>
      </c>
      <c r="C440" s="110">
        <f>IF(male=0,VLOOKUP(((A438:A1272/'Life tables'!$I$2)*2)+age,lifetable,13,1),IF(male=1,VLOOKUP(((A438:A1272/'Life tables'!$I$2)*2)+age,lifetable,10,1),"error"))</f>
        <v>3.2605221431214471E-4</v>
      </c>
      <c r="F440" s="101">
        <f t="shared" si="108"/>
        <v>143.18413191153405</v>
      </c>
      <c r="G440" s="101">
        <f t="shared" si="109"/>
        <v>14.383145718391384</v>
      </c>
      <c r="H440" s="101">
        <f t="shared" si="110"/>
        <v>0.32914061934217514</v>
      </c>
      <c r="I440" s="101">
        <f t="shared" si="111"/>
        <v>0.32914061934217514</v>
      </c>
      <c r="J440" s="101">
        <f t="shared" si="112"/>
        <v>5.1589793829886821E-2</v>
      </c>
      <c r="K440" s="101">
        <f t="shared" si="113"/>
        <v>2.580104361559905E-2</v>
      </c>
      <c r="L440" s="101">
        <f t="shared" si="120"/>
        <v>128.06531411701283</v>
      </c>
      <c r="M440" s="101">
        <f t="shared" si="114"/>
        <v>754.82467956526875</v>
      </c>
      <c r="N440" s="101">
        <f t="shared" si="115"/>
        <v>72.691252066034679</v>
      </c>
      <c r="O440" s="101">
        <f t="shared" si="116"/>
        <v>1.7351326519922725</v>
      </c>
      <c r="P440" s="101">
        <f t="shared" si="117"/>
        <v>1.7351326519922725</v>
      </c>
      <c r="Q440" s="101">
        <f t="shared" si="118"/>
        <v>0.2709448895735786</v>
      </c>
      <c r="R440" s="101">
        <f t="shared" si="119"/>
        <v>2.0215782960126671E-2</v>
      </c>
      <c r="S440" s="101">
        <f t="shared" si="121"/>
        <v>678.37200152271578</v>
      </c>
      <c r="T440" s="101">
        <f t="shared" si="122"/>
        <v>78.339608207138625</v>
      </c>
      <c r="U440" s="101">
        <f t="shared" si="123"/>
        <v>24.020131826038469</v>
      </c>
      <c r="V440" s="33">
        <f t="shared" si="124"/>
        <v>1000.0000000000007</v>
      </c>
      <c r="W440" s="105">
        <f>IF(A440=1,((cPH1_+cPHr+(cNES*L440+(cNES+cOSEX)*G440+(cNES+cEREX)*H440+(cNES+cHOEX)*I440 + (cNES+cNES)*S440 +(cNES+ cOSEX)*N440 + (cNES+cEREX)*O440 + (cNES+cHOEX)*P440)))/(1+cDR)^A$5:A$65536,(cPHr+(cNES*L440+(cNES+cOSEX)*G440+(cNES+cEREX)*H440+(cNES+cHOEX)*I440 + (cNES+cNES)*S440 +(cNES+ cOSEX)*N440 + (cNES+cEREX)*O440 + (cNES+cHOEX)*P440))/(1+cDR)^A$5:A$65536)</f>
        <v>106929.43570999212</v>
      </c>
      <c r="X440" s="112">
        <f t="shared" si="125"/>
        <v>897.64025996682358</v>
      </c>
      <c r="Y440" s="32">
        <f>(uNES*L440+ uOCEX*G440+uEREX*'PH + UC'!H440+uHOEX*I440+uNES*S440+ uOCEX*N440+uEREX*O440+uHOEX*P440)/(1+oDR)^A$5:A$65536</f>
        <v>521.56683445802014</v>
      </c>
    </row>
    <row r="441" spans="1:25" x14ac:dyDescent="0.25">
      <c r="A441" s="4">
        <v>435</v>
      </c>
      <c r="C441" s="110">
        <f>IF(male=0,VLOOKUP(((A439:A1273/'Life tables'!$I$2)*2)+age,lifetable,13,1),IF(male=1,VLOOKUP(((A439:A1273/'Life tables'!$I$2)*2)+age,lifetable,10,1),"error"))</f>
        <v>3.2605221431214471E-4</v>
      </c>
      <c r="F441" s="101">
        <f t="shared" si="108"/>
        <v>143.12535905023066</v>
      </c>
      <c r="G441" s="101">
        <f t="shared" si="109"/>
        <v>14.377241861468637</v>
      </c>
      <c r="H441" s="101">
        <f t="shared" si="110"/>
        <v>0.32900551682968543</v>
      </c>
      <c r="I441" s="101">
        <f t="shared" si="111"/>
        <v>0.32900551682968543</v>
      </c>
      <c r="J441" s="101">
        <f t="shared" si="112"/>
        <v>5.1568617741748042E-2</v>
      </c>
      <c r="K441" s="101">
        <f t="shared" si="113"/>
        <v>2.5790453048490404E-2</v>
      </c>
      <c r="L441" s="101">
        <f t="shared" si="120"/>
        <v>128.01274708431242</v>
      </c>
      <c r="M441" s="101">
        <f t="shared" si="114"/>
        <v>754.51490091659286</v>
      </c>
      <c r="N441" s="101">
        <f t="shared" si="115"/>
        <v>72.661419710992263</v>
      </c>
      <c r="O441" s="101">
        <f t="shared" si="116"/>
        <v>1.7344205567696878</v>
      </c>
      <c r="P441" s="101">
        <f t="shared" si="117"/>
        <v>1.7344205567696878</v>
      </c>
      <c r="Q441" s="101">
        <f t="shared" si="118"/>
        <v>0.27083369429336324</v>
      </c>
      <c r="R441" s="101">
        <f t="shared" si="119"/>
        <v>2.0207486440289881E-2</v>
      </c>
      <c r="S441" s="101">
        <f t="shared" si="121"/>
        <v>678.0935989113276</v>
      </c>
      <c r="T441" s="101">
        <f t="shared" si="122"/>
        <v>78.662010519173734</v>
      </c>
      <c r="U441" s="101">
        <f t="shared" si="123"/>
        <v>24.066129765527251</v>
      </c>
      <c r="V441" s="33">
        <f t="shared" si="124"/>
        <v>1000.0000000000007</v>
      </c>
      <c r="W441" s="105">
        <f>IF(A441=1,((cPH1_+cPHr+(cNES*L441+(cNES+cOSEX)*G441+(cNES+cEREX)*H441+(cNES+cHOEX)*I441 + (cNES+cNES)*S441 +(cNES+ cOSEX)*N441 + (cNES+cEREX)*O441 + (cNES+cHOEX)*P441)))/(1+cDR)^A$5:A$65536,(cPHr+(cNES*L441+(cNES+cOSEX)*G441+(cNES+cEREX)*H441+(cNES+cHOEX)*I441 + (cNES+cNES)*S441 +(cNES+ cOSEX)*N441 + (cNES+cEREX)*O441 + (cNES+cHOEX)*P441))/(1+cDR)^A$5:A$65536)</f>
        <v>106762.70736201711</v>
      </c>
      <c r="X441" s="112">
        <f t="shared" si="125"/>
        <v>897.27185971529968</v>
      </c>
      <c r="Y441" s="32">
        <f>(uNES*L441+ uOCEX*G441+uEREX*'PH + UC'!H441+uHOEX*I441+uNES*S441+ uOCEX*N441+uEREX*O441+uHOEX*P441)/(1+oDR)^A$5:A$65536</f>
        <v>521.20284344236882</v>
      </c>
    </row>
    <row r="442" spans="1:25" x14ac:dyDescent="0.25">
      <c r="A442" s="4">
        <v>436</v>
      </c>
      <c r="C442" s="110">
        <f>IF(male=0,VLOOKUP(((A440:A1274/'Life tables'!$I$2)*2)+age,lifetable,13,1),IF(male=1,VLOOKUP(((A440:A1274/'Life tables'!$I$2)*2)+age,lifetable,10,1),"error"))</f>
        <v>3.2605221431214471E-4</v>
      </c>
      <c r="F442" s="101">
        <f t="shared" si="108"/>
        <v>143.06661070220346</v>
      </c>
      <c r="G442" s="101">
        <f t="shared" si="109"/>
        <v>14.371340466955786</v>
      </c>
      <c r="H442" s="101">
        <f t="shared" si="110"/>
        <v>0.328870470666421</v>
      </c>
      <c r="I442" s="101">
        <f t="shared" si="111"/>
        <v>0.328870470666421</v>
      </c>
      <c r="J442" s="101">
        <f t="shared" si="112"/>
        <v>5.1547450485837004E-2</v>
      </c>
      <c r="K442" s="101">
        <f t="shared" si="113"/>
        <v>2.5779866898547964E-2</v>
      </c>
      <c r="L442" s="101">
        <f t="shared" si="120"/>
        <v>127.96020197653044</v>
      </c>
      <c r="M442" s="101">
        <f t="shared" si="114"/>
        <v>754.20524901309614</v>
      </c>
      <c r="N442" s="101">
        <f t="shared" si="115"/>
        <v>72.631599561785208</v>
      </c>
      <c r="O442" s="101">
        <f t="shared" si="116"/>
        <v>1.7337087528991277</v>
      </c>
      <c r="P442" s="101">
        <f t="shared" si="117"/>
        <v>1.7337087528991277</v>
      </c>
      <c r="Q442" s="101">
        <f t="shared" si="118"/>
        <v>0.27072254450842581</v>
      </c>
      <c r="R442" s="101">
        <f t="shared" si="119"/>
        <v>2.0199193314953963E-2</v>
      </c>
      <c r="S442" s="101">
        <f t="shared" si="121"/>
        <v>677.81531020768932</v>
      </c>
      <c r="T442" s="101">
        <f t="shared" si="122"/>
        <v>78.984280514167992</v>
      </c>
      <c r="U442" s="101">
        <f t="shared" si="123"/>
        <v>24.112108825740751</v>
      </c>
      <c r="V442" s="33">
        <f t="shared" si="124"/>
        <v>1000.0000000000006</v>
      </c>
      <c r="W442" s="105">
        <f>IF(A442=1,((cPH1_+cPHr+(cNES*L442+(cNES+cOSEX)*G442+(cNES+cEREX)*H442+(cNES+cHOEX)*I442 + (cNES+cNES)*S442 +(cNES+ cOSEX)*N442 + (cNES+cEREX)*O442 + (cNES+cHOEX)*P442)))/(1+cDR)^A$5:A$65536,(cPHr+(cNES*L442+(cNES+cOSEX)*G442+(cNES+cEREX)*H442+(cNES+cHOEX)*I442 + (cNES+cNES)*S442 +(cNES+ cOSEX)*N442 + (cNES+cEREX)*O442 + (cNES+cHOEX)*P442))/(1+cDR)^A$5:A$65536)</f>
        <v>106596.23896634926</v>
      </c>
      <c r="X442" s="112">
        <f t="shared" si="125"/>
        <v>896.90361066009189</v>
      </c>
      <c r="Y442" s="32">
        <f>(uNES*L442+ uOCEX*G442+uEREX*'PH + UC'!H442+uHOEX*I442+uNES*S442+ uOCEX*N442+uEREX*O442+uHOEX*P442)/(1+oDR)^A$5:A$65536</f>
        <v>520.83910644934349</v>
      </c>
    </row>
    <row r="443" spans="1:25" x14ac:dyDescent="0.25">
      <c r="A443" s="4">
        <v>437</v>
      </c>
      <c r="C443" s="110">
        <f>IF(male=0,VLOOKUP(((A441:A1275/'Life tables'!$I$2)*2)+age,lifetable,13,1),IF(male=1,VLOOKUP(((A441:A1275/'Life tables'!$I$2)*2)+age,lifetable,10,1),"error"))</f>
        <v>3.2605221431214471E-4</v>
      </c>
      <c r="F443" s="101">
        <f t="shared" si="108"/>
        <v>143.00788683972479</v>
      </c>
      <c r="G443" s="101">
        <f t="shared" si="109"/>
        <v>14.36544153206753</v>
      </c>
      <c r="H443" s="101">
        <f t="shared" si="110"/>
        <v>0.32873548078864362</v>
      </c>
      <c r="I443" s="101">
        <f t="shared" si="111"/>
        <v>0.32873548078864362</v>
      </c>
      <c r="J443" s="101">
        <f t="shared" si="112"/>
        <v>5.1526292052163365E-2</v>
      </c>
      <c r="K443" s="101">
        <f t="shared" si="113"/>
        <v>2.5769285160775333E-2</v>
      </c>
      <c r="L443" s="101">
        <f t="shared" si="120"/>
        <v>127.90767876886703</v>
      </c>
      <c r="M443" s="101">
        <f t="shared" si="114"/>
        <v>753.89572382036715</v>
      </c>
      <c r="N443" s="101">
        <f t="shared" si="115"/>
        <v>72.601791615099614</v>
      </c>
      <c r="O443" s="101">
        <f t="shared" si="116"/>
        <v>1.7329972403014904</v>
      </c>
      <c r="P443" s="101">
        <f t="shared" si="117"/>
        <v>1.7329972403014904</v>
      </c>
      <c r="Q443" s="101">
        <f t="shared" si="118"/>
        <v>0.2706114402064142</v>
      </c>
      <c r="R443" s="101">
        <f t="shared" si="119"/>
        <v>2.0190903583197306E-2</v>
      </c>
      <c r="S443" s="101">
        <f t="shared" si="121"/>
        <v>677.53713538087493</v>
      </c>
      <c r="T443" s="101">
        <f t="shared" si="122"/>
        <v>79.306418246426574</v>
      </c>
      <c r="U443" s="101">
        <f t="shared" si="123"/>
        <v>24.158069014484724</v>
      </c>
      <c r="V443" s="33">
        <f t="shared" si="124"/>
        <v>1000.0000000000007</v>
      </c>
      <c r="W443" s="105">
        <f>IF(A443=1,((cPH1_+cPHr+(cNES*L443+(cNES+cOSEX)*G443+(cNES+cEREX)*H443+(cNES+cHOEX)*I443 + (cNES+cNES)*S443 +(cNES+ cOSEX)*N443 + (cNES+cEREX)*O443 + (cNES+cHOEX)*P443)))/(1+cDR)^A$5:A$65536,(cPHr+(cNES*L443+(cNES+cOSEX)*G443+(cNES+cEREX)*H443+(cNES+cHOEX)*I443 + (cNES+cNES)*S443 +(cNES+ cOSEX)*N443 + (cNES+cEREX)*O443 + (cNES+cHOEX)*P443))/(1+cDR)^A$5:A$65536)</f>
        <v>106430.03011857362</v>
      </c>
      <c r="X443" s="112">
        <f t="shared" si="125"/>
        <v>896.53551273908943</v>
      </c>
      <c r="Y443" s="32">
        <f>(uNES*L443+ uOCEX*G443+uEREX*'PH + UC'!H443+uHOEX*I443+uNES*S443+ uOCEX*N443+uEREX*O443+uHOEX*P443)/(1+oDR)^A$5:A$65536</f>
        <v>520.47562330163896</v>
      </c>
    </row>
    <row r="444" spans="1:25" x14ac:dyDescent="0.25">
      <c r="A444" s="4">
        <v>438</v>
      </c>
      <c r="C444" s="110">
        <f>IF(male=0,VLOOKUP(((A442:A1276/'Life tables'!$I$2)*2)+age,lifetable,13,1),IF(male=1,VLOOKUP(((A442:A1276/'Life tables'!$I$2)*2)+age,lifetable,10,1),"error"))</f>
        <v>3.2605221431214471E-4</v>
      </c>
      <c r="F444" s="101">
        <f t="shared" si="108"/>
        <v>142.94918743587388</v>
      </c>
      <c r="G444" s="101">
        <f t="shared" si="109"/>
        <v>14.359545054099623</v>
      </c>
      <c r="H444" s="101">
        <f t="shared" si="110"/>
        <v>0.32860054713447001</v>
      </c>
      <c r="I444" s="101">
        <f t="shared" si="111"/>
        <v>0.32860054713447001</v>
      </c>
      <c r="J444" s="101">
        <f t="shared" si="112"/>
        <v>5.1505142431027426E-2</v>
      </c>
      <c r="K444" s="101">
        <f t="shared" si="113"/>
        <v>2.5758707830321546E-2</v>
      </c>
      <c r="L444" s="101">
        <f t="shared" si="120"/>
        <v>127.85517743724397</v>
      </c>
      <c r="M444" s="101">
        <f t="shared" si="114"/>
        <v>753.58632530321563</v>
      </c>
      <c r="N444" s="101">
        <f t="shared" si="115"/>
        <v>72.57199586754659</v>
      </c>
      <c r="O444" s="101">
        <f t="shared" si="116"/>
        <v>1.7322860188958831</v>
      </c>
      <c r="P444" s="101">
        <f t="shared" si="117"/>
        <v>1.7322860188958831</v>
      </c>
      <c r="Q444" s="101">
        <f t="shared" si="118"/>
        <v>0.27050038137469695</v>
      </c>
      <c r="R444" s="101">
        <f t="shared" si="119"/>
        <v>2.0182617244077442E-2</v>
      </c>
      <c r="S444" s="101">
        <f t="shared" si="121"/>
        <v>677.25907439925845</v>
      </c>
      <c r="T444" s="101">
        <f t="shared" si="122"/>
        <v>79.628423770232303</v>
      </c>
      <c r="U444" s="101">
        <f t="shared" si="123"/>
        <v>24.204010339559122</v>
      </c>
      <c r="V444" s="33">
        <f t="shared" si="124"/>
        <v>1000.0000000000007</v>
      </c>
      <c r="W444" s="105">
        <f>IF(A444=1,((cPH1_+cPHr+(cNES*L444+(cNES+cOSEX)*G444+(cNES+cEREX)*H444+(cNES+cHOEX)*I444 + (cNES+cNES)*S444 +(cNES+ cOSEX)*N444 + (cNES+cEREX)*O444 + (cNES+cHOEX)*P444)))/(1+cDR)^A$5:A$65536,(cPHr+(cNES*L444+(cNES+cOSEX)*G444+(cNES+cEREX)*H444+(cNES+cHOEX)*I444 + (cNES+cNES)*S444 +(cNES+ cOSEX)*N444 + (cNES+cEREX)*O444 + (cNES+cHOEX)*P444))/(1+cDR)^A$5:A$65536)</f>
        <v>106264.08041486336</v>
      </c>
      <c r="X444" s="112">
        <f t="shared" si="125"/>
        <v>896.16756589020929</v>
      </c>
      <c r="Y444" s="32">
        <f>(uNES*L444+ uOCEX*G444+uEREX*'PH + UC'!H444+uHOEX*I444+uNES*S444+ uOCEX*N444+uEREX*O444+uHOEX*P444)/(1+oDR)^A$5:A$65536</f>
        <v>520.11239382207521</v>
      </c>
    </row>
    <row r="445" spans="1:25" x14ac:dyDescent="0.25">
      <c r="A445" s="4">
        <v>439</v>
      </c>
      <c r="C445" s="110">
        <f>IF(male=0,VLOOKUP(((A443:A1277/'Life tables'!$I$2)*2)+age,lifetable,13,1),IF(male=1,VLOOKUP(((A443:A1277/'Life tables'!$I$2)*2)+age,lifetable,10,1),"error"))</f>
        <v>3.2605221431214471E-4</v>
      </c>
      <c r="F445" s="101">
        <f t="shared" si="108"/>
        <v>142.89051246450077</v>
      </c>
      <c r="G445" s="101">
        <f t="shared" si="109"/>
        <v>14.353651030425246</v>
      </c>
      <c r="H445" s="101">
        <f t="shared" si="110"/>
        <v>0.32846566964378854</v>
      </c>
      <c r="I445" s="101">
        <f t="shared" si="111"/>
        <v>0.32846566964378854</v>
      </c>
      <c r="J445" s="101">
        <f t="shared" si="112"/>
        <v>5.1484001613007299E-2</v>
      </c>
      <c r="K445" s="101">
        <f t="shared" si="113"/>
        <v>2.5748134902474511E-2</v>
      </c>
      <c r="L445" s="101">
        <f t="shared" si="120"/>
        <v>127.80269795827246</v>
      </c>
      <c r="M445" s="101">
        <f t="shared" si="114"/>
        <v>753.27705342570869</v>
      </c>
      <c r="N445" s="101">
        <f t="shared" si="115"/>
        <v>72.542212315665722</v>
      </c>
      <c r="O445" s="101">
        <f t="shared" si="116"/>
        <v>1.7315750885997057</v>
      </c>
      <c r="P445" s="101">
        <f t="shared" si="117"/>
        <v>1.7315750885997057</v>
      </c>
      <c r="Q445" s="101">
        <f t="shared" si="118"/>
        <v>0.27038936800037594</v>
      </c>
      <c r="R445" s="101">
        <f t="shared" si="119"/>
        <v>2.0174334296632013E-2</v>
      </c>
      <c r="S445" s="101">
        <f t="shared" si="121"/>
        <v>676.98112723054658</v>
      </c>
      <c r="T445" s="101">
        <f t="shared" si="122"/>
        <v>79.950297139845688</v>
      </c>
      <c r="U445" s="101">
        <f t="shared" si="123"/>
        <v>24.249932808758228</v>
      </c>
      <c r="V445" s="33">
        <f t="shared" si="124"/>
        <v>1000.0000000000009</v>
      </c>
      <c r="W445" s="105">
        <f>IF(A445=1,((cPH1_+cPHr+(cNES*L445+(cNES+cOSEX)*G445+(cNES+cEREX)*H445+(cNES+cHOEX)*I445 + (cNES+cNES)*S445 +(cNES+ cOSEX)*N445 + (cNES+cEREX)*O445 + (cNES+cHOEX)*P445)))/(1+cDR)^A$5:A$65536,(cPHr+(cNES*L445+(cNES+cOSEX)*G445+(cNES+cEREX)*H445+(cNES+cHOEX)*I445 + (cNES+cNES)*S445 +(cNES+ cOSEX)*N445 + (cNES+cEREX)*O445 + (cNES+cHOEX)*P445))/(1+cDR)^A$5:A$65536)</f>
        <v>106098.38945198077</v>
      </c>
      <c r="X445" s="112">
        <f t="shared" si="125"/>
        <v>895.79977005139699</v>
      </c>
      <c r="Y445" s="32">
        <f>(uNES*L445+ uOCEX*G445+uEREX*'PH + UC'!H445+uHOEX*I445+uNES*S445+ uOCEX*N445+uEREX*O445+uHOEX*P445)/(1+oDR)^A$5:A$65536</f>
        <v>519.74941783359668</v>
      </c>
    </row>
    <row r="446" spans="1:25" x14ac:dyDescent="0.25">
      <c r="A446" s="4">
        <v>440</v>
      </c>
      <c r="C446" s="110">
        <f>IF(male=0,VLOOKUP(((A444:A1278/'Life tables'!$I$2)*2)+age,lifetable,13,1),IF(male=1,VLOOKUP(((A444:A1278/'Life tables'!$I$2)*2)+age,lifetable,10,1),"error"))</f>
        <v>3.2605221431214471E-4</v>
      </c>
      <c r="F446" s="101">
        <f t="shared" si="108"/>
        <v>142.83186190019177</v>
      </c>
      <c r="G446" s="101">
        <f t="shared" si="109"/>
        <v>14.347759458491538</v>
      </c>
      <c r="H446" s="101">
        <f t="shared" si="110"/>
        <v>0.32833084825818026</v>
      </c>
      <c r="I446" s="101">
        <f t="shared" si="111"/>
        <v>0.32833084825818026</v>
      </c>
      <c r="J446" s="101">
        <f t="shared" si="112"/>
        <v>5.1462869588946303E-2</v>
      </c>
      <c r="K446" s="101">
        <f t="shared" si="113"/>
        <v>2.5737566372654803E-2</v>
      </c>
      <c r="L446" s="101">
        <f t="shared" si="120"/>
        <v>127.75024030922228</v>
      </c>
      <c r="M446" s="101">
        <f t="shared" si="114"/>
        <v>752.96790815120528</v>
      </c>
      <c r="N446" s="101">
        <f t="shared" si="115"/>
        <v>72.512440955928383</v>
      </c>
      <c r="O446" s="101">
        <f t="shared" si="116"/>
        <v>1.7308644493287311</v>
      </c>
      <c r="P446" s="101">
        <f t="shared" si="117"/>
        <v>1.7308644493287311</v>
      </c>
      <c r="Q446" s="101">
        <f t="shared" si="118"/>
        <v>0.2702784000702988</v>
      </c>
      <c r="R446" s="101">
        <f t="shared" si="119"/>
        <v>2.0166054739879698E-2</v>
      </c>
      <c r="S446" s="101">
        <f t="shared" si="121"/>
        <v>676.70329384180923</v>
      </c>
      <c r="T446" s="101">
        <f t="shared" si="122"/>
        <v>80.27203840950493</v>
      </c>
      <c r="U446" s="101">
        <f t="shared" si="123"/>
        <v>24.295836429870761</v>
      </c>
      <c r="V446" s="33">
        <f t="shared" si="124"/>
        <v>1000.0000000000009</v>
      </c>
      <c r="W446" s="105">
        <f>IF(A446=1,((cPH1_+cPHr+(cNES*L446+(cNES+cOSEX)*G446+(cNES+cEREX)*H446+(cNES+cHOEX)*I446 + (cNES+cNES)*S446 +(cNES+ cOSEX)*N446 + (cNES+cEREX)*O446 + (cNES+cHOEX)*P446)))/(1+cDR)^A$5:A$65536,(cPHr+(cNES*L446+(cNES+cOSEX)*G446+(cNES+cEREX)*H446+(cNES+cHOEX)*I446 + (cNES+cNES)*S446 +(cNES+ cOSEX)*N446 + (cNES+cEREX)*O446 + (cNES+cHOEX)*P446))/(1+cDR)^A$5:A$65536)</f>
        <v>105932.95682727854</v>
      </c>
      <c r="X446" s="112">
        <f t="shared" si="125"/>
        <v>895.43212516062522</v>
      </c>
      <c r="Y446" s="32">
        <f>(uNES*L446+ uOCEX*G446+uEREX*'PH + UC'!H446+uHOEX*I446+uNES*S446+ uOCEX*N446+uEREX*O446+uHOEX*P446)/(1+oDR)^A$5:A$65536</f>
        <v>519.38669515927245</v>
      </c>
    </row>
    <row r="447" spans="1:25" x14ac:dyDescent="0.25">
      <c r="A447" s="4">
        <v>441</v>
      </c>
      <c r="C447" s="110">
        <f>IF(male=0,VLOOKUP(((A445:A1279/'Life tables'!$I$2)*2)+age,lifetable,13,1),IF(male=1,VLOOKUP(((A445:A1279/'Life tables'!$I$2)*2)+age,lifetable,10,1),"error"))</f>
        <v>3.2605221431214471E-4</v>
      </c>
      <c r="F447" s="101">
        <f t="shared" si="108"/>
        <v>142.77323571823661</v>
      </c>
      <c r="G447" s="101">
        <f t="shared" si="109"/>
        <v>14.341870335816303</v>
      </c>
      <c r="H447" s="101">
        <f t="shared" si="110"/>
        <v>0.32819608292084307</v>
      </c>
      <c r="I447" s="101">
        <f t="shared" si="111"/>
        <v>0.32819608292084307</v>
      </c>
      <c r="J447" s="101">
        <f t="shared" si="112"/>
        <v>5.1441746349941232E-2</v>
      </c>
      <c r="K447" s="101">
        <f t="shared" si="113"/>
        <v>2.5727002236409762E-2</v>
      </c>
      <c r="L447" s="101">
        <f t="shared" si="120"/>
        <v>127.69780446799227</v>
      </c>
      <c r="M447" s="101">
        <f t="shared" si="114"/>
        <v>752.6588894423885</v>
      </c>
      <c r="N447" s="101">
        <f t="shared" si="115"/>
        <v>72.482681784740905</v>
      </c>
      <c r="O447" s="101">
        <f t="shared" si="116"/>
        <v>1.7301541009971777</v>
      </c>
      <c r="P447" s="101">
        <f t="shared" si="117"/>
        <v>1.7301541009971777</v>
      </c>
      <c r="Q447" s="101">
        <f t="shared" si="118"/>
        <v>0.27016747757107051</v>
      </c>
      <c r="R447" s="101">
        <f t="shared" si="119"/>
        <v>2.015777857282107E-2</v>
      </c>
      <c r="S447" s="101">
        <f t="shared" si="121"/>
        <v>676.42557419950936</v>
      </c>
      <c r="T447" s="101">
        <f t="shared" si="122"/>
        <v>80.593647633425945</v>
      </c>
      <c r="U447" s="101">
        <f t="shared" si="123"/>
        <v>24.341721210679992</v>
      </c>
      <c r="V447" s="33">
        <f t="shared" si="124"/>
        <v>1000.0000000000008</v>
      </c>
      <c r="W447" s="105">
        <f>IF(A447=1,((cPH1_+cPHr+(cNES*L447+(cNES+cOSEX)*G447+(cNES+cEREX)*H447+(cNES+cHOEX)*I447 + (cNES+cNES)*S447 +(cNES+ cOSEX)*N447 + (cNES+cEREX)*O447 + (cNES+cHOEX)*P447)))/(1+cDR)^A$5:A$65536,(cPHr+(cNES*L447+(cNES+cOSEX)*G447+(cNES+cEREX)*H447+(cNES+cHOEX)*I447 + (cNES+cNES)*S447 +(cNES+ cOSEX)*N447 + (cNES+cEREX)*O447 + (cNES+cHOEX)*P447))/(1+cDR)^A$5:A$65536)</f>
        <v>105767.78213870003</v>
      </c>
      <c r="X447" s="112">
        <f t="shared" si="125"/>
        <v>895.06463115589486</v>
      </c>
      <c r="Y447" s="32">
        <f>(uNES*L447+ uOCEX*G447+uEREX*'PH + UC'!H447+uHOEX*I447+uNES*S447+ uOCEX*N447+uEREX*O447+uHOEX*P447)/(1+oDR)^A$5:A$65536</f>
        <v>519.02422562229629</v>
      </c>
    </row>
    <row r="448" spans="1:25" x14ac:dyDescent="0.25">
      <c r="A448" s="4">
        <v>442</v>
      </c>
      <c r="C448" s="110">
        <f>IF(male=0,VLOOKUP(((A446:A1280/'Life tables'!$I$2)*2)+age,lifetable,13,1),IF(male=1,VLOOKUP(((A446:A1280/'Life tables'!$I$2)*2)+age,lifetable,10,1),"error"))</f>
        <v>3.2605221431214471E-4</v>
      </c>
      <c r="F448" s="101">
        <f t="shared" si="108"/>
        <v>142.71463389459669</v>
      </c>
      <c r="G448" s="101">
        <f t="shared" si="109"/>
        <v>14.335983659984812</v>
      </c>
      <c r="H448" s="101">
        <f t="shared" si="110"/>
        <v>0.32806137357651893</v>
      </c>
      <c r="I448" s="101">
        <f t="shared" si="111"/>
        <v>0.32806137357651893</v>
      </c>
      <c r="J448" s="101">
        <f t="shared" si="112"/>
        <v>5.1420631887330898E-2</v>
      </c>
      <c r="K448" s="101">
        <f t="shared" si="113"/>
        <v>2.5716442489407756E-2</v>
      </c>
      <c r="L448" s="101">
        <f t="shared" si="120"/>
        <v>127.6453904130821</v>
      </c>
      <c r="M448" s="101">
        <f t="shared" si="114"/>
        <v>752.3499972612982</v>
      </c>
      <c r="N448" s="101">
        <f t="shared" si="115"/>
        <v>72.452934798447615</v>
      </c>
      <c r="O448" s="101">
        <f t="shared" si="116"/>
        <v>1.7294440435177858</v>
      </c>
      <c r="P448" s="101">
        <f t="shared" si="117"/>
        <v>1.7294440435177858</v>
      </c>
      <c r="Q448" s="101">
        <f t="shared" si="118"/>
        <v>0.27005660048906549</v>
      </c>
      <c r="R448" s="101">
        <f t="shared" si="119"/>
        <v>2.0149505794439474E-2</v>
      </c>
      <c r="S448" s="101">
        <f t="shared" si="121"/>
        <v>676.14796826953148</v>
      </c>
      <c r="T448" s="101">
        <f t="shared" si="122"/>
        <v>80.915124865802341</v>
      </c>
      <c r="U448" s="101">
        <f t="shared" si="123"/>
        <v>24.387587158963839</v>
      </c>
      <c r="V448" s="33">
        <f t="shared" si="124"/>
        <v>1000.0000000000008</v>
      </c>
      <c r="W448" s="105">
        <f>IF(A448=1,((cPH1_+cPHr+(cNES*L448+(cNES+cOSEX)*G448+(cNES+cEREX)*H448+(cNES+cHOEX)*I448 + (cNES+cNES)*S448 +(cNES+ cOSEX)*N448 + (cNES+cEREX)*O448 + (cNES+cHOEX)*P448)))/(1+cDR)^A$5:A$65536,(cPHr+(cNES*L448+(cNES+cOSEX)*G448+(cNES+cEREX)*H448+(cNES+cHOEX)*I448 + (cNES+cNES)*S448 +(cNES+ cOSEX)*N448 + (cNES+cEREX)*O448 + (cNES+cHOEX)*P448))/(1+cDR)^A$5:A$65536)</f>
        <v>105602.86498478056</v>
      </c>
      <c r="X448" s="112">
        <f t="shared" si="125"/>
        <v>894.69728797523464</v>
      </c>
      <c r="Y448" s="32">
        <f>(uNES*L448+ uOCEX*G448+uEREX*'PH + UC'!H448+uHOEX*I448+uNES*S448+ uOCEX*N448+uEREX*O448+uHOEX*P448)/(1+oDR)^A$5:A$65536</f>
        <v>518.66200904598679</v>
      </c>
    </row>
    <row r="449" spans="1:25" x14ac:dyDescent="0.25">
      <c r="A449" s="4">
        <v>443</v>
      </c>
      <c r="C449" s="110">
        <f>IF(male=0,VLOOKUP(((A447:A1281/'Life tables'!$I$2)*2)+age,lifetable,13,1),IF(male=1,VLOOKUP(((A447:A1281/'Life tables'!$I$2)*2)+age,lifetable,10,1),"error"))</f>
        <v>3.2605221431214471E-4</v>
      </c>
      <c r="F449" s="101">
        <f t="shared" si="108"/>
        <v>142.65605640587529</v>
      </c>
      <c r="G449" s="101">
        <f t="shared" si="109"/>
        <v>14.33009942864682</v>
      </c>
      <c r="H449" s="101">
        <f t="shared" si="110"/>
        <v>0.32792672017142527</v>
      </c>
      <c r="I449" s="101">
        <f t="shared" si="111"/>
        <v>0.32792672017142527</v>
      </c>
      <c r="J449" s="101">
        <f t="shared" si="112"/>
        <v>5.1399526192685369E-2</v>
      </c>
      <c r="K449" s="101">
        <f t="shared" si="113"/>
        <v>2.5705887127432825E-2</v>
      </c>
      <c r="L449" s="101">
        <f t="shared" si="120"/>
        <v>127.59299812356551</v>
      </c>
      <c r="M449" s="101">
        <f t="shared" si="114"/>
        <v>752.04123156935941</v>
      </c>
      <c r="N449" s="101">
        <f t="shared" si="115"/>
        <v>72.423199993333682</v>
      </c>
      <c r="O449" s="101">
        <f t="shared" si="116"/>
        <v>1.7287342768018823</v>
      </c>
      <c r="P449" s="101">
        <f t="shared" si="117"/>
        <v>1.7287342768018823</v>
      </c>
      <c r="Q449" s="101">
        <f t="shared" si="118"/>
        <v>0.26994576881043686</v>
      </c>
      <c r="R449" s="101">
        <f t="shared" si="119"/>
        <v>2.0141236403701794E-2</v>
      </c>
      <c r="S449" s="101">
        <f t="shared" si="121"/>
        <v>675.87047601720781</v>
      </c>
      <c r="T449" s="101">
        <f t="shared" si="122"/>
        <v>81.236470160805467</v>
      </c>
      <c r="U449" s="101">
        <f t="shared" si="123"/>
        <v>24.433434282494975</v>
      </c>
      <c r="V449" s="33">
        <f t="shared" si="124"/>
        <v>1000.0000000000008</v>
      </c>
      <c r="W449" s="105">
        <f>IF(A449=1,((cPH1_+cPHr+(cNES*L449+(cNES+cOSEX)*G449+(cNES+cEREX)*H449+(cNES+cHOEX)*I449 + (cNES+cNES)*S449 +(cNES+ cOSEX)*N449 + (cNES+cEREX)*O449 + (cNES+cHOEX)*P449)))/(1+cDR)^A$5:A$65536,(cPHr+(cNES*L449+(cNES+cOSEX)*G449+(cNES+cEREX)*H449+(cNES+cHOEX)*I449 + (cNES+cNES)*S449 +(cNES+ cOSEX)*N449 + (cNES+cEREX)*O449 + (cNES+cHOEX)*P449))/(1+cDR)^A$5:A$65536)</f>
        <v>105438.20496464784</v>
      </c>
      <c r="X449" s="112">
        <f t="shared" si="125"/>
        <v>894.33009555670037</v>
      </c>
      <c r="Y449" s="32">
        <f>(uNES*L449+ uOCEX*G449+uEREX*'PH + UC'!H449+uHOEX*I449+uNES*S449+ uOCEX*N449+uEREX*O449+uHOEX*P449)/(1+oDR)^A$5:A$65536</f>
        <v>518.30004525378683</v>
      </c>
    </row>
    <row r="450" spans="1:25" x14ac:dyDescent="0.25">
      <c r="A450" s="4">
        <v>444</v>
      </c>
      <c r="C450" s="110">
        <f>IF(male=0,VLOOKUP(((A448:A1282/'Life tables'!$I$2)*2)+age,lifetable,13,1),IF(male=1,VLOOKUP(((A448:A1282/'Life tables'!$I$2)*2)+age,lifetable,10,1),"error"))</f>
        <v>3.518541282111487E-4</v>
      </c>
      <c r="F450" s="101">
        <f t="shared" si="108"/>
        <v>142.59750322928861</v>
      </c>
      <c r="G450" s="101">
        <f t="shared" si="109"/>
        <v>14.324217639513639</v>
      </c>
      <c r="H450" s="101">
        <f t="shared" si="110"/>
        <v>0.32779212265318841</v>
      </c>
      <c r="I450" s="101">
        <f t="shared" si="111"/>
        <v>0.32779212265318841</v>
      </c>
      <c r="J450" s="101">
        <f t="shared" si="112"/>
        <v>5.5444225316786881E-2</v>
      </c>
      <c r="K450" s="101">
        <f t="shared" si="113"/>
        <v>2.5695336146379436E-2</v>
      </c>
      <c r="L450" s="101">
        <f t="shared" si="120"/>
        <v>127.53656178300542</v>
      </c>
      <c r="M450" s="101">
        <f t="shared" si="114"/>
        <v>751.73259232741191</v>
      </c>
      <c r="N450" s="101">
        <f t="shared" si="115"/>
        <v>72.393477365627874</v>
      </c>
      <c r="O450" s="101">
        <f t="shared" si="116"/>
        <v>1.7280248007594485</v>
      </c>
      <c r="P450" s="101">
        <f t="shared" si="117"/>
        <v>1.7280248007594485</v>
      </c>
      <c r="Q450" s="101">
        <f t="shared" si="118"/>
        <v>0.29118818510752187</v>
      </c>
      <c r="R450" s="101">
        <f t="shared" si="119"/>
        <v>2.013297039955924E-2</v>
      </c>
      <c r="S450" s="101">
        <f t="shared" si="121"/>
        <v>675.57174420475803</v>
      </c>
      <c r="T450" s="101">
        <f t="shared" si="122"/>
        <v>81.583102571229773</v>
      </c>
      <c r="U450" s="101">
        <f t="shared" si="123"/>
        <v>24.479262589040914</v>
      </c>
      <c r="V450" s="33">
        <f t="shared" si="124"/>
        <v>1000.0000000000009</v>
      </c>
      <c r="W450" s="105">
        <f>IF(A450=1,((cPH1_+cPHr+(cNES*L450+(cNES+cOSEX)*G450+(cNES+cEREX)*H450+(cNES+cHOEX)*I450 + (cNES+cNES)*S450 +(cNES+ cOSEX)*N450 + (cNES+cEREX)*O450 + (cNES+cHOEX)*P450)))/(1+cDR)^A$5:A$65536,(cPHr+(cNES*L450+(cNES+cOSEX)*G450+(cNES+cEREX)*H450+(cNES+cHOEX)*I450 + (cNES+cNES)*S450 +(cNES+ cOSEX)*N450 + (cNES+cEREX)*O450 + (cNES+cHOEX)*P450))/(1+cDR)^A$5:A$65536)</f>
        <v>105271.2069934258</v>
      </c>
      <c r="X450" s="112">
        <f t="shared" si="125"/>
        <v>893.93763483973021</v>
      </c>
      <c r="Y450" s="32">
        <f>(uNES*L450+ uOCEX*G450+uEREX*'PH + UC'!H450+uHOEX*I450+uNES*S450+ uOCEX*N450+uEREX*O450+uHOEX*P450)/(1+oDR)^A$5:A$65536</f>
        <v>517.92336751345022</v>
      </c>
    </row>
    <row r="451" spans="1:25" x14ac:dyDescent="0.25">
      <c r="A451" s="4">
        <v>445</v>
      </c>
      <c r="C451" s="110">
        <f>IF(male=0,VLOOKUP(((A449:A1283/'Life tables'!$I$2)*2)+age,lifetable,13,1),IF(male=1,VLOOKUP(((A449:A1283/'Life tables'!$I$2)*2)+age,lifetable,10,1),"error"))</f>
        <v>3.518541282111487E-4</v>
      </c>
      <c r="F451" s="101">
        <f t="shared" si="108"/>
        <v>142.5349086143905</v>
      </c>
      <c r="G451" s="101">
        <f t="shared" si="109"/>
        <v>14.317929879443813</v>
      </c>
      <c r="H451" s="101">
        <f t="shared" si="110"/>
        <v>0.32764823498882223</v>
      </c>
      <c r="I451" s="101">
        <f t="shared" si="111"/>
        <v>0.32764823498882223</v>
      </c>
      <c r="J451" s="101">
        <f t="shared" si="112"/>
        <v>5.5419887513856E-2</v>
      </c>
      <c r="K451" s="101">
        <f t="shared" si="113"/>
        <v>2.5684056918943217E-2</v>
      </c>
      <c r="L451" s="101">
        <f t="shared" si="120"/>
        <v>127.48057832053624</v>
      </c>
      <c r="M451" s="101">
        <f t="shared" si="114"/>
        <v>751.40272622533985</v>
      </c>
      <c r="N451" s="101">
        <f t="shared" si="115"/>
        <v>72.361710545301364</v>
      </c>
      <c r="O451" s="101">
        <f t="shared" si="116"/>
        <v>1.7272665300510501</v>
      </c>
      <c r="P451" s="101">
        <f t="shared" si="117"/>
        <v>1.7272665300510501</v>
      </c>
      <c r="Q451" s="101">
        <f t="shared" si="118"/>
        <v>0.29106040946952078</v>
      </c>
      <c r="R451" s="101">
        <f t="shared" si="119"/>
        <v>2.012413589572554E-2</v>
      </c>
      <c r="S451" s="101">
        <f t="shared" si="121"/>
        <v>675.27529807457108</v>
      </c>
      <c r="T451" s="101">
        <f t="shared" si="122"/>
        <v>81.929582868213146</v>
      </c>
      <c r="U451" s="101">
        <f t="shared" si="123"/>
        <v>24.525070781855582</v>
      </c>
      <c r="V451" s="33">
        <f t="shared" si="124"/>
        <v>1000.000000000001</v>
      </c>
      <c r="W451" s="105">
        <f>IF(A451=1,((cPH1_+cPHr+(cNES*L451+(cNES+cOSEX)*G451+(cNES+cEREX)*H451+(cNES+cHOEX)*I451 + (cNES+cNES)*S451 +(cNES+ cOSEX)*N451 + (cNES+cEREX)*O451 + (cNES+cHOEX)*P451)))/(1+cDR)^A$5:A$65536,(cPHr+(cNES*L451+(cNES+cOSEX)*G451+(cNES+cEREX)*H451+(cNES+cHOEX)*I451 + (cNES+cNES)*S451 +(cNES+ cOSEX)*N451 + (cNES+cEREX)*O451 + (cNES+cHOEX)*P451))/(1+cDR)^A$5:A$65536)</f>
        <v>105104.07652414381</v>
      </c>
      <c r="X451" s="112">
        <f t="shared" si="125"/>
        <v>893.54534634993229</v>
      </c>
      <c r="Y451" s="32">
        <f>(uNES*L451+ uOCEX*G451+uEREX*'PH + UC'!H451+uHOEX*I451+uNES*S451+ uOCEX*N451+uEREX*O451+uHOEX*P451)/(1+oDR)^A$5:A$65536</f>
        <v>517.54720282444237</v>
      </c>
    </row>
    <row r="452" spans="1:25" x14ac:dyDescent="0.25">
      <c r="A452" s="4">
        <v>446</v>
      </c>
      <c r="C452" s="110">
        <f>IF(male=0,VLOOKUP(((A450:A1284/'Life tables'!$I$2)*2)+age,lifetable,13,1),IF(male=1,VLOOKUP(((A450:A1284/'Life tables'!$I$2)*2)+age,lifetable,10,1),"error"))</f>
        <v>3.518541282111487E-4</v>
      </c>
      <c r="F452" s="101">
        <f t="shared" si="108"/>
        <v>142.47234229120164</v>
      </c>
      <c r="G452" s="101">
        <f t="shared" si="109"/>
        <v>14.311644961335393</v>
      </c>
      <c r="H452" s="101">
        <f t="shared" si="110"/>
        <v>0.32750441235925132</v>
      </c>
      <c r="I452" s="101">
        <f t="shared" si="111"/>
        <v>0.32750441235925132</v>
      </c>
      <c r="J452" s="101">
        <f t="shared" si="112"/>
        <v>5.5395560711201199E-2</v>
      </c>
      <c r="K452" s="101">
        <f t="shared" si="113"/>
        <v>2.5672782789527386E-2</v>
      </c>
      <c r="L452" s="101">
        <f t="shared" si="120"/>
        <v>127.42462016164701</v>
      </c>
      <c r="M452" s="101">
        <f t="shared" si="114"/>
        <v>751.07300405873048</v>
      </c>
      <c r="N452" s="101">
        <f t="shared" si="115"/>
        <v>72.329957586271775</v>
      </c>
      <c r="O452" s="101">
        <f t="shared" si="116"/>
        <v>1.7265085902103721</v>
      </c>
      <c r="P452" s="101">
        <f t="shared" si="117"/>
        <v>1.7265085902103721</v>
      </c>
      <c r="Q452" s="101">
        <f t="shared" si="118"/>
        <v>0.29093268958579527</v>
      </c>
      <c r="R452" s="101">
        <f t="shared" si="119"/>
        <v>2.0115305246784444E-2</v>
      </c>
      <c r="S452" s="101">
        <f t="shared" si="121"/>
        <v>674.97898129720534</v>
      </c>
      <c r="T452" s="101">
        <f t="shared" si="122"/>
        <v>82.275911118510137</v>
      </c>
      <c r="U452" s="101">
        <f t="shared" si="123"/>
        <v>24.570858869891893</v>
      </c>
      <c r="V452" s="33">
        <f t="shared" si="124"/>
        <v>1000.0000000000008</v>
      </c>
      <c r="W452" s="105">
        <f>IF(A452=1,((cPH1_+cPHr+(cNES*L452+(cNES+cOSEX)*G452+(cNES+cEREX)*H452+(cNES+cHOEX)*I452 + (cNES+cNES)*S452 +(cNES+ cOSEX)*N452 + (cNES+cEREX)*O452 + (cNES+cHOEX)*P452)))/(1+cDR)^A$5:A$65536,(cPHr+(cNES*L452+(cNES+cOSEX)*G452+(cNES+cEREX)*H452+(cNES+cHOEX)*I452 + (cNES+cNES)*S452 +(cNES+ cOSEX)*N452 + (cNES+cEREX)*O452 + (cNES+cHOEX)*P452))/(1+cDR)^A$5:A$65536)</f>
        <v>104937.21135713873</v>
      </c>
      <c r="X452" s="112">
        <f t="shared" si="125"/>
        <v>893.15323001159868</v>
      </c>
      <c r="Y452" s="32">
        <f>(uNES*L452+ uOCEX*G452+uEREX*'PH + UC'!H452+uHOEX*I452+uNES*S452+ uOCEX*N452+uEREX*O452+uHOEX*P452)/(1+oDR)^A$5:A$65536</f>
        <v>517.17131134290503</v>
      </c>
    </row>
    <row r="453" spans="1:25" x14ac:dyDescent="0.25">
      <c r="A453" s="4">
        <v>447</v>
      </c>
      <c r="C453" s="110">
        <f>IF(male=0,VLOOKUP(((A451:A1285/'Life tables'!$I$2)*2)+age,lifetable,13,1),IF(male=1,VLOOKUP(((A451:A1285/'Life tables'!$I$2)*2)+age,lifetable,10,1),"error"))</f>
        <v>3.518541282111487E-4</v>
      </c>
      <c r="F453" s="101">
        <f t="shared" si="108"/>
        <v>142.40980421021447</v>
      </c>
      <c r="G453" s="101">
        <f t="shared" si="109"/>
        <v>14.30536288021524</v>
      </c>
      <c r="H453" s="101">
        <f t="shared" si="110"/>
        <v>0.32736065465067155</v>
      </c>
      <c r="I453" s="101">
        <f t="shared" si="111"/>
        <v>0.32736065465067155</v>
      </c>
      <c r="J453" s="101">
        <f t="shared" si="112"/>
        <v>5.537124488957313E-2</v>
      </c>
      <c r="K453" s="101">
        <f t="shared" si="113"/>
        <v>2.5661513749210947E-2</v>
      </c>
      <c r="L453" s="101">
        <f t="shared" si="120"/>
        <v>127.36868726205911</v>
      </c>
      <c r="M453" s="101">
        <f t="shared" si="114"/>
        <v>750.74342580138443</v>
      </c>
      <c r="N453" s="101">
        <f t="shared" si="115"/>
        <v>72.29821848601604</v>
      </c>
      <c r="O453" s="101">
        <f t="shared" si="116"/>
        <v>1.7257509811771894</v>
      </c>
      <c r="P453" s="101">
        <f t="shared" si="117"/>
        <v>1.7257509811771894</v>
      </c>
      <c r="Q453" s="101">
        <f t="shared" si="118"/>
        <v>0.29080502544619696</v>
      </c>
      <c r="R453" s="101">
        <f t="shared" si="119"/>
        <v>2.0106478452034275E-2</v>
      </c>
      <c r="S453" s="101">
        <f t="shared" si="121"/>
        <v>674.6827938491158</v>
      </c>
      <c r="T453" s="101">
        <f t="shared" si="122"/>
        <v>82.622087388845912</v>
      </c>
      <c r="U453" s="101">
        <f t="shared" si="123"/>
        <v>24.616626862093138</v>
      </c>
      <c r="V453" s="33">
        <f t="shared" si="124"/>
        <v>1000.0000000000009</v>
      </c>
      <c r="W453" s="105">
        <f>IF(A453=1,((cPH1_+cPHr+(cNES*L453+(cNES+cOSEX)*G453+(cNES+cEREX)*H453+(cNES+cHOEX)*I453 + (cNES+cNES)*S453 +(cNES+ cOSEX)*N453 + (cNES+cEREX)*O453 + (cNES+cHOEX)*P453)))/(1+cDR)^A$5:A$65536,(cPHr+(cNES*L453+(cNES+cOSEX)*G453+(cNES+cEREX)*H453+(cNES+cHOEX)*I453 + (cNES+cNES)*S453 +(cNES+ cOSEX)*N453 + (cNES+cEREX)*O453 + (cNES+cHOEX)*P453))/(1+cDR)^A$5:A$65536)</f>
        <v>104770.61107311177</v>
      </c>
      <c r="X453" s="112">
        <f t="shared" si="125"/>
        <v>892.76128574906193</v>
      </c>
      <c r="Y453" s="32">
        <f>(uNES*L453+ uOCEX*G453+uEREX*'PH + UC'!H453+uHOEX*I453+uNES*S453+ uOCEX*N453+uEREX*O453+uHOEX*P453)/(1+oDR)^A$5:A$65536</f>
        <v>516.79569287035042</v>
      </c>
    </row>
    <row r="454" spans="1:25" x14ac:dyDescent="0.25">
      <c r="A454" s="4">
        <v>448</v>
      </c>
      <c r="C454" s="110">
        <f>IF(male=0,VLOOKUP(((A452:A1286/'Life tables'!$I$2)*2)+age,lifetable,13,1),IF(male=1,VLOOKUP(((A452:A1286/'Life tables'!$I$2)*2)+age,lifetable,10,1),"error"))</f>
        <v>3.518541282111487E-4</v>
      </c>
      <c r="F454" s="101">
        <f t="shared" si="108"/>
        <v>142.34729432361453</v>
      </c>
      <c r="G454" s="101">
        <f t="shared" si="109"/>
        <v>14.299083631280292</v>
      </c>
      <c r="H454" s="101">
        <f t="shared" si="110"/>
        <v>0.32721696175317067</v>
      </c>
      <c r="I454" s="101">
        <f t="shared" si="111"/>
        <v>0.32721696175317067</v>
      </c>
      <c r="J454" s="101">
        <f t="shared" si="112"/>
        <v>5.5346940030380744E-2</v>
      </c>
      <c r="K454" s="101">
        <f t="shared" si="113"/>
        <v>2.5650249789377969E-2</v>
      </c>
      <c r="L454" s="101">
        <f t="shared" si="120"/>
        <v>127.31277957900814</v>
      </c>
      <c r="M454" s="101">
        <f t="shared" si="114"/>
        <v>750.41399142544731</v>
      </c>
      <c r="N454" s="101">
        <f t="shared" si="115"/>
        <v>72.26649324185172</v>
      </c>
      <c r="O454" s="101">
        <f t="shared" si="116"/>
        <v>1.7249937028874727</v>
      </c>
      <c r="P454" s="101">
        <f t="shared" si="117"/>
        <v>1.7249937028874727</v>
      </c>
      <c r="Q454" s="101">
        <f t="shared" si="118"/>
        <v>0.2906774170399361</v>
      </c>
      <c r="R454" s="101">
        <f t="shared" si="119"/>
        <v>2.0097655510729034E-2</v>
      </c>
      <c r="S454" s="101">
        <f t="shared" si="121"/>
        <v>674.38673570526998</v>
      </c>
      <c r="T454" s="101">
        <f t="shared" si="122"/>
        <v>82.968111745916232</v>
      </c>
      <c r="U454" s="101">
        <f t="shared" si="123"/>
        <v>24.662374767393246</v>
      </c>
      <c r="V454" s="33">
        <f t="shared" si="124"/>
        <v>1000.0000000000008</v>
      </c>
      <c r="W454" s="105">
        <f>IF(A454=1,((cPH1_+cPHr+(cNES*L454+(cNES+cOSEX)*G454+(cNES+cEREX)*H454+(cNES+cHOEX)*I454 + (cNES+cNES)*S454 +(cNES+ cOSEX)*N454 + (cNES+cEREX)*O454 + (cNES+cHOEX)*P454)))/(1+cDR)^A$5:A$65536,(cPHr+(cNES*L454+(cNES+cOSEX)*G454+(cNES+cEREX)*H454+(cNES+cHOEX)*I454 + (cNES+cNES)*S454 +(cNES+ cOSEX)*N454 + (cNES+cEREX)*O454 + (cNES+cHOEX)*P454))/(1+cDR)^A$5:A$65536)</f>
        <v>104604.27525334155</v>
      </c>
      <c r="X454" s="112">
        <f t="shared" si="125"/>
        <v>892.3695134866914</v>
      </c>
      <c r="Y454" s="32">
        <f>(uNES*L454+ uOCEX*G454+uEREX*'PH + UC'!H454+uHOEX*I454+uNES*S454+ uOCEX*N454+uEREX*O454+uHOEX*P454)/(1+oDR)^A$5:A$65536</f>
        <v>516.42034720843753</v>
      </c>
    </row>
    <row r="455" spans="1:25" x14ac:dyDescent="0.25">
      <c r="A455" s="4">
        <v>449</v>
      </c>
      <c r="C455" s="110">
        <f>IF(male=0,VLOOKUP(((A453:A1287/'Life tables'!$I$2)*2)+age,lifetable,13,1),IF(male=1,VLOOKUP(((A453:A1287/'Life tables'!$I$2)*2)+age,lifetable,10,1),"error"))</f>
        <v>3.518541282111487E-4</v>
      </c>
      <c r="F455" s="101">
        <f t="shared" ref="F455:F518" si="126">E454*(1-pCAPH)+(L454+G454+H454+I454)*(1-pCAPH)+(S454+N454+O454+P454)*(pUAPH)</f>
        <v>142.28481258520438</v>
      </c>
      <c r="G455" s="101">
        <f t="shared" ref="G455:G518" si="127">F455*(rrOSEX)</f>
        <v>14.292807209889917</v>
      </c>
      <c r="H455" s="101">
        <f t="shared" ref="H455:H518" si="128">F455*rrEREX</f>
        <v>0.32707333356055363</v>
      </c>
      <c r="I455" s="101">
        <f t="shared" ref="I455:I518" si="129">F455*rrHOEX</f>
        <v>0.32707333356055363</v>
      </c>
      <c r="J455" s="101">
        <f t="shared" ref="J455:J518" si="130">F455*mr + G455*mr + H455*mr+I455*mr</f>
        <v>5.5322646115661726E-2</v>
      </c>
      <c r="K455" s="101">
        <f t="shared" ref="K455:K518" si="131">F455*amr + I455*amrHOEX</f>
        <v>2.5638990901703913E-2</v>
      </c>
      <c r="L455" s="101">
        <f t="shared" si="120"/>
        <v>127.25689707117598</v>
      </c>
      <c r="M455" s="101">
        <f t="shared" ref="M455:M518" si="132">E454*pCAPH+(L454+G454+H454+I454)*pCAPH+(S454+N454+O454+P454)*(1-pUAPH)</f>
        <v>750.08470090148717</v>
      </c>
      <c r="N455" s="101">
        <f t="shared" ref="N455:N518" si="133">M455*rrOSEXc</f>
        <v>72.234781850944458</v>
      </c>
      <c r="O455" s="101">
        <f t="shared" ref="O455:O518" si="134">M455*rrEREXc</f>
        <v>1.7242367552735658</v>
      </c>
      <c r="P455" s="101">
        <f t="shared" ref="P455:P518" si="135">M455*rrHOEXc</f>
        <v>1.7242367552735658</v>
      </c>
      <c r="Q455" s="101">
        <f t="shared" ref="Q455:Q518" si="136">M455*mr + N455*mr + O455*mr+P455*mr</f>
        <v>0.29054986435561236</v>
      </c>
      <c r="R455" s="101">
        <f t="shared" ref="R455:R518" si="137">M455*amrc + P455*amrHOEX</f>
        <v>2.0088836422080477E-2</v>
      </c>
      <c r="S455" s="101">
        <f t="shared" si="121"/>
        <v>674.09080683921786</v>
      </c>
      <c r="T455" s="101">
        <f t="shared" si="122"/>
        <v>83.313984256387499</v>
      </c>
      <c r="U455" s="101">
        <f t="shared" si="123"/>
        <v>24.70810259471703</v>
      </c>
      <c r="V455" s="33">
        <f t="shared" si="124"/>
        <v>1000.000000000001</v>
      </c>
      <c r="W455" s="105">
        <f>IF(A455=1,((cPH1_+cPHr+(cNES*L455+(cNES+cOSEX)*G455+(cNES+cEREX)*H455+(cNES+cHOEX)*I455 + (cNES+cNES)*S455 +(cNES+ cOSEX)*N455 + (cNES+cEREX)*O455 + (cNES+cHOEX)*P455)))/(1+cDR)^A$5:A$65536,(cPHr+(cNES*L455+(cNES+cOSEX)*G455+(cNES+cEREX)*H455+(cNES+cHOEX)*I455 + (cNES+cNES)*S455 +(cNES+ cOSEX)*N455 + (cNES+cEREX)*O455 + (cNES+cHOEX)*P455))/(1+cDR)^A$5:A$65536)</f>
        <v>104438.20347968744</v>
      </c>
      <c r="X455" s="112">
        <f t="shared" si="125"/>
        <v>891.9779131488965</v>
      </c>
      <c r="Y455" s="32">
        <f>(uNES*L455+ uOCEX*G455+uEREX*'PH + UC'!H455+uHOEX*I455+uNES*S455+ uOCEX*N455+uEREX*O455+uHOEX*P455)/(1+oDR)^A$5:A$65536</f>
        <v>516.04527415897257</v>
      </c>
    </row>
    <row r="456" spans="1:25" x14ac:dyDescent="0.25">
      <c r="A456" s="4">
        <v>450</v>
      </c>
      <c r="C456" s="110">
        <f>IF(male=0,VLOOKUP(((A454:A1288/'Life tables'!$I$2)*2)+age,lifetable,13,1),IF(male=1,VLOOKUP(((A454:A1288/'Life tables'!$I$2)*2)+age,lifetable,10,1),"error"))</f>
        <v>3.518541282111487E-4</v>
      </c>
      <c r="F456" s="101">
        <f t="shared" si="126"/>
        <v>142.22235895033089</v>
      </c>
      <c r="G456" s="101">
        <f t="shared" si="127"/>
        <v>14.286533611558617</v>
      </c>
      <c r="H456" s="101">
        <f t="shared" si="128"/>
        <v>0.32692976997017525</v>
      </c>
      <c r="I456" s="101">
        <f t="shared" si="129"/>
        <v>0.32692976997017525</v>
      </c>
      <c r="J456" s="101">
        <f t="shared" si="130"/>
        <v>5.5298363128054223E-2</v>
      </c>
      <c r="K456" s="101">
        <f t="shared" si="131"/>
        <v>2.5627737078142521E-2</v>
      </c>
      <c r="L456" s="101">
        <f t="shared" ref="L456:L519" si="138">F456-SUM(G456:K456)</f>
        <v>127.20103969862572</v>
      </c>
      <c r="M456" s="101">
        <f t="shared" si="132"/>
        <v>749.75555419856551</v>
      </c>
      <c r="N456" s="101">
        <f t="shared" si="133"/>
        <v>72.203084310314807</v>
      </c>
      <c r="O456" s="101">
        <f t="shared" si="134"/>
        <v>1.7234801382643499</v>
      </c>
      <c r="P456" s="101">
        <f t="shared" si="135"/>
        <v>1.7234801382643499</v>
      </c>
      <c r="Q456" s="101">
        <f t="shared" si="136"/>
        <v>0.29042236738124128</v>
      </c>
      <c r="R456" s="101">
        <f t="shared" si="137"/>
        <v>2.0080021185260005E-2</v>
      </c>
      <c r="S456" s="101">
        <f t="shared" ref="S456:S519" si="139">M456-SUM(N456:R456)</f>
        <v>673.79500722315549</v>
      </c>
      <c r="T456" s="101">
        <f t="shared" ref="T456:T519" si="140">J456+Q456+T455</f>
        <v>83.659704986896799</v>
      </c>
      <c r="U456" s="101">
        <f t="shared" ref="U456:U519" si="141">K456+R456+U455</f>
        <v>24.753810352980434</v>
      </c>
      <c r="V456" s="33">
        <f t="shared" ref="V456:V519" si="142">SUM(G456:I456,L456,N456,O456,P456,S456,T456,U456)</f>
        <v>1000.0000000000009</v>
      </c>
      <c r="W456" s="105">
        <f>IF(A456=1,((cPH1_+cPHr+(cNES*L456+(cNES+cOSEX)*G456+(cNES+cEREX)*H456+(cNES+cHOEX)*I456 + (cNES+cNES)*S456 +(cNES+ cOSEX)*N456 + (cNES+cEREX)*O456 + (cNES+cHOEX)*P456)))/(1+cDR)^A$5:A$65536,(cPHr+(cNES*L456+(cNES+cOSEX)*G456+(cNES+cEREX)*H456+(cNES+cHOEX)*I456 + (cNES+cNES)*S456 +(cNES+ cOSEX)*N456 + (cNES+cEREX)*O456 + (cNES+cHOEX)*P456))/(1+cDR)^A$5:A$65536)</f>
        <v>104272.39533459245</v>
      </c>
      <c r="X456" s="112">
        <f t="shared" ref="X456:X519" si="143">(L456+G456+H456+I456+N456+O456+P456+S456)</f>
        <v>891.58648466012369</v>
      </c>
      <c r="Y456" s="32">
        <f>(uNES*L456+ uOCEX*G456+uEREX*'PH + UC'!H456+uHOEX*I456+uNES*S456+ uOCEX*N456+uEREX*O456+uHOEX*P456)/(1+oDR)^A$5:A$65536</f>
        <v>515.67047352390705</v>
      </c>
    </row>
    <row r="457" spans="1:25" x14ac:dyDescent="0.25">
      <c r="A457" s="4">
        <v>451</v>
      </c>
      <c r="C457" s="110">
        <f>IF(male=0,VLOOKUP(((A455:A1289/'Life tables'!$I$2)*2)+age,lifetable,13,1),IF(male=1,VLOOKUP(((A455:A1289/'Life tables'!$I$2)*2)+age,lifetable,10,1),"error"))</f>
        <v>3.518541282111487E-4</v>
      </c>
      <c r="F457" s="101">
        <f t="shared" si="126"/>
        <v>142.15993337581608</v>
      </c>
      <c r="G457" s="101">
        <f t="shared" si="127"/>
        <v>14.280262831949077</v>
      </c>
      <c r="H457" s="101">
        <f t="shared" si="128"/>
        <v>0.32678627088278134</v>
      </c>
      <c r="I457" s="101">
        <f t="shared" si="129"/>
        <v>0.32678627088278134</v>
      </c>
      <c r="J457" s="101">
        <f t="shared" si="130"/>
        <v>5.5274091050769934E-2</v>
      </c>
      <c r="K457" s="101">
        <f t="shared" si="131"/>
        <v>2.561648831091334E-2</v>
      </c>
      <c r="L457" s="101">
        <f t="shared" si="138"/>
        <v>127.14520742273976</v>
      </c>
      <c r="M457" s="101">
        <f t="shared" si="132"/>
        <v>749.42655128430749</v>
      </c>
      <c r="N457" s="101">
        <f t="shared" si="133"/>
        <v>72.171400616845006</v>
      </c>
      <c r="O457" s="101">
        <f t="shared" si="134"/>
        <v>1.7227238517854042</v>
      </c>
      <c r="P457" s="101">
        <f t="shared" si="135"/>
        <v>1.7227238517854042</v>
      </c>
      <c r="Q457" s="101">
        <f t="shared" si="136"/>
        <v>0.29029492610428231</v>
      </c>
      <c r="R457" s="101">
        <f t="shared" si="137"/>
        <v>2.0071209799400549E-2</v>
      </c>
      <c r="S457" s="101">
        <f t="shared" si="139"/>
        <v>673.49933682798803</v>
      </c>
      <c r="T457" s="101">
        <f t="shared" si="140"/>
        <v>84.005274004051856</v>
      </c>
      <c r="U457" s="101">
        <f t="shared" si="141"/>
        <v>24.799498051090747</v>
      </c>
      <c r="V457" s="33">
        <f t="shared" si="142"/>
        <v>1000.0000000000009</v>
      </c>
      <c r="W457" s="105">
        <f>IF(A457=1,((cPH1_+cPHr+(cNES*L457+(cNES+cOSEX)*G457+(cNES+cEREX)*H457+(cNES+cHOEX)*I457 + (cNES+cNES)*S457 +(cNES+ cOSEX)*N457 + (cNES+cEREX)*O457 + (cNES+cHOEX)*P457)))/(1+cDR)^A$5:A$65536,(cPHr+(cNES*L457+(cNES+cOSEX)*G457+(cNES+cEREX)*H457+(cNES+cHOEX)*I457 + (cNES+cNES)*S457 +(cNES+ cOSEX)*N457 + (cNES+cEREX)*O457 + (cNES+cHOEX)*P457))/(1+cDR)^A$5:A$65536)</f>
        <v>104106.85040108599</v>
      </c>
      <c r="X457" s="112">
        <f t="shared" si="143"/>
        <v>891.19522794485829</v>
      </c>
      <c r="Y457" s="32">
        <f>(uNES*L457+ uOCEX*G457+uEREX*'PH + UC'!H457+uHOEX*I457+uNES*S457+ uOCEX*N457+uEREX*O457+uHOEX*P457)/(1+oDR)^A$5:A$65536</f>
        <v>515.29594510533968</v>
      </c>
    </row>
    <row r="458" spans="1:25" x14ac:dyDescent="0.25">
      <c r="A458" s="4">
        <v>452</v>
      </c>
      <c r="C458" s="110">
        <f>IF(male=0,VLOOKUP(((A456:A1290/'Life tables'!$I$2)*2)+age,lifetable,13,1),IF(male=1,VLOOKUP(((A456:A1290/'Life tables'!$I$2)*2)+age,lifetable,10,1),"error"))</f>
        <v>3.518541282111487E-4</v>
      </c>
      <c r="F458" s="101">
        <f t="shared" si="126"/>
        <v>142.09753581989079</v>
      </c>
      <c r="G458" s="101">
        <f t="shared" si="127"/>
        <v>14.273994866865491</v>
      </c>
      <c r="H458" s="101">
        <f t="shared" si="128"/>
        <v>0.32664283620235618</v>
      </c>
      <c r="I458" s="101">
        <f t="shared" si="129"/>
        <v>0.32664283620235618</v>
      </c>
      <c r="J458" s="101">
        <f t="shared" si="130"/>
        <v>5.5249829867568309E-2</v>
      </c>
      <c r="K458" s="101">
        <f t="shared" si="131"/>
        <v>2.5605244592489782E-2</v>
      </c>
      <c r="L458" s="101">
        <f t="shared" si="138"/>
        <v>127.08940020616053</v>
      </c>
      <c r="M458" s="101">
        <f t="shared" si="132"/>
        <v>749.09769212496758</v>
      </c>
      <c r="N458" s="101">
        <f t="shared" si="133"/>
        <v>72.139730767285272</v>
      </c>
      <c r="O458" s="101">
        <f t="shared" si="134"/>
        <v>1.7219678957591571</v>
      </c>
      <c r="P458" s="101">
        <f t="shared" si="135"/>
        <v>1.7219678957591571</v>
      </c>
      <c r="Q458" s="101">
        <f t="shared" si="136"/>
        <v>0.29016754051166388</v>
      </c>
      <c r="R458" s="101">
        <f t="shared" si="137"/>
        <v>2.0062402263598334E-2</v>
      </c>
      <c r="S458" s="101">
        <f t="shared" si="139"/>
        <v>673.20379562338871</v>
      </c>
      <c r="T458" s="101">
        <f t="shared" si="140"/>
        <v>84.350691374431094</v>
      </c>
      <c r="U458" s="101">
        <f t="shared" si="141"/>
        <v>24.845165697946836</v>
      </c>
      <c r="V458" s="33">
        <f t="shared" si="142"/>
        <v>1000.000000000001</v>
      </c>
      <c r="W458" s="105">
        <f>IF(A458=1,((cPH1_+cPHr+(cNES*L458+(cNES+cOSEX)*G458+(cNES+cEREX)*H458+(cNES+cHOEX)*I458 + (cNES+cNES)*S458 +(cNES+ cOSEX)*N458 + (cNES+cEREX)*O458 + (cNES+cHOEX)*P458)))/(1+cDR)^A$5:A$65536,(cPHr+(cNES*L458+(cNES+cOSEX)*G458+(cNES+cEREX)*H458+(cNES+cHOEX)*I458 + (cNES+cNES)*S458 +(cNES+ cOSEX)*N458 + (cNES+cEREX)*O458 + (cNES+cHOEX)*P458))/(1+cDR)^A$5:A$65536)</f>
        <v>103941.56826278676</v>
      </c>
      <c r="X458" s="112">
        <f t="shared" si="143"/>
        <v>890.80414292762305</v>
      </c>
      <c r="Y458" s="32">
        <f>(uNES*L458+ uOCEX*G458+uEREX*'PH + UC'!H458+uHOEX*I458+uNES*S458+ uOCEX*N458+uEREX*O458+uHOEX*P458)/(1+oDR)^A$5:A$65536</f>
        <v>514.92168870551461</v>
      </c>
    </row>
    <row r="459" spans="1:25" x14ac:dyDescent="0.25">
      <c r="A459" s="4">
        <v>453</v>
      </c>
      <c r="C459" s="110">
        <f>IF(male=0,VLOOKUP(((A457:A1291/'Life tables'!$I$2)*2)+age,lifetable,13,1),IF(male=1,VLOOKUP(((A457:A1291/'Life tables'!$I$2)*2)+age,lifetable,10,1),"error"))</f>
        <v>3.518541282111487E-4</v>
      </c>
      <c r="F459" s="101">
        <f t="shared" si="126"/>
        <v>142.03516624213128</v>
      </c>
      <c r="G459" s="101">
        <f t="shared" si="127"/>
        <v>14.267729712247215</v>
      </c>
      <c r="H459" s="101">
        <f t="shared" si="128"/>
        <v>0.32649946583597678</v>
      </c>
      <c r="I459" s="101">
        <f t="shared" si="129"/>
        <v>0.32649946583597678</v>
      </c>
      <c r="J459" s="101">
        <f t="shared" si="130"/>
        <v>5.5225579562731976E-2</v>
      </c>
      <c r="K459" s="101">
        <f t="shared" si="131"/>
        <v>2.5594005915587692E-2</v>
      </c>
      <c r="L459" s="101">
        <f t="shared" si="138"/>
        <v>127.0336180127338</v>
      </c>
      <c r="M459" s="101">
        <f t="shared" si="132"/>
        <v>748.76897668549168</v>
      </c>
      <c r="N459" s="101">
        <f t="shared" si="133"/>
        <v>72.108074758259832</v>
      </c>
      <c r="O459" s="101">
        <f t="shared" si="134"/>
        <v>1.721212270105029</v>
      </c>
      <c r="P459" s="101">
        <f t="shared" si="135"/>
        <v>1.721212270105029</v>
      </c>
      <c r="Q459" s="101">
        <f t="shared" si="136"/>
        <v>0.29004021058980767</v>
      </c>
      <c r="R459" s="101">
        <f t="shared" si="137"/>
        <v>2.0053598576914543E-2</v>
      </c>
      <c r="S459" s="101">
        <f t="shared" si="139"/>
        <v>672.90838357785503</v>
      </c>
      <c r="T459" s="101">
        <f t="shared" si="140"/>
        <v>84.695957164583632</v>
      </c>
      <c r="U459" s="101">
        <f t="shared" si="141"/>
        <v>24.890813302439337</v>
      </c>
      <c r="V459" s="33">
        <f t="shared" si="142"/>
        <v>1000.000000000001</v>
      </c>
      <c r="W459" s="105">
        <f>IF(A459=1,((cPH1_+cPHr+(cNES*L459+(cNES+cOSEX)*G459+(cNES+cEREX)*H459+(cNES+cHOEX)*I459 + (cNES+cNES)*S459 +(cNES+ cOSEX)*N459 + (cNES+cEREX)*O459 + (cNES+cHOEX)*P459)))/(1+cDR)^A$5:A$65536,(cPHr+(cNES*L459+(cNES+cOSEX)*G459+(cNES+cEREX)*H459+(cNES+cHOEX)*I459 + (cNES+cNES)*S459 +(cNES+ cOSEX)*N459 + (cNES+cEREX)*O459 + (cNES+cHOEX)*P459))/(1+cDR)^A$5:A$65536)</f>
        <v>103776.54850390453</v>
      </c>
      <c r="X459" s="112">
        <f t="shared" si="143"/>
        <v>890.41322953297799</v>
      </c>
      <c r="Y459" s="32">
        <f>(uNES*L459+ uOCEX*G459+uEREX*'PH + UC'!H459+uHOEX*I459+uNES*S459+ uOCEX*N459+uEREX*O459+uHOEX*P459)/(1+oDR)^A$5:A$65536</f>
        <v>514.5477041268216</v>
      </c>
    </row>
    <row r="460" spans="1:25" x14ac:dyDescent="0.25">
      <c r="A460" s="4">
        <v>454</v>
      </c>
      <c r="C460" s="110">
        <f>IF(male=0,VLOOKUP(((A458:A1292/'Life tables'!$I$2)*2)+age,lifetable,13,1),IF(male=1,VLOOKUP(((A458:A1292/'Life tables'!$I$2)*2)+age,lifetable,10,1),"error"))</f>
        <v>3.518541282111487E-4</v>
      </c>
      <c r="F460" s="101">
        <f t="shared" si="126"/>
        <v>141.97282460339912</v>
      </c>
      <c r="G460" s="101">
        <f t="shared" si="127"/>
        <v>14.261467364162707</v>
      </c>
      <c r="H460" s="101">
        <f t="shared" si="128"/>
        <v>0.32635615969367471</v>
      </c>
      <c r="I460" s="101">
        <f t="shared" si="129"/>
        <v>0.32635615969367471</v>
      </c>
      <c r="J460" s="101">
        <f t="shared" si="130"/>
        <v>5.5201340121043246E-2</v>
      </c>
      <c r="K460" s="101">
        <f t="shared" si="131"/>
        <v>2.5582772273154534E-2</v>
      </c>
      <c r="L460" s="101">
        <f t="shared" si="138"/>
        <v>126.97786080745487</v>
      </c>
      <c r="M460" s="101">
        <f t="shared" si="132"/>
        <v>748.44040492957879</v>
      </c>
      <c r="N460" s="101">
        <f t="shared" si="133"/>
        <v>72.07643258627283</v>
      </c>
      <c r="O460" s="101">
        <f t="shared" si="134"/>
        <v>1.7204569747395737</v>
      </c>
      <c r="P460" s="101">
        <f t="shared" si="135"/>
        <v>1.7204569747395737</v>
      </c>
      <c r="Q460" s="101">
        <f t="shared" si="136"/>
        <v>0.28991293632465226</v>
      </c>
      <c r="R460" s="101">
        <f t="shared" si="137"/>
        <v>2.0044798738376952E-2</v>
      </c>
      <c r="S460" s="101">
        <f t="shared" si="139"/>
        <v>672.61310065876376</v>
      </c>
      <c r="T460" s="101">
        <f t="shared" si="140"/>
        <v>85.041071441029331</v>
      </c>
      <c r="U460" s="101">
        <f t="shared" si="141"/>
        <v>24.93644087345087</v>
      </c>
      <c r="V460" s="33">
        <f t="shared" si="142"/>
        <v>1000.0000000000009</v>
      </c>
      <c r="W460" s="105">
        <f>IF(A460=1,((cPH1_+cPHr+(cNES*L460+(cNES+cOSEX)*G460+(cNES+cEREX)*H460+(cNES+cHOEX)*I460 + (cNES+cNES)*S460 +(cNES+ cOSEX)*N460 + (cNES+cEREX)*O460 + (cNES+cHOEX)*P460)))/(1+cDR)^A$5:A$65536,(cPHr+(cNES*L460+(cNES+cOSEX)*G460+(cNES+cEREX)*H460+(cNES+cHOEX)*I460 + (cNES+cNES)*S460 +(cNES+ cOSEX)*N460 + (cNES+cEREX)*O460 + (cNES+cHOEX)*P460))/(1+cDR)^A$5:A$65536)</f>
        <v>103611.79070924308</v>
      </c>
      <c r="X460" s="112">
        <f t="shared" si="143"/>
        <v>890.02248768552067</v>
      </c>
      <c r="Y460" s="32">
        <f>(uNES*L460+ uOCEX*G460+uEREX*'PH + UC'!H460+uHOEX*I460+uNES*S460+ uOCEX*N460+uEREX*O460+uHOEX*P460)/(1+oDR)^A$5:A$65536</f>
        <v>514.17399117179673</v>
      </c>
    </row>
    <row r="461" spans="1:25" x14ac:dyDescent="0.25">
      <c r="A461" s="4">
        <v>455</v>
      </c>
      <c r="C461" s="110">
        <f>IF(male=0,VLOOKUP(((A459:A1293/'Life tables'!$I$2)*2)+age,lifetable,13,1),IF(male=1,VLOOKUP(((A459:A1293/'Life tables'!$I$2)*2)+age,lifetable,10,1),"error"))</f>
        <v>3.518541282111487E-4</v>
      </c>
      <c r="F461" s="101">
        <f t="shared" si="126"/>
        <v>141.91051086578338</v>
      </c>
      <c r="G461" s="101">
        <f t="shared" si="127"/>
        <v>14.255207818803738</v>
      </c>
      <c r="H461" s="101">
        <f t="shared" si="128"/>
        <v>0.32621291768830329</v>
      </c>
      <c r="I461" s="101">
        <f t="shared" si="129"/>
        <v>0.32621291768830329</v>
      </c>
      <c r="J461" s="101">
        <f t="shared" si="130"/>
        <v>5.5177111527761766E-2</v>
      </c>
      <c r="K461" s="101">
        <f t="shared" si="131"/>
        <v>2.5571543658358949E-2</v>
      </c>
      <c r="L461" s="101">
        <f t="shared" si="138"/>
        <v>126.92212855641691</v>
      </c>
      <c r="M461" s="101">
        <f t="shared" si="132"/>
        <v>748.11197681973738</v>
      </c>
      <c r="N461" s="101">
        <f t="shared" si="133"/>
        <v>72.044804247713728</v>
      </c>
      <c r="O461" s="101">
        <f t="shared" si="134"/>
        <v>1.7197020095766089</v>
      </c>
      <c r="P461" s="101">
        <f t="shared" si="135"/>
        <v>1.7197020095766089</v>
      </c>
      <c r="Q461" s="101">
        <f t="shared" si="136"/>
        <v>0.28978571770167499</v>
      </c>
      <c r="R461" s="101">
        <f t="shared" si="137"/>
        <v>2.0036002746981463E-2</v>
      </c>
      <c r="S461" s="101">
        <f t="shared" si="139"/>
        <v>672.31794683242174</v>
      </c>
      <c r="T461" s="101">
        <f t="shared" si="140"/>
        <v>85.386034270258762</v>
      </c>
      <c r="U461" s="101">
        <f t="shared" si="141"/>
        <v>24.982048419856209</v>
      </c>
      <c r="V461" s="33">
        <f t="shared" si="142"/>
        <v>1000.0000000000009</v>
      </c>
      <c r="W461" s="105">
        <f>IF(A461=1,((cPH1_+cPHr+(cNES*L461+(cNES+cOSEX)*G461+(cNES+cEREX)*H461+(cNES+cHOEX)*I461 + (cNES+cNES)*S461 +(cNES+ cOSEX)*N461 + (cNES+cEREX)*O461 + (cNES+cHOEX)*P461)))/(1+cDR)^A$5:A$65536,(cPHr+(cNES*L461+(cNES+cOSEX)*G461+(cNES+cEREX)*H461+(cNES+cHOEX)*I461 + (cNES+cNES)*S461 +(cNES+ cOSEX)*N461 + (cNES+cEREX)*O461 + (cNES+cHOEX)*P461))/(1+cDR)^A$5:A$65536)</f>
        <v>103447.294464202</v>
      </c>
      <c r="X461" s="112">
        <f t="shared" si="143"/>
        <v>889.63191730988592</v>
      </c>
      <c r="Y461" s="32">
        <f>(uNES*L461+ uOCEX*G461+uEREX*'PH + UC'!H461+uHOEX*I461+uNES*S461+ uOCEX*N461+uEREX*O461+uHOEX*P461)/(1+oDR)^A$5:A$65536</f>
        <v>513.80054964312046</v>
      </c>
    </row>
    <row r="462" spans="1:25" x14ac:dyDescent="0.25">
      <c r="A462" s="4">
        <v>456</v>
      </c>
      <c r="C462" s="110">
        <f>IF(male=0,VLOOKUP(((A460:A1294/'Life tables'!$I$2)*2)+age,lifetable,13,1),IF(male=1,VLOOKUP(((A460:A1294/'Life tables'!$I$2)*2)+age,lifetable,10,1),"error"))</f>
        <v>3.518541282111487E-4</v>
      </c>
      <c r="F462" s="101">
        <f t="shared" si="126"/>
        <v>141.84822499254543</v>
      </c>
      <c r="G462" s="101">
        <f t="shared" si="127"/>
        <v>14.248951072479835</v>
      </c>
      <c r="H462" s="101">
        <f t="shared" si="128"/>
        <v>0.32606973973541065</v>
      </c>
      <c r="I462" s="101">
        <f t="shared" si="129"/>
        <v>0.32606973973541065</v>
      </c>
      <c r="J462" s="101">
        <f t="shared" si="130"/>
        <v>5.5152893768602926E-2</v>
      </c>
      <c r="K462" s="101">
        <f t="shared" si="131"/>
        <v>2.5560320064580828E-2</v>
      </c>
      <c r="L462" s="101">
        <f t="shared" si="138"/>
        <v>126.86642122676159</v>
      </c>
      <c r="M462" s="101">
        <f t="shared" si="132"/>
        <v>747.78369231734064</v>
      </c>
      <c r="N462" s="101">
        <f t="shared" si="133"/>
        <v>72.013189738862692</v>
      </c>
      <c r="O462" s="101">
        <f t="shared" si="134"/>
        <v>1.7189473745273418</v>
      </c>
      <c r="P462" s="101">
        <f t="shared" si="135"/>
        <v>1.7189473745273418</v>
      </c>
      <c r="Q462" s="101">
        <f t="shared" si="136"/>
        <v>0.28965855470591362</v>
      </c>
      <c r="R462" s="101">
        <f t="shared" si="137"/>
        <v>2.002721060169357E-2</v>
      </c>
      <c r="S462" s="101">
        <f t="shared" si="139"/>
        <v>672.02292206411562</v>
      </c>
      <c r="T462" s="101">
        <f t="shared" si="140"/>
        <v>85.730845718733278</v>
      </c>
      <c r="U462" s="101">
        <f t="shared" si="141"/>
        <v>25.027635950522484</v>
      </c>
      <c r="V462" s="33">
        <f t="shared" si="142"/>
        <v>1000.000000000001</v>
      </c>
      <c r="W462" s="105">
        <f>IF(A462=1,((cPH1_+cPHr+(cNES*L462+(cNES+cOSEX)*G462+(cNES+cEREX)*H462+(cNES+cHOEX)*I462 + (cNES+cNES)*S462 +(cNES+ cOSEX)*N462 + (cNES+cEREX)*O462 + (cNES+cHOEX)*P462)))/(1+cDR)^A$5:A$65536,(cPHr+(cNES*L462+(cNES+cOSEX)*G462+(cNES+cEREX)*H462+(cNES+cHOEX)*I462 + (cNES+cNES)*S462 +(cNES+ cOSEX)*N462 + (cNES+cEREX)*O462 + (cNES+cHOEX)*P462))/(1+cDR)^A$5:A$65536)</f>
        <v>103283.05935477874</v>
      </c>
      <c r="X462" s="112">
        <f t="shared" si="143"/>
        <v>889.24151833074529</v>
      </c>
      <c r="Y462" s="32">
        <f>(uNES*L462+ uOCEX*G462+uEREX*'PH + UC'!H462+uHOEX*I462+uNES*S462+ uOCEX*N462+uEREX*O462+uHOEX*P462)/(1+oDR)^A$5:A$65536</f>
        <v>513.42737934361855</v>
      </c>
    </row>
    <row r="463" spans="1:25" x14ac:dyDescent="0.25">
      <c r="A463" s="4">
        <v>457</v>
      </c>
      <c r="C463" s="110">
        <f>IF(male=0,VLOOKUP(((A461:A1295/'Life tables'!$I$2)*2)+age,lifetable,13,1),IF(male=1,VLOOKUP(((A461:A1295/'Life tables'!$I$2)*2)+age,lifetable,10,1),"error"))</f>
        <v>3.518541282111487E-4</v>
      </c>
      <c r="F463" s="101">
        <f t="shared" si="126"/>
        <v>141.78596694806652</v>
      </c>
      <c r="G463" s="101">
        <f t="shared" si="127"/>
        <v>14.242697121613022</v>
      </c>
      <c r="H463" s="101">
        <f t="shared" si="128"/>
        <v>0.32592662575311904</v>
      </c>
      <c r="I463" s="101">
        <f t="shared" si="129"/>
        <v>0.32592662575311904</v>
      </c>
      <c r="J463" s="101">
        <f t="shared" si="130"/>
        <v>5.5128686829717603E-2</v>
      </c>
      <c r="K463" s="101">
        <f t="shared" si="131"/>
        <v>2.5549101485401855E-2</v>
      </c>
      <c r="L463" s="101">
        <f t="shared" si="138"/>
        <v>126.81073878663213</v>
      </c>
      <c r="M463" s="101">
        <f t="shared" si="132"/>
        <v>747.45555138267878</v>
      </c>
      <c r="N463" s="101">
        <f t="shared" si="133"/>
        <v>71.981589055895583</v>
      </c>
      <c r="O463" s="101">
        <f t="shared" si="134"/>
        <v>1.7181930695004912</v>
      </c>
      <c r="P463" s="101">
        <f t="shared" si="135"/>
        <v>1.7181930695004912</v>
      </c>
      <c r="Q463" s="101">
        <f t="shared" si="136"/>
        <v>0.28953144732198632</v>
      </c>
      <c r="R463" s="101">
        <f t="shared" si="137"/>
        <v>2.0018422301449759E-2</v>
      </c>
      <c r="S463" s="101">
        <f t="shared" si="139"/>
        <v>671.72802631815875</v>
      </c>
      <c r="T463" s="101">
        <f t="shared" si="140"/>
        <v>86.075505852884987</v>
      </c>
      <c r="U463" s="101">
        <f t="shared" si="141"/>
        <v>25.073203474309334</v>
      </c>
      <c r="V463" s="33">
        <f t="shared" si="142"/>
        <v>1000.0000000000011</v>
      </c>
      <c r="W463" s="105">
        <f>IF(A463=1,((cPH1_+cPHr+(cNES*L463+(cNES+cOSEX)*G463+(cNES+cEREX)*H463+(cNES+cHOEX)*I463 + (cNES+cNES)*S463 +(cNES+ cOSEX)*N463 + (cNES+cEREX)*O463 + (cNES+cHOEX)*P463)))/(1+cDR)^A$5:A$65536,(cPHr+(cNES*L463+(cNES+cOSEX)*G463+(cNES+cEREX)*H463+(cNES+cHOEX)*I463 + (cNES+cNES)*S463 +(cNES+ cOSEX)*N463 + (cNES+cEREX)*O463 + (cNES+cHOEX)*P463))/(1+cDR)^A$5:A$65536)</f>
        <v>103119.08496757036</v>
      </c>
      <c r="X463" s="112">
        <f t="shared" si="143"/>
        <v>888.85129067280673</v>
      </c>
      <c r="Y463" s="32">
        <f>(uNES*L463+ uOCEX*G463+uEREX*'PH + UC'!H463+uHOEX*I463+uNES*S463+ uOCEX*N463+uEREX*O463+uHOEX*P463)/(1+oDR)^A$5:A$65536</f>
        <v>513.05448007626217</v>
      </c>
    </row>
    <row r="464" spans="1:25" x14ac:dyDescent="0.25">
      <c r="A464" s="4">
        <v>458</v>
      </c>
      <c r="C464" s="110">
        <f>IF(male=0,VLOOKUP(((A462:A1296/'Life tables'!$I$2)*2)+age,lifetable,13,1),IF(male=1,VLOOKUP(((A462:A1296/'Life tables'!$I$2)*2)+age,lifetable,10,1),"error"))</f>
        <v>3.518541282111487E-4</v>
      </c>
      <c r="F464" s="101">
        <f t="shared" si="126"/>
        <v>141.72373669779759</v>
      </c>
      <c r="G464" s="101">
        <f t="shared" si="127"/>
        <v>14.23644596273277</v>
      </c>
      <c r="H464" s="101">
        <f t="shared" si="128"/>
        <v>0.32578357566200988</v>
      </c>
      <c r="I464" s="101">
        <f t="shared" si="129"/>
        <v>0.32578357566200988</v>
      </c>
      <c r="J464" s="101">
        <f t="shared" si="130"/>
        <v>5.5104490697672565E-2</v>
      </c>
      <c r="K464" s="101">
        <f t="shared" si="131"/>
        <v>2.5537887914596463E-2</v>
      </c>
      <c r="L464" s="101">
        <f t="shared" si="138"/>
        <v>126.75508120512853</v>
      </c>
      <c r="M464" s="101">
        <f t="shared" si="132"/>
        <v>747.12755397500905</v>
      </c>
      <c r="N464" s="101">
        <f t="shared" si="133"/>
        <v>71.950002194888796</v>
      </c>
      <c r="O464" s="101">
        <f t="shared" si="134"/>
        <v>1.7174390944024005</v>
      </c>
      <c r="P464" s="101">
        <f t="shared" si="135"/>
        <v>1.7174390944024005</v>
      </c>
      <c r="Q464" s="101">
        <f t="shared" si="136"/>
        <v>0.28940439553411101</v>
      </c>
      <c r="R464" s="101">
        <f t="shared" si="137"/>
        <v>2.000963784515886E-2</v>
      </c>
      <c r="S464" s="101">
        <f t="shared" si="139"/>
        <v>671.43325955793625</v>
      </c>
      <c r="T464" s="101">
        <f t="shared" si="140"/>
        <v>86.420014739116766</v>
      </c>
      <c r="U464" s="101">
        <f t="shared" si="141"/>
        <v>25.118751000069089</v>
      </c>
      <c r="V464" s="33">
        <f t="shared" si="142"/>
        <v>1000.0000000000011</v>
      </c>
      <c r="W464" s="105">
        <f>IF(A464=1,((cPH1_+cPHr+(cNES*L464+(cNES+cOSEX)*G464+(cNES+cEREX)*H464+(cNES+cHOEX)*I464 + (cNES+cNES)*S464 +(cNES+ cOSEX)*N464 + (cNES+cEREX)*O464 + (cNES+cHOEX)*P464)))/(1+cDR)^A$5:A$65536,(cPHr+(cNES*L464+(cNES+cOSEX)*G464+(cNES+cEREX)*H464+(cNES+cHOEX)*I464 + (cNES+cNES)*S464 +(cNES+ cOSEX)*N464 + (cNES+cEREX)*O464 + (cNES+cHOEX)*P464))/(1+cDR)^A$5:A$65536)</f>
        <v>102955.37088977532</v>
      </c>
      <c r="X464" s="112">
        <f t="shared" si="143"/>
        <v>888.46123426081522</v>
      </c>
      <c r="Y464" s="32">
        <f>(uNES*L464+ uOCEX*G464+uEREX*'PH + UC'!H464+uHOEX*I464+uNES*S464+ uOCEX*N464+uEREX*O464+uHOEX*P464)/(1+oDR)^A$5:A$65536</f>
        <v>512.68185164416741</v>
      </c>
    </row>
    <row r="465" spans="1:25" x14ac:dyDescent="0.25">
      <c r="A465" s="4">
        <v>459</v>
      </c>
      <c r="C465" s="110">
        <f>IF(male=0,VLOOKUP(((A463:A1297/'Life tables'!$I$2)*2)+age,lifetable,13,1),IF(male=1,VLOOKUP(((A463:A1297/'Life tables'!$I$2)*2)+age,lifetable,10,1),"error"))</f>
        <v>3.518541282111487E-4</v>
      </c>
      <c r="F465" s="101">
        <f t="shared" si="126"/>
        <v>141.66153420821118</v>
      </c>
      <c r="G465" s="101">
        <f t="shared" si="127"/>
        <v>14.230197592471177</v>
      </c>
      <c r="H465" s="101">
        <f t="shared" si="128"/>
        <v>0.32564058938501278</v>
      </c>
      <c r="I465" s="101">
        <f t="shared" si="129"/>
        <v>0.32564058938501278</v>
      </c>
      <c r="J465" s="101">
        <f t="shared" si="130"/>
        <v>5.5080305359431758E-2</v>
      </c>
      <c r="K465" s="101">
        <f t="shared" si="131"/>
        <v>2.5526679346123182E-2</v>
      </c>
      <c r="L465" s="101">
        <f t="shared" si="138"/>
        <v>126.69944845226442</v>
      </c>
      <c r="M465" s="101">
        <f t="shared" si="132"/>
        <v>746.79970005260395</v>
      </c>
      <c r="N465" s="101">
        <f t="shared" si="133"/>
        <v>71.918429151823858</v>
      </c>
      <c r="O465" s="101">
        <f t="shared" si="134"/>
        <v>1.7166854491371497</v>
      </c>
      <c r="P465" s="101">
        <f t="shared" si="135"/>
        <v>1.7166854491371497</v>
      </c>
      <c r="Q465" s="101">
        <f t="shared" si="136"/>
        <v>0.2892773993261244</v>
      </c>
      <c r="R465" s="101">
        <f t="shared" si="137"/>
        <v>2.0000857231703313E-2</v>
      </c>
      <c r="S465" s="101">
        <f t="shared" si="139"/>
        <v>671.13862174594794</v>
      </c>
      <c r="T465" s="101">
        <f t="shared" si="140"/>
        <v>86.764372443802316</v>
      </c>
      <c r="U465" s="101">
        <f t="shared" si="141"/>
        <v>25.164278536646915</v>
      </c>
      <c r="V465" s="33">
        <f t="shared" si="142"/>
        <v>1000.0000000000009</v>
      </c>
      <c r="W465" s="105">
        <f>IF(A465=1,((cPH1_+cPHr+(cNES*L465+(cNES+cOSEX)*G465+(cNES+cEREX)*H465+(cNES+cHOEX)*I465 + (cNES+cNES)*S465 +(cNES+ cOSEX)*N465 + (cNES+cEREX)*O465 + (cNES+cHOEX)*P465)))/(1+cDR)^A$5:A$65536,(cPHr+(cNES*L465+(cNES+cOSEX)*G465+(cNES+cEREX)*H465+(cNES+cHOEX)*I465 + (cNES+cNES)*S465 +(cNES+ cOSEX)*N465 + (cNES+cEREX)*O465 + (cNES+cHOEX)*P465))/(1+cDR)^A$5:A$65536)</f>
        <v>102791.91670919507</v>
      </c>
      <c r="X465" s="112">
        <f t="shared" si="143"/>
        <v>888.07134901955169</v>
      </c>
      <c r="Y465" s="32">
        <f>(uNES*L465+ uOCEX*G465+uEREX*'PH + UC'!H465+uHOEX*I465+uNES*S465+ uOCEX*N465+uEREX*O465+uHOEX*P465)/(1+oDR)^A$5:A$65536</f>
        <v>512.30949385059421</v>
      </c>
    </row>
    <row r="466" spans="1:25" x14ac:dyDescent="0.25">
      <c r="A466" s="4">
        <v>460</v>
      </c>
      <c r="C466" s="110">
        <f>IF(male=0,VLOOKUP(((A464:A1298/'Life tables'!$I$2)*2)+age,lifetable,13,1),IF(male=1,VLOOKUP(((A464:A1298/'Life tables'!$I$2)*2)+age,lifetable,10,1),"error"))</f>
        <v>3.518541282111487E-4</v>
      </c>
      <c r="F466" s="101">
        <f t="shared" si="126"/>
        <v>141.59935944675564</v>
      </c>
      <c r="G466" s="101">
        <f t="shared" si="127"/>
        <v>14.223952007558362</v>
      </c>
      <c r="H466" s="101">
        <f t="shared" si="128"/>
        <v>0.32549766684730047</v>
      </c>
      <c r="I466" s="101">
        <f t="shared" si="129"/>
        <v>0.32549766684730047</v>
      </c>
      <c r="J466" s="101">
        <f t="shared" si="130"/>
        <v>5.5056130802338593E-2</v>
      </c>
      <c r="K466" s="101">
        <f t="shared" si="131"/>
        <v>2.5515475774116367E-2</v>
      </c>
      <c r="L466" s="101">
        <f t="shared" si="138"/>
        <v>126.64384049892622</v>
      </c>
      <c r="M466" s="101">
        <f t="shared" si="132"/>
        <v>746.47198957279602</v>
      </c>
      <c r="N466" s="101">
        <f t="shared" si="133"/>
        <v>71.886869922591828</v>
      </c>
      <c r="O466" s="101">
        <f t="shared" si="134"/>
        <v>1.7159321336066582</v>
      </c>
      <c r="P466" s="101">
        <f t="shared" si="135"/>
        <v>1.7159321336066582</v>
      </c>
      <c r="Q466" s="101">
        <f t="shared" si="136"/>
        <v>0.28915045868149891</v>
      </c>
      <c r="R466" s="101">
        <f t="shared" si="137"/>
        <v>1.9992080459940404E-2</v>
      </c>
      <c r="S466" s="101">
        <f t="shared" si="139"/>
        <v>670.84411284384942</v>
      </c>
      <c r="T466" s="101">
        <f t="shared" si="140"/>
        <v>87.108579033286148</v>
      </c>
      <c r="U466" s="101">
        <f t="shared" si="141"/>
        <v>25.209786092880972</v>
      </c>
      <c r="V466" s="33">
        <f t="shared" si="142"/>
        <v>1000.0000000000008</v>
      </c>
      <c r="W466" s="105">
        <f>IF(A466=1,((cPH1_+cPHr+(cNES*L466+(cNES+cOSEX)*G466+(cNES+cEREX)*H466+(cNES+cHOEX)*I466 + (cNES+cNES)*S466 +(cNES+ cOSEX)*N466 + (cNES+cEREX)*O466 + (cNES+cHOEX)*P466)))/(1+cDR)^A$5:A$65536,(cPHr+(cNES*L466+(cNES+cOSEX)*G466+(cNES+cEREX)*H466+(cNES+cHOEX)*I466 + (cNES+cNES)*S466 +(cNES+ cOSEX)*N466 + (cNES+cEREX)*O466 + (cNES+cHOEX)*P466))/(1+cDR)^A$5:A$65536)</f>
        <v>102628.72201423561</v>
      </c>
      <c r="X466" s="112">
        <f t="shared" si="143"/>
        <v>887.68163487383367</v>
      </c>
      <c r="Y466" s="32">
        <f>(uNES*L466+ uOCEX*G466+uEREX*'PH + UC'!H466+uHOEX*I466+uNES*S466+ uOCEX*N466+uEREX*O466+uHOEX*P466)/(1+oDR)^A$5:A$65536</f>
        <v>511.93740649894704</v>
      </c>
    </row>
    <row r="467" spans="1:25" x14ac:dyDescent="0.25">
      <c r="A467" s="4">
        <v>461</v>
      </c>
      <c r="C467" s="110">
        <f>IF(male=0,VLOOKUP(((A465:A1299/'Life tables'!$I$2)*2)+age,lifetable,13,1),IF(male=1,VLOOKUP(((A465:A1299/'Life tables'!$I$2)*2)+age,lifetable,10,1),"error"))</f>
        <v>3.518541282111487E-4</v>
      </c>
      <c r="F467" s="101">
        <f t="shared" si="126"/>
        <v>141.53721238181149</v>
      </c>
      <c r="G467" s="101">
        <f t="shared" si="127"/>
        <v>14.21770920481808</v>
      </c>
      <c r="H467" s="101">
        <f t="shared" si="128"/>
        <v>0.3253548079761886</v>
      </c>
      <c r="I467" s="101">
        <f t="shared" si="129"/>
        <v>0.3253548079761886</v>
      </c>
      <c r="J467" s="101">
        <f t="shared" si="130"/>
        <v>5.5031967014098897E-2</v>
      </c>
      <c r="K467" s="101">
        <f t="shared" si="131"/>
        <v>2.5504277192878358E-2</v>
      </c>
      <c r="L467" s="101">
        <f t="shared" si="138"/>
        <v>126.58825731683405</v>
      </c>
      <c r="M467" s="101">
        <f t="shared" si="132"/>
        <v>746.14442249202227</v>
      </c>
      <c r="N467" s="101">
        <f t="shared" si="133"/>
        <v>71.855324502997476</v>
      </c>
      <c r="O467" s="101">
        <f t="shared" si="134"/>
        <v>1.7151791477107867</v>
      </c>
      <c r="P467" s="101">
        <f t="shared" si="135"/>
        <v>1.7151791477107867</v>
      </c>
      <c r="Q467" s="101">
        <f t="shared" si="136"/>
        <v>0.28902357358336034</v>
      </c>
      <c r="R467" s="101">
        <f t="shared" si="137"/>
        <v>1.998330752870342E-2</v>
      </c>
      <c r="S467" s="101">
        <f t="shared" si="139"/>
        <v>670.54973281249113</v>
      </c>
      <c r="T467" s="101">
        <f t="shared" si="140"/>
        <v>87.452634573883614</v>
      </c>
      <c r="U467" s="101">
        <f t="shared" si="141"/>
        <v>25.255273677602553</v>
      </c>
      <c r="V467" s="33">
        <f t="shared" si="142"/>
        <v>1000.0000000000008</v>
      </c>
      <c r="W467" s="105">
        <f>IF(A467=1,((cPH1_+cPHr+(cNES*L467+(cNES+cOSEX)*G467+(cNES+cEREX)*H467+(cNES+cHOEX)*I467 + (cNES+cNES)*S467 +(cNES+ cOSEX)*N467 + (cNES+cEREX)*O467 + (cNES+cHOEX)*P467)))/(1+cDR)^A$5:A$65536,(cPHr+(cNES*L467+(cNES+cOSEX)*G467+(cNES+cEREX)*H467+(cNES+cHOEX)*I467 + (cNES+cNES)*S467 +(cNES+ cOSEX)*N467 + (cNES+cEREX)*O467 + (cNES+cHOEX)*P467))/(1+cDR)^A$5:A$65536)</f>
        <v>102465.78639390849</v>
      </c>
      <c r="X467" s="112">
        <f t="shared" si="143"/>
        <v>887.29209174851462</v>
      </c>
      <c r="Y467" s="32">
        <f>(uNES*L467+ uOCEX*G467+uEREX*'PH + UC'!H467+uHOEX*I467+uNES*S467+ uOCEX*N467+uEREX*O467+uHOEX*P467)/(1+oDR)^A$5:A$65536</f>
        <v>511.56558939277545</v>
      </c>
    </row>
    <row r="468" spans="1:25" x14ac:dyDescent="0.25">
      <c r="A468" s="4">
        <v>462</v>
      </c>
      <c r="C468" s="110">
        <f>IF(male=0,VLOOKUP(((A466:A1300/'Life tables'!$I$2)*2)+age,lifetable,13,1),IF(male=1,VLOOKUP(((A466:A1300/'Life tables'!$I$2)*2)+age,lifetable,10,1),"error"))</f>
        <v>3.518541282111487E-4</v>
      </c>
      <c r="F468" s="101">
        <f t="shared" si="126"/>
        <v>141.47509298264953</v>
      </c>
      <c r="G468" s="101">
        <f t="shared" si="127"/>
        <v>14.211469181163521</v>
      </c>
      <c r="H468" s="101">
        <f t="shared" si="128"/>
        <v>0.32521201270103922</v>
      </c>
      <c r="I468" s="101">
        <f t="shared" si="129"/>
        <v>0.32521201270103922</v>
      </c>
      <c r="J468" s="101">
        <f t="shared" si="130"/>
        <v>5.5007813982764678E-2</v>
      </c>
      <c r="K468" s="101">
        <f t="shared" si="131"/>
        <v>2.5493083596871902E-2</v>
      </c>
      <c r="L468" s="101">
        <f t="shared" si="138"/>
        <v>126.53269887850429</v>
      </c>
      <c r="M468" s="101">
        <f t="shared" si="132"/>
        <v>745.81699876586526</v>
      </c>
      <c r="N468" s="101">
        <f t="shared" si="133"/>
        <v>71.823792888763307</v>
      </c>
      <c r="O468" s="101">
        <f t="shared" si="134"/>
        <v>1.7144264913474319</v>
      </c>
      <c r="P468" s="101">
        <f t="shared" si="135"/>
        <v>1.7144264913474319</v>
      </c>
      <c r="Q468" s="101">
        <f t="shared" si="136"/>
        <v>0.28889674401450316</v>
      </c>
      <c r="R468" s="101">
        <f t="shared" si="137"/>
        <v>1.9974538436802771E-2</v>
      </c>
      <c r="S468" s="101">
        <f t="shared" si="139"/>
        <v>670.25548161195582</v>
      </c>
      <c r="T468" s="101">
        <f t="shared" si="140"/>
        <v>87.796539131880877</v>
      </c>
      <c r="U468" s="101">
        <f t="shared" si="141"/>
        <v>25.300741299636226</v>
      </c>
      <c r="V468" s="33">
        <f t="shared" si="142"/>
        <v>1000.000000000001</v>
      </c>
      <c r="W468" s="105">
        <f>IF(A468=1,((cPH1_+cPHr+(cNES*L468+(cNES+cOSEX)*G468+(cNES+cEREX)*H468+(cNES+cHOEX)*I468 + (cNES+cNES)*S468 +(cNES+ cOSEX)*N468 + (cNES+cEREX)*O468 + (cNES+cHOEX)*P468)))/(1+cDR)^A$5:A$65536,(cPHr+(cNES*L468+(cNES+cOSEX)*G468+(cNES+cEREX)*H468+(cNES+cHOEX)*I468 + (cNES+cNES)*S468 +(cNES+ cOSEX)*N468 + (cNES+cEREX)*O468 + (cNES+cHOEX)*P468))/(1+cDR)^A$5:A$65536)</f>
        <v>102303.10943783255</v>
      </c>
      <c r="X468" s="112">
        <f t="shared" si="143"/>
        <v>886.90271956848392</v>
      </c>
      <c r="Y468" s="32">
        <f>(uNES*L468+ uOCEX*G468+uEREX*'PH + UC'!H468+uHOEX*I468+uNES*S468+ uOCEX*N468+uEREX*O468+uHOEX*P468)/(1+oDR)^A$5:A$65536</f>
        <v>511.19404233577245</v>
      </c>
    </row>
    <row r="469" spans="1:25" x14ac:dyDescent="0.25">
      <c r="A469" s="4">
        <v>463</v>
      </c>
      <c r="C469" s="110">
        <f>IF(male=0,VLOOKUP(((A467:A1301/'Life tables'!$I$2)*2)+age,lifetable,13,1),IF(male=1,VLOOKUP(((A467:A1301/'Life tables'!$I$2)*2)+age,lifetable,10,1),"error"))</f>
        <v>3.518541282111487E-4</v>
      </c>
      <c r="F469" s="101">
        <f t="shared" si="126"/>
        <v>141.41300121939099</v>
      </c>
      <c r="G469" s="101">
        <f t="shared" si="127"/>
        <v>14.2052319335933</v>
      </c>
      <c r="H469" s="101">
        <f t="shared" si="128"/>
        <v>0.32506928095316934</v>
      </c>
      <c r="I469" s="101">
        <f t="shared" si="129"/>
        <v>0.32506928095316934</v>
      </c>
      <c r="J469" s="101">
        <f t="shared" si="130"/>
        <v>5.498367169671857E-2</v>
      </c>
      <c r="K469" s="101">
        <f t="shared" si="131"/>
        <v>2.5481894980713009E-2</v>
      </c>
      <c r="L469" s="101">
        <f t="shared" si="138"/>
        <v>126.47716515721392</v>
      </c>
      <c r="M469" s="101">
        <f t="shared" si="132"/>
        <v>745.48971834909287</v>
      </c>
      <c r="N469" s="101">
        <f t="shared" si="133"/>
        <v>71.792275075533382</v>
      </c>
      <c r="O469" s="101">
        <f t="shared" si="134"/>
        <v>1.7136741644126177</v>
      </c>
      <c r="P469" s="101">
        <f t="shared" si="135"/>
        <v>1.7136741644126177</v>
      </c>
      <c r="Q469" s="101">
        <f t="shared" si="136"/>
        <v>0.28876996995740639</v>
      </c>
      <c r="R469" s="101">
        <f t="shared" si="137"/>
        <v>1.9965773183027044E-2</v>
      </c>
      <c r="S469" s="101">
        <f t="shared" si="139"/>
        <v>669.96135920159384</v>
      </c>
      <c r="T469" s="101">
        <f t="shared" si="140"/>
        <v>88.140292773535009</v>
      </c>
      <c r="U469" s="101">
        <f t="shared" si="141"/>
        <v>25.346188967799964</v>
      </c>
      <c r="V469" s="33">
        <f t="shared" si="142"/>
        <v>1000.000000000001</v>
      </c>
      <c r="W469" s="105">
        <f>IF(A469=1,((cPH1_+cPHr+(cNES*L469+(cNES+cOSEX)*G469+(cNES+cEREX)*H469+(cNES+cHOEX)*I469 + (cNES+cNES)*S469 +(cNES+ cOSEX)*N469 + (cNES+cEREX)*O469 + (cNES+cHOEX)*P469)))/(1+cDR)^A$5:A$65536,(cPHr+(cNES*L469+(cNES+cOSEX)*G469+(cNES+cEREX)*H469+(cNES+cHOEX)*I469 + (cNES+cNES)*S469 +(cNES+ cOSEX)*N469 + (cNES+cEREX)*O469 + (cNES+cHOEX)*P469))/(1+cDR)^A$5:A$65536)</f>
        <v>102140.69073623444</v>
      </c>
      <c r="X469" s="112">
        <f t="shared" si="143"/>
        <v>886.51351825866595</v>
      </c>
      <c r="Y469" s="32">
        <f>(uNES*L469+ uOCEX*G469+uEREX*'PH + UC'!H469+uHOEX*I469+uNES*S469+ uOCEX*N469+uEREX*O469+uHOEX*P469)/(1+oDR)^A$5:A$65536</f>
        <v>510.8227651317747</v>
      </c>
    </row>
    <row r="470" spans="1:25" x14ac:dyDescent="0.25">
      <c r="A470" s="4">
        <v>464</v>
      </c>
      <c r="C470" s="110">
        <f>IF(male=0,VLOOKUP(((A468:A1302/'Life tables'!$I$2)*2)+age,lifetable,13,1),IF(male=1,VLOOKUP(((A468:A1302/'Life tables'!$I$2)*2)+age,lifetable,10,1),"error"))</f>
        <v>3.518541282111487E-4</v>
      </c>
      <c r="F470" s="101">
        <f t="shared" si="126"/>
        <v>141.35093706296965</v>
      </c>
      <c r="G470" s="101">
        <f t="shared" si="127"/>
        <v>14.198997459187654</v>
      </c>
      <c r="H470" s="101">
        <f t="shared" si="128"/>
        <v>0.32492661266576378</v>
      </c>
      <c r="I470" s="101">
        <f t="shared" si="129"/>
        <v>0.32492661266576378</v>
      </c>
      <c r="J470" s="101">
        <f t="shared" si="130"/>
        <v>5.4959540144659147E-2</v>
      </c>
      <c r="K470" s="101">
        <f t="shared" si="131"/>
        <v>2.5470711339164086E-2</v>
      </c>
      <c r="L470" s="101">
        <f t="shared" si="138"/>
        <v>126.42165612696664</v>
      </c>
      <c r="M470" s="101">
        <f t="shared" si="132"/>
        <v>745.16258119569648</v>
      </c>
      <c r="N470" s="101">
        <f t="shared" si="133"/>
        <v>71.760771058876955</v>
      </c>
      <c r="O470" s="101">
        <f t="shared" si="134"/>
        <v>1.7129221668005832</v>
      </c>
      <c r="P470" s="101">
        <f t="shared" si="135"/>
        <v>1.7129221668005832</v>
      </c>
      <c r="Q470" s="101">
        <f t="shared" si="136"/>
        <v>0.28864325139424846</v>
      </c>
      <c r="R470" s="101">
        <f t="shared" si="137"/>
        <v>1.9957011766144037E-2</v>
      </c>
      <c r="S470" s="101">
        <f t="shared" si="139"/>
        <v>669.66736554005797</v>
      </c>
      <c r="T470" s="101">
        <f t="shared" si="140"/>
        <v>88.483895565073922</v>
      </c>
      <c r="U470" s="101">
        <f t="shared" si="141"/>
        <v>25.391616690905273</v>
      </c>
      <c r="V470" s="33">
        <f t="shared" si="142"/>
        <v>1000.0000000000011</v>
      </c>
      <c r="W470" s="105">
        <f>IF(A470=1,((cPH1_+cPHr+(cNES*L470+(cNES+cOSEX)*G470+(cNES+cEREX)*H470+(cNES+cHOEX)*I470 + (cNES+cNES)*S470 +(cNES+ cOSEX)*N470 + (cNES+cEREX)*O470 + (cNES+cHOEX)*P470)))/(1+cDR)^A$5:A$65536,(cPHr+(cNES*L470+(cNES+cOSEX)*G470+(cNES+cEREX)*H470+(cNES+cHOEX)*I470 + (cNES+cNES)*S470 +(cNES+ cOSEX)*N470 + (cNES+cEREX)*O470 + (cNES+cHOEX)*P470))/(1+cDR)^A$5:A$65536)</f>
        <v>101978.52987995035</v>
      </c>
      <c r="X470" s="112">
        <f t="shared" si="143"/>
        <v>886.12448774402196</v>
      </c>
      <c r="Y470" s="32">
        <f>(uNES*L470+ uOCEX*G470+uEREX*'PH + UC'!H470+uHOEX*I470+uNES*S470+ uOCEX*N470+uEREX*O470+uHOEX*P470)/(1+oDR)^A$5:A$65536</f>
        <v>510.45175758476284</v>
      </c>
    </row>
    <row r="471" spans="1:25" x14ac:dyDescent="0.25">
      <c r="A471" s="4">
        <v>465</v>
      </c>
      <c r="C471" s="110">
        <f>IF(male=0,VLOOKUP(((A469:A1303/'Life tables'!$I$2)*2)+age,lifetable,13,1),IF(male=1,VLOOKUP(((A469:A1303/'Life tables'!$I$2)*2)+age,lifetable,10,1),"error"))</f>
        <v>3.518541282111487E-4</v>
      </c>
      <c r="F471" s="101">
        <f t="shared" si="126"/>
        <v>141.2889004850951</v>
      </c>
      <c r="G471" s="101">
        <f t="shared" si="127"/>
        <v>14.192765755104752</v>
      </c>
      <c r="H471" s="101">
        <f t="shared" si="128"/>
        <v>0.32478400777379074</v>
      </c>
      <c r="I471" s="101">
        <f t="shared" si="129"/>
        <v>0.32478400777379074</v>
      </c>
      <c r="J471" s="101">
        <f t="shared" si="130"/>
        <v>5.4935419315586653E-2</v>
      </c>
      <c r="K471" s="101">
        <f t="shared" si="131"/>
        <v>2.5459532667127346E-2</v>
      </c>
      <c r="L471" s="101">
        <f t="shared" si="138"/>
        <v>126.36617176246006</v>
      </c>
      <c r="M471" s="101">
        <f t="shared" si="132"/>
        <v>744.83558725892681</v>
      </c>
      <c r="N471" s="101">
        <f t="shared" si="133"/>
        <v>71.729280834291984</v>
      </c>
      <c r="O471" s="101">
        <f t="shared" si="134"/>
        <v>1.7121704984038644</v>
      </c>
      <c r="P471" s="101">
        <f t="shared" si="135"/>
        <v>1.7121704984038644</v>
      </c>
      <c r="Q471" s="101">
        <f t="shared" si="136"/>
        <v>0.28851658830692056</v>
      </c>
      <c r="R471" s="101">
        <f t="shared" si="137"/>
        <v>1.99482541849017E-2</v>
      </c>
      <c r="S471" s="101">
        <f t="shared" si="139"/>
        <v>669.37350058533525</v>
      </c>
      <c r="T471" s="101">
        <f t="shared" si="140"/>
        <v>88.827347572696425</v>
      </c>
      <c r="U471" s="101">
        <f t="shared" si="141"/>
        <v>25.437024477757301</v>
      </c>
      <c r="V471" s="33">
        <f t="shared" si="142"/>
        <v>1000.000000000001</v>
      </c>
      <c r="W471" s="105">
        <f>IF(A471=1,((cPH1_+cPHr+(cNES*L471+(cNES+cOSEX)*G471+(cNES+cEREX)*H471+(cNES+cHOEX)*I471 + (cNES+cNES)*S471 +(cNES+ cOSEX)*N471 + (cNES+cEREX)*O471 + (cNES+cHOEX)*P471)))/(1+cDR)^A$5:A$65536,(cPHr+(cNES*L471+(cNES+cOSEX)*G471+(cNES+cEREX)*H471+(cNES+cHOEX)*I471 + (cNES+cNES)*S471 +(cNES+ cOSEX)*N471 + (cNES+cEREX)*O471 + (cNES+cHOEX)*P471))/(1+cDR)^A$5:A$65536)</f>
        <v>101816.62646042637</v>
      </c>
      <c r="X471" s="112">
        <f t="shared" si="143"/>
        <v>885.73562794954728</v>
      </c>
      <c r="Y471" s="32">
        <f>(uNES*L471+ uOCEX*G471+uEREX*'PH + UC'!H471+uHOEX*I471+uNES*S471+ uOCEX*N471+uEREX*O471+uHOEX*P471)/(1+oDR)^A$5:A$65536</f>
        <v>510.08101949886139</v>
      </c>
    </row>
    <row r="472" spans="1:25" x14ac:dyDescent="0.25">
      <c r="A472" s="4">
        <v>466</v>
      </c>
      <c r="C472" s="110">
        <f>IF(male=0,VLOOKUP(((A470:A1304/'Life tables'!$I$2)*2)+age,lifetable,13,1),IF(male=1,VLOOKUP(((A470:A1304/'Life tables'!$I$2)*2)+age,lifetable,10,1),"error"))</f>
        <v>3.518541282111487E-4</v>
      </c>
      <c r="F472" s="101">
        <f t="shared" si="126"/>
        <v>141.22689145821829</v>
      </c>
      <c r="G472" s="101">
        <f t="shared" si="127"/>
        <v>14.186536818577233</v>
      </c>
      <c r="H472" s="101">
        <f t="shared" si="128"/>
        <v>0.32464146621392259</v>
      </c>
      <c r="I472" s="101">
        <f t="shared" si="129"/>
        <v>0.32464146621392259</v>
      </c>
      <c r="J472" s="101">
        <f t="shared" si="130"/>
        <v>5.4911309198789546E-2</v>
      </c>
      <c r="K472" s="101">
        <f t="shared" si="131"/>
        <v>2.5448358959638602E-2</v>
      </c>
      <c r="L472" s="101">
        <f t="shared" si="138"/>
        <v>126.31071203905478</v>
      </c>
      <c r="M472" s="101">
        <f t="shared" si="132"/>
        <v>744.50873649132916</v>
      </c>
      <c r="N472" s="101">
        <f t="shared" si="133"/>
        <v>71.697804397208472</v>
      </c>
      <c r="O472" s="101">
        <f t="shared" si="134"/>
        <v>1.7114191591133765</v>
      </c>
      <c r="P472" s="101">
        <f t="shared" si="135"/>
        <v>1.7114191591133765</v>
      </c>
      <c r="Q472" s="101">
        <f t="shared" si="136"/>
        <v>0.28838998067704102</v>
      </c>
      <c r="R472" s="101">
        <f t="shared" si="137"/>
        <v>1.9939500438029101E-2</v>
      </c>
      <c r="S472" s="101">
        <f t="shared" si="139"/>
        <v>669.0797642947789</v>
      </c>
      <c r="T472" s="101">
        <f t="shared" si="140"/>
        <v>89.17064886257225</v>
      </c>
      <c r="U472" s="101">
        <f t="shared" si="141"/>
        <v>25.482412337154969</v>
      </c>
      <c r="V472" s="33">
        <f t="shared" si="142"/>
        <v>1000.0000000000011</v>
      </c>
      <c r="W472" s="105">
        <f>IF(A472=1,((cPH1_+cPHr+(cNES*L472+(cNES+cOSEX)*G472+(cNES+cEREX)*H472+(cNES+cHOEX)*I472 + (cNES+cNES)*S472 +(cNES+ cOSEX)*N472 + (cNES+cEREX)*O472 + (cNES+cHOEX)*P472)))/(1+cDR)^A$5:A$65536,(cPHr+(cNES*L472+(cNES+cOSEX)*G472+(cNES+cEREX)*H472+(cNES+cHOEX)*I472 + (cNES+cNES)*S472 +(cNES+ cOSEX)*N472 + (cNES+cEREX)*O472 + (cNES+cHOEX)*P472))/(1+cDR)^A$5:A$65536)</f>
        <v>101654.98006971972</v>
      </c>
      <c r="X472" s="112">
        <f t="shared" si="143"/>
        <v>885.34693880027396</v>
      </c>
      <c r="Y472" s="32">
        <f>(uNES*L472+ uOCEX*G472+uEREX*'PH + UC'!H472+uHOEX*I472+uNES*S472+ uOCEX*N472+uEREX*O472+uHOEX*P472)/(1+oDR)^A$5:A$65536</f>
        <v>509.71055067833817</v>
      </c>
    </row>
    <row r="473" spans="1:25" x14ac:dyDescent="0.25">
      <c r="A473" s="4">
        <v>467</v>
      </c>
      <c r="C473" s="110">
        <f>IF(male=0,VLOOKUP(((A471:A1305/'Life tables'!$I$2)*2)+age,lifetable,13,1),IF(male=1,VLOOKUP(((A471:A1305/'Life tables'!$I$2)*2)+age,lifetable,10,1),"error"))</f>
        <v>3.518541282111487E-4</v>
      </c>
      <c r="F473" s="101">
        <f t="shared" si="126"/>
        <v>141.1649099554983</v>
      </c>
      <c r="G473" s="101">
        <f t="shared" si="127"/>
        <v>14.180310646908872</v>
      </c>
      <c r="H473" s="101">
        <f t="shared" si="128"/>
        <v>0.32449898792445947</v>
      </c>
      <c r="I473" s="101">
        <f t="shared" si="129"/>
        <v>0.32449898792445947</v>
      </c>
      <c r="J473" s="101">
        <f t="shared" si="130"/>
        <v>5.4887209783831666E-2</v>
      </c>
      <c r="K473" s="101">
        <f t="shared" si="131"/>
        <v>2.5437190211861253E-2</v>
      </c>
      <c r="L473" s="101">
        <f t="shared" si="138"/>
        <v>126.25527693274482</v>
      </c>
      <c r="M473" s="101">
        <f t="shared" si="132"/>
        <v>744.18202884477569</v>
      </c>
      <c r="N473" s="101">
        <f t="shared" si="133"/>
        <v>71.666341742991605</v>
      </c>
      <c r="O473" s="101">
        <f t="shared" si="134"/>
        <v>1.7106681488184865</v>
      </c>
      <c r="P473" s="101">
        <f t="shared" si="135"/>
        <v>1.7106681488184865</v>
      </c>
      <c r="Q473" s="101">
        <f t="shared" si="136"/>
        <v>0.28826342848596725</v>
      </c>
      <c r="R473" s="101">
        <f t="shared" si="137"/>
        <v>1.9930750524237276E-2</v>
      </c>
      <c r="S473" s="101">
        <f t="shared" si="139"/>
        <v>668.78615662513687</v>
      </c>
      <c r="T473" s="101">
        <f t="shared" si="140"/>
        <v>89.513799500842055</v>
      </c>
      <c r="U473" s="101">
        <f t="shared" si="141"/>
        <v>25.527780277891068</v>
      </c>
      <c r="V473" s="33">
        <f t="shared" si="142"/>
        <v>1000.0000000000013</v>
      </c>
      <c r="W473" s="105">
        <f>IF(A473=1,((cPH1_+cPHr+(cNES*L473+(cNES+cOSEX)*G473+(cNES+cEREX)*H473+(cNES+cHOEX)*I473 + (cNES+cNES)*S473 +(cNES+ cOSEX)*N473 + (cNES+cEREX)*O473 + (cNES+cHOEX)*P473)))/(1+cDR)^A$5:A$65536,(cPHr+(cNES*L473+(cNES+cOSEX)*G473+(cNES+cEREX)*H473+(cNES+cHOEX)*I473 + (cNES+cNES)*S473 +(cNES+ cOSEX)*N473 + (cNES+cEREX)*O473 + (cNES+cHOEX)*P473))/(1+cDR)^A$5:A$65536)</f>
        <v>101493.59030049927</v>
      </c>
      <c r="X473" s="112">
        <f t="shared" si="143"/>
        <v>884.95842022126806</v>
      </c>
      <c r="Y473" s="32">
        <f>(uNES*L473+ uOCEX*G473+uEREX*'PH + UC'!H473+uHOEX*I473+uNES*S473+ uOCEX*N473+uEREX*O473+uHOEX*P473)/(1+oDR)^A$5:A$65536</f>
        <v>509.34035092760388</v>
      </c>
    </row>
    <row r="474" spans="1:25" x14ac:dyDescent="0.25">
      <c r="A474" s="4">
        <v>468</v>
      </c>
      <c r="C474" s="110">
        <f>IF(male=0,VLOOKUP(((A472:A1306/'Life tables'!$I$2)*2)+age,lifetable,13,1),IF(male=1,VLOOKUP(((A472:A1306/'Life tables'!$I$2)*2)+age,lifetable,10,1),"error"))</f>
        <v>3.518541282111487E-4</v>
      </c>
      <c r="F474" s="101">
        <f t="shared" si="126"/>
        <v>141.10295595077059</v>
      </c>
      <c r="G474" s="101">
        <f t="shared" si="127"/>
        <v>14.174087237471385</v>
      </c>
      <c r="H474" s="101">
        <f t="shared" si="128"/>
        <v>0.32435657284525637</v>
      </c>
      <c r="I474" s="101">
        <f t="shared" si="129"/>
        <v>0.32435657284525637</v>
      </c>
      <c r="J474" s="101">
        <f t="shared" si="130"/>
        <v>5.486312106053981E-2</v>
      </c>
      <c r="K474" s="101">
        <f t="shared" si="131"/>
        <v>2.542602641908058E-2</v>
      </c>
      <c r="L474" s="101">
        <f t="shared" si="138"/>
        <v>126.19986642012907</v>
      </c>
      <c r="M474" s="101">
        <f t="shared" si="132"/>
        <v>743.85546427049746</v>
      </c>
      <c r="N474" s="101">
        <f t="shared" si="133"/>
        <v>71.634892866944838</v>
      </c>
      <c r="O474" s="101">
        <f t="shared" si="134"/>
        <v>1.7099174674070885</v>
      </c>
      <c r="P474" s="101">
        <f t="shared" si="135"/>
        <v>1.7099174674070885</v>
      </c>
      <c r="Q474" s="101">
        <f t="shared" si="136"/>
        <v>0.28813693171480809</v>
      </c>
      <c r="R474" s="101">
        <f t="shared" si="137"/>
        <v>1.9922004442220087E-2</v>
      </c>
      <c r="S474" s="101">
        <f t="shared" si="139"/>
        <v>668.49267753258141</v>
      </c>
      <c r="T474" s="101">
        <f t="shared" si="140"/>
        <v>89.856799553617407</v>
      </c>
      <c r="U474" s="101">
        <f t="shared" si="141"/>
        <v>25.57312830875237</v>
      </c>
      <c r="V474" s="33">
        <f t="shared" si="142"/>
        <v>1000.0000000000011</v>
      </c>
      <c r="W474" s="105">
        <f>IF(A474=1,((cPH1_+cPHr+(cNES*L474+(cNES+cOSEX)*G474+(cNES+cEREX)*H474+(cNES+cHOEX)*I474 + (cNES+cNES)*S474 +(cNES+ cOSEX)*N474 + (cNES+cEREX)*O474 + (cNES+cHOEX)*P474)))/(1+cDR)^A$5:A$65536,(cPHr+(cNES*L474+(cNES+cOSEX)*G474+(cNES+cEREX)*H474+(cNES+cHOEX)*I474 + (cNES+cNES)*S474 +(cNES+ cOSEX)*N474 + (cNES+cEREX)*O474 + (cNES+cHOEX)*P474))/(1+cDR)^A$5:A$65536)</f>
        <v>101332.45674604646</v>
      </c>
      <c r="X474" s="112">
        <f t="shared" si="143"/>
        <v>884.57007213763131</v>
      </c>
      <c r="Y474" s="32">
        <f>(uNES*L474+ uOCEX*G474+uEREX*'PH + UC'!H474+uHOEX*I474+uNES*S474+ uOCEX*N474+uEREX*O474+uHOEX*P474)/(1+oDR)^A$5:A$65536</f>
        <v>508.9704200512121</v>
      </c>
    </row>
    <row r="475" spans="1:25" x14ac:dyDescent="0.25">
      <c r="A475" s="4">
        <v>469</v>
      </c>
      <c r="C475" s="110">
        <f>IF(male=0,VLOOKUP(((A473:A1307/'Life tables'!$I$2)*2)+age,lifetable,13,1),IF(male=1,VLOOKUP(((A473:A1307/'Life tables'!$I$2)*2)+age,lifetable,10,1),"error"))</f>
        <v>3.518541282111487E-4</v>
      </c>
      <c r="F475" s="101">
        <f t="shared" si="126"/>
        <v>141.04102941851681</v>
      </c>
      <c r="G475" s="101">
        <f t="shared" si="127"/>
        <v>14.167866587701402</v>
      </c>
      <c r="H475" s="101">
        <f t="shared" si="128"/>
        <v>0.32421422091765373</v>
      </c>
      <c r="I475" s="101">
        <f t="shared" si="129"/>
        <v>0.32421422091765373</v>
      </c>
      <c r="J475" s="101">
        <f t="shared" si="130"/>
        <v>5.4839043018992027E-2</v>
      </c>
      <c r="K475" s="101">
        <f t="shared" si="131"/>
        <v>2.5414867576698315E-2</v>
      </c>
      <c r="L475" s="101">
        <f t="shared" si="138"/>
        <v>126.14448047838441</v>
      </c>
      <c r="M475" s="101">
        <f t="shared" si="132"/>
        <v>743.5290427191145</v>
      </c>
      <c r="N475" s="101">
        <f t="shared" si="133"/>
        <v>71.603457764312751</v>
      </c>
      <c r="O475" s="101">
        <f t="shared" si="134"/>
        <v>1.7091671147656715</v>
      </c>
      <c r="P475" s="101">
        <f t="shared" si="135"/>
        <v>1.7091671147656715</v>
      </c>
      <c r="Q475" s="101">
        <f t="shared" si="136"/>
        <v>0.28801049034443615</v>
      </c>
      <c r="R475" s="101">
        <f t="shared" si="137"/>
        <v>1.9913262190655041E-2</v>
      </c>
      <c r="S475" s="101">
        <f t="shared" si="139"/>
        <v>668.19932697273532</v>
      </c>
      <c r="T475" s="101">
        <f t="shared" si="140"/>
        <v>90.199649086980841</v>
      </c>
      <c r="U475" s="101">
        <f t="shared" si="141"/>
        <v>25.618456438519722</v>
      </c>
      <c r="V475" s="33">
        <f t="shared" si="142"/>
        <v>1000.000000000001</v>
      </c>
      <c r="W475" s="105">
        <f>IF(A475=1,((cPH1_+cPHr+(cNES*L475+(cNES+cOSEX)*G475+(cNES+cEREX)*H475+(cNES+cHOEX)*I475 + (cNES+cNES)*S475 +(cNES+ cOSEX)*N475 + (cNES+cEREX)*O475 + (cNES+cHOEX)*P475)))/(1+cDR)^A$5:A$65536,(cPHr+(cNES*L475+(cNES+cOSEX)*G475+(cNES+cEREX)*H475+(cNES+cHOEX)*I475 + (cNES+cNES)*S475 +(cNES+ cOSEX)*N475 + (cNES+cEREX)*O475 + (cNES+cHOEX)*P475))/(1+cDR)^A$5:A$65536)</f>
        <v>101171.57900025565</v>
      </c>
      <c r="X475" s="112">
        <f t="shared" si="143"/>
        <v>884.1818944745005</v>
      </c>
      <c r="Y475" s="32">
        <f>(uNES*L475+ uOCEX*G475+uEREX*'PH + UC'!H475+uHOEX*I475+uNES*S475+ uOCEX*N475+uEREX*O475+uHOEX*P475)/(1+oDR)^A$5:A$65536</f>
        <v>508.60075785386084</v>
      </c>
    </row>
    <row r="476" spans="1:25" x14ac:dyDescent="0.25">
      <c r="A476" s="4">
        <v>470</v>
      </c>
      <c r="C476" s="110">
        <f>IF(male=0,VLOOKUP(((A474:A1308/'Life tables'!$I$2)*2)+age,lifetable,13,1),IF(male=1,VLOOKUP(((A474:A1308/'Life tables'!$I$2)*2)+age,lifetable,10,1),"error"))</f>
        <v>3.7736298212742714E-4</v>
      </c>
      <c r="F476" s="101">
        <f t="shared" si="126"/>
        <v>140.97913033383597</v>
      </c>
      <c r="G476" s="101">
        <f t="shared" si="127"/>
        <v>14.161648695097563</v>
      </c>
      <c r="H476" s="101">
        <f t="shared" si="128"/>
        <v>0.32407193208441099</v>
      </c>
      <c r="I476" s="101">
        <f t="shared" si="129"/>
        <v>0.32407193208441099</v>
      </c>
      <c r="J476" s="101">
        <f t="shared" si="130"/>
        <v>5.8788972525360916E-2</v>
      </c>
      <c r="K476" s="101">
        <f t="shared" si="131"/>
        <v>2.5403713680227417E-2</v>
      </c>
      <c r="L476" s="101">
        <f t="shared" si="138"/>
        <v>126.08514508836399</v>
      </c>
      <c r="M476" s="101">
        <f t="shared" si="132"/>
        <v>743.20276414066461</v>
      </c>
      <c r="N476" s="101">
        <f t="shared" si="133"/>
        <v>71.572036430283887</v>
      </c>
      <c r="O476" s="101">
        <f t="shared" si="134"/>
        <v>1.7084170907793863</v>
      </c>
      <c r="P476" s="101">
        <f t="shared" si="135"/>
        <v>1.7084170907793863</v>
      </c>
      <c r="Q476" s="101">
        <f t="shared" si="136"/>
        <v>0.30875523524192078</v>
      </c>
      <c r="R476" s="101">
        <f t="shared" si="137"/>
        <v>1.9904523768204042E-2</v>
      </c>
      <c r="S476" s="101">
        <f t="shared" si="139"/>
        <v>667.88523376981186</v>
      </c>
      <c r="T476" s="101">
        <f t="shared" si="140"/>
        <v>90.567193294748122</v>
      </c>
      <c r="U476" s="101">
        <f t="shared" si="141"/>
        <v>25.663764675968153</v>
      </c>
      <c r="V476" s="33">
        <f t="shared" si="142"/>
        <v>1000.0000000000013</v>
      </c>
      <c r="W476" s="105">
        <f>IF(A476=1,((cPH1_+cPHr+(cNES*L476+(cNES+cOSEX)*G476+(cNES+cEREX)*H476+(cNES+cHOEX)*I476 + (cNES+cNES)*S476 +(cNES+ cOSEX)*N476 + (cNES+cEREX)*O476 + (cNES+cHOEX)*P476)))/(1+cDR)^A$5:A$65536,(cPHr+(cNES*L476+(cNES+cOSEX)*G476+(cNES+cEREX)*H476+(cNES+cHOEX)*I476 + (cNES+cNES)*S476 +(cNES+ cOSEX)*N476 + (cNES+cEREX)*O476 + (cNES+cHOEX)*P476))/(1+cDR)^A$5:A$65536)</f>
        <v>101008.49525995564</v>
      </c>
      <c r="X476" s="112">
        <f t="shared" si="143"/>
        <v>883.76904202928495</v>
      </c>
      <c r="Y476" s="32">
        <f>(uNES*L476+ uOCEX*G476+uEREX*'PH + UC'!H476+uHOEX*I476+uNES*S476+ uOCEX*N476+uEREX*O476+uHOEX*P476)/(1+oDR)^A$5:A$65536</f>
        <v>508.21684446687595</v>
      </c>
    </row>
    <row r="477" spans="1:25" x14ac:dyDescent="0.25">
      <c r="A477" s="4">
        <v>471</v>
      </c>
      <c r="C477" s="110">
        <f>IF(male=0,VLOOKUP(((A475:A1309/'Life tables'!$I$2)*2)+age,lifetable,13,1),IF(male=1,VLOOKUP(((A475:A1309/'Life tables'!$I$2)*2)+age,lifetable,10,1),"error"))</f>
        <v>3.7736298212742714E-4</v>
      </c>
      <c r="F477" s="101">
        <f t="shared" si="126"/>
        <v>140.91328474146823</v>
      </c>
      <c r="G477" s="101">
        <f t="shared" si="127"/>
        <v>14.155034367536992</v>
      </c>
      <c r="H477" s="101">
        <f t="shared" si="128"/>
        <v>0.3239205713242238</v>
      </c>
      <c r="I477" s="101">
        <f t="shared" si="129"/>
        <v>0.3239205713242238</v>
      </c>
      <c r="J477" s="101">
        <f t="shared" si="130"/>
        <v>5.8761514597996369E-2</v>
      </c>
      <c r="K477" s="101">
        <f t="shared" si="131"/>
        <v>2.539184864338364E-2</v>
      </c>
      <c r="L477" s="101">
        <f t="shared" si="138"/>
        <v>126.0262558680414</v>
      </c>
      <c r="M477" s="101">
        <f t="shared" si="132"/>
        <v>742.85575728781657</v>
      </c>
      <c r="N477" s="101">
        <f t="shared" si="133"/>
        <v>71.538618918520029</v>
      </c>
      <c r="O477" s="101">
        <f t="shared" si="134"/>
        <v>1.7076194182374809</v>
      </c>
      <c r="P477" s="101">
        <f t="shared" si="135"/>
        <v>1.7076194182374809</v>
      </c>
      <c r="Q477" s="101">
        <f t="shared" si="136"/>
        <v>0.30861107514503849</v>
      </c>
      <c r="R477" s="101">
        <f t="shared" si="137"/>
        <v>1.9895230199229993E-2</v>
      </c>
      <c r="S477" s="101">
        <f t="shared" si="139"/>
        <v>667.57339322747725</v>
      </c>
      <c r="T477" s="101">
        <f t="shared" si="140"/>
        <v>90.934565884491164</v>
      </c>
      <c r="U477" s="101">
        <f t="shared" si="141"/>
        <v>25.709051754810766</v>
      </c>
      <c r="V477" s="33">
        <f t="shared" si="142"/>
        <v>1000.0000000000009</v>
      </c>
      <c r="W477" s="105">
        <f>IF(A477=1,((cPH1_+cPHr+(cNES*L477+(cNES+cOSEX)*G477+(cNES+cEREX)*H477+(cNES+cHOEX)*I477 + (cNES+cNES)*S477 +(cNES+ cOSEX)*N477 + (cNES+cEREX)*O477 + (cNES+cHOEX)*P477)))/(1+cDR)^A$5:A$65536,(cPHr+(cNES*L477+(cNES+cOSEX)*G477+(cNES+cEREX)*H477+(cNES+cHOEX)*I477 + (cNES+cNES)*S477 +(cNES+ cOSEX)*N477 + (cNES+cEREX)*O477 + (cNES+cHOEX)*P477))/(1+cDR)^A$5:A$65536)</f>
        <v>100845.29779912678</v>
      </c>
      <c r="X477" s="112">
        <f t="shared" si="143"/>
        <v>883.35638236069906</v>
      </c>
      <c r="Y477" s="32">
        <f>(uNES*L477+ uOCEX*G477+uEREX*'PH + UC'!H477+uHOEX*I477+uNES*S477+ uOCEX*N477+uEREX*O477+uHOEX*P477)/(1+oDR)^A$5:A$65536</f>
        <v>507.83345302737621</v>
      </c>
    </row>
    <row r="478" spans="1:25" x14ac:dyDescent="0.25">
      <c r="A478" s="4">
        <v>472</v>
      </c>
      <c r="C478" s="110">
        <f>IF(male=0,VLOOKUP(((A476:A1310/'Life tables'!$I$2)*2)+age,lifetable,13,1),IF(male=1,VLOOKUP(((A476:A1310/'Life tables'!$I$2)*2)+age,lifetable,10,1),"error"))</f>
        <v>3.7736298212742714E-4</v>
      </c>
      <c r="F478" s="101">
        <f t="shared" si="126"/>
        <v>140.84747070579922</v>
      </c>
      <c r="G478" s="101">
        <f t="shared" si="127"/>
        <v>14.148423209912853</v>
      </c>
      <c r="H478" s="101">
        <f t="shared" si="128"/>
        <v>0.32376928310413744</v>
      </c>
      <c r="I478" s="101">
        <f t="shared" si="129"/>
        <v>0.32376928310413744</v>
      </c>
      <c r="J478" s="101">
        <f t="shared" si="130"/>
        <v>5.8734069829926322E-2</v>
      </c>
      <c r="K478" s="101">
        <f t="shared" si="131"/>
        <v>2.5379989292894554E-2</v>
      </c>
      <c r="L478" s="101">
        <f t="shared" si="138"/>
        <v>125.96739487055528</v>
      </c>
      <c r="M478" s="101">
        <f t="shared" si="132"/>
        <v>742.50891165489986</v>
      </c>
      <c r="N478" s="101">
        <f t="shared" si="133"/>
        <v>71.505216932584872</v>
      </c>
      <c r="O478" s="101">
        <f t="shared" si="134"/>
        <v>1.7068221162954971</v>
      </c>
      <c r="P478" s="101">
        <f t="shared" si="135"/>
        <v>1.7068221162954971</v>
      </c>
      <c r="Q478" s="101">
        <f t="shared" si="136"/>
        <v>0.30846698202516482</v>
      </c>
      <c r="R478" s="101">
        <f t="shared" si="137"/>
        <v>1.9885940948062755E-2</v>
      </c>
      <c r="S478" s="101">
        <f t="shared" si="139"/>
        <v>667.26169756675074</v>
      </c>
      <c r="T478" s="101">
        <f t="shared" si="140"/>
        <v>91.301766936346255</v>
      </c>
      <c r="U478" s="101">
        <f t="shared" si="141"/>
        <v>25.754317685051724</v>
      </c>
      <c r="V478" s="33">
        <f t="shared" si="142"/>
        <v>1000.0000000000009</v>
      </c>
      <c r="W478" s="105">
        <f>IF(A478=1,((cPH1_+cPHr+(cNES*L478+(cNES+cOSEX)*G478+(cNES+cEREX)*H478+(cNES+cHOEX)*I478 + (cNES+cNES)*S478 +(cNES+ cOSEX)*N478 + (cNES+cEREX)*O478 + (cNES+cHOEX)*P478)))/(1+cDR)^A$5:A$65536,(cPHr+(cNES*L478+(cNES+cOSEX)*G478+(cNES+cEREX)*H478+(cNES+cHOEX)*I478 + (cNES+cNES)*S478 +(cNES+ cOSEX)*N478 + (cNES+cEREX)*O478 + (cNES+cHOEX)*P478))/(1+cDR)^A$5:A$65536)</f>
        <v>100682.36397823285</v>
      </c>
      <c r="X478" s="112">
        <f t="shared" si="143"/>
        <v>882.94391537860292</v>
      </c>
      <c r="Y478" s="32">
        <f>(uNES*L478+ uOCEX*G478+uEREX*'PH + UC'!H478+uHOEX*I478+uNES*S478+ uOCEX*N478+uEREX*O478+uHOEX*P478)/(1+oDR)^A$5:A$65536</f>
        <v>507.45035081408162</v>
      </c>
    </row>
    <row r="479" spans="1:25" x14ac:dyDescent="0.25">
      <c r="A479" s="4">
        <v>473</v>
      </c>
      <c r="C479" s="110">
        <f>IF(male=0,VLOOKUP(((A477:A1311/'Life tables'!$I$2)*2)+age,lifetable,13,1),IF(male=1,VLOOKUP(((A477:A1311/'Life tables'!$I$2)*2)+age,lifetable,10,1),"error"))</f>
        <v>3.7736298212742714E-4</v>
      </c>
      <c r="F479" s="101">
        <f t="shared" si="126"/>
        <v>140.78168817551506</v>
      </c>
      <c r="G479" s="101">
        <f t="shared" si="127"/>
        <v>14.141815217070558</v>
      </c>
      <c r="H479" s="101">
        <f t="shared" si="128"/>
        <v>0.32361806730619552</v>
      </c>
      <c r="I479" s="101">
        <f t="shared" si="129"/>
        <v>0.32361806730619552</v>
      </c>
      <c r="J479" s="101">
        <f t="shared" si="130"/>
        <v>5.870663819975265E-2</v>
      </c>
      <c r="K479" s="101">
        <f t="shared" si="131"/>
        <v>2.5368135619513659E-2</v>
      </c>
      <c r="L479" s="101">
        <f t="shared" si="138"/>
        <v>125.90856205001285</v>
      </c>
      <c r="M479" s="101">
        <f t="shared" si="132"/>
        <v>742.16222720308792</v>
      </c>
      <c r="N479" s="101">
        <f t="shared" si="133"/>
        <v>71.471830468739313</v>
      </c>
      <c r="O479" s="101">
        <f t="shared" si="134"/>
        <v>1.7060251848641832</v>
      </c>
      <c r="P479" s="101">
        <f t="shared" si="135"/>
        <v>1.7060251848641832</v>
      </c>
      <c r="Q479" s="101">
        <f t="shared" si="136"/>
        <v>0.30832295586616948</v>
      </c>
      <c r="R479" s="101">
        <f t="shared" si="137"/>
        <v>1.987665601366247E-2</v>
      </c>
      <c r="S479" s="101">
        <f t="shared" si="139"/>
        <v>666.95014675274035</v>
      </c>
      <c r="T479" s="101">
        <f t="shared" si="140"/>
        <v>91.66879653041218</v>
      </c>
      <c r="U479" s="101">
        <f t="shared" si="141"/>
        <v>25.799562476684901</v>
      </c>
      <c r="V479" s="33">
        <f t="shared" si="142"/>
        <v>1000.0000000000008</v>
      </c>
      <c r="W479" s="105">
        <f>IF(A479=1,((cPH1_+cPHr+(cNES*L479+(cNES+cOSEX)*G479+(cNES+cEREX)*H479+(cNES+cHOEX)*I479 + (cNES+cNES)*S479 +(cNES+ cOSEX)*N479 + (cNES+cEREX)*O479 + (cNES+cHOEX)*P479)))/(1+cDR)^A$5:A$65536,(cPHr+(cNES*L479+(cNES+cOSEX)*G479+(cNES+cEREX)*H479+(cNES+cHOEX)*I479 + (cNES+cNES)*S479 +(cNES+ cOSEX)*N479 + (cNES+cEREX)*O479 + (cNES+cHOEX)*P479))/(1+cDR)^A$5:A$65536)</f>
        <v>100519.69337313279</v>
      </c>
      <c r="X479" s="112">
        <f t="shared" si="143"/>
        <v>882.53164099290382</v>
      </c>
      <c r="Y479" s="32">
        <f>(uNES*L479+ uOCEX*G479+uEREX*'PH + UC'!H479+uHOEX*I479+uNES*S479+ uOCEX*N479+uEREX*O479+uHOEX*P479)/(1+oDR)^A$5:A$65536</f>
        <v>507.0675376087467</v>
      </c>
    </row>
    <row r="480" spans="1:25" x14ac:dyDescent="0.25">
      <c r="A480" s="4">
        <v>474</v>
      </c>
      <c r="C480" s="110">
        <f>IF(male=0,VLOOKUP(((A478:A1312/'Life tables'!$I$2)*2)+age,lifetable,13,1),IF(male=1,VLOOKUP(((A478:A1312/'Life tables'!$I$2)*2)+age,lifetable,10,1),"error"))</f>
        <v>3.7736298212742714E-4</v>
      </c>
      <c r="F480" s="101">
        <f t="shared" si="126"/>
        <v>140.71593710097503</v>
      </c>
      <c r="G480" s="101">
        <f t="shared" si="127"/>
        <v>14.135210384023594</v>
      </c>
      <c r="H480" s="101">
        <f t="shared" si="128"/>
        <v>0.32346692381628778</v>
      </c>
      <c r="I480" s="101">
        <f t="shared" si="129"/>
        <v>0.32346692381628778</v>
      </c>
      <c r="J480" s="101">
        <f t="shared" si="130"/>
        <v>5.8679219686774919E-2</v>
      </c>
      <c r="K480" s="101">
        <f t="shared" si="131"/>
        <v>2.5356287614295956E-2</v>
      </c>
      <c r="L480" s="101">
        <f t="shared" si="138"/>
        <v>125.84975736201778</v>
      </c>
      <c r="M480" s="101">
        <f t="shared" si="132"/>
        <v>741.81570389192882</v>
      </c>
      <c r="N480" s="101">
        <f t="shared" si="133"/>
        <v>71.438459523087772</v>
      </c>
      <c r="O480" s="101">
        <f t="shared" si="134"/>
        <v>1.7052286238505516</v>
      </c>
      <c r="P480" s="101">
        <f t="shared" si="135"/>
        <v>1.7052286238505516</v>
      </c>
      <c r="Q480" s="101">
        <f t="shared" si="136"/>
        <v>0.30817899665124721</v>
      </c>
      <c r="R480" s="101">
        <f t="shared" si="137"/>
        <v>1.9867375394945746E-2</v>
      </c>
      <c r="S480" s="101">
        <f t="shared" si="139"/>
        <v>666.6387407490937</v>
      </c>
      <c r="T480" s="101">
        <f t="shared" si="140"/>
        <v>92.035654746750197</v>
      </c>
      <c r="U480" s="101">
        <f t="shared" si="141"/>
        <v>25.844786139694143</v>
      </c>
      <c r="V480" s="33">
        <f t="shared" si="142"/>
        <v>1000.0000000000009</v>
      </c>
      <c r="W480" s="105">
        <f>IF(A480=1,((cPH1_+cPHr+(cNES*L480+(cNES+cOSEX)*G480+(cNES+cEREX)*H480+(cNES+cHOEX)*I480 + (cNES+cNES)*S480 +(cNES+ cOSEX)*N480 + (cNES+cEREX)*O480 + (cNES+cHOEX)*P480)))/(1+cDR)^A$5:A$65536,(cPHr+(cNES*L480+(cNES+cOSEX)*G480+(cNES+cEREX)*H480+(cNES+cHOEX)*I480 + (cNES+cNES)*S480 +(cNES+ cOSEX)*N480 + (cNES+cEREX)*O480 + (cNES+cHOEX)*P480))/(1+cDR)^A$5:A$65536)</f>
        <v>100357.28556028649</v>
      </c>
      <c r="X480" s="112">
        <f t="shared" si="143"/>
        <v>882.11955911355653</v>
      </c>
      <c r="Y480" s="32">
        <f>(uNES*L480+ uOCEX*G480+uEREX*'PH + UC'!H480+uHOEX*I480+uNES*S480+ uOCEX*N480+uEREX*O480+uHOEX*P480)/(1+oDR)^A$5:A$65536</f>
        <v>506.68501319329346</v>
      </c>
    </row>
    <row r="481" spans="1:25" x14ac:dyDescent="0.25">
      <c r="A481" s="4">
        <v>475</v>
      </c>
      <c r="C481" s="110">
        <f>IF(male=0,VLOOKUP(((A479:A1313/'Life tables'!$I$2)*2)+age,lifetable,13,1),IF(male=1,VLOOKUP(((A479:A1313/'Life tables'!$I$2)*2)+age,lifetable,10,1),"error"))</f>
        <v>3.7736298212742714E-4</v>
      </c>
      <c r="F481" s="101">
        <f t="shared" si="126"/>
        <v>140.65021743413635</v>
      </c>
      <c r="G481" s="101">
        <f t="shared" si="127"/>
        <v>14.128608705945965</v>
      </c>
      <c r="H481" s="101">
        <f t="shared" si="128"/>
        <v>0.32331585252397721</v>
      </c>
      <c r="I481" s="101">
        <f t="shared" si="129"/>
        <v>0.32331585252397721</v>
      </c>
      <c r="J481" s="101">
        <f t="shared" si="130"/>
        <v>5.8651814270959071E-2</v>
      </c>
      <c r="K481" s="101">
        <f t="shared" si="131"/>
        <v>2.5344445268584388E-2</v>
      </c>
      <c r="L481" s="101">
        <f t="shared" si="138"/>
        <v>125.79098076360289</v>
      </c>
      <c r="M481" s="101">
        <f t="shared" si="132"/>
        <v>741.46934167942015</v>
      </c>
      <c r="N481" s="101">
        <f t="shared" si="133"/>
        <v>71.405104091585287</v>
      </c>
      <c r="O481" s="101">
        <f t="shared" si="134"/>
        <v>1.7044324331580505</v>
      </c>
      <c r="P481" s="101">
        <f t="shared" si="135"/>
        <v>1.7044324331580505</v>
      </c>
      <c r="Q481" s="101">
        <f t="shared" si="136"/>
        <v>0.30803510436294862</v>
      </c>
      <c r="R481" s="101">
        <f t="shared" si="137"/>
        <v>1.985809909078768E-2</v>
      </c>
      <c r="S481" s="101">
        <f t="shared" si="139"/>
        <v>666.32747951806505</v>
      </c>
      <c r="T481" s="101">
        <f t="shared" si="140"/>
        <v>92.4023416653841</v>
      </c>
      <c r="U481" s="101">
        <f t="shared" si="141"/>
        <v>25.889988684053517</v>
      </c>
      <c r="V481" s="33">
        <f t="shared" si="142"/>
        <v>1000.0000000000009</v>
      </c>
      <c r="W481" s="105">
        <f>IF(A481=1,((cPH1_+cPHr+(cNES*L481+(cNES+cOSEX)*G481+(cNES+cEREX)*H481+(cNES+cHOEX)*I481 + (cNES+cNES)*S481 +(cNES+ cOSEX)*N481 + (cNES+cEREX)*O481 + (cNES+cHOEX)*P481)))/(1+cDR)^A$5:A$65536,(cPHr+(cNES*L481+(cNES+cOSEX)*G481+(cNES+cEREX)*H481+(cNES+cHOEX)*I481 + (cNES+cNES)*S481 +(cNES+ cOSEX)*N481 + (cNES+cEREX)*O481 + (cNES+cHOEX)*P481))/(1+cDR)^A$5:A$65536)</f>
        <v>100195.14011675766</v>
      </c>
      <c r="X481" s="112">
        <f t="shared" si="143"/>
        <v>881.70766965056328</v>
      </c>
      <c r="Y481" s="32">
        <f>(uNES*L481+ uOCEX*G481+uEREX*'PH + UC'!H481+uHOEX*I481+uNES*S481+ uOCEX*N481+uEREX*O481+uHOEX*P481)/(1+oDR)^A$5:A$65536</f>
        <v>506.30277734981019</v>
      </c>
    </row>
    <row r="482" spans="1:25" x14ac:dyDescent="0.25">
      <c r="A482" s="4">
        <v>476</v>
      </c>
      <c r="C482" s="110">
        <f>IF(male=0,VLOOKUP(((A480:A1314/'Life tables'!$I$2)*2)+age,lifetable,13,1),IF(male=1,VLOOKUP(((A480:A1314/'Life tables'!$I$2)*2)+age,lifetable,10,1),"error"))</f>
        <v>3.7736298212742714E-4</v>
      </c>
      <c r="F482" s="101">
        <f t="shared" si="126"/>
        <v>140.58452912848264</v>
      </c>
      <c r="G482" s="101">
        <f t="shared" si="127"/>
        <v>14.122010178165</v>
      </c>
      <c r="H482" s="101">
        <f t="shared" si="128"/>
        <v>0.32316485332233552</v>
      </c>
      <c r="I482" s="101">
        <f t="shared" si="129"/>
        <v>0.32316485332233552</v>
      </c>
      <c r="J482" s="101">
        <f t="shared" si="130"/>
        <v>5.8624421932907567E-2</v>
      </c>
      <c r="K482" s="101">
        <f t="shared" si="131"/>
        <v>2.5332608573996936E-2</v>
      </c>
      <c r="L482" s="101">
        <f t="shared" si="138"/>
        <v>125.73223221316607</v>
      </c>
      <c r="M482" s="101">
        <f t="shared" si="132"/>
        <v>741.12314052208069</v>
      </c>
      <c r="N482" s="101">
        <f t="shared" si="133"/>
        <v>71.371764170044557</v>
      </c>
      <c r="O482" s="101">
        <f t="shared" si="134"/>
        <v>1.7036366126867284</v>
      </c>
      <c r="P482" s="101">
        <f t="shared" si="135"/>
        <v>1.7036366126867284</v>
      </c>
      <c r="Q482" s="101">
        <f t="shared" si="136"/>
        <v>0.30789127898320989</v>
      </c>
      <c r="R482" s="101">
        <f t="shared" si="137"/>
        <v>1.9848827100023746E-2</v>
      </c>
      <c r="S482" s="101">
        <f t="shared" si="139"/>
        <v>666.01636302057943</v>
      </c>
      <c r="T482" s="101">
        <f t="shared" si="140"/>
        <v>92.76885736630021</v>
      </c>
      <c r="U482" s="101">
        <f t="shared" si="141"/>
        <v>25.935170119727537</v>
      </c>
      <c r="V482" s="33">
        <f t="shared" si="142"/>
        <v>1000.000000000001</v>
      </c>
      <c r="W482" s="105">
        <f>IF(A482=1,((cPH1_+cPHr+(cNES*L482+(cNES+cOSEX)*G482+(cNES+cEREX)*H482+(cNES+cHOEX)*I482 + (cNES+cNES)*S482 +(cNES+ cOSEX)*N482 + (cNES+cEREX)*O482 + (cNES+cHOEX)*P482)))/(1+cDR)^A$5:A$65536,(cPHr+(cNES*L482+(cNES+cOSEX)*G482+(cNES+cEREX)*H482+(cNES+cHOEX)*I482 + (cNES+cNES)*S482 +(cNES+ cOSEX)*N482 + (cNES+cEREX)*O482 + (cNES+cHOEX)*P482))/(1+cDR)^A$5:A$65536)</f>
        <v>100033.25662021659</v>
      </c>
      <c r="X482" s="112">
        <f t="shared" si="143"/>
        <v>881.2959725139732</v>
      </c>
      <c r="Y482" s="32">
        <f>(uNES*L482+ uOCEX*G482+uEREX*'PH + UC'!H482+uHOEX*I482+uNES*S482+ uOCEX*N482+uEREX*O482+uHOEX*P482)/(1+oDR)^A$5:A$65536</f>
        <v>505.9208298605526</v>
      </c>
    </row>
    <row r="483" spans="1:25" x14ac:dyDescent="0.25">
      <c r="A483" s="4">
        <v>477</v>
      </c>
      <c r="C483" s="110">
        <f>IF(male=0,VLOOKUP(((A481:A1315/'Life tables'!$I$2)*2)+age,lifetable,13,1),IF(male=1,VLOOKUP(((A481:A1315/'Life tables'!$I$2)*2)+age,lifetable,10,1),"error"))</f>
        <v>3.7736298212742714E-4</v>
      </c>
      <c r="F483" s="101">
        <f t="shared" si="126"/>
        <v>140.51887213895523</v>
      </c>
      <c r="G483" s="101">
        <f t="shared" si="127"/>
        <v>14.115414796154463</v>
      </c>
      <c r="H483" s="101">
        <f t="shared" si="128"/>
        <v>0.32301392610778534</v>
      </c>
      <c r="I483" s="101">
        <f t="shared" si="129"/>
        <v>0.32301392610778534</v>
      </c>
      <c r="J483" s="101">
        <f t="shared" si="130"/>
        <v>5.8597042653830686E-2</v>
      </c>
      <c r="K483" s="101">
        <f t="shared" si="131"/>
        <v>2.5320777522414264E-2</v>
      </c>
      <c r="L483" s="101">
        <f t="shared" si="138"/>
        <v>125.67351167040896</v>
      </c>
      <c r="M483" s="101">
        <f t="shared" si="132"/>
        <v>740.77710037501811</v>
      </c>
      <c r="N483" s="101">
        <f t="shared" si="133"/>
        <v>71.338439754142343</v>
      </c>
      <c r="O483" s="101">
        <f t="shared" si="134"/>
        <v>1.7028411623333903</v>
      </c>
      <c r="P483" s="101">
        <f t="shared" si="135"/>
        <v>1.7028411623333903</v>
      </c>
      <c r="Q483" s="101">
        <f t="shared" si="136"/>
        <v>0.30774752049338117</v>
      </c>
      <c r="R483" s="101">
        <f t="shared" si="137"/>
        <v>1.9839559421451634E-2</v>
      </c>
      <c r="S483" s="101">
        <f t="shared" si="139"/>
        <v>665.70539121629417</v>
      </c>
      <c r="T483" s="101">
        <f t="shared" si="140"/>
        <v>93.135201929447419</v>
      </c>
      <c r="U483" s="101">
        <f t="shared" si="141"/>
        <v>25.980330456671403</v>
      </c>
      <c r="V483" s="33">
        <f t="shared" si="142"/>
        <v>1000.000000000001</v>
      </c>
      <c r="W483" s="105">
        <f>IF(A483=1,((cPH1_+cPHr+(cNES*L483+(cNES+cOSEX)*G483+(cNES+cEREX)*H483+(cNES+cHOEX)*I483 + (cNES+cNES)*S483 +(cNES+ cOSEX)*N483 + (cNES+cEREX)*O483 + (cNES+cHOEX)*P483)))/(1+cDR)^A$5:A$65536,(cPHr+(cNES*L483+(cNES+cOSEX)*G483+(cNES+cEREX)*H483+(cNES+cHOEX)*I483 + (cNES+cNES)*S483 +(cNES+ cOSEX)*N483 + (cNES+cEREX)*O483 + (cNES+cHOEX)*P483))/(1+cDR)^A$5:A$65536)</f>
        <v>99871.634648942607</v>
      </c>
      <c r="X483" s="112">
        <f t="shared" si="143"/>
        <v>880.88446761388229</v>
      </c>
      <c r="Y483" s="32">
        <f>(uNES*L483+ uOCEX*G483+uEREX*'PH + UC'!H483+uHOEX*I483+uNES*S483+ uOCEX*N483+uEREX*O483+uHOEX*P483)/(1+oDR)^A$5:A$65536</f>
        <v>505.53917050794257</v>
      </c>
    </row>
    <row r="484" spans="1:25" x14ac:dyDescent="0.25">
      <c r="A484" s="4">
        <v>478</v>
      </c>
      <c r="C484" s="110">
        <f>IF(male=0,VLOOKUP(((A482:A1316/'Life tables'!$I$2)*2)+age,lifetable,13,1),IF(male=1,VLOOKUP(((A482:A1316/'Life tables'!$I$2)*2)+age,lifetable,10,1),"error"))</f>
        <v>3.7736298212742714E-4</v>
      </c>
      <c r="F484" s="101">
        <f t="shared" si="126"/>
        <v>140.45324642188774</v>
      </c>
      <c r="G484" s="101">
        <f t="shared" si="127"/>
        <v>14.108822555527976</v>
      </c>
      <c r="H484" s="101">
        <f t="shared" si="128"/>
        <v>0.32286307077994975</v>
      </c>
      <c r="I484" s="101">
        <f t="shared" si="129"/>
        <v>0.32286307077994975</v>
      </c>
      <c r="J484" s="101">
        <f t="shared" si="130"/>
        <v>5.8569676415519356E-2</v>
      </c>
      <c r="K484" s="101">
        <f t="shared" si="131"/>
        <v>2.5308952105967911E-2</v>
      </c>
      <c r="L484" s="101">
        <f t="shared" si="138"/>
        <v>125.61481909627838</v>
      </c>
      <c r="M484" s="101">
        <f t="shared" si="132"/>
        <v>740.43122119199438</v>
      </c>
      <c r="N484" s="101">
        <f t="shared" si="133"/>
        <v>71.3051308394258</v>
      </c>
      <c r="O484" s="101">
        <f t="shared" si="134"/>
        <v>1.7020460819917478</v>
      </c>
      <c r="P484" s="101">
        <f t="shared" si="135"/>
        <v>1.7020460819917478</v>
      </c>
      <c r="Q484" s="101">
        <f t="shared" si="136"/>
        <v>0.30760382887425308</v>
      </c>
      <c r="R484" s="101">
        <f t="shared" si="137"/>
        <v>1.9830296053832994E-2</v>
      </c>
      <c r="S484" s="101">
        <f t="shared" si="139"/>
        <v>665.39456406365696</v>
      </c>
      <c r="T484" s="101">
        <f t="shared" si="140"/>
        <v>93.501375434737184</v>
      </c>
      <c r="U484" s="101">
        <f t="shared" si="141"/>
        <v>26.025469704831202</v>
      </c>
      <c r="V484" s="33">
        <f t="shared" si="142"/>
        <v>1000.0000000000008</v>
      </c>
      <c r="W484" s="105">
        <f>IF(A484=1,((cPH1_+cPHr+(cNES*L484+(cNES+cOSEX)*G484+(cNES+cEREX)*H484+(cNES+cHOEX)*I484 + (cNES+cNES)*S484 +(cNES+ cOSEX)*N484 + (cNES+cEREX)*O484 + (cNES+cHOEX)*P484)))/(1+cDR)^A$5:A$65536,(cPHr+(cNES*L484+(cNES+cOSEX)*G484+(cNES+cEREX)*H484+(cNES+cHOEX)*I484 + (cNES+cNES)*S484 +(cNES+ cOSEX)*N484 + (cNES+cEREX)*O484 + (cNES+cHOEX)*P484))/(1+cDR)^A$5:A$65536)</f>
        <v>99710.27378182656</v>
      </c>
      <c r="X484" s="112">
        <f t="shared" si="143"/>
        <v>880.47315486043249</v>
      </c>
      <c r="Y484" s="32">
        <f>(uNES*L484+ uOCEX*G484+uEREX*'PH + UC'!H484+uHOEX*I484+uNES*S484+ uOCEX*N484+uEREX*O484+uHOEX*P484)/(1+oDR)^A$5:A$65536</f>
        <v>505.15779907456852</v>
      </c>
    </row>
    <row r="485" spans="1:25" x14ac:dyDescent="0.25">
      <c r="A485" s="4">
        <v>479</v>
      </c>
      <c r="C485" s="110">
        <f>IF(male=0,VLOOKUP(((A483:A1317/'Life tables'!$I$2)*2)+age,lifetable,13,1),IF(male=1,VLOOKUP(((A483:A1317/'Life tables'!$I$2)*2)+age,lifetable,10,1),"error"))</f>
        <v>3.7736298212742714E-4</v>
      </c>
      <c r="F485" s="101">
        <f t="shared" si="126"/>
        <v>140.38765193494373</v>
      </c>
      <c r="G485" s="101">
        <f t="shared" si="127"/>
        <v>14.102233452032753</v>
      </c>
      <c r="H485" s="101">
        <f t="shared" si="128"/>
        <v>0.32271228724150902</v>
      </c>
      <c r="I485" s="101">
        <f t="shared" si="129"/>
        <v>0.32271228724150902</v>
      </c>
      <c r="J485" s="101">
        <f t="shared" si="130"/>
        <v>5.8542323200319109E-2</v>
      </c>
      <c r="K485" s="101">
        <f t="shared" si="131"/>
        <v>2.5297132317029073E-2</v>
      </c>
      <c r="L485" s="101">
        <f t="shared" si="138"/>
        <v>125.55615445291062</v>
      </c>
      <c r="M485" s="101">
        <f t="shared" si="132"/>
        <v>740.08550292548875</v>
      </c>
      <c r="N485" s="101">
        <f t="shared" si="133"/>
        <v>71.271837421318608</v>
      </c>
      <c r="O485" s="101">
        <f t="shared" si="134"/>
        <v>1.7012513715525641</v>
      </c>
      <c r="P485" s="101">
        <f t="shared" si="135"/>
        <v>1.7012513715525641</v>
      </c>
      <c r="Q485" s="101">
        <f t="shared" si="136"/>
        <v>0.30746020410608399</v>
      </c>
      <c r="R485" s="101">
        <f t="shared" si="137"/>
        <v>1.9821036995895127E-2</v>
      </c>
      <c r="S485" s="101">
        <f t="shared" si="139"/>
        <v>665.08388151996303</v>
      </c>
      <c r="T485" s="101">
        <f t="shared" si="140"/>
        <v>93.867377962043591</v>
      </c>
      <c r="U485" s="101">
        <f t="shared" si="141"/>
        <v>26.070587874144127</v>
      </c>
      <c r="V485" s="33">
        <f t="shared" si="142"/>
        <v>1000.000000000001</v>
      </c>
      <c r="W485" s="105">
        <f>IF(A485=1,((cPH1_+cPHr+(cNES*L485+(cNES+cOSEX)*G485+(cNES+cEREX)*H485+(cNES+cHOEX)*I485 + (cNES+cNES)*S485 +(cNES+ cOSEX)*N485 + (cNES+cEREX)*O485 + (cNES+cHOEX)*P485)))/(1+cDR)^A$5:A$65536,(cPHr+(cNES*L485+(cNES+cOSEX)*G485+(cNES+cEREX)*H485+(cNES+cHOEX)*I485 + (cNES+cNES)*S485 +(cNES+ cOSEX)*N485 + (cNES+cEREX)*O485 + (cNES+cHOEX)*P485))/(1+cDR)^A$5:A$65536)</f>
        <v>99549.173598373061</v>
      </c>
      <c r="X485" s="112">
        <f t="shared" si="143"/>
        <v>880.06203416381311</v>
      </c>
      <c r="Y485" s="32">
        <f>(uNES*L485+ uOCEX*G485+uEREX*'PH + UC'!H485+uHOEX*I485+uNES*S485+ uOCEX*N485+uEREX*O485+uHOEX*P485)/(1+oDR)^A$5:A$65536</f>
        <v>504.77671534318449</v>
      </c>
    </row>
    <row r="486" spans="1:25" x14ac:dyDescent="0.25">
      <c r="A486" s="4">
        <v>480</v>
      </c>
      <c r="C486" s="110">
        <f>IF(male=0,VLOOKUP(((A484:A1318/'Life tables'!$I$2)*2)+age,lifetable,13,1),IF(male=1,VLOOKUP(((A484:A1318/'Life tables'!$I$2)*2)+age,lifetable,10,1),"error"))</f>
        <v>3.7736298212742714E-4</v>
      </c>
      <c r="F486" s="101">
        <f t="shared" si="126"/>
        <v>140.32208863705688</v>
      </c>
      <c r="G486" s="101">
        <f t="shared" si="127"/>
        <v>14.095647481543596</v>
      </c>
      <c r="H486" s="101">
        <f t="shared" si="128"/>
        <v>0.32256157539806307</v>
      </c>
      <c r="I486" s="101">
        <f t="shared" si="129"/>
        <v>0.32256157539806307</v>
      </c>
      <c r="J486" s="101">
        <f t="shared" si="130"/>
        <v>5.8514982991105052E-2</v>
      </c>
      <c r="K486" s="101">
        <f t="shared" si="131"/>
        <v>2.5285318148197802E-2</v>
      </c>
      <c r="L486" s="101">
        <f t="shared" si="138"/>
        <v>125.49751770357786</v>
      </c>
      <c r="M486" s="101">
        <f t="shared" si="132"/>
        <v>739.73994552675629</v>
      </c>
      <c r="N486" s="101">
        <f t="shared" si="133"/>
        <v>71.238559495126523</v>
      </c>
      <c r="O486" s="101">
        <f t="shared" si="134"/>
        <v>1.7004570309037879</v>
      </c>
      <c r="P486" s="101">
        <f t="shared" si="135"/>
        <v>1.7004570309037879</v>
      </c>
      <c r="Q486" s="101">
        <f t="shared" si="136"/>
        <v>0.30731664616862314</v>
      </c>
      <c r="R486" s="101">
        <f t="shared" si="137"/>
        <v>1.9811782246332531E-2</v>
      </c>
      <c r="S486" s="101">
        <f t="shared" si="139"/>
        <v>664.77334354140726</v>
      </c>
      <c r="T486" s="101">
        <f t="shared" si="140"/>
        <v>94.23320959120332</v>
      </c>
      <c r="U486" s="101">
        <f t="shared" si="141"/>
        <v>26.115684974538659</v>
      </c>
      <c r="V486" s="33">
        <f t="shared" si="142"/>
        <v>1000.0000000000009</v>
      </c>
      <c r="W486" s="105">
        <f>IF(A486=1,((cPH1_+cPHr+(cNES*L486+(cNES+cOSEX)*G486+(cNES+cEREX)*H486+(cNES+cHOEX)*I486 + (cNES+cNES)*S486 +(cNES+ cOSEX)*N486 + (cNES+cEREX)*O486 + (cNES+cHOEX)*P486)))/(1+cDR)^A$5:A$65536,(cPHr+(cNES*L486+(cNES+cOSEX)*G486+(cNES+cEREX)*H486+(cNES+cHOEX)*I486 + (cNES+cNES)*S486 +(cNES+ cOSEX)*N486 + (cNES+cEREX)*O486 + (cNES+cHOEX)*P486))/(1+cDR)^A$5:A$65536)</f>
        <v>99388.333678702751</v>
      </c>
      <c r="X486" s="112">
        <f t="shared" si="143"/>
        <v>879.65110543425885</v>
      </c>
      <c r="Y486" s="32">
        <f>(uNES*L486+ uOCEX*G486+uEREX*'PH + UC'!H486+uHOEX*I486+uNES*S486+ uOCEX*N486+uEREX*O486+uHOEX*P486)/(1+oDR)^A$5:A$65536</f>
        <v>504.39591909671111</v>
      </c>
    </row>
    <row r="487" spans="1:25" x14ac:dyDescent="0.25">
      <c r="A487" s="4">
        <v>481</v>
      </c>
      <c r="C487" s="110">
        <f>IF(male=0,VLOOKUP(((A485:A1319/'Life tables'!$I$2)*2)+age,lifetable,13,1),IF(male=1,VLOOKUP(((A485:A1319/'Life tables'!$I$2)*2)+age,lifetable,10,1),"error"))</f>
        <v>3.7736298212742714E-4</v>
      </c>
      <c r="F487" s="101">
        <f t="shared" si="126"/>
        <v>140.2565564883742</v>
      </c>
      <c r="G487" s="101">
        <f t="shared" si="127"/>
        <v>14.08906464005719</v>
      </c>
      <c r="H487" s="101">
        <f t="shared" si="128"/>
        <v>0.32241093515800096</v>
      </c>
      <c r="I487" s="101">
        <f t="shared" si="129"/>
        <v>0.32241093515800096</v>
      </c>
      <c r="J487" s="101">
        <f t="shared" si="130"/>
        <v>5.8487655771258328E-2</v>
      </c>
      <c r="K487" s="101">
        <f t="shared" si="131"/>
        <v>2.5273509592292808E-2</v>
      </c>
      <c r="L487" s="101">
        <f t="shared" si="138"/>
        <v>125.43890881263746</v>
      </c>
      <c r="M487" s="101">
        <f t="shared" si="132"/>
        <v>739.39454894588471</v>
      </c>
      <c r="N487" s="101">
        <f t="shared" si="133"/>
        <v>71.205297056042866</v>
      </c>
      <c r="O487" s="101">
        <f t="shared" si="134"/>
        <v>1.6996630599306846</v>
      </c>
      <c r="P487" s="101">
        <f t="shared" si="135"/>
        <v>1.6996630599306846</v>
      </c>
      <c r="Q487" s="101">
        <f t="shared" si="136"/>
        <v>0.30717315504113518</v>
      </c>
      <c r="R487" s="101">
        <f t="shared" si="137"/>
        <v>1.9802531803808459E-2</v>
      </c>
      <c r="S487" s="101">
        <f t="shared" si="139"/>
        <v>664.46295008313552</v>
      </c>
      <c r="T487" s="101">
        <f t="shared" si="140"/>
        <v>94.59887040201572</v>
      </c>
      <c r="U487" s="101">
        <f t="shared" si="141"/>
        <v>26.16076101593476</v>
      </c>
      <c r="V487" s="33">
        <f t="shared" si="142"/>
        <v>1000.0000000000009</v>
      </c>
      <c r="W487" s="105">
        <f>IF(A487=1,((cPH1_+cPHr+(cNES*L487+(cNES+cOSEX)*G487+(cNES+cEREX)*H487+(cNES+cHOEX)*I487 + (cNES+cNES)*S487 +(cNES+ cOSEX)*N487 + (cNES+cEREX)*O487 + (cNES+cHOEX)*P487)))/(1+cDR)^A$5:A$65536,(cPHr+(cNES*L487+(cNES+cOSEX)*G487+(cNES+cEREX)*H487+(cNES+cHOEX)*I487 + (cNES+cNES)*S487 +(cNES+ cOSEX)*N487 + (cNES+cEREX)*O487 + (cNES+cHOEX)*P487))/(1+cDR)^A$5:A$65536)</f>
        <v>99227.753603553661</v>
      </c>
      <c r="X487" s="112">
        <f t="shared" si="143"/>
        <v>879.24036858205045</v>
      </c>
      <c r="Y487" s="32">
        <f>(uNES*L487+ uOCEX*G487+uEREX*'PH + UC'!H487+uHOEX*I487+uNES*S487+ uOCEX*N487+uEREX*O487+uHOEX*P487)/(1+oDR)^A$5:A$65536</f>
        <v>504.01541011823423</v>
      </c>
    </row>
    <row r="488" spans="1:25" x14ac:dyDescent="0.25">
      <c r="A488" s="4">
        <v>482</v>
      </c>
      <c r="C488" s="110">
        <f>IF(male=0,VLOOKUP(((A486:A1320/'Life tables'!$I$2)*2)+age,lifetable,13,1),IF(male=1,VLOOKUP(((A486:A1320/'Life tables'!$I$2)*2)+age,lifetable,10,1),"error"))</f>
        <v>3.7736298212742714E-4</v>
      </c>
      <c r="F488" s="101">
        <f t="shared" si="126"/>
        <v>140.19105545020147</v>
      </c>
      <c r="G488" s="101">
        <f t="shared" si="127"/>
        <v>14.08248492368662</v>
      </c>
      <c r="H488" s="101">
        <f t="shared" si="128"/>
        <v>0.32226036643237538</v>
      </c>
      <c r="I488" s="101">
        <f t="shared" si="129"/>
        <v>0.32226036643237538</v>
      </c>
      <c r="J488" s="101">
        <f t="shared" si="130"/>
        <v>5.8460341524643231E-2</v>
      </c>
      <c r="K488" s="101">
        <f t="shared" si="131"/>
        <v>2.5261706642341585E-2</v>
      </c>
      <c r="L488" s="101">
        <f t="shared" si="138"/>
        <v>125.38032774548311</v>
      </c>
      <c r="M488" s="101">
        <f t="shared" si="132"/>
        <v>739.04931313184898</v>
      </c>
      <c r="N488" s="101">
        <f t="shared" si="133"/>
        <v>71.172050099153807</v>
      </c>
      <c r="O488" s="101">
        <f t="shared" si="134"/>
        <v>1.698869458515962</v>
      </c>
      <c r="P488" s="101">
        <f t="shared" si="135"/>
        <v>1.698869458515962</v>
      </c>
      <c r="Q488" s="101">
        <f t="shared" si="136"/>
        <v>0.30702973070242212</v>
      </c>
      <c r="R488" s="101">
        <f t="shared" si="137"/>
        <v>1.9793285666956352E-2</v>
      </c>
      <c r="S488" s="101">
        <f t="shared" si="139"/>
        <v>664.15270109929384</v>
      </c>
      <c r="T488" s="101">
        <f t="shared" si="140"/>
        <v>94.964360474242781</v>
      </c>
      <c r="U488" s="101">
        <f t="shared" si="141"/>
        <v>26.205816008244057</v>
      </c>
      <c r="V488" s="33">
        <f t="shared" si="142"/>
        <v>1000.0000000000009</v>
      </c>
      <c r="W488" s="105">
        <f>IF(A488=1,((cPH1_+cPHr+(cNES*L488+(cNES+cOSEX)*G488+(cNES+cEREX)*H488+(cNES+cHOEX)*I488 + (cNES+cNES)*S488 +(cNES+ cOSEX)*N488 + (cNES+cEREX)*O488 + (cNES+cHOEX)*P488)))/(1+cDR)^A$5:A$65536,(cPHr+(cNES*L488+(cNES+cOSEX)*G488+(cNES+cEREX)*H488+(cNES+cHOEX)*I488 + (cNES+cNES)*S488 +(cNES+ cOSEX)*N488 + (cNES+cEREX)*O488 + (cNES+cHOEX)*P488))/(1+cDR)^A$5:A$65536)</f>
        <v>99067.43295428381</v>
      </c>
      <c r="X488" s="112">
        <f t="shared" si="143"/>
        <v>878.829823517514</v>
      </c>
      <c r="Y488" s="32">
        <f>(uNES*L488+ uOCEX*G488+uEREX*'PH + UC'!H488+uHOEX*I488+uNES*S488+ uOCEX*N488+uEREX*O488+uHOEX*P488)/(1+oDR)^A$5:A$65536</f>
        <v>503.63518819100506</v>
      </c>
    </row>
    <row r="489" spans="1:25" x14ac:dyDescent="0.25">
      <c r="A489" s="4">
        <v>483</v>
      </c>
      <c r="C489" s="110">
        <f>IF(male=0,VLOOKUP(((A487:A1321/'Life tables'!$I$2)*2)+age,lifetable,13,1),IF(male=1,VLOOKUP(((A487:A1321/'Life tables'!$I$2)*2)+age,lifetable,10,1),"error"))</f>
        <v>3.7736298212742714E-4</v>
      </c>
      <c r="F489" s="101">
        <f t="shared" si="126"/>
        <v>140.12558548495136</v>
      </c>
      <c r="G489" s="101">
        <f t="shared" si="127"/>
        <v>14.075908328656157</v>
      </c>
      <c r="H489" s="101">
        <f t="shared" si="128"/>
        <v>0.3221098691347834</v>
      </c>
      <c r="I489" s="101">
        <f t="shared" si="129"/>
        <v>0.3221098691347834</v>
      </c>
      <c r="J489" s="101">
        <f t="shared" si="130"/>
        <v>5.8433040235585695E-2</v>
      </c>
      <c r="K489" s="101">
        <f t="shared" si="131"/>
        <v>2.5249909291571084E-2</v>
      </c>
      <c r="L489" s="101">
        <f t="shared" si="138"/>
        <v>125.32177446849848</v>
      </c>
      <c r="M489" s="101">
        <f t="shared" si="132"/>
        <v>738.70423803256278</v>
      </c>
      <c r="N489" s="101">
        <f t="shared" si="133"/>
        <v>71.138818619443356</v>
      </c>
      <c r="O489" s="101">
        <f t="shared" si="134"/>
        <v>1.6980762265398881</v>
      </c>
      <c r="P489" s="101">
        <f t="shared" si="135"/>
        <v>1.6980762265398881</v>
      </c>
      <c r="Q489" s="101">
        <f t="shared" si="136"/>
        <v>0.30688637313084555</v>
      </c>
      <c r="R489" s="101">
        <f t="shared" si="137"/>
        <v>1.9784043834381228E-2</v>
      </c>
      <c r="S489" s="101">
        <f t="shared" si="139"/>
        <v>663.84259654307448</v>
      </c>
      <c r="T489" s="101">
        <f t="shared" si="140"/>
        <v>95.329679887609217</v>
      </c>
      <c r="U489" s="101">
        <f t="shared" si="141"/>
        <v>26.250849961370008</v>
      </c>
      <c r="V489" s="33">
        <f t="shared" si="142"/>
        <v>1000.000000000001</v>
      </c>
      <c r="W489" s="105">
        <f>IF(A489=1,((cPH1_+cPHr+(cNES*L489+(cNES+cOSEX)*G489+(cNES+cEREX)*H489+(cNES+cHOEX)*I489 + (cNES+cNES)*S489 +(cNES+ cOSEX)*N489 + (cNES+cEREX)*O489 + (cNES+cHOEX)*P489)))/(1+cDR)^A$5:A$65536,(cPHr+(cNES*L489+(cNES+cOSEX)*G489+(cNES+cEREX)*H489+(cNES+cHOEX)*I489 + (cNES+cNES)*S489 +(cNES+ cOSEX)*N489 + (cNES+cEREX)*O489 + (cNES+cHOEX)*P489))/(1+cDR)^A$5:A$65536)</f>
        <v>98907.371312872172</v>
      </c>
      <c r="X489" s="112">
        <f t="shared" si="143"/>
        <v>878.41947015102176</v>
      </c>
      <c r="Y489" s="32">
        <f>(uNES*L489+ uOCEX*G489+uEREX*'PH + UC'!H489+uHOEX*I489+uNES*S489+ uOCEX*N489+uEREX*O489+uHOEX*P489)/(1+oDR)^A$5:A$65536</f>
        <v>503.25525309844039</v>
      </c>
    </row>
    <row r="490" spans="1:25" x14ac:dyDescent="0.25">
      <c r="A490" s="4">
        <v>484</v>
      </c>
      <c r="C490" s="110">
        <f>IF(male=0,VLOOKUP(((A488:A1322/'Life tables'!$I$2)*2)+age,lifetable,13,1),IF(male=1,VLOOKUP(((A488:A1322/'Life tables'!$I$2)*2)+age,lifetable,10,1),"error"))</f>
        <v>3.7736298212742714E-4</v>
      </c>
      <c r="F490" s="101">
        <f t="shared" si="126"/>
        <v>140.06014655609383</v>
      </c>
      <c r="G490" s="101">
        <f t="shared" si="127"/>
        <v>14.069334851296285</v>
      </c>
      <c r="H490" s="101">
        <f t="shared" si="128"/>
        <v>0.32195944318125275</v>
      </c>
      <c r="I490" s="101">
        <f t="shared" si="129"/>
        <v>0.32195944318125275</v>
      </c>
      <c r="J490" s="101">
        <f t="shared" si="130"/>
        <v>5.840575188885249E-2</v>
      </c>
      <c r="K490" s="101">
        <f t="shared" si="131"/>
        <v>2.5238117533398784E-2</v>
      </c>
      <c r="L490" s="101">
        <f t="shared" si="138"/>
        <v>125.26324894901279</v>
      </c>
      <c r="M490" s="101">
        <f t="shared" si="132"/>
        <v>738.35932359492801</v>
      </c>
      <c r="N490" s="101">
        <f t="shared" si="133"/>
        <v>71.105602611798034</v>
      </c>
      <c r="O490" s="101">
        <f t="shared" si="134"/>
        <v>1.6972833638804048</v>
      </c>
      <c r="P490" s="101">
        <f t="shared" si="135"/>
        <v>1.6972833638804048</v>
      </c>
      <c r="Q490" s="101">
        <f t="shared" si="136"/>
        <v>0.30674308230434627</v>
      </c>
      <c r="R490" s="101">
        <f t="shared" si="137"/>
        <v>1.9774806304661007E-2</v>
      </c>
      <c r="S490" s="101">
        <f t="shared" si="139"/>
        <v>663.53263636676013</v>
      </c>
      <c r="T490" s="101">
        <f t="shared" si="140"/>
        <v>95.694828721802409</v>
      </c>
      <c r="U490" s="101">
        <f t="shared" si="141"/>
        <v>26.295862885208066</v>
      </c>
      <c r="V490" s="33">
        <f t="shared" si="142"/>
        <v>1000.000000000001</v>
      </c>
      <c r="W490" s="105">
        <f>IF(A490=1,((cPH1_+cPHr+(cNES*L490+(cNES+cOSEX)*G490+(cNES+cEREX)*H490+(cNES+cHOEX)*I490 + (cNES+cNES)*S490 +(cNES+ cOSEX)*N490 + (cNES+cEREX)*O490 + (cNES+cHOEX)*P490)))/(1+cDR)^A$5:A$65536,(cPHr+(cNES*L490+(cNES+cOSEX)*G490+(cNES+cEREX)*H490+(cNES+cHOEX)*I490 + (cNES+cNES)*S490 +(cNES+ cOSEX)*N490 + (cNES+cEREX)*O490 + (cNES+cHOEX)*P490))/(1+cDR)^A$5:A$65536)</f>
        <v>98747.568261920736</v>
      </c>
      <c r="X490" s="112">
        <f t="shared" si="143"/>
        <v>878.00930839299053</v>
      </c>
      <c r="Y490" s="32">
        <f>(uNES*L490+ uOCEX*G490+uEREX*'PH + UC'!H490+uHOEX*I490+uNES*S490+ uOCEX*N490+uEREX*O490+uHOEX*P490)/(1+oDR)^A$5:A$65536</f>
        <v>502.87560462412142</v>
      </c>
    </row>
    <row r="491" spans="1:25" x14ac:dyDescent="0.25">
      <c r="A491" s="4">
        <v>485</v>
      </c>
      <c r="C491" s="110">
        <f>IF(male=0,VLOOKUP(((A489:A1323/'Life tables'!$I$2)*2)+age,lifetable,13,1),IF(male=1,VLOOKUP(((A489:A1323/'Life tables'!$I$2)*2)+age,lifetable,10,1),"error"))</f>
        <v>3.7736298212742714E-4</v>
      </c>
      <c r="F491" s="101">
        <f t="shared" si="126"/>
        <v>139.99473862810871</v>
      </c>
      <c r="G491" s="101">
        <f t="shared" si="127"/>
        <v>14.062764488038928</v>
      </c>
      <c r="H491" s="101">
        <f t="shared" si="128"/>
        <v>0.32180908849013229</v>
      </c>
      <c r="I491" s="101">
        <f t="shared" si="129"/>
        <v>0.32180908849013229</v>
      </c>
      <c r="J491" s="101">
        <f t="shared" si="130"/>
        <v>5.8378476469631554E-2</v>
      </c>
      <c r="K491" s="101">
        <f t="shared" si="131"/>
        <v>2.5226331361424138E-2</v>
      </c>
      <c r="L491" s="101">
        <f t="shared" si="138"/>
        <v>125.20475115525846</v>
      </c>
      <c r="M491" s="101">
        <f t="shared" si="132"/>
        <v>738.0145697648818</v>
      </c>
      <c r="N491" s="101">
        <f t="shared" si="133"/>
        <v>71.072402071011453</v>
      </c>
      <c r="O491" s="101">
        <f t="shared" si="134"/>
        <v>1.6964908704132369</v>
      </c>
      <c r="P491" s="101">
        <f t="shared" si="135"/>
        <v>1.6964908704132369</v>
      </c>
      <c r="Q491" s="101">
        <f t="shared" si="136"/>
        <v>0.30659985820046443</v>
      </c>
      <c r="R491" s="101">
        <f t="shared" si="137"/>
        <v>1.9765573076347777E-2</v>
      </c>
      <c r="S491" s="101">
        <f t="shared" si="139"/>
        <v>663.22282052176706</v>
      </c>
      <c r="T491" s="101">
        <f t="shared" si="140"/>
        <v>96.059807056472508</v>
      </c>
      <c r="U491" s="101">
        <f t="shared" si="141"/>
        <v>26.340854789645839</v>
      </c>
      <c r="V491" s="33">
        <f t="shared" si="142"/>
        <v>1000.000000000001</v>
      </c>
      <c r="W491" s="105">
        <f>IF(A491=1,((cPH1_+cPHr+(cNES*L491+(cNES+cOSEX)*G491+(cNES+cEREX)*H491+(cNES+cHOEX)*I491 + (cNES+cNES)*S491 +(cNES+ cOSEX)*N491 + (cNES+cEREX)*O491 + (cNES+cHOEX)*P491)))/(1+cDR)^A$5:A$65536,(cPHr+(cNES*L491+(cNES+cOSEX)*G491+(cNES+cEREX)*H491+(cNES+cHOEX)*I491 + (cNES+cNES)*S491 +(cNES+ cOSEX)*N491 + (cNES+cEREX)*O491 + (cNES+cHOEX)*P491))/(1+cDR)^A$5:A$65536)</f>
        <v>98588.023384655506</v>
      </c>
      <c r="X491" s="112">
        <f t="shared" si="143"/>
        <v>877.59933815388263</v>
      </c>
      <c r="Y491" s="32">
        <f>(uNES*L491+ uOCEX*G491+uEREX*'PH + UC'!H491+uHOEX*I491+uNES*S491+ uOCEX*N491+uEREX*O491+uHOEX*P491)/(1+oDR)^A$5:A$65536</f>
        <v>502.49624255179475</v>
      </c>
    </row>
    <row r="492" spans="1:25" x14ac:dyDescent="0.25">
      <c r="A492" s="4">
        <v>486</v>
      </c>
      <c r="C492" s="110">
        <f>IF(male=0,VLOOKUP(((A490:A1324/'Life tables'!$I$2)*2)+age,lifetable,13,1),IF(male=1,VLOOKUP(((A490:A1324/'Life tables'!$I$2)*2)+age,lifetable,10,1),"error"))</f>
        <v>3.7736298212742714E-4</v>
      </c>
      <c r="F492" s="101">
        <f t="shared" si="126"/>
        <v>139.92936166644057</v>
      </c>
      <c r="G492" s="101">
        <f t="shared" si="127"/>
        <v>14.056197235412922</v>
      </c>
      <c r="H492" s="101">
        <f t="shared" si="128"/>
        <v>0.32165880498198868</v>
      </c>
      <c r="I492" s="101">
        <f t="shared" si="129"/>
        <v>0.32165880498198868</v>
      </c>
      <c r="J492" s="101">
        <f t="shared" si="130"/>
        <v>5.8351213963513116E-2</v>
      </c>
      <c r="K492" s="101">
        <f t="shared" si="131"/>
        <v>2.5214550769420429E-2</v>
      </c>
      <c r="L492" s="101">
        <f t="shared" si="138"/>
        <v>125.14628105633074</v>
      </c>
      <c r="M492" s="101">
        <f t="shared" si="132"/>
        <v>737.669976487442</v>
      </c>
      <c r="N492" s="101">
        <f t="shared" si="133"/>
        <v>71.039216991788734</v>
      </c>
      <c r="O492" s="101">
        <f t="shared" si="134"/>
        <v>1.6956987460119957</v>
      </c>
      <c r="P492" s="101">
        <f t="shared" si="135"/>
        <v>1.6956987460119957</v>
      </c>
      <c r="Q492" s="101">
        <f t="shared" si="136"/>
        <v>0.30645670079635862</v>
      </c>
      <c r="R492" s="101">
        <f t="shared" si="137"/>
        <v>1.9756344147969004E-2</v>
      </c>
      <c r="S492" s="101">
        <f t="shared" si="139"/>
        <v>662.91314895868493</v>
      </c>
      <c r="T492" s="101">
        <f t="shared" si="140"/>
        <v>96.424614971232373</v>
      </c>
      <c r="U492" s="101">
        <f t="shared" si="141"/>
        <v>26.38582568456323</v>
      </c>
      <c r="V492" s="33">
        <f t="shared" si="142"/>
        <v>1000.0000000000008</v>
      </c>
      <c r="W492" s="105">
        <f>IF(A492=1,((cPH1_+cPHr+(cNES*L492+(cNES+cOSEX)*G492+(cNES+cEREX)*H492+(cNES+cHOEX)*I492 + (cNES+cNES)*S492 +(cNES+ cOSEX)*N492 + (cNES+cEREX)*O492 + (cNES+cHOEX)*P492)))/(1+cDR)^A$5:A$65536,(cPHr+(cNES*L492+(cNES+cOSEX)*G492+(cNES+cEREX)*H492+(cNES+cHOEX)*I492 + (cNES+cNES)*S492 +(cNES+ cOSEX)*N492 + (cNES+cEREX)*O492 + (cNES+cHOEX)*P492))/(1+cDR)^A$5:A$65536)</f>
        <v>98428.736264928171</v>
      </c>
      <c r="X492" s="112">
        <f t="shared" si="143"/>
        <v>877.18955934420524</v>
      </c>
      <c r="Y492" s="32">
        <f>(uNES*L492+ uOCEX*G492+uEREX*'PH + UC'!H492+uHOEX*I492+uNES*S492+ uOCEX*N492+uEREX*O492+uHOEX*P492)/(1+oDR)^A$5:A$65536</f>
        <v>502.11716666537154</v>
      </c>
    </row>
    <row r="493" spans="1:25" x14ac:dyDescent="0.25">
      <c r="A493" s="4">
        <v>487</v>
      </c>
      <c r="C493" s="110">
        <f>IF(male=0,VLOOKUP(((A491:A1325/'Life tables'!$I$2)*2)+age,lifetable,13,1),IF(male=1,VLOOKUP(((A491:A1325/'Life tables'!$I$2)*2)+age,lifetable,10,1),"error"))</f>
        <v>3.7736298212742714E-4</v>
      </c>
      <c r="F493" s="101">
        <f t="shared" si="126"/>
        <v>139.86401563745531</v>
      </c>
      <c r="G493" s="101">
        <f t="shared" si="127"/>
        <v>14.049633090039649</v>
      </c>
      <c r="H493" s="101">
        <f t="shared" si="128"/>
        <v>0.32150859257950648</v>
      </c>
      <c r="I493" s="101">
        <f t="shared" si="129"/>
        <v>0.32150859257950648</v>
      </c>
      <c r="J493" s="101">
        <f t="shared" si="130"/>
        <v>5.8323964356471567E-2</v>
      </c>
      <c r="K493" s="101">
        <f t="shared" si="131"/>
        <v>2.5202775751326966E-2</v>
      </c>
      <c r="L493" s="101">
        <f t="shared" si="138"/>
        <v>125.08783862214885</v>
      </c>
      <c r="M493" s="101">
        <f t="shared" si="132"/>
        <v>737.32554370674995</v>
      </c>
      <c r="N493" s="101">
        <f t="shared" si="133"/>
        <v>71.006047368750558</v>
      </c>
      <c r="O493" s="101">
        <f t="shared" si="134"/>
        <v>1.6949069905482772</v>
      </c>
      <c r="P493" s="101">
        <f t="shared" si="135"/>
        <v>1.6949069905482772</v>
      </c>
      <c r="Q493" s="101">
        <f t="shared" si="136"/>
        <v>0.30631361006882263</v>
      </c>
      <c r="R493" s="101">
        <f t="shared" si="137"/>
        <v>1.9747119518028662E-2</v>
      </c>
      <c r="S493" s="101">
        <f t="shared" si="139"/>
        <v>662.60362162731599</v>
      </c>
      <c r="T493" s="101">
        <f t="shared" si="140"/>
        <v>96.789252545657661</v>
      </c>
      <c r="U493" s="101">
        <f t="shared" si="141"/>
        <v>26.430775579832584</v>
      </c>
      <c r="V493" s="33">
        <f t="shared" si="142"/>
        <v>1000.0000000000008</v>
      </c>
      <c r="W493" s="105">
        <f>IF(A493=1,((cPH1_+cPHr+(cNES*L493+(cNES+cOSEX)*G493+(cNES+cEREX)*H493+(cNES+cHOEX)*I493 + (cNES+cNES)*S493 +(cNES+ cOSEX)*N493 + (cNES+cEREX)*O493 + (cNES+cHOEX)*P493)))/(1+cDR)^A$5:A$65536,(cPHr+(cNES*L493+(cNES+cOSEX)*G493+(cNES+cEREX)*H493+(cNES+cHOEX)*I493 + (cNES+cNES)*S493 +(cNES+ cOSEX)*N493 + (cNES+cEREX)*O493 + (cNES+cHOEX)*P493))/(1+cDR)^A$5:A$65536)</f>
        <v>98269.706487217103</v>
      </c>
      <c r="X493" s="112">
        <f t="shared" si="143"/>
        <v>876.77997187451058</v>
      </c>
      <c r="Y493" s="32">
        <f>(uNES*L493+ uOCEX*G493+uEREX*'PH + UC'!H493+uHOEX*I493+uNES*S493+ uOCEX*N493+uEREX*O493+uHOEX*P493)/(1+oDR)^A$5:A$65536</f>
        <v>501.73837674892724</v>
      </c>
    </row>
    <row r="494" spans="1:25" x14ac:dyDescent="0.25">
      <c r="A494" s="4">
        <v>488</v>
      </c>
      <c r="C494" s="110">
        <f>IF(male=0,VLOOKUP(((A492:A1326/'Life tables'!$I$2)*2)+age,lifetable,13,1),IF(male=1,VLOOKUP(((A492:A1326/'Life tables'!$I$2)*2)+age,lifetable,10,1),"error"))</f>
        <v>3.7736298212742714E-4</v>
      </c>
      <c r="F494" s="101">
        <f t="shared" si="126"/>
        <v>139.79870050839921</v>
      </c>
      <c r="G494" s="101">
        <f t="shared" si="127"/>
        <v>14.043072048628929</v>
      </c>
      <c r="H494" s="101">
        <f t="shared" si="128"/>
        <v>0.32135845120739392</v>
      </c>
      <c r="I494" s="101">
        <f t="shared" si="129"/>
        <v>0.32135845120739392</v>
      </c>
      <c r="J494" s="101">
        <f t="shared" si="130"/>
        <v>5.8296727634848472E-2</v>
      </c>
      <c r="K494" s="101">
        <f t="shared" si="131"/>
        <v>2.51910063012417E-2</v>
      </c>
      <c r="L494" s="101">
        <f t="shared" si="138"/>
        <v>125.02942382341941</v>
      </c>
      <c r="M494" s="101">
        <f t="shared" si="132"/>
        <v>736.9812713661114</v>
      </c>
      <c r="N494" s="101">
        <f t="shared" si="133"/>
        <v>70.972893196437155</v>
      </c>
      <c r="O494" s="101">
        <f t="shared" si="134"/>
        <v>1.6941156038917575</v>
      </c>
      <c r="P494" s="101">
        <f t="shared" si="135"/>
        <v>1.6941156038917575</v>
      </c>
      <c r="Q494" s="101">
        <f t="shared" si="136"/>
        <v>0.30617058599430369</v>
      </c>
      <c r="R494" s="101">
        <f t="shared" si="137"/>
        <v>1.9737899185008376E-2</v>
      </c>
      <c r="S494" s="101">
        <f t="shared" si="139"/>
        <v>662.29423847671137</v>
      </c>
      <c r="T494" s="101">
        <f t="shared" si="140"/>
        <v>97.153719859286809</v>
      </c>
      <c r="U494" s="101">
        <f t="shared" si="141"/>
        <v>26.475704485318836</v>
      </c>
      <c r="V494" s="33">
        <f t="shared" si="142"/>
        <v>1000.0000000000009</v>
      </c>
      <c r="W494" s="105">
        <f>IF(A494=1,((cPH1_+cPHr+(cNES*L494+(cNES+cOSEX)*G494+(cNES+cEREX)*H494+(cNES+cHOEX)*I494 + (cNES+cNES)*S494 +(cNES+ cOSEX)*N494 + (cNES+cEREX)*O494 + (cNES+cHOEX)*P494)))/(1+cDR)^A$5:A$65536,(cPHr+(cNES*L494+(cNES+cOSEX)*G494+(cNES+cEREX)*H494+(cNES+cHOEX)*I494 + (cNES+cNES)*S494 +(cNES+ cOSEX)*N494 + (cNES+cEREX)*O494 + (cNES+cHOEX)*P494))/(1+cDR)^A$5:A$65536)</f>
        <v>98110.933636628528</v>
      </c>
      <c r="X494" s="112">
        <f t="shared" si="143"/>
        <v>876.37057565539521</v>
      </c>
      <c r="Y494" s="32">
        <f>(uNES*L494+ uOCEX*G494+uEREX*'PH + UC'!H494+uHOEX*I494+uNES*S494+ uOCEX*N494+uEREX*O494+uHOEX*P494)/(1+oDR)^A$5:A$65536</f>
        <v>501.35987258670127</v>
      </c>
    </row>
    <row r="495" spans="1:25" x14ac:dyDescent="0.25">
      <c r="A495" s="4">
        <v>489</v>
      </c>
      <c r="C495" s="110">
        <f>IF(male=0,VLOOKUP(((A493:A1327/'Life tables'!$I$2)*2)+age,lifetable,13,1),IF(male=1,VLOOKUP(((A493:A1327/'Life tables'!$I$2)*2)+age,lifetable,10,1),"error"))</f>
        <v>3.7736298212742714E-4</v>
      </c>
      <c r="F495" s="101">
        <f t="shared" si="126"/>
        <v>139.73341624735932</v>
      </c>
      <c r="G495" s="101">
        <f t="shared" si="127"/>
        <v>14.036514107975043</v>
      </c>
      <c r="H495" s="101">
        <f t="shared" si="128"/>
        <v>0.32120838079229208</v>
      </c>
      <c r="I495" s="101">
        <f t="shared" si="129"/>
        <v>0.32120838079229208</v>
      </c>
      <c r="J495" s="101">
        <f t="shared" si="130"/>
        <v>5.8269503785335956E-2</v>
      </c>
      <c r="K495" s="101">
        <f t="shared" si="131"/>
        <v>2.5179242413414078E-2</v>
      </c>
      <c r="L495" s="101">
        <f t="shared" si="138"/>
        <v>124.97103663160094</v>
      </c>
      <c r="M495" s="101">
        <f t="shared" si="132"/>
        <v>736.63715940803581</v>
      </c>
      <c r="N495" s="101">
        <f t="shared" si="133"/>
        <v>70.939754469312049</v>
      </c>
      <c r="O495" s="101">
        <f t="shared" si="134"/>
        <v>1.6933245859102815</v>
      </c>
      <c r="P495" s="101">
        <f t="shared" si="135"/>
        <v>1.6933245859102815</v>
      </c>
      <c r="Q495" s="101">
        <f t="shared" si="136"/>
        <v>0.30602762854891802</v>
      </c>
      <c r="R495" s="101">
        <f t="shared" si="137"/>
        <v>1.972868314736842E-2</v>
      </c>
      <c r="S495" s="101">
        <f t="shared" si="139"/>
        <v>661.98499945520689</v>
      </c>
      <c r="T495" s="101">
        <f t="shared" si="140"/>
        <v>97.518016991621067</v>
      </c>
      <c r="U495" s="101">
        <f t="shared" si="141"/>
        <v>26.520612410879618</v>
      </c>
      <c r="V495" s="33">
        <f t="shared" si="142"/>
        <v>1000.0000000000007</v>
      </c>
      <c r="W495" s="105">
        <f>IF(A495=1,((cPH1_+cPHr+(cNES*L495+(cNES+cOSEX)*G495+(cNES+cEREX)*H495+(cNES+cHOEX)*I495 + (cNES+cNES)*S495 +(cNES+ cOSEX)*N495 + (cNES+cEREX)*O495 + (cNES+cHOEX)*P495)))/(1+cDR)^A$5:A$65536,(cPHr+(cNES*L495+(cNES+cOSEX)*G495+(cNES+cEREX)*H495+(cNES+cHOEX)*I495 + (cNES+cNES)*S495 +(cNES+ cOSEX)*N495 + (cNES+cEREX)*O495 + (cNES+cHOEX)*P495))/(1+cDR)^A$5:A$65536)</f>
        <v>97952.417298897373</v>
      </c>
      <c r="X495" s="112">
        <f t="shared" si="143"/>
        <v>875.96137059750004</v>
      </c>
      <c r="Y495" s="32">
        <f>(uNES*L495+ uOCEX*G495+uEREX*'PH + UC'!H495+uHOEX*I495+uNES*S495+ uOCEX*N495+uEREX*O495+uHOEX*P495)/(1+oDR)^A$5:A$65536</f>
        <v>500.9816539630981</v>
      </c>
    </row>
    <row r="496" spans="1:25" x14ac:dyDescent="0.25">
      <c r="A496" s="4">
        <v>490</v>
      </c>
      <c r="C496" s="110">
        <f>IF(male=0,VLOOKUP(((A494:A1328/'Life tables'!$I$2)*2)+age,lifetable,13,1),IF(male=1,VLOOKUP(((A494:A1328/'Life tables'!$I$2)*2)+age,lifetable,10,1),"error"))</f>
        <v>3.7736298212742714E-4</v>
      </c>
      <c r="F496" s="101">
        <f t="shared" si="126"/>
        <v>139.66816282322586</v>
      </c>
      <c r="G496" s="101">
        <f t="shared" si="127"/>
        <v>14.029959264952943</v>
      </c>
      <c r="H496" s="101">
        <f t="shared" si="128"/>
        <v>0.3210583812626881</v>
      </c>
      <c r="I496" s="101">
        <f t="shared" si="129"/>
        <v>0.3210583812626881</v>
      </c>
      <c r="J496" s="101">
        <f t="shared" si="130"/>
        <v>5.8242292794961105E-2</v>
      </c>
      <c r="K496" s="101">
        <f t="shared" si="131"/>
        <v>2.5167484082238283E-2</v>
      </c>
      <c r="L496" s="101">
        <f t="shared" si="138"/>
        <v>124.91267701887034</v>
      </c>
      <c r="M496" s="101">
        <f t="shared" si="132"/>
        <v>736.29320777427426</v>
      </c>
      <c r="N496" s="101">
        <f t="shared" si="133"/>
        <v>70.906631181765746</v>
      </c>
      <c r="O496" s="101">
        <f t="shared" si="134"/>
        <v>1.6925339364699512</v>
      </c>
      <c r="P496" s="101">
        <f t="shared" si="135"/>
        <v>1.6925339364699512</v>
      </c>
      <c r="Q496" s="101">
        <f t="shared" si="136"/>
        <v>0.30588473770846653</v>
      </c>
      <c r="R496" s="101">
        <f t="shared" si="137"/>
        <v>1.971947140354877E-2</v>
      </c>
      <c r="S496" s="101">
        <f t="shared" si="139"/>
        <v>661.67590451045658</v>
      </c>
      <c r="T496" s="101">
        <f t="shared" si="140"/>
        <v>97.882144022124493</v>
      </c>
      <c r="U496" s="101">
        <f t="shared" si="141"/>
        <v>26.565499366365405</v>
      </c>
      <c r="V496" s="33">
        <f t="shared" si="142"/>
        <v>1000.0000000000008</v>
      </c>
      <c r="W496" s="105">
        <f>IF(A496=1,((cPH1_+cPHr+(cNES*L496+(cNES+cOSEX)*G496+(cNES+cEREX)*H496+(cNES+cHOEX)*I496 + (cNES+cNES)*S496 +(cNES+ cOSEX)*N496 + (cNES+cEREX)*O496 + (cNES+cHOEX)*P496)))/(1+cDR)^A$5:A$65536,(cPHr+(cNES*L496+(cNES+cOSEX)*G496+(cNES+cEREX)*H496+(cNES+cHOEX)*I496 + (cNES+cNES)*S496 +(cNES+ cOSEX)*N496 + (cNES+cEREX)*O496 + (cNES+cHOEX)*P496))/(1+cDR)^A$5:A$65536)</f>
        <v>97794.157060388447</v>
      </c>
      <c r="X496" s="112">
        <f t="shared" si="143"/>
        <v>875.55235661151096</v>
      </c>
      <c r="Y496" s="32">
        <f>(uNES*L496+ uOCEX*G496+uEREX*'PH + UC'!H496+uHOEX*I496+uNES*S496+ uOCEX*N496+uEREX*O496+uHOEX*P496)/(1+oDR)^A$5:A$65536</f>
        <v>500.60372066268485</v>
      </c>
    </row>
    <row r="497" spans="1:25" x14ac:dyDescent="0.25">
      <c r="A497" s="4">
        <v>491</v>
      </c>
      <c r="C497" s="110">
        <f>IF(male=0,VLOOKUP(((A495:A1329/'Life tables'!$I$2)*2)+age,lifetable,13,1),IF(male=1,VLOOKUP(((A495:A1329/'Life tables'!$I$2)*2)+age,lifetable,10,1),"error"))</f>
        <v>3.7736298212742714E-4</v>
      </c>
      <c r="F497" s="101">
        <f t="shared" si="126"/>
        <v>139.60294020565647</v>
      </c>
      <c r="G497" s="101">
        <f t="shared" si="127"/>
        <v>14.023407516514681</v>
      </c>
      <c r="H497" s="101">
        <f t="shared" si="128"/>
        <v>0.32090845254883332</v>
      </c>
      <c r="I497" s="101">
        <f t="shared" si="129"/>
        <v>0.32090845254883332</v>
      </c>
      <c r="J497" s="101">
        <f t="shared" si="130"/>
        <v>5.8215094651071025E-2</v>
      </c>
      <c r="K497" s="101">
        <f t="shared" si="131"/>
        <v>2.5155731302246777E-2</v>
      </c>
      <c r="L497" s="101">
        <f t="shared" si="138"/>
        <v>124.85434495809081</v>
      </c>
      <c r="M497" s="101">
        <f t="shared" si="132"/>
        <v>735.94941640585455</v>
      </c>
      <c r="N497" s="101">
        <f t="shared" si="133"/>
        <v>70.873523328119092</v>
      </c>
      <c r="O497" s="101">
        <f t="shared" si="134"/>
        <v>1.6917436554352059</v>
      </c>
      <c r="P497" s="101">
        <f t="shared" si="135"/>
        <v>1.6917436554352059</v>
      </c>
      <c r="Q497" s="101">
        <f t="shared" si="136"/>
        <v>0.30574191344845009</v>
      </c>
      <c r="R497" s="101">
        <f t="shared" si="137"/>
        <v>1.9710263951970029E-2</v>
      </c>
      <c r="S497" s="101">
        <f t="shared" si="139"/>
        <v>661.36695358946463</v>
      </c>
      <c r="T497" s="101">
        <f t="shared" si="140"/>
        <v>98.246101030224011</v>
      </c>
      <c r="U497" s="101">
        <f t="shared" si="141"/>
        <v>26.610365361619621</v>
      </c>
      <c r="V497" s="33">
        <f t="shared" si="142"/>
        <v>1000.0000000000009</v>
      </c>
      <c r="W497" s="105">
        <f>IF(A497=1,((cPH1_+cPHr+(cNES*L497+(cNES+cOSEX)*G497+(cNES+cEREX)*H497+(cNES+cHOEX)*I497 + (cNES+cNES)*S497 +(cNES+ cOSEX)*N497 + (cNES+cEREX)*O497 + (cNES+cHOEX)*P497)))/(1+cDR)^A$5:A$65536,(cPHr+(cNES*L497+(cNES+cOSEX)*G497+(cNES+cEREX)*H497+(cNES+cHOEX)*I497 + (cNES+cNES)*S497 +(cNES+ cOSEX)*N497 + (cNES+cEREX)*O497 + (cNES+cHOEX)*P497))/(1+cDR)^A$5:A$65536)</f>
        <v>97636.152508097002</v>
      </c>
      <c r="X497" s="112">
        <f t="shared" si="143"/>
        <v>875.14353360815721</v>
      </c>
      <c r="Y497" s="32">
        <f>(uNES*L497+ uOCEX*G497+uEREX*'PH + UC'!H497+uHOEX*I497+uNES*S497+ uOCEX*N497+uEREX*O497+uHOEX*P497)/(1+oDR)^A$5:A$65536</f>
        <v>500.22607247019295</v>
      </c>
    </row>
    <row r="498" spans="1:25" x14ac:dyDescent="0.25">
      <c r="A498" s="4">
        <v>492</v>
      </c>
      <c r="C498" s="110">
        <f>IF(male=0,VLOOKUP(((A496:A1330/'Life tables'!$I$2)*2)+age,lifetable,13,1),IF(male=1,VLOOKUP(((A496:A1330/'Life tables'!$I$2)*2)+age,lifetable,10,1),"error"))</f>
        <v>3.7736298212742714E-4</v>
      </c>
      <c r="F498" s="101">
        <f t="shared" si="126"/>
        <v>139.53774836504161</v>
      </c>
      <c r="G498" s="101">
        <f t="shared" si="127"/>
        <v>14.016858859685913</v>
      </c>
      <c r="H498" s="101">
        <f t="shared" si="128"/>
        <v>0.32075859458266365</v>
      </c>
      <c r="I498" s="101">
        <f t="shared" si="129"/>
        <v>0.32075859458266365</v>
      </c>
      <c r="J498" s="101">
        <f t="shared" si="130"/>
        <v>5.8187909341318372E-2</v>
      </c>
      <c r="K498" s="101">
        <f t="shared" si="131"/>
        <v>2.5143984068104069E-2</v>
      </c>
      <c r="L498" s="101">
        <f t="shared" si="138"/>
        <v>124.79604042278095</v>
      </c>
      <c r="M498" s="101">
        <f t="shared" si="132"/>
        <v>735.60578524311552</v>
      </c>
      <c r="N498" s="101">
        <f t="shared" si="133"/>
        <v>70.840430902626608</v>
      </c>
      <c r="O498" s="101">
        <f t="shared" si="134"/>
        <v>1.6909537426689012</v>
      </c>
      <c r="P498" s="101">
        <f t="shared" si="135"/>
        <v>1.6909537426689012</v>
      </c>
      <c r="Q498" s="101">
        <f t="shared" si="136"/>
        <v>0.30559915574408303</v>
      </c>
      <c r="R498" s="101">
        <f t="shared" si="137"/>
        <v>1.9701060791034342E-2</v>
      </c>
      <c r="S498" s="101">
        <f t="shared" si="139"/>
        <v>661.05814663861599</v>
      </c>
      <c r="T498" s="101">
        <f t="shared" si="140"/>
        <v>98.609888095309415</v>
      </c>
      <c r="U498" s="101">
        <f t="shared" si="141"/>
        <v>26.655210406478759</v>
      </c>
      <c r="V498" s="33">
        <f t="shared" si="142"/>
        <v>1000.0000000000008</v>
      </c>
      <c r="W498" s="105">
        <f>IF(A498=1,((cPH1_+cPHr+(cNES*L498+(cNES+cOSEX)*G498+(cNES+cEREX)*H498+(cNES+cHOEX)*I498 + (cNES+cNES)*S498 +(cNES+ cOSEX)*N498 + (cNES+cEREX)*O498 + (cNES+cHOEX)*P498)))/(1+cDR)^A$5:A$65536,(cPHr+(cNES*L498+(cNES+cOSEX)*G498+(cNES+cEREX)*H498+(cNES+cHOEX)*I498 + (cNES+cNES)*S498 +(cNES+ cOSEX)*N498 + (cNES+cEREX)*O498 + (cNES+cHOEX)*P498))/(1+cDR)^A$5:A$65536)</f>
        <v>97478.403229649586</v>
      </c>
      <c r="X498" s="112">
        <f t="shared" si="143"/>
        <v>874.73490149821259</v>
      </c>
      <c r="Y498" s="32">
        <f>(uNES*L498+ uOCEX*G498+uEREX*'PH + UC'!H498+uHOEX*I498+uNES*S498+ uOCEX*N498+uEREX*O498+uHOEX*P498)/(1+oDR)^A$5:A$65536</f>
        <v>499.84870917051762</v>
      </c>
    </row>
    <row r="499" spans="1:25" x14ac:dyDescent="0.25">
      <c r="A499" s="4">
        <v>493</v>
      </c>
      <c r="C499" s="110">
        <f>IF(male=0,VLOOKUP(((A497:A1331/'Life tables'!$I$2)*2)+age,lifetable,13,1),IF(male=1,VLOOKUP(((A497:A1331/'Life tables'!$I$2)*2)+age,lifetable,10,1),"error"))</f>
        <v>3.7736298212742714E-4</v>
      </c>
      <c r="F499" s="101">
        <f t="shared" si="126"/>
        <v>139.47258727247225</v>
      </c>
      <c r="G499" s="101">
        <f t="shared" si="127"/>
        <v>14.010313291562667</v>
      </c>
      <c r="H499" s="101">
        <f t="shared" si="128"/>
        <v>0.32060880729772528</v>
      </c>
      <c r="I499" s="101">
        <f t="shared" si="129"/>
        <v>0.32060880729772528</v>
      </c>
      <c r="J499" s="101">
        <f t="shared" si="130"/>
        <v>5.8160736853647962E-2</v>
      </c>
      <c r="K499" s="101">
        <f t="shared" si="131"/>
        <v>2.5132242374600905E-2</v>
      </c>
      <c r="L499" s="101">
        <f t="shared" si="138"/>
        <v>124.73776338708589</v>
      </c>
      <c r="M499" s="101">
        <f t="shared" si="132"/>
        <v>735.26231422574028</v>
      </c>
      <c r="N499" s="101">
        <f t="shared" si="133"/>
        <v>70.807353899479622</v>
      </c>
      <c r="O499" s="101">
        <f t="shared" si="134"/>
        <v>1.6901641980323849</v>
      </c>
      <c r="P499" s="101">
        <f t="shared" si="135"/>
        <v>1.6901641980323849</v>
      </c>
      <c r="Q499" s="101">
        <f t="shared" si="136"/>
        <v>0.30545646457030751</v>
      </c>
      <c r="R499" s="101">
        <f t="shared" si="137"/>
        <v>1.9691861919126294E-2</v>
      </c>
      <c r="S499" s="101">
        <f t="shared" si="139"/>
        <v>660.74948360370649</v>
      </c>
      <c r="T499" s="101">
        <f t="shared" si="140"/>
        <v>98.973505296733364</v>
      </c>
      <c r="U499" s="101">
        <f t="shared" si="141"/>
        <v>26.700034510772486</v>
      </c>
      <c r="V499" s="33">
        <f t="shared" si="142"/>
        <v>1000.0000000000008</v>
      </c>
      <c r="W499" s="105">
        <f>IF(A499=1,((cPH1_+cPHr+(cNES*L499+(cNES+cOSEX)*G499+(cNES+cEREX)*H499+(cNES+cHOEX)*I499 + (cNES+cNES)*S499 +(cNES+ cOSEX)*N499 + (cNES+cEREX)*O499 + (cNES+cHOEX)*P499)))/(1+cDR)^A$5:A$65536,(cPHr+(cNES*L499+(cNES+cOSEX)*G499+(cNES+cEREX)*H499+(cNES+cHOEX)*I499 + (cNES+cNES)*S499 +(cNES+ cOSEX)*N499 + (cNES+cEREX)*O499 + (cNES+cHOEX)*P499))/(1+cDR)^A$5:A$65536)</f>
        <v>97320.908813304573</v>
      </c>
      <c r="X499" s="112">
        <f t="shared" si="143"/>
        <v>874.32646019249489</v>
      </c>
      <c r="Y499" s="32">
        <f>(uNES*L499+ uOCEX*G499+uEREX*'PH + UC'!H499+uHOEX*I499+uNES*S499+ uOCEX*N499+uEREX*O499+uHOEX*P499)/(1+oDR)^A$5:A$65536</f>
        <v>499.47163054871675</v>
      </c>
    </row>
    <row r="500" spans="1:25" x14ac:dyDescent="0.25">
      <c r="A500" s="4">
        <v>494</v>
      </c>
      <c r="C500" s="110">
        <f>IF(male=0,VLOOKUP(((A498:A1332/'Life tables'!$I$2)*2)+age,lifetable,13,1),IF(male=1,VLOOKUP(((A498:A1332/'Life tables'!$I$2)*2)+age,lifetable,10,1),"error"))</f>
        <v>3.7736298212742714E-4</v>
      </c>
      <c r="F500" s="101">
        <f t="shared" si="126"/>
        <v>139.40745689970817</v>
      </c>
      <c r="G500" s="101">
        <f t="shared" si="127"/>
        <v>14.003770809308156</v>
      </c>
      <c r="H500" s="101">
        <f t="shared" si="128"/>
        <v>0.32045909062910166</v>
      </c>
      <c r="I500" s="101">
        <f t="shared" si="129"/>
        <v>0.32045909062910166</v>
      </c>
      <c r="J500" s="101">
        <f t="shared" si="130"/>
        <v>5.8133577176283466E-2</v>
      </c>
      <c r="K500" s="101">
        <f t="shared" si="131"/>
        <v>2.5120506216648533E-2</v>
      </c>
      <c r="L500" s="101">
        <f t="shared" si="138"/>
        <v>124.67951382574887</v>
      </c>
      <c r="M500" s="101">
        <f t="shared" si="132"/>
        <v>734.91900329278667</v>
      </c>
      <c r="N500" s="101">
        <f t="shared" si="133"/>
        <v>70.77429231280928</v>
      </c>
      <c r="O500" s="101">
        <f t="shared" si="134"/>
        <v>1.6893750213855683</v>
      </c>
      <c r="P500" s="101">
        <f t="shared" si="135"/>
        <v>1.6893750213855683</v>
      </c>
      <c r="Q500" s="101">
        <f t="shared" si="136"/>
        <v>0.30531383990180561</v>
      </c>
      <c r="R500" s="101">
        <f t="shared" si="137"/>
        <v>1.9682667334613733E-2</v>
      </c>
      <c r="S500" s="101">
        <f t="shared" si="139"/>
        <v>660.44096442996988</v>
      </c>
      <c r="T500" s="101">
        <f t="shared" si="140"/>
        <v>99.336952713811456</v>
      </c>
      <c r="U500" s="101">
        <f t="shared" si="141"/>
        <v>26.744837684323748</v>
      </c>
      <c r="V500" s="33">
        <f t="shared" si="142"/>
        <v>1000.0000000000008</v>
      </c>
      <c r="W500" s="105">
        <f>IF(A500=1,((cPH1_+cPHr+(cNES*L500+(cNES+cOSEX)*G500+(cNES+cEREX)*H500+(cNES+cHOEX)*I500 + (cNES+cNES)*S500 +(cNES+ cOSEX)*N500 + (cNES+cEREX)*O500 + (cNES+cHOEX)*P500)))/(1+cDR)^A$5:A$65536,(cPHr+(cNES*L500+(cNES+cOSEX)*G500+(cNES+cEREX)*H500+(cNES+cHOEX)*I500 + (cNES+cNES)*S500 +(cNES+ cOSEX)*N500 + (cNES+cEREX)*O500 + (cNES+cHOEX)*P500))/(1+cDR)^A$5:A$65536)</f>
        <v>97163.668847952998</v>
      </c>
      <c r="X500" s="112">
        <f t="shared" si="143"/>
        <v>873.91820960186556</v>
      </c>
      <c r="Y500" s="32">
        <f>(uNES*L500+ uOCEX*G500+uEREX*'PH + UC'!H500+uHOEX*I500+uNES*S500+ uOCEX*N500+uEREX*O500+uHOEX*P500)/(1+oDR)^A$5:A$65536</f>
        <v>499.09483639001223</v>
      </c>
    </row>
    <row r="501" spans="1:25" x14ac:dyDescent="0.25">
      <c r="A501" s="4">
        <v>495</v>
      </c>
      <c r="C501" s="110">
        <f>IF(male=0,VLOOKUP(((A499:A1333/'Life tables'!$I$2)*2)+age,lifetable,13,1),IF(male=1,VLOOKUP(((A499:A1333/'Life tables'!$I$2)*2)+age,lifetable,10,1),"error"))</f>
        <v>3.7736298212742714E-4</v>
      </c>
      <c r="F501" s="101">
        <f t="shared" si="126"/>
        <v>139.34235721914825</v>
      </c>
      <c r="G501" s="101">
        <f t="shared" si="127"/>
        <v>13.997231410149787</v>
      </c>
      <c r="H501" s="101">
        <f t="shared" si="128"/>
        <v>0.32030944451334559</v>
      </c>
      <c r="I501" s="101">
        <f t="shared" si="129"/>
        <v>0.32030944451334559</v>
      </c>
      <c r="J501" s="101">
        <f t="shared" si="130"/>
        <v>5.8106430297715103E-2</v>
      </c>
      <c r="K501" s="101">
        <f t="shared" si="131"/>
        <v>2.510877558927339E-2</v>
      </c>
      <c r="L501" s="101">
        <f t="shared" si="138"/>
        <v>124.62129171408479</v>
      </c>
      <c r="M501" s="101">
        <f t="shared" si="132"/>
        <v>734.57585238271724</v>
      </c>
      <c r="N501" s="101">
        <f t="shared" si="133"/>
        <v>70.741246136689398</v>
      </c>
      <c r="O501" s="101">
        <f t="shared" si="134"/>
        <v>1.6885862125869937</v>
      </c>
      <c r="P501" s="101">
        <f t="shared" si="135"/>
        <v>1.6885862125869937</v>
      </c>
      <c r="Q501" s="101">
        <f t="shared" si="136"/>
        <v>0.30517128171301255</v>
      </c>
      <c r="R501" s="101">
        <f t="shared" si="137"/>
        <v>1.9673477035848558E-2</v>
      </c>
      <c r="S501" s="101">
        <f t="shared" si="139"/>
        <v>660.13258906210501</v>
      </c>
      <c r="T501" s="101">
        <f t="shared" si="140"/>
        <v>99.700230425822184</v>
      </c>
      <c r="U501" s="101">
        <f t="shared" si="141"/>
        <v>26.789619936948871</v>
      </c>
      <c r="V501" s="33">
        <f t="shared" si="142"/>
        <v>1000.0000000000007</v>
      </c>
      <c r="W501" s="105">
        <f>IF(A501=1,((cPH1_+cPHr+(cNES*L501+(cNES+cOSEX)*G501+(cNES+cEREX)*H501+(cNES+cHOEX)*I501 + (cNES+cNES)*S501 +(cNES+ cOSEX)*N501 + (cNES+cEREX)*O501 + (cNES+cHOEX)*P501)))/(1+cDR)^A$5:A$65536,(cPHr+(cNES*L501+(cNES+cOSEX)*G501+(cNES+cEREX)*H501+(cNES+cHOEX)*I501 + (cNES+cNES)*S501 +(cNES+ cOSEX)*N501 + (cNES+cEREX)*O501 + (cNES+cHOEX)*P501))/(1+cDR)^A$5:A$65536)</f>
        <v>97006.6829231187</v>
      </c>
      <c r="X501" s="112">
        <f t="shared" si="143"/>
        <v>873.51014963722969</v>
      </c>
      <c r="Y501" s="32">
        <f>(uNES*L501+ uOCEX*G501+uEREX*'PH + UC'!H501+uHOEX*I501+uNES*S501+ uOCEX*N501+uEREX*O501+uHOEX*P501)/(1+oDR)^A$5:A$65536</f>
        <v>498.71832647978835</v>
      </c>
    </row>
    <row r="502" spans="1:25" x14ac:dyDescent="0.25">
      <c r="A502" s="4">
        <v>496</v>
      </c>
      <c r="C502" s="110">
        <f>IF(male=0,VLOOKUP(((A500:A1334/'Life tables'!$I$2)*2)+age,lifetable,13,1),IF(male=1,VLOOKUP(((A500:A1334/'Life tables'!$I$2)*2)+age,lifetable,10,1),"error"))</f>
        <v>4.0331437067231413E-4</v>
      </c>
      <c r="F502" s="101">
        <f t="shared" si="126"/>
        <v>139.27728820380207</v>
      </c>
      <c r="G502" s="101">
        <f t="shared" si="127"/>
        <v>13.990695091376317</v>
      </c>
      <c r="H502" s="101">
        <f t="shared" si="128"/>
        <v>0.32015986888841347</v>
      </c>
      <c r="I502" s="101">
        <f t="shared" si="129"/>
        <v>0.32015986888841347</v>
      </c>
      <c r="J502" s="101">
        <f t="shared" si="130"/>
        <v>6.2073430378980152E-2</v>
      </c>
      <c r="K502" s="101">
        <f t="shared" si="131"/>
        <v>2.5097050487611929E-2</v>
      </c>
      <c r="L502" s="101">
        <f t="shared" si="138"/>
        <v>124.55910289378234</v>
      </c>
      <c r="M502" s="101">
        <f t="shared" si="132"/>
        <v>734.2328614334275</v>
      </c>
      <c r="N502" s="101">
        <f t="shared" si="133"/>
        <v>70.708215365139182</v>
      </c>
      <c r="O502" s="101">
        <f t="shared" si="134"/>
        <v>1.6877977714939001</v>
      </c>
      <c r="P502" s="101">
        <f t="shared" si="135"/>
        <v>1.6877977714939001</v>
      </c>
      <c r="Q502" s="101">
        <f t="shared" si="136"/>
        <v>0.32600573000937316</v>
      </c>
      <c r="R502" s="101">
        <f t="shared" si="137"/>
        <v>1.9664291021167478E-2</v>
      </c>
      <c r="S502" s="101">
        <f t="shared" si="139"/>
        <v>659.80338050426997</v>
      </c>
      <c r="T502" s="101">
        <f t="shared" si="140"/>
        <v>100.08830958621054</v>
      </c>
      <c r="U502" s="101">
        <f t="shared" si="141"/>
        <v>26.834381278457649</v>
      </c>
      <c r="V502" s="33">
        <f t="shared" si="142"/>
        <v>1000.0000000000007</v>
      </c>
      <c r="W502" s="105">
        <f>IF(A502=1,((cPH1_+cPHr+(cNES*L502+(cNES+cOSEX)*G502+(cNES+cEREX)*H502+(cNES+cHOEX)*I502 + (cNES+cNES)*S502 +(cNES+ cOSEX)*N502 + (cNES+cEREX)*O502 + (cNES+cHOEX)*P502)))/(1+cDR)^A$5:A$65536,(cPHr+(cNES*L502+(cNES+cOSEX)*G502+(cNES+cEREX)*H502+(cNES+cHOEX)*I502 + (cNES+cNES)*S502 +(cNES+ cOSEX)*N502 + (cNES+cEREX)*O502 + (cNES+cHOEX)*P502))/(1+cDR)^A$5:A$65536)</f>
        <v>96847.549628771405</v>
      </c>
      <c r="X502" s="112">
        <f t="shared" si="143"/>
        <v>873.07730913533248</v>
      </c>
      <c r="Y502" s="32">
        <f>(uNES*L502+ uOCEX*G502+uEREX*'PH + UC'!H502+uHOEX*I502+uNES*S502+ uOCEX*N502+uEREX*O502+uHOEX*P502)/(1+oDR)^A$5:A$65536</f>
        <v>498.3276160529382</v>
      </c>
    </row>
    <row r="503" spans="1:25" x14ac:dyDescent="0.25">
      <c r="A503" s="4">
        <v>497</v>
      </c>
      <c r="C503" s="110">
        <f>IF(male=0,VLOOKUP(((A501:A1335/'Life tables'!$I$2)*2)+age,lifetable,13,1),IF(male=1,VLOOKUP(((A501:A1335/'Life tables'!$I$2)*2)+age,lifetable,10,1),"error"))</f>
        <v>4.0331437067231413E-4</v>
      </c>
      <c r="F503" s="101">
        <f t="shared" si="126"/>
        <v>139.20825575899849</v>
      </c>
      <c r="G503" s="101">
        <f t="shared" si="127"/>
        <v>13.98376063781885</v>
      </c>
      <c r="H503" s="101">
        <f t="shared" si="128"/>
        <v>0.32000118243807835</v>
      </c>
      <c r="I503" s="101">
        <f t="shared" si="129"/>
        <v>0.32000118243807835</v>
      </c>
      <c r="J503" s="101">
        <f t="shared" si="130"/>
        <v>6.2042663836124036E-2</v>
      </c>
      <c r="K503" s="101">
        <f t="shared" si="131"/>
        <v>2.5084611196361632E-2</v>
      </c>
      <c r="L503" s="101">
        <f t="shared" si="138"/>
        <v>124.497365481271</v>
      </c>
      <c r="M503" s="101">
        <f t="shared" si="132"/>
        <v>733.86905337633391</v>
      </c>
      <c r="N503" s="101">
        <f t="shared" si="133"/>
        <v>70.673179861004527</v>
      </c>
      <c r="O503" s="101">
        <f t="shared" si="134"/>
        <v>1.6869614776418171</v>
      </c>
      <c r="P503" s="101">
        <f t="shared" si="135"/>
        <v>1.6869614776418171</v>
      </c>
      <c r="Q503" s="101">
        <f t="shared" si="136"/>
        <v>0.32584419609082244</v>
      </c>
      <c r="R503" s="101">
        <f t="shared" si="137"/>
        <v>1.9654547480819028E-2</v>
      </c>
      <c r="S503" s="101">
        <f t="shared" si="139"/>
        <v>659.47645181647408</v>
      </c>
      <c r="T503" s="101">
        <f t="shared" si="140"/>
        <v>100.47619644613749</v>
      </c>
      <c r="U503" s="101">
        <f t="shared" si="141"/>
        <v>26.87912043713483</v>
      </c>
      <c r="V503" s="33">
        <f t="shared" si="142"/>
        <v>1000.0000000000006</v>
      </c>
      <c r="W503" s="105">
        <f>IF(A503=1,((cPH1_+cPHr+(cNES*L503+(cNES+cOSEX)*G503+(cNES+cEREX)*H503+(cNES+cHOEX)*I503 + (cNES+cNES)*S503 +(cNES+ cOSEX)*N503 + (cNES+cEREX)*O503 + (cNES+cHOEX)*P503)))/(1+cDR)^A$5:A$65536,(cPHr+(cNES*L503+(cNES+cOSEX)*G503+(cNES+cEREX)*H503+(cNES+cHOEX)*I503 + (cNES+cNES)*S503 +(cNES+ cOSEX)*N503 + (cNES+cEREX)*O503 + (cNES+cHOEX)*P503))/(1+cDR)^A$5:A$65536)</f>
        <v>96688.310020701741</v>
      </c>
      <c r="X503" s="112">
        <f t="shared" si="143"/>
        <v>872.64468311672829</v>
      </c>
      <c r="Y503" s="32">
        <f>(uNES*L503+ uOCEX*G503+uEREX*'PH + UC'!H503+uHOEX*I503+uNES*S503+ uOCEX*N503+uEREX*O503+uHOEX*P503)/(1+oDR)^A$5:A$65536</f>
        <v>497.93744331169347</v>
      </c>
    </row>
    <row r="504" spans="1:25" x14ac:dyDescent="0.25">
      <c r="A504" s="4">
        <v>498</v>
      </c>
      <c r="C504" s="110">
        <f>IF(male=0,VLOOKUP(((A502:A1336/'Life tables'!$I$2)*2)+age,lifetable,13,1),IF(male=1,VLOOKUP(((A502:A1336/'Life tables'!$I$2)*2)+age,lifetable,10,1),"error"))</f>
        <v>4.0331437067231413E-4</v>
      </c>
      <c r="F504" s="101">
        <f t="shared" si="126"/>
        <v>139.13925833181864</v>
      </c>
      <c r="G504" s="101">
        <f t="shared" si="127"/>
        <v>13.976829701854975</v>
      </c>
      <c r="H504" s="101">
        <f t="shared" si="128"/>
        <v>0.31984257648355108</v>
      </c>
      <c r="I504" s="101">
        <f t="shared" si="129"/>
        <v>0.31984257648355108</v>
      </c>
      <c r="J504" s="101">
        <f t="shared" si="130"/>
        <v>6.2011912900005066E-2</v>
      </c>
      <c r="K504" s="101">
        <f t="shared" si="131"/>
        <v>2.5072178215106898E-2</v>
      </c>
      <c r="L504" s="101">
        <f t="shared" si="138"/>
        <v>124.43565938588145</v>
      </c>
      <c r="M504" s="101">
        <f t="shared" si="132"/>
        <v>733.50542478490968</v>
      </c>
      <c r="N504" s="101">
        <f t="shared" si="133"/>
        <v>70.638161639802675</v>
      </c>
      <c r="O504" s="101">
        <f t="shared" si="134"/>
        <v>1.6861255963315485</v>
      </c>
      <c r="P504" s="101">
        <f t="shared" si="135"/>
        <v>1.6861255963315485</v>
      </c>
      <c r="Q504" s="101">
        <f t="shared" si="136"/>
        <v>0.32568274185657836</v>
      </c>
      <c r="R504" s="101">
        <f t="shared" si="137"/>
        <v>1.9644808746936398E-2</v>
      </c>
      <c r="S504" s="101">
        <f t="shared" si="139"/>
        <v>659.14968440184043</v>
      </c>
      <c r="T504" s="101">
        <f t="shared" si="140"/>
        <v>100.86389110089408</v>
      </c>
      <c r="U504" s="101">
        <f t="shared" si="141"/>
        <v>26.923837424096874</v>
      </c>
      <c r="V504" s="33">
        <f t="shared" si="142"/>
        <v>1000.0000000000007</v>
      </c>
      <c r="W504" s="105">
        <f>IF(A504=1,((cPH1_+cPHr+(cNES*L504+(cNES+cOSEX)*G504+(cNES+cEREX)*H504+(cNES+cHOEX)*I504 + (cNES+cNES)*S504 +(cNES+ cOSEX)*N504 + (cNES+cEREX)*O504 + (cNES+cHOEX)*P504)))/(1+cDR)^A$5:A$65536,(cPHr+(cNES*L504+(cNES+cOSEX)*G504+(cNES+cEREX)*H504+(cNES+cHOEX)*I504 + (cNES+cNES)*S504 +(cNES+ cOSEX)*N504 + (cNES+cEREX)*O504 + (cNES+cHOEX)*P504))/(1+cDR)^A$5:A$65536)</f>
        <v>96529.332205551429</v>
      </c>
      <c r="X504" s="112">
        <f t="shared" si="143"/>
        <v>872.21227147500974</v>
      </c>
      <c r="Y504" s="32">
        <f>(uNES*L504+ uOCEX*G504+uEREX*'PH + UC'!H504+uHOEX*I504+uNES*S504+ uOCEX*N504+uEREX*O504+uHOEX*P504)/(1+oDR)^A$5:A$65536</f>
        <v>497.54757606301916</v>
      </c>
    </row>
    <row r="505" spans="1:25" x14ac:dyDescent="0.25">
      <c r="A505" s="4">
        <v>499</v>
      </c>
      <c r="C505" s="110">
        <f>IF(male=0,VLOOKUP(((A503:A1337/'Life tables'!$I$2)*2)+age,lifetable,13,1),IF(male=1,VLOOKUP(((A503:A1337/'Life tables'!$I$2)*2)+age,lifetable,10,1),"error"))</f>
        <v>4.0331437067231413E-4</v>
      </c>
      <c r="F505" s="101">
        <f t="shared" si="126"/>
        <v>139.07029586833391</v>
      </c>
      <c r="G505" s="101">
        <f t="shared" si="127"/>
        <v>13.969902278067451</v>
      </c>
      <c r="H505" s="101">
        <f t="shared" si="128"/>
        <v>0.31968405090086466</v>
      </c>
      <c r="I505" s="101">
        <f t="shared" si="129"/>
        <v>0.31968405090086466</v>
      </c>
      <c r="J505" s="101">
        <f t="shared" si="130"/>
        <v>6.1981177546588231E-2</v>
      </c>
      <c r="K505" s="101">
        <f t="shared" si="131"/>
        <v>2.5059751534130072E-2</v>
      </c>
      <c r="L505" s="101">
        <f t="shared" si="138"/>
        <v>124.37398455938401</v>
      </c>
      <c r="M505" s="101">
        <f t="shared" si="132"/>
        <v>733.14197560667571</v>
      </c>
      <c r="N505" s="101">
        <f t="shared" si="133"/>
        <v>70.603160696479762</v>
      </c>
      <c r="O505" s="101">
        <f t="shared" si="134"/>
        <v>1.6852901274424592</v>
      </c>
      <c r="P505" s="101">
        <f t="shared" si="135"/>
        <v>1.6852901274424592</v>
      </c>
      <c r="Q505" s="101">
        <f t="shared" si="136"/>
        <v>0.32552136728333986</v>
      </c>
      <c r="R505" s="101">
        <f t="shared" si="137"/>
        <v>1.9635074818114082E-2</v>
      </c>
      <c r="S505" s="101">
        <f t="shared" si="139"/>
        <v>658.82307821320956</v>
      </c>
      <c r="T505" s="101">
        <f t="shared" si="140"/>
        <v>101.25139364572401</v>
      </c>
      <c r="U505" s="101">
        <f t="shared" si="141"/>
        <v>26.968532250449119</v>
      </c>
      <c r="V505" s="33">
        <f t="shared" si="142"/>
        <v>1000.0000000000006</v>
      </c>
      <c r="W505" s="105">
        <f>IF(A505=1,((cPH1_+cPHr+(cNES*L505+(cNES+cOSEX)*G505+(cNES+cEREX)*H505+(cNES+cHOEX)*I505 + (cNES+cNES)*S505 +(cNES+ cOSEX)*N505 + (cNES+cEREX)*O505 + (cNES+cHOEX)*P505)))/(1+cDR)^A$5:A$65536,(cPHr+(cNES*L505+(cNES+cOSEX)*G505+(cNES+cEREX)*H505+(cNES+cHOEX)*I505 + (cNES+cNES)*S505 +(cNES+ cOSEX)*N505 + (cNES+cEREX)*O505 + (cNES+cHOEX)*P505))/(1+cDR)^A$5:A$65536)</f>
        <v>96370.615754634622</v>
      </c>
      <c r="X505" s="112">
        <f t="shared" si="143"/>
        <v>871.78007410382747</v>
      </c>
      <c r="Y505" s="32">
        <f>(uNES*L505+ uOCEX*G505+uEREX*'PH + UC'!H505+uHOEX*I505+uNES*S505+ uOCEX*N505+uEREX*O505+uHOEX*P505)/(1+oDR)^A$5:A$65536</f>
        <v>497.15801406766838</v>
      </c>
    </row>
    <row r="506" spans="1:25" x14ac:dyDescent="0.25">
      <c r="A506" s="4">
        <v>500</v>
      </c>
      <c r="C506" s="110">
        <f>IF(male=0,VLOOKUP(((A504:A1338/'Life tables'!$I$2)*2)+age,lifetable,13,1),IF(male=1,VLOOKUP(((A504:A1338/'Life tables'!$I$2)*2)+age,lifetable,10,1),"error"))</f>
        <v>4.0331437067231413E-4</v>
      </c>
      <c r="F506" s="101">
        <f t="shared" si="126"/>
        <v>139.00136831629271</v>
      </c>
      <c r="G506" s="101">
        <f t="shared" si="127"/>
        <v>13.962978361207494</v>
      </c>
      <c r="H506" s="101">
        <f t="shared" si="128"/>
        <v>0.31952560556990717</v>
      </c>
      <c r="I506" s="101">
        <f t="shared" si="129"/>
        <v>0.31952560556990717</v>
      </c>
      <c r="J506" s="101">
        <f t="shared" si="130"/>
        <v>6.1950457752585911E-2</v>
      </c>
      <c r="K506" s="101">
        <f t="shared" si="131"/>
        <v>2.504733114401568E-2</v>
      </c>
      <c r="L506" s="101">
        <f t="shared" si="138"/>
        <v>124.3123409550488</v>
      </c>
      <c r="M506" s="101">
        <f t="shared" si="132"/>
        <v>732.77870578753482</v>
      </c>
      <c r="N506" s="101">
        <f t="shared" si="133"/>
        <v>70.568177025826117</v>
      </c>
      <c r="O506" s="101">
        <f t="shared" si="134"/>
        <v>1.6844550708501951</v>
      </c>
      <c r="P506" s="101">
        <f t="shared" si="135"/>
        <v>1.6844550708501951</v>
      </c>
      <c r="Q506" s="101">
        <f t="shared" si="136"/>
        <v>0.32536007234708747</v>
      </c>
      <c r="R506" s="101">
        <f t="shared" si="137"/>
        <v>1.9625345692903251E-2</v>
      </c>
      <c r="S506" s="101">
        <f t="shared" si="139"/>
        <v>658.49663320196828</v>
      </c>
      <c r="T506" s="101">
        <f t="shared" si="140"/>
        <v>101.63870417582368</v>
      </c>
      <c r="U506" s="101">
        <f t="shared" si="141"/>
        <v>27.013204927286036</v>
      </c>
      <c r="V506" s="33">
        <f t="shared" si="142"/>
        <v>1000.0000000000006</v>
      </c>
      <c r="W506" s="105">
        <f>IF(A506=1,((cPH1_+cPHr+(cNES*L506+(cNES+cOSEX)*G506+(cNES+cEREX)*H506+(cNES+cHOEX)*I506 + (cNES+cNES)*S506 +(cNES+ cOSEX)*N506 + (cNES+cEREX)*O506 + (cNES+cHOEX)*P506)))/(1+cDR)^A$5:A$65536,(cPHr+(cNES*L506+(cNES+cOSEX)*G506+(cNES+cEREX)*H506+(cNES+cHOEX)*I506 + (cNES+cNES)*S506 +(cNES+ cOSEX)*N506 + (cNES+cEREX)*O506 + (cNES+cHOEX)*P506))/(1+cDR)^A$5:A$65536)</f>
        <v>96212.160239888632</v>
      </c>
      <c r="X506" s="112">
        <f t="shared" si="143"/>
        <v>871.34809089689088</v>
      </c>
      <c r="Y506" s="32">
        <f>(uNES*L506+ uOCEX*G506+uEREX*'PH + UC'!H506+uHOEX*I506+uNES*S506+ uOCEX*N506+uEREX*O506+uHOEX*P506)/(1+oDR)^A$5:A$65536</f>
        <v>496.76875708658395</v>
      </c>
    </row>
    <row r="507" spans="1:25" x14ac:dyDescent="0.25">
      <c r="A507" s="4">
        <v>501</v>
      </c>
      <c r="C507" s="110">
        <f>IF(male=0,VLOOKUP(((A505:A1339/'Life tables'!$I$2)*2)+age,lifetable,13,1),IF(male=1,VLOOKUP(((A505:A1339/'Life tables'!$I$2)*2)+age,lifetable,10,1),"error"))</f>
        <v>4.0331437067231413E-4</v>
      </c>
      <c r="F507" s="101">
        <f t="shared" si="126"/>
        <v>138.93247562504484</v>
      </c>
      <c r="G507" s="101">
        <f t="shared" si="127"/>
        <v>13.956057946187187</v>
      </c>
      <c r="H507" s="101">
        <f t="shared" si="128"/>
        <v>0.31936724037424791</v>
      </c>
      <c r="I507" s="101">
        <f t="shared" si="129"/>
        <v>0.31936724037424791</v>
      </c>
      <c r="J507" s="101">
        <f t="shared" si="130"/>
        <v>6.1919753495424203E-2</v>
      </c>
      <c r="K507" s="101">
        <f t="shared" si="131"/>
        <v>2.5034917035636824E-2</v>
      </c>
      <c r="L507" s="101">
        <f t="shared" si="138"/>
        <v>124.2507285275781</v>
      </c>
      <c r="M507" s="101">
        <f t="shared" si="132"/>
        <v>732.41561527184592</v>
      </c>
      <c r="N507" s="101">
        <f t="shared" si="133"/>
        <v>70.533210622483395</v>
      </c>
      <c r="O507" s="101">
        <f t="shared" si="134"/>
        <v>1.6836204264268524</v>
      </c>
      <c r="P507" s="101">
        <f t="shared" si="135"/>
        <v>1.6836204264268524</v>
      </c>
      <c r="Q507" s="101">
        <f t="shared" si="136"/>
        <v>0.32519885702311579</v>
      </c>
      <c r="R507" s="101">
        <f t="shared" si="137"/>
        <v>1.9615621369813714E-2</v>
      </c>
      <c r="S507" s="101">
        <f t="shared" si="139"/>
        <v>658.17034931811588</v>
      </c>
      <c r="T507" s="101">
        <f t="shared" si="140"/>
        <v>102.02582278634222</v>
      </c>
      <c r="U507" s="101">
        <f t="shared" si="141"/>
        <v>27.057855465691485</v>
      </c>
      <c r="V507" s="33">
        <f t="shared" si="142"/>
        <v>1000.0000000000005</v>
      </c>
      <c r="W507" s="105">
        <f>IF(A507=1,((cPH1_+cPHr+(cNES*L507+(cNES+cOSEX)*G507+(cNES+cEREX)*H507+(cNES+cHOEX)*I507 + (cNES+cNES)*S507 +(cNES+ cOSEX)*N507 + (cNES+cEREX)*O507 + (cNES+cHOEX)*P507)))/(1+cDR)^A$5:A$65536,(cPHr+(cNES*L507+(cNES+cOSEX)*G507+(cNES+cEREX)*H507+(cNES+cHOEX)*I507 + (cNES+cNES)*S507 +(cNES+ cOSEX)*N507 + (cNES+cEREX)*O507 + (cNES+cHOEX)*P507))/(1+cDR)^A$5:A$65536)</f>
        <v>96053.965233876166</v>
      </c>
      <c r="X507" s="112">
        <f t="shared" si="143"/>
        <v>870.91632174796678</v>
      </c>
      <c r="Y507" s="32">
        <f>(uNES*L507+ uOCEX*G507+uEREX*'PH + UC'!H507+uHOEX*I507+uNES*S507+ uOCEX*N507+uEREX*O507+uHOEX*P507)/(1+oDR)^A$5:A$65536</f>
        <v>496.37980488089806</v>
      </c>
    </row>
    <row r="508" spans="1:25" x14ac:dyDescent="0.25">
      <c r="A508" s="4">
        <v>502</v>
      </c>
      <c r="C508" s="110">
        <f>IF(male=0,VLOOKUP(((A506:A1340/'Life tables'!$I$2)*2)+age,lifetable,13,1),IF(male=1,VLOOKUP(((A506:A1340/'Life tables'!$I$2)*2)+age,lifetable,10,1),"error"))</f>
        <v>4.0331437067231413E-4</v>
      </c>
      <c r="F508" s="101">
        <f t="shared" si="126"/>
        <v>138.8636177454699</v>
      </c>
      <c r="G508" s="101">
        <f t="shared" si="127"/>
        <v>13.94914102807228</v>
      </c>
      <c r="H508" s="101">
        <f t="shared" si="128"/>
        <v>0.31920895520097264</v>
      </c>
      <c r="I508" s="101">
        <f t="shared" si="129"/>
        <v>0.31920895520097264</v>
      </c>
      <c r="J508" s="101">
        <f t="shared" si="130"/>
        <v>6.1889064753211008E-2</v>
      </c>
      <c r="K508" s="101">
        <f t="shared" si="131"/>
        <v>2.5022509200142255E-2</v>
      </c>
      <c r="L508" s="101">
        <f t="shared" si="138"/>
        <v>124.18914723304232</v>
      </c>
      <c r="M508" s="101">
        <f t="shared" si="132"/>
        <v>732.05270400249685</v>
      </c>
      <c r="N508" s="101">
        <f t="shared" si="133"/>
        <v>70.498261480951541</v>
      </c>
      <c r="O508" s="101">
        <f t="shared" si="134"/>
        <v>1.6827861940411464</v>
      </c>
      <c r="P508" s="101">
        <f t="shared" si="135"/>
        <v>1.6827861940411464</v>
      </c>
      <c r="Q508" s="101">
        <f t="shared" si="136"/>
        <v>0.32503772128606662</v>
      </c>
      <c r="R508" s="101">
        <f t="shared" si="137"/>
        <v>1.9605901847315893E-2</v>
      </c>
      <c r="S508" s="101">
        <f t="shared" si="139"/>
        <v>657.84422651032969</v>
      </c>
      <c r="T508" s="101">
        <f t="shared" si="140"/>
        <v>102.4127495723815</v>
      </c>
      <c r="U508" s="101">
        <f t="shared" si="141"/>
        <v>27.102483876738944</v>
      </c>
      <c r="V508" s="33">
        <f t="shared" si="142"/>
        <v>1000.0000000000005</v>
      </c>
      <c r="W508" s="105">
        <f>IF(A508=1,((cPH1_+cPHr+(cNES*L508+(cNES+cOSEX)*G508+(cNES+cEREX)*H508+(cNES+cHOEX)*I508 + (cNES+cNES)*S508 +(cNES+ cOSEX)*N508 + (cNES+cEREX)*O508 + (cNES+cHOEX)*P508)))/(1+cDR)^A$5:A$65536,(cPHr+(cNES*L508+(cNES+cOSEX)*G508+(cNES+cEREX)*H508+(cNES+cHOEX)*I508 + (cNES+cNES)*S508 +(cNES+ cOSEX)*N508 + (cNES+cEREX)*O508 + (cNES+cHOEX)*P508))/(1+cDR)^A$5:A$65536)</f>
        <v>95896.030309788403</v>
      </c>
      <c r="X508" s="112">
        <f t="shared" si="143"/>
        <v>870.48476655088007</v>
      </c>
      <c r="Y508" s="32">
        <f>(uNES*L508+ uOCEX*G508+uEREX*'PH + UC'!H508+uHOEX*I508+uNES*S508+ uOCEX*N508+uEREX*O508+uHOEX*P508)/(1+oDR)^A$5:A$65536</f>
        <v>495.99115721193431</v>
      </c>
    </row>
    <row r="509" spans="1:25" x14ac:dyDescent="0.25">
      <c r="A509" s="4">
        <v>503</v>
      </c>
      <c r="C509" s="110">
        <f>IF(male=0,VLOOKUP(((A507:A1341/'Life tables'!$I$2)*2)+age,lifetable,13,1),IF(male=1,VLOOKUP(((A507:A1341/'Life tables'!$I$2)*2)+age,lifetable,10,1),"error"))</f>
        <v>4.0331437067231413E-4</v>
      </c>
      <c r="F509" s="101">
        <f t="shared" si="126"/>
        <v>138.79479462990835</v>
      </c>
      <c r="G509" s="101">
        <f t="shared" si="127"/>
        <v>13.942227602075278</v>
      </c>
      <c r="H509" s="101">
        <f t="shared" si="128"/>
        <v>0.31905074994052535</v>
      </c>
      <c r="I509" s="101">
        <f t="shared" si="129"/>
        <v>0.31905074994052535</v>
      </c>
      <c r="J509" s="101">
        <f t="shared" si="130"/>
        <v>6.1858391504705311E-2</v>
      </c>
      <c r="K509" s="101">
        <f t="shared" si="131"/>
        <v>2.5010107628943977E-2</v>
      </c>
      <c r="L509" s="101">
        <f t="shared" si="138"/>
        <v>124.12759702881837</v>
      </c>
      <c r="M509" s="101">
        <f t="shared" si="132"/>
        <v>731.68997192097163</v>
      </c>
      <c r="N509" s="101">
        <f t="shared" si="133"/>
        <v>70.463329595595368</v>
      </c>
      <c r="O509" s="101">
        <f t="shared" si="134"/>
        <v>1.6819523735585649</v>
      </c>
      <c r="P509" s="101">
        <f t="shared" si="135"/>
        <v>1.6819523735585649</v>
      </c>
      <c r="Q509" s="101">
        <f t="shared" si="136"/>
        <v>0.32487666510995838</v>
      </c>
      <c r="R509" s="101">
        <f t="shared" si="137"/>
        <v>1.9596187123842607E-2</v>
      </c>
      <c r="S509" s="101">
        <f t="shared" si="139"/>
        <v>657.51826472602534</v>
      </c>
      <c r="T509" s="101">
        <f t="shared" si="140"/>
        <v>102.79948462899617</v>
      </c>
      <c r="U509" s="101">
        <f t="shared" si="141"/>
        <v>27.14709017149173</v>
      </c>
      <c r="V509" s="33">
        <f t="shared" si="142"/>
        <v>1000.0000000000005</v>
      </c>
      <c r="W509" s="105">
        <f>IF(A509=1,((cPH1_+cPHr+(cNES*L509+(cNES+cOSEX)*G509+(cNES+cEREX)*H509+(cNES+cHOEX)*I509 + (cNES+cNES)*S509 +(cNES+ cOSEX)*N509 + (cNES+cEREX)*O509 + (cNES+cHOEX)*P509)))/(1+cDR)^A$5:A$65536,(cPHr+(cNES*L509+(cNES+cOSEX)*G509+(cNES+cEREX)*H509+(cNES+cHOEX)*I509 + (cNES+cNES)*S509 +(cNES+ cOSEX)*N509 + (cNES+cEREX)*O509 + (cNES+cHOEX)*P509))/(1+cDR)^A$5:A$65536)</f>
        <v>95738.355041446965</v>
      </c>
      <c r="X509" s="112">
        <f t="shared" si="143"/>
        <v>870.0534251995125</v>
      </c>
      <c r="Y509" s="32">
        <f>(uNES*L509+ uOCEX*G509+uEREX*'PH + UC'!H509+uHOEX*I509+uNES*S509+ uOCEX*N509+uEREX*O509+uHOEX*P509)/(1+oDR)^A$5:A$65536</f>
        <v>495.60281384120242</v>
      </c>
    </row>
    <row r="510" spans="1:25" x14ac:dyDescent="0.25">
      <c r="A510" s="4">
        <v>504</v>
      </c>
      <c r="C510" s="110">
        <f>IF(male=0,VLOOKUP(((A508:A1342/'Life tables'!$I$2)*2)+age,lifetable,13,1),IF(male=1,VLOOKUP(((A508:A1342/'Life tables'!$I$2)*2)+age,lifetable,10,1),"error"))</f>
        <v>4.0331437067231413E-4</v>
      </c>
      <c r="F510" s="101">
        <f t="shared" si="126"/>
        <v>138.7260062320963</v>
      </c>
      <c r="G510" s="101">
        <f t="shared" si="127"/>
        <v>13.935317663548872</v>
      </c>
      <c r="H510" s="101">
        <f t="shared" si="128"/>
        <v>0.31889262448655809</v>
      </c>
      <c r="I510" s="101">
        <f t="shared" si="129"/>
        <v>0.31889262448655809</v>
      </c>
      <c r="J510" s="101">
        <f t="shared" si="130"/>
        <v>6.1827733729288126E-2</v>
      </c>
      <c r="K510" s="101">
        <f t="shared" si="131"/>
        <v>2.4997712313705463E-2</v>
      </c>
      <c r="L510" s="101">
        <f t="shared" si="138"/>
        <v>124.06607787353131</v>
      </c>
      <c r="M510" s="101">
        <f t="shared" si="132"/>
        <v>731.32741896741629</v>
      </c>
      <c r="N510" s="101">
        <f t="shared" si="133"/>
        <v>70.428414960650798</v>
      </c>
      <c r="O510" s="101">
        <f t="shared" si="134"/>
        <v>1.6811189648415203</v>
      </c>
      <c r="P510" s="101">
        <f t="shared" si="135"/>
        <v>1.6811189648415203</v>
      </c>
      <c r="Q510" s="101">
        <f t="shared" si="136"/>
        <v>0.32471568846821552</v>
      </c>
      <c r="R510" s="101">
        <f t="shared" si="137"/>
        <v>1.9586477197790841E-2</v>
      </c>
      <c r="S510" s="101">
        <f t="shared" si="139"/>
        <v>657.19246391141644</v>
      </c>
      <c r="T510" s="101">
        <f t="shared" si="140"/>
        <v>103.18602805119367</v>
      </c>
      <c r="U510" s="101">
        <f t="shared" si="141"/>
        <v>27.191674361003226</v>
      </c>
      <c r="V510" s="33">
        <f t="shared" si="142"/>
        <v>1000.0000000000006</v>
      </c>
      <c r="W510" s="105">
        <f>IF(A510=1,((cPH1_+cPHr+(cNES*L510+(cNES+cOSEX)*G510+(cNES+cEREX)*H510+(cNES+cHOEX)*I510 + (cNES+cNES)*S510 +(cNES+ cOSEX)*N510 + (cNES+cEREX)*O510 + (cNES+cHOEX)*P510)))/(1+cDR)^A$5:A$65536,(cPHr+(cNES*L510+(cNES+cOSEX)*G510+(cNES+cEREX)*H510+(cNES+cHOEX)*I510 + (cNES+cNES)*S510 +(cNES+ cOSEX)*N510 + (cNES+cEREX)*O510 + (cNES+cHOEX)*P510))/(1+cDR)^A$5:A$65536)</f>
        <v>95580.939003306761</v>
      </c>
      <c r="X510" s="112">
        <f t="shared" si="143"/>
        <v>869.62229758780359</v>
      </c>
      <c r="Y510" s="32">
        <f>(uNES*L510+ uOCEX*G510+uEREX*'PH + UC'!H510+uHOEX*I510+uNES*S510+ uOCEX*N510+uEREX*O510+uHOEX*P510)/(1+oDR)^A$5:A$65536</f>
        <v>495.21477453040285</v>
      </c>
    </row>
    <row r="511" spans="1:25" x14ac:dyDescent="0.25">
      <c r="A511" s="4">
        <v>505</v>
      </c>
      <c r="C511" s="110">
        <f>IF(male=0,VLOOKUP(((A509:A1343/'Life tables'!$I$2)*2)+age,lifetable,13,1),IF(male=1,VLOOKUP(((A509:A1343/'Life tables'!$I$2)*2)+age,lifetable,10,1),"error"))</f>
        <v>4.0331437067231413E-4</v>
      </c>
      <c r="F511" s="101">
        <f t="shared" si="126"/>
        <v>138.65725250710273</v>
      </c>
      <c r="G511" s="101">
        <f t="shared" si="127"/>
        <v>13.92841120797965</v>
      </c>
      <c r="H511" s="101">
        <f t="shared" si="128"/>
        <v>0.31873457873578698</v>
      </c>
      <c r="I511" s="101">
        <f t="shared" si="129"/>
        <v>0.31873457873578698</v>
      </c>
      <c r="J511" s="101">
        <f t="shared" si="130"/>
        <v>6.1797091406934464E-2</v>
      </c>
      <c r="K511" s="101">
        <f t="shared" si="131"/>
        <v>2.4985323246330387E-2</v>
      </c>
      <c r="L511" s="101">
        <f t="shared" si="138"/>
        <v>124.00458972699823</v>
      </c>
      <c r="M511" s="101">
        <f t="shared" si="132"/>
        <v>730.96504508070086</v>
      </c>
      <c r="N511" s="101">
        <f t="shared" si="133"/>
        <v>70.39351757023087</v>
      </c>
      <c r="O511" s="101">
        <f t="shared" si="134"/>
        <v>1.6802859677494917</v>
      </c>
      <c r="P511" s="101">
        <f t="shared" si="135"/>
        <v>1.6802859677494917</v>
      </c>
      <c r="Q511" s="101">
        <f t="shared" si="136"/>
        <v>0.32455479133369558</v>
      </c>
      <c r="R511" s="101">
        <f t="shared" si="137"/>
        <v>1.9576772067523406E-2</v>
      </c>
      <c r="S511" s="101">
        <f t="shared" si="139"/>
        <v>656.86682401156975</v>
      </c>
      <c r="T511" s="101">
        <f t="shared" si="140"/>
        <v>103.5723799339343</v>
      </c>
      <c r="U511" s="101">
        <f t="shared" si="141"/>
        <v>27.23623645631708</v>
      </c>
      <c r="V511" s="33">
        <f t="shared" si="142"/>
        <v>1000.0000000000003</v>
      </c>
      <c r="W511" s="105">
        <f>IF(A511=1,((cPH1_+cPHr+(cNES*L511+(cNES+cOSEX)*G511+(cNES+cEREX)*H511+(cNES+cHOEX)*I511 + (cNES+cNES)*S511 +(cNES+ cOSEX)*N511 + (cNES+cEREX)*O511 + (cNES+cHOEX)*P511)))/(1+cDR)^A$5:A$65536,(cPHr+(cNES*L511+(cNES+cOSEX)*G511+(cNES+cEREX)*H511+(cNES+cHOEX)*I511 + (cNES+cNES)*S511 +(cNES+ cOSEX)*N511 + (cNES+cEREX)*O511 + (cNES+cHOEX)*P511))/(1+cDR)^A$5:A$65536)</f>
        <v>95423.781770457397</v>
      </c>
      <c r="X511" s="112">
        <f t="shared" si="143"/>
        <v>869.19138360974898</v>
      </c>
      <c r="Y511" s="32">
        <f>(uNES*L511+ uOCEX*G511+uEREX*'PH + UC'!H511+uHOEX*I511+uNES*S511+ uOCEX*N511+uEREX*O511+uHOEX*P511)/(1+oDR)^A$5:A$65536</f>
        <v>494.82703904142483</v>
      </c>
    </row>
    <row r="512" spans="1:25" x14ac:dyDescent="0.25">
      <c r="A512" s="4">
        <v>506</v>
      </c>
      <c r="C512" s="110">
        <f>IF(male=0,VLOOKUP(((A510:A1344/'Life tables'!$I$2)*2)+age,lifetable,13,1),IF(male=1,VLOOKUP(((A510:A1344/'Life tables'!$I$2)*2)+age,lifetable,10,1),"error"))</f>
        <v>4.0331437067231413E-4</v>
      </c>
      <c r="F512" s="101">
        <f t="shared" si="126"/>
        <v>138.58853341126976</v>
      </c>
      <c r="G512" s="101">
        <f t="shared" si="127"/>
        <v>13.921508230982084</v>
      </c>
      <c r="H512" s="101">
        <f t="shared" si="128"/>
        <v>0.31857661258785469</v>
      </c>
      <c r="I512" s="101">
        <f t="shared" si="129"/>
        <v>0.31857661258785469</v>
      </c>
      <c r="J512" s="101">
        <f t="shared" si="130"/>
        <v>6.1766464518186799E-2</v>
      </c>
      <c r="K512" s="101">
        <f t="shared" si="131"/>
        <v>2.4972940418951817E-2</v>
      </c>
      <c r="L512" s="101">
        <f t="shared" si="138"/>
        <v>123.94313255017484</v>
      </c>
      <c r="M512" s="101">
        <f t="shared" si="132"/>
        <v>730.60285019847925</v>
      </c>
      <c r="N512" s="101">
        <f t="shared" si="133"/>
        <v>70.35863741833154</v>
      </c>
      <c r="O512" s="101">
        <f t="shared" si="134"/>
        <v>1.6794533821391628</v>
      </c>
      <c r="P512" s="101">
        <f t="shared" si="135"/>
        <v>1.6794533821391628</v>
      </c>
      <c r="Q512" s="101">
        <f t="shared" si="136"/>
        <v>0.32439397367871642</v>
      </c>
      <c r="R512" s="101">
        <f t="shared" si="137"/>
        <v>1.9567071731370542E-2</v>
      </c>
      <c r="S512" s="101">
        <f t="shared" si="139"/>
        <v>656.54134497045925</v>
      </c>
      <c r="T512" s="101">
        <f t="shared" si="140"/>
        <v>103.95854037213121</v>
      </c>
      <c r="U512" s="101">
        <f t="shared" si="141"/>
        <v>27.280776468467401</v>
      </c>
      <c r="V512" s="33">
        <f t="shared" si="142"/>
        <v>1000.0000000000003</v>
      </c>
      <c r="W512" s="105">
        <f>IF(A512=1,((cPH1_+cPHr+(cNES*L512+(cNES+cOSEX)*G512+(cNES+cEREX)*H512+(cNES+cHOEX)*I512 + (cNES+cNES)*S512 +(cNES+ cOSEX)*N512 + (cNES+cEREX)*O512 + (cNES+cHOEX)*P512)))/(1+cDR)^A$5:A$65536,(cPHr+(cNES*L512+(cNES+cOSEX)*G512+(cNES+cEREX)*H512+(cNES+cHOEX)*I512 + (cNES+cNES)*S512 +(cNES+ cOSEX)*N512 + (cNES+cEREX)*O512 + (cNES+cHOEX)*P512))/(1+cDR)^A$5:A$65536)</f>
        <v>95266.882918625473</v>
      </c>
      <c r="X512" s="112">
        <f t="shared" si="143"/>
        <v>868.76068315940176</v>
      </c>
      <c r="Y512" s="32">
        <f>(uNES*L512+ uOCEX*G512+uEREX*'PH + UC'!H512+uHOEX*I512+uNES*S512+ uOCEX*N512+uEREX*O512+uHOEX*P512)/(1+oDR)^A$5:A$65536</f>
        <v>494.43960713634476</v>
      </c>
    </row>
    <row r="513" spans="1:25" x14ac:dyDescent="0.25">
      <c r="A513" s="4">
        <v>507</v>
      </c>
      <c r="C513" s="110">
        <f>IF(male=0,VLOOKUP(((A511:A1345/'Life tables'!$I$2)*2)+age,lifetable,13,1),IF(male=1,VLOOKUP(((A511:A1345/'Life tables'!$I$2)*2)+age,lifetable,10,1),"error"))</f>
        <v>4.0331437067231413E-4</v>
      </c>
      <c r="F513" s="101">
        <f t="shared" si="126"/>
        <v>138.51984890215567</v>
      </c>
      <c r="G513" s="101">
        <f t="shared" si="127"/>
        <v>13.914608728292817</v>
      </c>
      <c r="H513" s="101">
        <f t="shared" si="128"/>
        <v>0.31841872594519938</v>
      </c>
      <c r="I513" s="101">
        <f t="shared" si="129"/>
        <v>0.31841872594519938</v>
      </c>
      <c r="J513" s="101">
        <f t="shared" si="130"/>
        <v>6.173585304412961E-2</v>
      </c>
      <c r="K513" s="101">
        <f t="shared" si="131"/>
        <v>2.4960563823921977E-2</v>
      </c>
      <c r="L513" s="101">
        <f t="shared" si="138"/>
        <v>123.8817063051044</v>
      </c>
      <c r="M513" s="101">
        <f t="shared" si="132"/>
        <v>730.24083425724621</v>
      </c>
      <c r="N513" s="101">
        <f t="shared" si="133"/>
        <v>70.323774498837111</v>
      </c>
      <c r="O513" s="101">
        <f t="shared" si="134"/>
        <v>1.6786212078645524</v>
      </c>
      <c r="P513" s="101">
        <f t="shared" si="135"/>
        <v>1.6786212078645524</v>
      </c>
      <c r="Q513" s="101">
        <f t="shared" si="136"/>
        <v>0.32423323547508132</v>
      </c>
      <c r="R513" s="101">
        <f t="shared" si="137"/>
        <v>1.9557376187631446E-2</v>
      </c>
      <c r="S513" s="101">
        <f t="shared" si="139"/>
        <v>656.21602673101734</v>
      </c>
      <c r="T513" s="101">
        <f t="shared" si="140"/>
        <v>104.34450946065043</v>
      </c>
      <c r="U513" s="101">
        <f t="shared" si="141"/>
        <v>27.325294408478953</v>
      </c>
      <c r="V513" s="33">
        <f t="shared" si="142"/>
        <v>1000.0000000000006</v>
      </c>
      <c r="W513" s="105">
        <f>IF(A513=1,((cPH1_+cPHr+(cNES*L513+(cNES+cOSEX)*G513+(cNES+cEREX)*H513+(cNES+cHOEX)*I513 + (cNES+cNES)*S513 +(cNES+ cOSEX)*N513 + (cNES+cEREX)*O513 + (cNES+cHOEX)*P513)))/(1+cDR)^A$5:A$65536,(cPHr+(cNES*L513+(cNES+cOSEX)*G513+(cNES+cEREX)*H513+(cNES+cHOEX)*I513 + (cNES+cNES)*S513 +(cNES+ cOSEX)*N513 + (cNES+cEREX)*O513 + (cNES+cHOEX)*P513))/(1+cDR)^A$5:A$65536)</f>
        <v>95110.242024176434</v>
      </c>
      <c r="X513" s="112">
        <f t="shared" si="143"/>
        <v>868.33019613087117</v>
      </c>
      <c r="Y513" s="32">
        <f>(uNES*L513+ uOCEX*G513+uEREX*'PH + UC'!H513+uHOEX*I513+uNES*S513+ uOCEX*N513+uEREX*O513+uHOEX*P513)/(1+oDR)^A$5:A$65536</f>
        <v>494.05247857742864</v>
      </c>
    </row>
    <row r="514" spans="1:25" x14ac:dyDescent="0.25">
      <c r="A514" s="4">
        <v>508</v>
      </c>
      <c r="C514" s="110">
        <f>IF(male=0,VLOOKUP(((A512:A1346/'Life tables'!$I$2)*2)+age,lifetable,13,1),IF(male=1,VLOOKUP(((A512:A1346/'Life tables'!$I$2)*2)+age,lifetable,10,1),"error"))</f>
        <v>4.0331437067231413E-4</v>
      </c>
      <c r="F514" s="101">
        <f t="shared" si="126"/>
        <v>138.45119893848019</v>
      </c>
      <c r="G514" s="101">
        <f t="shared" si="127"/>
        <v>13.907712695765156</v>
      </c>
      <c r="H514" s="101">
        <f t="shared" si="128"/>
        <v>0.31826091871292922</v>
      </c>
      <c r="I514" s="101">
        <f t="shared" si="129"/>
        <v>0.31826091871292922</v>
      </c>
      <c r="J514" s="101">
        <f t="shared" si="130"/>
        <v>6.1705256966364981E-2</v>
      </c>
      <c r="K514" s="101">
        <f t="shared" si="131"/>
        <v>2.4948193453802368E-2</v>
      </c>
      <c r="L514" s="101">
        <f t="shared" si="138"/>
        <v>123.82031095486902</v>
      </c>
      <c r="M514" s="101">
        <f t="shared" si="132"/>
        <v>729.87899719239101</v>
      </c>
      <c r="N514" s="101">
        <f t="shared" si="133"/>
        <v>70.28892880552543</v>
      </c>
      <c r="O514" s="101">
        <f t="shared" si="134"/>
        <v>1.6777894447771386</v>
      </c>
      <c r="P514" s="101">
        <f t="shared" si="135"/>
        <v>1.6777894447771386</v>
      </c>
      <c r="Q514" s="101">
        <f t="shared" si="136"/>
        <v>0.32407257669410244</v>
      </c>
      <c r="R514" s="101">
        <f t="shared" si="137"/>
        <v>1.9547685434575711E-2</v>
      </c>
      <c r="S514" s="101">
        <f t="shared" si="139"/>
        <v>655.89086923518266</v>
      </c>
      <c r="T514" s="101">
        <f t="shared" si="140"/>
        <v>104.7302872943109</v>
      </c>
      <c r="U514" s="101">
        <f t="shared" si="141"/>
        <v>27.36979028736733</v>
      </c>
      <c r="V514" s="33">
        <f t="shared" si="142"/>
        <v>1000.0000000000006</v>
      </c>
      <c r="W514" s="105">
        <f>IF(A514=1,((cPH1_+cPHr+(cNES*L514+(cNES+cOSEX)*G514+(cNES+cEREX)*H514+(cNES+cHOEX)*I514 + (cNES+cNES)*S514 +(cNES+ cOSEX)*N514 + (cNES+cEREX)*O514 + (cNES+cHOEX)*P514)))/(1+cDR)^A$5:A$65536,(cPHr+(cNES*L514+(cNES+cOSEX)*G514+(cNES+cEREX)*H514+(cNES+cHOEX)*I514 + (cNES+cNES)*S514 +(cNES+ cOSEX)*N514 + (cNES+cEREX)*O514 + (cNES+cHOEX)*P514))/(1+cDR)^A$5:A$65536)</f>
        <v>94953.858664116327</v>
      </c>
      <c r="X514" s="112">
        <f t="shared" si="143"/>
        <v>867.89992241832238</v>
      </c>
      <c r="Y514" s="32">
        <f>(uNES*L514+ uOCEX*G514+uEREX*'PH + UC'!H514+uHOEX*I514+uNES*S514+ uOCEX*N514+uEREX*O514+uHOEX*P514)/(1+oDR)^A$5:A$65536</f>
        <v>493.66565312712919</v>
      </c>
    </row>
    <row r="515" spans="1:25" x14ac:dyDescent="0.25">
      <c r="A515" s="4">
        <v>509</v>
      </c>
      <c r="C515" s="110">
        <f>IF(male=0,VLOOKUP(((A513:A1347/'Life tables'!$I$2)*2)+age,lifetable,13,1),IF(male=1,VLOOKUP(((A513:A1347/'Life tables'!$I$2)*2)+age,lifetable,10,1),"error"))</f>
        <v>4.0331437067231413E-4</v>
      </c>
      <c r="F515" s="101">
        <f t="shared" si="126"/>
        <v>138.38258348007275</v>
      </c>
      <c r="G515" s="101">
        <f t="shared" si="127"/>
        <v>13.900820129363886</v>
      </c>
      <c r="H515" s="101">
        <f t="shared" si="128"/>
        <v>0.31810319079870319</v>
      </c>
      <c r="I515" s="101">
        <f t="shared" si="129"/>
        <v>0.31810319079870319</v>
      </c>
      <c r="J515" s="101">
        <f t="shared" si="130"/>
        <v>6.1674676266989616E-2</v>
      </c>
      <c r="K515" s="101">
        <f t="shared" si="131"/>
        <v>2.4935829301354465E-2</v>
      </c>
      <c r="L515" s="101">
        <f t="shared" si="138"/>
        <v>123.75894646354311</v>
      </c>
      <c r="M515" s="101">
        <f t="shared" si="132"/>
        <v>729.51733893824951</v>
      </c>
      <c r="N515" s="101">
        <f t="shared" si="133"/>
        <v>70.254100332072881</v>
      </c>
      <c r="O515" s="101">
        <f t="shared" si="134"/>
        <v>1.676958092725978</v>
      </c>
      <c r="P515" s="101">
        <f t="shared" si="135"/>
        <v>1.676958092725978</v>
      </c>
      <c r="Q515" s="101">
        <f t="shared" si="136"/>
        <v>0.32391199730662423</v>
      </c>
      <c r="R515" s="101">
        <f t="shared" si="137"/>
        <v>1.9537999470444711E-2</v>
      </c>
      <c r="S515" s="101">
        <f t="shared" si="139"/>
        <v>655.56587242394755</v>
      </c>
      <c r="T515" s="101">
        <f t="shared" si="140"/>
        <v>105.11587396788451</v>
      </c>
      <c r="U515" s="101">
        <f t="shared" si="141"/>
        <v>27.41426411613913</v>
      </c>
      <c r="V515" s="33">
        <f t="shared" si="142"/>
        <v>1000.0000000000006</v>
      </c>
      <c r="W515" s="105">
        <f>IF(A515=1,((cPH1_+cPHr+(cNES*L515+(cNES+cOSEX)*G515+(cNES+cEREX)*H515+(cNES+cHOEX)*I515 + (cNES+cNES)*S515 +(cNES+ cOSEX)*N515 + (cNES+cEREX)*O515 + (cNES+cHOEX)*P515)))/(1+cDR)^A$5:A$65536,(cPHr+(cNES*L515+(cNES+cOSEX)*G515+(cNES+cEREX)*H515+(cNES+cHOEX)*I515 + (cNES+cNES)*S515 +(cNES+ cOSEX)*N515 + (cNES+cEREX)*O515 + (cNES+cHOEX)*P515))/(1+cDR)^A$5:A$65536)</f>
        <v>94797.732416092753</v>
      </c>
      <c r="X515" s="112">
        <f t="shared" si="143"/>
        <v>867.46986191597682</v>
      </c>
      <c r="Y515" s="32">
        <f>(uNES*L515+ uOCEX*G515+uEREX*'PH + UC'!H515+uHOEX*I515+uNES*S515+ uOCEX*N515+uEREX*O515+uHOEX*P515)/(1+oDR)^A$5:A$65536</f>
        <v>493.2791305480871</v>
      </c>
    </row>
    <row r="516" spans="1:25" x14ac:dyDescent="0.25">
      <c r="A516" s="4">
        <v>510</v>
      </c>
      <c r="C516" s="110">
        <f>IF(male=0,VLOOKUP(((A514:A1348/'Life tables'!$I$2)*2)+age,lifetable,13,1),IF(male=1,VLOOKUP(((A514:A1348/'Life tables'!$I$2)*2)+age,lifetable,10,1),"error"))</f>
        <v>4.0331437067231413E-4</v>
      </c>
      <c r="F516" s="101">
        <f t="shared" si="126"/>
        <v>138.31400248782271</v>
      </c>
      <c r="G516" s="101">
        <f t="shared" si="127"/>
        <v>13.893931025160262</v>
      </c>
      <c r="H516" s="101">
        <f t="shared" si="128"/>
        <v>0.31794554211261677</v>
      </c>
      <c r="I516" s="101">
        <f t="shared" si="129"/>
        <v>0.31794554211261677</v>
      </c>
      <c r="J516" s="101">
        <f t="shared" si="130"/>
        <v>6.1644110928572596E-2</v>
      </c>
      <c r="K516" s="101">
        <f t="shared" si="131"/>
        <v>2.4923471359530731E-2</v>
      </c>
      <c r="L516" s="101">
        <f t="shared" si="138"/>
        <v>123.69761279614912</v>
      </c>
      <c r="M516" s="101">
        <f t="shared" si="132"/>
        <v>729.15585942815403</v>
      </c>
      <c r="N516" s="101">
        <f t="shared" si="133"/>
        <v>70.21928907205924</v>
      </c>
      <c r="O516" s="101">
        <f t="shared" si="134"/>
        <v>1.6761271515578193</v>
      </c>
      <c r="P516" s="101">
        <f t="shared" si="135"/>
        <v>1.6761271515578193</v>
      </c>
      <c r="Q516" s="101">
        <f t="shared" si="136"/>
        <v>0.32375149728304575</v>
      </c>
      <c r="R516" s="101">
        <f t="shared" si="137"/>
        <v>1.9528318293452945E-2</v>
      </c>
      <c r="S516" s="101">
        <f t="shared" si="139"/>
        <v>655.24103623740268</v>
      </c>
      <c r="T516" s="101">
        <f t="shared" si="140"/>
        <v>105.50126957609613</v>
      </c>
      <c r="U516" s="101">
        <f t="shared" si="141"/>
        <v>27.458715905792115</v>
      </c>
      <c r="V516" s="33">
        <f t="shared" si="142"/>
        <v>1000.0000000000003</v>
      </c>
      <c r="W516" s="105">
        <f>IF(A516=1,((cPH1_+cPHr+(cNES*L516+(cNES+cOSEX)*G516+(cNES+cEREX)*H516+(cNES+cHOEX)*I516 + (cNES+cNES)*S516 +(cNES+ cOSEX)*N516 + (cNES+cEREX)*O516 + (cNES+cHOEX)*P516)))/(1+cDR)^A$5:A$65536,(cPHr+(cNES*L516+(cNES+cOSEX)*G516+(cNES+cEREX)*H516+(cNES+cHOEX)*I516 + (cNES+cNES)*S516 +(cNES+ cOSEX)*N516 + (cNES+cEREX)*O516 + (cNES+cHOEX)*P516))/(1+cDR)^A$5:A$65536)</f>
        <v>94641.862858397129</v>
      </c>
      <c r="X516" s="112">
        <f t="shared" si="143"/>
        <v>867.04001451811223</v>
      </c>
      <c r="Y516" s="32">
        <f>(uNES*L516+ uOCEX*G516+uEREX*'PH + UC'!H516+uHOEX*I516+uNES*S516+ uOCEX*N516+uEREX*O516+uHOEX*P516)/(1+oDR)^A$5:A$65536</f>
        <v>492.89291060313133</v>
      </c>
    </row>
    <row r="517" spans="1:25" x14ac:dyDescent="0.25">
      <c r="A517" s="4">
        <v>511</v>
      </c>
      <c r="C517" s="110">
        <f>IF(male=0,VLOOKUP(((A515:A1349/'Life tables'!$I$2)*2)+age,lifetable,13,1),IF(male=1,VLOOKUP(((A515:A1349/'Life tables'!$I$2)*2)+age,lifetable,10,1),"error"))</f>
        <v>4.0331437067231413E-4</v>
      </c>
      <c r="F517" s="101">
        <f t="shared" si="126"/>
        <v>138.24545592363185</v>
      </c>
      <c r="G517" s="101">
        <f t="shared" si="127"/>
        <v>13.887045379327235</v>
      </c>
      <c r="H517" s="101">
        <f t="shared" si="128"/>
        <v>0.31778797256709268</v>
      </c>
      <c r="I517" s="101">
        <f t="shared" si="129"/>
        <v>0.31778797256709268</v>
      </c>
      <c r="J517" s="101">
        <f t="shared" si="130"/>
        <v>6.1613560934134205E-2</v>
      </c>
      <c r="K517" s="101">
        <f t="shared" si="131"/>
        <v>2.4911119621466065E-2</v>
      </c>
      <c r="L517" s="101">
        <f t="shared" si="138"/>
        <v>123.63630991861483</v>
      </c>
      <c r="M517" s="101">
        <f t="shared" si="132"/>
        <v>728.79455859448035</v>
      </c>
      <c r="N517" s="101">
        <f t="shared" si="133"/>
        <v>70.184495018972157</v>
      </c>
      <c r="O517" s="101">
        <f t="shared" si="134"/>
        <v>1.6752966211172138</v>
      </c>
      <c r="P517" s="101">
        <f t="shared" si="135"/>
        <v>1.6752966211172138</v>
      </c>
      <c r="Q517" s="101">
        <f t="shared" si="136"/>
        <v>0.32359107659334141</v>
      </c>
      <c r="R517" s="101">
        <f t="shared" si="137"/>
        <v>1.9518641901789299E-2</v>
      </c>
      <c r="S517" s="101">
        <f t="shared" si="139"/>
        <v>654.91636061477868</v>
      </c>
      <c r="T517" s="101">
        <f t="shared" si="140"/>
        <v>105.88647421362361</v>
      </c>
      <c r="U517" s="101">
        <f t="shared" si="141"/>
        <v>27.503145667315369</v>
      </c>
      <c r="V517" s="33">
        <f t="shared" si="142"/>
        <v>1000.0000000000006</v>
      </c>
      <c r="W517" s="105">
        <f>IF(A517=1,((cPH1_+cPHr+(cNES*L517+(cNES+cOSEX)*G517+(cNES+cEREX)*H517+(cNES+cHOEX)*I517 + (cNES+cNES)*S517 +(cNES+ cOSEX)*N517 + (cNES+cEREX)*O517 + (cNES+cHOEX)*P517)))/(1+cDR)^A$5:A$65536,(cPHr+(cNES*L517+(cNES+cOSEX)*G517+(cNES+cEREX)*H517+(cNES+cHOEX)*I517 + (cNES+cNES)*S517 +(cNES+ cOSEX)*N517 + (cNES+cEREX)*O517 + (cNES+cHOEX)*P517))/(1+cDR)^A$5:A$65536)</f>
        <v>94486.249569965235</v>
      </c>
      <c r="X517" s="112">
        <f t="shared" si="143"/>
        <v>866.61038011906157</v>
      </c>
      <c r="Y517" s="32">
        <f>(uNES*L517+ uOCEX*G517+uEREX*'PH + UC'!H517+uHOEX*I517+uNES*S517+ uOCEX*N517+uEREX*O517+uHOEX*P517)/(1+oDR)^A$5:A$65536</f>
        <v>492.50699305527735</v>
      </c>
    </row>
    <row r="518" spans="1:25" x14ac:dyDescent="0.25">
      <c r="A518" s="4">
        <v>512</v>
      </c>
      <c r="C518" s="110">
        <f>IF(male=0,VLOOKUP(((A516:A1350/'Life tables'!$I$2)*2)+age,lifetable,13,1),IF(male=1,VLOOKUP(((A516:A1350/'Life tables'!$I$2)*2)+age,lifetable,10,1),"error"))</f>
        <v>4.0331437067231413E-4</v>
      </c>
      <c r="F518" s="101">
        <f t="shared" si="126"/>
        <v>138.17694375036893</v>
      </c>
      <c r="G518" s="101">
        <f t="shared" si="127"/>
        <v>13.880163188134896</v>
      </c>
      <c r="H518" s="101">
        <f t="shared" si="128"/>
        <v>0.31763048207677658</v>
      </c>
      <c r="I518" s="101">
        <f t="shared" si="129"/>
        <v>0.31763048207677658</v>
      </c>
      <c r="J518" s="101">
        <f t="shared" si="130"/>
        <v>6.1583026267125716E-2</v>
      </c>
      <c r="K518" s="101">
        <f t="shared" si="131"/>
        <v>2.4898774080469609E-2</v>
      </c>
      <c r="L518" s="101">
        <f t="shared" si="138"/>
        <v>123.57503779773289</v>
      </c>
      <c r="M518" s="101">
        <f t="shared" si="132"/>
        <v>728.43343636869258</v>
      </c>
      <c r="N518" s="101">
        <f t="shared" si="133"/>
        <v>70.149718166211457</v>
      </c>
      <c r="O518" s="101">
        <f t="shared" si="134"/>
        <v>1.6744665012466164</v>
      </c>
      <c r="P518" s="101">
        <f t="shared" si="135"/>
        <v>1.6744665012466164</v>
      </c>
      <c r="Q518" s="101">
        <f t="shared" si="136"/>
        <v>0.32343073520708043</v>
      </c>
      <c r="R518" s="101">
        <f t="shared" si="137"/>
        <v>1.9508970293618238E-2</v>
      </c>
      <c r="S518" s="101">
        <f t="shared" si="139"/>
        <v>654.59184549448719</v>
      </c>
      <c r="T518" s="101">
        <f t="shared" si="140"/>
        <v>106.27148797509783</v>
      </c>
      <c r="U518" s="101">
        <f t="shared" si="141"/>
        <v>27.547553411689456</v>
      </c>
      <c r="V518" s="33">
        <f t="shared" si="142"/>
        <v>1000.0000000000006</v>
      </c>
      <c r="W518" s="105">
        <f>IF(A518=1,((cPH1_+cPHr+(cNES*L518+(cNES+cOSEX)*G518+(cNES+cEREX)*H518+(cNES+cHOEX)*I518 + (cNES+cNES)*S518 +(cNES+ cOSEX)*N518 + (cNES+cEREX)*O518 + (cNES+cHOEX)*P518)))/(1+cDR)^A$5:A$65536,(cPHr+(cNES*L518+(cNES+cOSEX)*G518+(cNES+cEREX)*H518+(cNES+cHOEX)*I518 + (cNES+cNES)*S518 +(cNES+ cOSEX)*N518 + (cNES+cEREX)*O518 + (cNES+cHOEX)*P518))/(1+cDR)^A$5:A$65536)</f>
        <v>94330.892130379114</v>
      </c>
      <c r="X518" s="112">
        <f t="shared" si="143"/>
        <v>866.18095861321319</v>
      </c>
      <c r="Y518" s="32">
        <f>(uNES*L518+ uOCEX*G518+uEREX*'PH + UC'!H518+uHOEX*I518+uNES*S518+ uOCEX*N518+uEREX*O518+uHOEX*P518)/(1+oDR)^A$5:A$65536</f>
        <v>492.12137766772719</v>
      </c>
    </row>
    <row r="519" spans="1:25" x14ac:dyDescent="0.25">
      <c r="A519" s="4">
        <v>513</v>
      </c>
      <c r="C519" s="110">
        <f>IF(male=0,VLOOKUP(((A517:A1351/'Life tables'!$I$2)*2)+age,lifetable,13,1),IF(male=1,VLOOKUP(((A517:A1351/'Life tables'!$I$2)*2)+age,lifetable,10,1),"error"))</f>
        <v>4.0331437067231413E-4</v>
      </c>
      <c r="F519" s="101">
        <f t="shared" ref="F519:F582" si="144">E518*(1-pCAPH)+(L518+G518+H518+I518)*(1-pCAPH)+(S518+N518+O518+P518)*(pUAPH)</f>
        <v>138.10846593182683</v>
      </c>
      <c r="G519" s="101">
        <f t="shared" ref="G519:G582" si="145">F519*(rrOSEX)</f>
        <v>13.873284447946164</v>
      </c>
      <c r="H519" s="101">
        <f t="shared" ref="H519:H582" si="146">F519*rrEREX</f>
        <v>0.31747307055843826</v>
      </c>
      <c r="I519" s="101">
        <f t="shared" ref="I519:I582" si="147">F519*rrHOEX</f>
        <v>0.31747307055843826</v>
      </c>
      <c r="J519" s="101">
        <f t="shared" ref="J519:J582" si="148">F519*mr + G519*mr + H519*mr+I519*mr</f>
        <v>6.1552506911410253E-2</v>
      </c>
      <c r="K519" s="101">
        <f t="shared" ref="K519:K582" si="149">F519*amr + I519*amrHOEX</f>
        <v>2.4886434730017021E-2</v>
      </c>
      <c r="L519" s="101">
        <f t="shared" si="138"/>
        <v>123.51379640112236</v>
      </c>
      <c r="M519" s="101">
        <f t="shared" ref="M519:M582" si="150">E518*pCAPH+(L518+G518+H518+I518)*pCAPH+(S518+N518+O518+P518)*(1-pUAPH)</f>
        <v>728.07249268138628</v>
      </c>
      <c r="N519" s="101">
        <f t="shared" ref="N519:N582" si="151">M519*rrOSEXc</f>
        <v>70.114958507093334</v>
      </c>
      <c r="O519" s="101">
        <f t="shared" ref="O519:O582" si="152">M519*rrEREXc</f>
        <v>1.6736367917864854</v>
      </c>
      <c r="P519" s="101">
        <f t="shared" ref="P519:P582" si="153">M519*rrHOEXc</f>
        <v>1.6736367917864854</v>
      </c>
      <c r="Q519" s="101">
        <f t="shared" ref="Q519:Q582" si="154">M519*mr + N519*mr + O519*mr+P519*mr</f>
        <v>0.32327047309344681</v>
      </c>
      <c r="R519" s="101">
        <f t="shared" ref="R519:R582" si="155">M519*amrc + P519*amrHOEX</f>
        <v>1.9499303467080963E-2</v>
      </c>
      <c r="S519" s="101">
        <f t="shared" si="139"/>
        <v>654.26749081415949</v>
      </c>
      <c r="T519" s="101">
        <f t="shared" si="140"/>
        <v>106.65631095510268</v>
      </c>
      <c r="U519" s="101">
        <f t="shared" si="141"/>
        <v>27.591939149886553</v>
      </c>
      <c r="V519" s="33">
        <f t="shared" si="142"/>
        <v>1000.0000000000005</v>
      </c>
      <c r="W519" s="105">
        <f>IF(A519=1,((cPH1_+cPHr+(cNES*L519+(cNES+cOSEX)*G519+(cNES+cEREX)*H519+(cNES+cHOEX)*I519 + (cNES+cNES)*S519 +(cNES+ cOSEX)*N519 + (cNES+cEREX)*O519 + (cNES+cHOEX)*P519)))/(1+cDR)^A$5:A$65536,(cPHr+(cNES*L519+(cNES+cOSEX)*G519+(cNES+cEREX)*H519+(cNES+cHOEX)*I519 + (cNES+cNES)*S519 +(cNES+ cOSEX)*N519 + (cNES+cEREX)*O519 + (cNES+cHOEX)*P519))/(1+cDR)^A$5:A$65536)</f>
        <v>94175.790119867408</v>
      </c>
      <c r="X519" s="112">
        <f t="shared" si="143"/>
        <v>865.75174989501124</v>
      </c>
      <c r="Y519" s="32">
        <f>(uNES*L519+ uOCEX*G519+uEREX*'PH + UC'!H519+uHOEX*I519+uNES*S519+ uOCEX*N519+uEREX*O519+uHOEX*P519)/(1+oDR)^A$5:A$65536</f>
        <v>491.73606420387119</v>
      </c>
    </row>
    <row r="520" spans="1:25" x14ac:dyDescent="0.25">
      <c r="A520" s="4">
        <v>514</v>
      </c>
      <c r="C520" s="110">
        <f>IF(male=0,VLOOKUP(((A518:A1352/'Life tables'!$I$2)*2)+age,lifetable,13,1),IF(male=1,VLOOKUP(((A518:A1352/'Life tables'!$I$2)*2)+age,lifetable,10,1),"error"))</f>
        <v>4.0331437067231413E-4</v>
      </c>
      <c r="F520" s="101">
        <f t="shared" si="144"/>
        <v>138.0400224326809</v>
      </c>
      <c r="G520" s="101">
        <f t="shared" si="145"/>
        <v>13.866409155212603</v>
      </c>
      <c r="H520" s="101">
        <f t="shared" si="146"/>
        <v>0.3173157379308762</v>
      </c>
      <c r="I520" s="101">
        <f t="shared" si="147"/>
        <v>0.3173157379308762</v>
      </c>
      <c r="J520" s="101">
        <f t="shared" si="148"/>
        <v>6.1522002851244227E-2</v>
      </c>
      <c r="K520" s="101">
        <f t="shared" si="149"/>
        <v>2.4874101563742989E-2</v>
      </c>
      <c r="L520" s="101">
        <f t="shared" ref="L520:L583" si="156">F520-SUM(G520:K520)</f>
        <v>123.45258569719155</v>
      </c>
      <c r="M520" s="101">
        <f t="shared" si="150"/>
        <v>727.71172746233026</v>
      </c>
      <c r="N520" s="101">
        <f t="shared" si="151"/>
        <v>70.080216034854402</v>
      </c>
      <c r="O520" s="101">
        <f t="shared" si="152"/>
        <v>1.6728074925753789</v>
      </c>
      <c r="P520" s="101">
        <f t="shared" si="153"/>
        <v>1.6728074925753789</v>
      </c>
      <c r="Q520" s="101">
        <f t="shared" si="154"/>
        <v>0.32311029022125737</v>
      </c>
      <c r="R520" s="101">
        <f t="shared" si="155"/>
        <v>1.9489641420296536E-2</v>
      </c>
      <c r="S520" s="101">
        <f t="shared" ref="S520:S583" si="157">M520-SUM(N520:R520)</f>
        <v>653.94329651068358</v>
      </c>
      <c r="T520" s="101">
        <f t="shared" ref="T520:T583" si="158">J520+Q520+T519</f>
        <v>107.04094324817518</v>
      </c>
      <c r="U520" s="101">
        <f t="shared" ref="U520:U583" si="159">K520+R520+U519</f>
        <v>27.636302892870592</v>
      </c>
      <c r="V520" s="33">
        <f t="shared" ref="V520:V583" si="160">SUM(G520:I520,L520,N520,O520,P520,S520,T520,U520)</f>
        <v>1000.0000000000005</v>
      </c>
      <c r="W520" s="105">
        <f>IF(A520=1,((cPH1_+cPHr+(cNES*L520+(cNES+cOSEX)*G520+(cNES+cEREX)*H520+(cNES+cHOEX)*I520 + (cNES+cNES)*S520 +(cNES+ cOSEX)*N520 + (cNES+cEREX)*O520 + (cNES+cHOEX)*P520)))/(1+cDR)^A$5:A$65536,(cPHr+(cNES*L520+(cNES+cOSEX)*G520+(cNES+cEREX)*H520+(cNES+cHOEX)*I520 + (cNES+cNES)*S520 +(cNES+ cOSEX)*N520 + (cNES+cEREX)*O520 + (cNES+cHOEX)*P520))/(1+cDR)^A$5:A$65536)</f>
        <v>94020.943119306918</v>
      </c>
      <c r="X520" s="112">
        <f t="shared" ref="X520:X583" si="161">(L520+G520+H520+I520+N520+O520+P520+S520)</f>
        <v>865.32275385895468</v>
      </c>
      <c r="Y520" s="32">
        <f>(uNES*L520+ uOCEX*G520+uEREX*'PH + UC'!H520+uHOEX*I520+uNES*S520+ uOCEX*N520+uEREX*O520+uHOEX*P520)/(1+oDR)^A$5:A$65536</f>
        <v>491.3510524272848</v>
      </c>
    </row>
    <row r="521" spans="1:25" x14ac:dyDescent="0.25">
      <c r="A521" s="4">
        <v>515</v>
      </c>
      <c r="C521" s="110">
        <f>IF(male=0,VLOOKUP(((A519:A1353/'Life tables'!$I$2)*2)+age,lifetable,13,1),IF(male=1,VLOOKUP(((A519:A1353/'Life tables'!$I$2)*2)+age,lifetable,10,1),"error"))</f>
        <v>4.0331437067231413E-4</v>
      </c>
      <c r="F521" s="101">
        <f t="shared" si="144"/>
        <v>137.97161321844965</v>
      </c>
      <c r="G521" s="101">
        <f t="shared" si="145"/>
        <v>13.859537306470477</v>
      </c>
      <c r="H521" s="101">
        <f t="shared" si="146"/>
        <v>0.31715848411482694</v>
      </c>
      <c r="I521" s="101">
        <f t="shared" si="147"/>
        <v>0.31715848411482694</v>
      </c>
      <c r="J521" s="101">
        <f t="shared" si="148"/>
        <v>6.1491514071259863E-2</v>
      </c>
      <c r="K521" s="101">
        <f t="shared" si="149"/>
        <v>2.4861774575434117E-2</v>
      </c>
      <c r="L521" s="101">
        <f t="shared" si="156"/>
        <v>123.39140565510282</v>
      </c>
      <c r="M521" s="101">
        <f t="shared" si="150"/>
        <v>727.35114064050504</v>
      </c>
      <c r="N521" s="101">
        <f t="shared" si="151"/>
        <v>70.045490742655318</v>
      </c>
      <c r="O521" s="101">
        <f t="shared" si="152"/>
        <v>1.6719786034500426</v>
      </c>
      <c r="P521" s="101">
        <f t="shared" si="153"/>
        <v>1.6719786034500426</v>
      </c>
      <c r="Q521" s="101">
        <f t="shared" si="154"/>
        <v>0.32295018655897867</v>
      </c>
      <c r="R521" s="101">
        <f t="shared" si="155"/>
        <v>1.9479984151362907E-2</v>
      </c>
      <c r="S521" s="101">
        <f t="shared" si="157"/>
        <v>653.61926252023932</v>
      </c>
      <c r="T521" s="101">
        <f t="shared" si="158"/>
        <v>107.42538494880542</v>
      </c>
      <c r="U521" s="101">
        <f t="shared" si="159"/>
        <v>27.68064465159739</v>
      </c>
      <c r="V521" s="33">
        <f t="shared" si="160"/>
        <v>1000.0000000000006</v>
      </c>
      <c r="W521" s="105">
        <f>IF(A521=1,((cPH1_+cPHr+(cNES*L521+(cNES+cOSEX)*G521+(cNES+cEREX)*H521+(cNES+cHOEX)*I521 + (cNES+cNES)*S521 +(cNES+ cOSEX)*N521 + (cNES+cEREX)*O521 + (cNES+cHOEX)*P521)))/(1+cDR)^A$5:A$65536,(cPHr+(cNES*L521+(cNES+cOSEX)*G521+(cNES+cEREX)*H521+(cNES+cHOEX)*I521 + (cNES+cNES)*S521 +(cNES+ cOSEX)*N521 + (cNES+cEREX)*O521 + (cNES+cHOEX)*P521))/(1+cDR)^A$5:A$65536)</f>
        <v>93866.35071022324</v>
      </c>
      <c r="X521" s="112">
        <f t="shared" si="161"/>
        <v>864.89397039959772</v>
      </c>
      <c r="Y521" s="32">
        <f>(uNES*L521+ uOCEX*G521+uEREX*'PH + UC'!H521+uHOEX*I521+uNES*S521+ uOCEX*N521+uEREX*O521+uHOEX*P521)/(1+oDR)^A$5:A$65536</f>
        <v>490.96634210173102</v>
      </c>
    </row>
    <row r="522" spans="1:25" x14ac:dyDescent="0.25">
      <c r="A522" s="4">
        <v>516</v>
      </c>
      <c r="C522" s="110">
        <f>IF(male=0,VLOOKUP(((A520:A1354/'Life tables'!$I$2)*2)+age,lifetable,13,1),IF(male=1,VLOOKUP(((A520:A1354/'Life tables'!$I$2)*2)+age,lifetable,10,1),"error"))</f>
        <v>4.0331437067231413E-4</v>
      </c>
      <c r="F522" s="101">
        <f t="shared" si="144"/>
        <v>137.90323825545704</v>
      </c>
      <c r="G522" s="101">
        <f t="shared" si="145"/>
        <v>13.852668898336956</v>
      </c>
      <c r="H522" s="101">
        <f t="shared" si="146"/>
        <v>0.31700130903287871</v>
      </c>
      <c r="I522" s="101">
        <f t="shared" si="147"/>
        <v>0.31700130903287871</v>
      </c>
      <c r="J522" s="101">
        <f t="shared" si="148"/>
        <v>6.1461040556448347E-2</v>
      </c>
      <c r="K522" s="101">
        <f t="shared" si="149"/>
        <v>2.4849453759022158E-2</v>
      </c>
      <c r="L522" s="101">
        <f t="shared" si="156"/>
        <v>123.33025624473885</v>
      </c>
      <c r="M522" s="101">
        <f t="shared" si="150"/>
        <v>726.99073214414068</v>
      </c>
      <c r="N522" s="101">
        <f t="shared" si="151"/>
        <v>70.010782623584475</v>
      </c>
      <c r="O522" s="101">
        <f t="shared" si="152"/>
        <v>1.6711501242454976</v>
      </c>
      <c r="P522" s="101">
        <f t="shared" si="153"/>
        <v>1.6711501242454976</v>
      </c>
      <c r="Q522" s="101">
        <f t="shared" si="154"/>
        <v>0.32279016207474426</v>
      </c>
      <c r="R522" s="101">
        <f t="shared" si="155"/>
        <v>1.9470331658357935E-2</v>
      </c>
      <c r="S522" s="101">
        <f t="shared" si="157"/>
        <v>653.29538877833215</v>
      </c>
      <c r="T522" s="101">
        <f t="shared" si="158"/>
        <v>107.80963615143661</v>
      </c>
      <c r="U522" s="101">
        <f t="shared" si="159"/>
        <v>27.724964437014769</v>
      </c>
      <c r="V522" s="33">
        <f t="shared" si="160"/>
        <v>1000.0000000000006</v>
      </c>
      <c r="W522" s="105">
        <f>IF(A522=1,((cPH1_+cPHr+(cNES*L522+(cNES+cOSEX)*G522+(cNES+cEREX)*H522+(cNES+cHOEX)*I522 + (cNES+cNES)*S522 +(cNES+ cOSEX)*N522 + (cNES+cEREX)*O522 + (cNES+cHOEX)*P522)))/(1+cDR)^A$5:A$65536,(cPHr+(cNES*L522+(cNES+cOSEX)*G522+(cNES+cEREX)*H522+(cNES+cHOEX)*I522 + (cNES+cNES)*S522 +(cNES+ cOSEX)*N522 + (cNES+cEREX)*O522 + (cNES+cHOEX)*P522))/(1+cDR)^A$5:A$65536)</f>
        <v>93712.012474791671</v>
      </c>
      <c r="X522" s="112">
        <f t="shared" si="161"/>
        <v>864.46539941154924</v>
      </c>
      <c r="Y522" s="32">
        <f>(uNES*L522+ uOCEX*G522+uEREX*'PH + UC'!H522+uHOEX*I522+uNES*S522+ uOCEX*N522+uEREX*O522+uHOEX*P522)/(1+oDR)^A$5:A$65536</f>
        <v>490.581932991158</v>
      </c>
    </row>
    <row r="523" spans="1:25" x14ac:dyDescent="0.25">
      <c r="A523" s="4">
        <v>517</v>
      </c>
      <c r="C523" s="110">
        <f>IF(male=0,VLOOKUP(((A521:A1355/'Life tables'!$I$2)*2)+age,lifetable,13,1),IF(male=1,VLOOKUP(((A521:A1355/'Life tables'!$I$2)*2)+age,lifetable,10,1),"error"))</f>
        <v>4.0331437067231413E-4</v>
      </c>
      <c r="F523" s="101">
        <f t="shared" si="144"/>
        <v>137.83489751079657</v>
      </c>
      <c r="G523" s="101">
        <f t="shared" si="145"/>
        <v>13.845803927506513</v>
      </c>
      <c r="H523" s="101">
        <f t="shared" si="146"/>
        <v>0.3168442126093885</v>
      </c>
      <c r="I523" s="101">
        <f t="shared" si="147"/>
        <v>0.3168442126093885</v>
      </c>
      <c r="J523" s="101">
        <f t="shared" si="148"/>
        <v>6.1430582292143814E-2</v>
      </c>
      <c r="K523" s="101">
        <f t="shared" si="149"/>
        <v>2.4837139108577537E-2</v>
      </c>
      <c r="L523" s="101">
        <f t="shared" si="156"/>
        <v>123.26913743667055</v>
      </c>
      <c r="M523" s="101">
        <f t="shared" si="150"/>
        <v>726.63050190075262</v>
      </c>
      <c r="N523" s="101">
        <f t="shared" si="151"/>
        <v>69.976091670661461</v>
      </c>
      <c r="O523" s="101">
        <f t="shared" si="152"/>
        <v>1.6703220547951216</v>
      </c>
      <c r="P523" s="101">
        <f t="shared" si="153"/>
        <v>1.6703220547951216</v>
      </c>
      <c r="Q523" s="101">
        <f t="shared" si="154"/>
        <v>0.32263021673637038</v>
      </c>
      <c r="R523" s="101">
        <f t="shared" si="155"/>
        <v>1.9460683939340317E-2</v>
      </c>
      <c r="S523" s="101">
        <f t="shared" si="157"/>
        <v>652.97167521982522</v>
      </c>
      <c r="T523" s="101">
        <f t="shared" si="158"/>
        <v>108.19369695046512</v>
      </c>
      <c r="U523" s="101">
        <f t="shared" si="159"/>
        <v>27.769262260062685</v>
      </c>
      <c r="V523" s="33">
        <f t="shared" si="160"/>
        <v>1000.0000000000005</v>
      </c>
      <c r="W523" s="105">
        <f>IF(A523=1,((cPH1_+cPHr+(cNES*L523+(cNES+cOSEX)*G523+(cNES+cEREX)*H523+(cNES+cHOEX)*I523 + (cNES+cNES)*S523 +(cNES+ cOSEX)*N523 + (cNES+cEREX)*O523 + (cNES+cHOEX)*P523)))/(1+cDR)^A$5:A$65536,(cPHr+(cNES*L523+(cNES+cOSEX)*G523+(cNES+cEREX)*H523+(cNES+cHOEX)*I523 + (cNES+cNES)*S523 +(cNES+ cOSEX)*N523 + (cNES+cEREX)*O523 + (cNES+cHOEX)*P523))/(1+cDR)^A$5:A$65536)</f>
        <v>93557.927995837716</v>
      </c>
      <c r="X523" s="112">
        <f t="shared" si="161"/>
        <v>864.03704078947271</v>
      </c>
      <c r="Y523" s="32">
        <f>(uNES*L523+ uOCEX*G523+uEREX*'PH + UC'!H523+uHOEX*I523+uNES*S523+ uOCEX*N523+uEREX*O523+uHOEX*P523)/(1+oDR)^A$5:A$65536</f>
        <v>490.19782485970075</v>
      </c>
    </row>
    <row r="524" spans="1:25" x14ac:dyDescent="0.25">
      <c r="A524" s="4">
        <v>518</v>
      </c>
      <c r="C524" s="110">
        <f>IF(male=0,VLOOKUP(((A522:A1356/'Life tables'!$I$2)*2)+age,lifetable,13,1),IF(male=1,VLOOKUP(((A522:A1356/'Life tables'!$I$2)*2)+age,lifetable,10,1),"error"))</f>
        <v>4.0331437067231413E-4</v>
      </c>
      <c r="F524" s="101">
        <f t="shared" si="144"/>
        <v>137.76659095229684</v>
      </c>
      <c r="G524" s="101">
        <f t="shared" si="145"/>
        <v>13.838942390747464</v>
      </c>
      <c r="H524" s="101">
        <f t="shared" si="146"/>
        <v>0.31668719477040319</v>
      </c>
      <c r="I524" s="101">
        <f t="shared" si="147"/>
        <v>0.31668719477040319</v>
      </c>
      <c r="J524" s="101">
        <f t="shared" si="148"/>
        <v>6.1400139264008065E-2</v>
      </c>
      <c r="K524" s="101">
        <f t="shared" si="149"/>
        <v>2.4824830618303127E-2</v>
      </c>
      <c r="L524" s="101">
        <f t="shared" si="156"/>
        <v>123.20804920212626</v>
      </c>
      <c r="M524" s="101">
        <f t="shared" si="150"/>
        <v>726.27044983717587</v>
      </c>
      <c r="N524" s="101">
        <f t="shared" si="151"/>
        <v>69.941417876840319</v>
      </c>
      <c r="O524" s="101">
        <f t="shared" si="152"/>
        <v>1.669494394930729</v>
      </c>
      <c r="P524" s="101">
        <f t="shared" si="153"/>
        <v>1.669494394930729</v>
      </c>
      <c r="Q524" s="101">
        <f t="shared" si="154"/>
        <v>0.32247035051137118</v>
      </c>
      <c r="R524" s="101">
        <f t="shared" si="155"/>
        <v>1.9451040992350555E-2</v>
      </c>
      <c r="S524" s="101">
        <f t="shared" si="157"/>
        <v>652.64812177897034</v>
      </c>
      <c r="T524" s="101">
        <f t="shared" si="158"/>
        <v>108.5775674402405</v>
      </c>
      <c r="U524" s="101">
        <f t="shared" si="159"/>
        <v>27.81353813167334</v>
      </c>
      <c r="V524" s="33">
        <f t="shared" si="160"/>
        <v>1000.0000000000005</v>
      </c>
      <c r="W524" s="105">
        <f>IF(A524=1,((cPH1_+cPHr+(cNES*L524+(cNES+cOSEX)*G524+(cNES+cEREX)*H524+(cNES+cHOEX)*I524 + (cNES+cNES)*S524 +(cNES+ cOSEX)*N524 + (cNES+cEREX)*O524 + (cNES+cHOEX)*P524)))/(1+cDR)^A$5:A$65536,(cPHr+(cNES*L524+(cNES+cOSEX)*G524+(cNES+cEREX)*H524+(cNES+cHOEX)*I524 + (cNES+cNES)*S524 +(cNES+ cOSEX)*N524 + (cNES+cEREX)*O524 + (cNES+cHOEX)*P524))/(1+cDR)^A$5:A$65536)</f>
        <v>93404.096856838019</v>
      </c>
      <c r="X524" s="112">
        <f t="shared" si="161"/>
        <v>863.60889442808661</v>
      </c>
      <c r="Y524" s="32">
        <f>(uNES*L524+ uOCEX*G524+uEREX*'PH + UC'!H524+uHOEX*I524+uNES*S524+ uOCEX*N524+uEREX*O524+uHOEX*P524)/(1+oDR)^A$5:A$65536</f>
        <v>489.81401747167973</v>
      </c>
    </row>
    <row r="525" spans="1:25" x14ac:dyDescent="0.25">
      <c r="A525" s="4">
        <v>519</v>
      </c>
      <c r="C525" s="110">
        <f>IF(male=0,VLOOKUP(((A523:A1357/'Life tables'!$I$2)*2)+age,lifetable,13,1),IF(male=1,VLOOKUP(((A523:A1357/'Life tables'!$I$2)*2)+age,lifetable,10,1),"error"))</f>
        <v>4.0331437067231413E-4</v>
      </c>
      <c r="F525" s="101">
        <f t="shared" si="144"/>
        <v>137.69831854848883</v>
      </c>
      <c r="G525" s="101">
        <f t="shared" si="145"/>
        <v>13.832084284898681</v>
      </c>
      <c r="H525" s="101">
        <f t="shared" si="146"/>
        <v>0.31653025544358426</v>
      </c>
      <c r="I525" s="101">
        <f t="shared" si="147"/>
        <v>0.31653025544358426</v>
      </c>
      <c r="J525" s="101">
        <f t="shared" si="148"/>
        <v>6.1369711458015876E-2</v>
      </c>
      <c r="K525" s="101">
        <f t="shared" si="149"/>
        <v>2.4812528282528373E-2</v>
      </c>
      <c r="L525" s="101">
        <f t="shared" si="156"/>
        <v>123.14699151296243</v>
      </c>
      <c r="M525" s="101">
        <f t="shared" si="150"/>
        <v>725.9105758795979</v>
      </c>
      <c r="N525" s="101">
        <f t="shared" si="151"/>
        <v>69.906761235012752</v>
      </c>
      <c r="O525" s="101">
        <f t="shared" si="152"/>
        <v>1.6686671444826451</v>
      </c>
      <c r="P525" s="101">
        <f t="shared" si="153"/>
        <v>1.6686671444826451</v>
      </c>
      <c r="Q525" s="101">
        <f t="shared" si="154"/>
        <v>0.32231056336697322</v>
      </c>
      <c r="R525" s="101">
        <f t="shared" si="155"/>
        <v>1.9441402815411787E-2</v>
      </c>
      <c r="S525" s="101">
        <f t="shared" si="157"/>
        <v>652.3247283894375</v>
      </c>
      <c r="T525" s="101">
        <f t="shared" si="158"/>
        <v>108.96124771506548</v>
      </c>
      <c r="U525" s="101">
        <f t="shared" si="159"/>
        <v>27.857792062771281</v>
      </c>
      <c r="V525" s="33">
        <f t="shared" si="160"/>
        <v>1000.0000000000006</v>
      </c>
      <c r="W525" s="105">
        <f>IF(A525=1,((cPH1_+cPHr+(cNES*L525+(cNES+cOSEX)*G525+(cNES+cEREX)*H525+(cNES+cHOEX)*I525 + (cNES+cNES)*S525 +(cNES+ cOSEX)*N525 + (cNES+cEREX)*O525 + (cNES+cHOEX)*P525)))/(1+cDR)^A$5:A$65536,(cPHr+(cNES*L525+(cNES+cOSEX)*G525+(cNES+cEREX)*H525+(cNES+cHOEX)*I525 + (cNES+cNES)*S525 +(cNES+ cOSEX)*N525 + (cNES+cEREX)*O525 + (cNES+cHOEX)*P525))/(1+cDR)^A$5:A$65536)</f>
        <v>93250.518641920673</v>
      </c>
      <c r="X525" s="112">
        <f t="shared" si="161"/>
        <v>863.18096022216378</v>
      </c>
      <c r="Y525" s="32">
        <f>(uNES*L525+ uOCEX*G525+uEREX*'PH + UC'!H525+uHOEX*I525+uNES*S525+ uOCEX*N525+uEREX*O525+uHOEX*P525)/(1+oDR)^A$5:A$65536</f>
        <v>489.43051059160098</v>
      </c>
    </row>
    <row r="526" spans="1:25" x14ac:dyDescent="0.25">
      <c r="A526" s="4">
        <v>520</v>
      </c>
      <c r="C526" s="110">
        <f>IF(male=0,VLOOKUP(((A524:A1358/'Life tables'!$I$2)*2)+age,lifetable,13,1),IF(male=1,VLOOKUP(((A524:A1358/'Life tables'!$I$2)*2)+age,lifetable,10,1),"error"))</f>
        <v>4.0331437067231413E-4</v>
      </c>
      <c r="F526" s="101">
        <f t="shared" si="144"/>
        <v>137.63008026857463</v>
      </c>
      <c r="G526" s="101">
        <f t="shared" si="145"/>
        <v>13.825229606866449</v>
      </c>
      <c r="H526" s="101">
        <f t="shared" si="146"/>
        <v>0.31637339455813585</v>
      </c>
      <c r="I526" s="101">
        <f t="shared" si="147"/>
        <v>0.31637339455813585</v>
      </c>
      <c r="J526" s="101">
        <f t="shared" si="148"/>
        <v>6.1339298860441198E-2</v>
      </c>
      <c r="K526" s="101">
        <f t="shared" si="149"/>
        <v>2.4800232095703652E-2</v>
      </c>
      <c r="L526" s="101">
        <f t="shared" si="156"/>
        <v>123.08596434163576</v>
      </c>
      <c r="M526" s="101">
        <f t="shared" si="150"/>
        <v>725.55087995358917</v>
      </c>
      <c r="N526" s="101">
        <f t="shared" si="151"/>
        <v>69.872121738011032</v>
      </c>
      <c r="O526" s="101">
        <f t="shared" si="152"/>
        <v>1.6678403032797768</v>
      </c>
      <c r="P526" s="101">
        <f t="shared" si="153"/>
        <v>1.6678403032797768</v>
      </c>
      <c r="Q526" s="101">
        <f t="shared" si="154"/>
        <v>0.32215085527012916</v>
      </c>
      <c r="R526" s="101">
        <f t="shared" si="155"/>
        <v>1.9431769406530637E-2</v>
      </c>
      <c r="S526" s="101">
        <f t="shared" si="157"/>
        <v>652.00149498434189</v>
      </c>
      <c r="T526" s="101">
        <f t="shared" si="158"/>
        <v>109.34473786919605</v>
      </c>
      <c r="U526" s="101">
        <f t="shared" si="159"/>
        <v>27.902024064273515</v>
      </c>
      <c r="V526" s="33">
        <f t="shared" si="160"/>
        <v>1000.0000000000005</v>
      </c>
      <c r="W526" s="105">
        <f>IF(A526=1,((cPH1_+cPHr+(cNES*L526+(cNES+cOSEX)*G526+(cNES+cEREX)*H526+(cNES+cHOEX)*I526 + (cNES+cNES)*S526 +(cNES+ cOSEX)*N526 + (cNES+cEREX)*O526 + (cNES+cHOEX)*P526)))/(1+cDR)^A$5:A$65536,(cPHr+(cNES*L526+(cNES+cOSEX)*G526+(cNES+cEREX)*H526+(cNES+cHOEX)*I526 + (cNES+cNES)*S526 +(cNES+ cOSEX)*N526 + (cNES+cEREX)*O526 + (cNES+cHOEX)*P526))/(1+cDR)^A$5:A$65536)</f>
        <v>93097.19293586578</v>
      </c>
      <c r="X526" s="112">
        <f t="shared" si="161"/>
        <v>862.75323806653091</v>
      </c>
      <c r="Y526" s="32">
        <f>(uNES*L526+ uOCEX*G526+uEREX*'PH + UC'!H526+uHOEX*I526+uNES*S526+ uOCEX*N526+uEREX*O526+uHOEX*P526)/(1+oDR)^A$5:A$65536</f>
        <v>489.04730398415603</v>
      </c>
    </row>
    <row r="527" spans="1:25" x14ac:dyDescent="0.25">
      <c r="A527" s="4">
        <v>521</v>
      </c>
      <c r="C527" s="110">
        <f>IF(male=0,VLOOKUP(((A525:A1359/'Life tables'!$I$2)*2)+age,lifetable,13,1),IF(male=1,VLOOKUP(((A525:A1359/'Life tables'!$I$2)*2)+age,lifetable,10,1),"error"))</f>
        <v>4.0331437067231413E-4</v>
      </c>
      <c r="F527" s="101">
        <f t="shared" si="144"/>
        <v>137.56187608239748</v>
      </c>
      <c r="G527" s="101">
        <f t="shared" si="145"/>
        <v>13.818378353621457</v>
      </c>
      <c r="H527" s="101">
        <f t="shared" si="146"/>
        <v>0.31621661204473595</v>
      </c>
      <c r="I527" s="101">
        <f t="shared" si="147"/>
        <v>0.31621661204473595</v>
      </c>
      <c r="J527" s="101">
        <f t="shared" si="148"/>
        <v>6.1308901457843665E-2</v>
      </c>
      <c r="K527" s="101">
        <f t="shared" si="149"/>
        <v>2.4787942052394867E-2</v>
      </c>
      <c r="L527" s="101">
        <f t="shared" si="156"/>
        <v>123.02496766117631</v>
      </c>
      <c r="M527" s="101">
        <f t="shared" si="150"/>
        <v>725.19136198413355</v>
      </c>
      <c r="N527" s="101">
        <f t="shared" si="151"/>
        <v>69.837499378610943</v>
      </c>
      <c r="O527" s="101">
        <f t="shared" si="152"/>
        <v>1.6670138711496831</v>
      </c>
      <c r="P527" s="101">
        <f t="shared" si="153"/>
        <v>1.6670138711496831</v>
      </c>
      <c r="Q527" s="101">
        <f t="shared" si="154"/>
        <v>0.32199122618753134</v>
      </c>
      <c r="R527" s="101">
        <f t="shared" si="155"/>
        <v>1.9422140763698019E-2</v>
      </c>
      <c r="S527" s="101">
        <f t="shared" si="157"/>
        <v>651.67842149627199</v>
      </c>
      <c r="T527" s="101">
        <f t="shared" si="158"/>
        <v>109.72803799684142</v>
      </c>
      <c r="U527" s="101">
        <f t="shared" si="159"/>
        <v>27.946234147089609</v>
      </c>
      <c r="V527" s="33">
        <f t="shared" si="160"/>
        <v>1000.0000000000006</v>
      </c>
      <c r="W527" s="105">
        <f>IF(A527=1,((cPH1_+cPHr+(cNES*L527+(cNES+cOSEX)*G527+(cNES+cEREX)*H527+(cNES+cHOEX)*I527 + (cNES+cNES)*S527 +(cNES+ cOSEX)*N527 + (cNES+cEREX)*O527 + (cNES+cHOEX)*P527)))/(1+cDR)^A$5:A$65536,(cPHr+(cNES*L527+(cNES+cOSEX)*G527+(cNES+cEREX)*H527+(cNES+cHOEX)*I527 + (cNES+cNES)*S527 +(cNES+ cOSEX)*N527 + (cNES+cEREX)*O527 + (cNES+cHOEX)*P527))/(1+cDR)^A$5:A$65536)</f>
        <v>92944.119324105763</v>
      </c>
      <c r="X527" s="112">
        <f t="shared" si="161"/>
        <v>862.32572785606953</v>
      </c>
      <c r="Y527" s="32">
        <f>(uNES*L527+ uOCEX*G527+uEREX*'PH + UC'!H527+uHOEX*I527+uNES*S527+ uOCEX*N527+uEREX*O527+uHOEX*P527)/(1+oDR)^A$5:A$65536</f>
        <v>488.66439741422147</v>
      </c>
    </row>
    <row r="528" spans="1:25" x14ac:dyDescent="0.25">
      <c r="A528" s="4">
        <v>522</v>
      </c>
      <c r="C528" s="110">
        <f>IF(male=0,VLOOKUP(((A526:A1360/'Life tables'!$I$2)*2)+age,lifetable,13,1),IF(male=1,VLOOKUP(((A526:A1360/'Life tables'!$I$2)*2)+age,lifetable,10,1),"error"))</f>
        <v>4.3180287415445218E-4</v>
      </c>
      <c r="F528" s="101">
        <f t="shared" si="144"/>
        <v>137.49370596041314</v>
      </c>
      <c r="G528" s="101">
        <f t="shared" si="145"/>
        <v>13.811530522195925</v>
      </c>
      <c r="H528" s="101">
        <f t="shared" si="146"/>
        <v>0.3160599078354705</v>
      </c>
      <c r="I528" s="101">
        <f t="shared" si="147"/>
        <v>0.3160599078354705</v>
      </c>
      <c r="J528" s="101">
        <f t="shared" si="148"/>
        <v>6.5606987141026349E-2</v>
      </c>
      <c r="K528" s="101">
        <f t="shared" si="149"/>
        <v>2.4775658147278307E-2</v>
      </c>
      <c r="L528" s="101">
        <f t="shared" si="156"/>
        <v>122.95967297725797</v>
      </c>
      <c r="M528" s="101">
        <f t="shared" si="150"/>
        <v>724.83202189565645</v>
      </c>
      <c r="N528" s="101">
        <f t="shared" si="151"/>
        <v>69.802894149534481</v>
      </c>
      <c r="O528" s="101">
        <f t="shared" si="152"/>
        <v>1.6661878479186389</v>
      </c>
      <c r="P528" s="101">
        <f t="shared" si="153"/>
        <v>1.6661878479186389</v>
      </c>
      <c r="Q528" s="101">
        <f t="shared" si="154"/>
        <v>0.34456457005502023</v>
      </c>
      <c r="R528" s="101">
        <f t="shared" si="155"/>
        <v>1.9412516884889885E-2</v>
      </c>
      <c r="S528" s="101">
        <f t="shared" si="157"/>
        <v>651.33277496334483</v>
      </c>
      <c r="T528" s="101">
        <f t="shared" si="158"/>
        <v>110.13820955403747</v>
      </c>
      <c r="U528" s="101">
        <f t="shared" si="159"/>
        <v>27.990422322121777</v>
      </c>
      <c r="V528" s="33">
        <f t="shared" si="160"/>
        <v>1000.0000000000007</v>
      </c>
      <c r="W528" s="105">
        <f>IF(A528=1,((cPH1_+cPHr+(cNES*L528+(cNES+cOSEX)*G528+(cNES+cEREX)*H528+(cNES+cHOEX)*I528 + (cNES+cNES)*S528 +(cNES+ cOSEX)*N528 + (cNES+cEREX)*O528 + (cNES+cHOEX)*P528)))/(1+cDR)^A$5:A$65536,(cPHr+(cNES*L528+(cNES+cOSEX)*G528+(cNES+cEREX)*H528+(cNES+cHOEX)*I528 + (cNES+cNES)*S528 +(cNES+ cOSEX)*N528 + (cNES+cEREX)*O528 + (cNES+cHOEX)*P528))/(1+cDR)^A$5:A$65536)</f>
        <v>92788.772057511029</v>
      </c>
      <c r="X528" s="112">
        <f t="shared" si="161"/>
        <v>861.87136812384142</v>
      </c>
      <c r="Y528" s="32">
        <f>(uNES*L528+ uOCEX*G528+uEREX*'PH + UC'!H528+uHOEX*I528+uNES*S528+ uOCEX*N528+uEREX*O528+uHOEX*P528)/(1+oDR)^A$5:A$65536</f>
        <v>488.26621056857283</v>
      </c>
    </row>
    <row r="529" spans="1:25" x14ac:dyDescent="0.25">
      <c r="A529" s="4">
        <v>523</v>
      </c>
      <c r="C529" s="110">
        <f>IF(male=0,VLOOKUP(((A527:A1361/'Life tables'!$I$2)*2)+age,lifetable,13,1),IF(male=1,VLOOKUP(((A527:A1361/'Life tables'!$I$2)*2)+age,lifetable,10,1),"error"))</f>
        <v>4.3180287415445218E-4</v>
      </c>
      <c r="F529" s="101">
        <f t="shared" si="144"/>
        <v>137.42124147679709</v>
      </c>
      <c r="G529" s="101">
        <f t="shared" si="145"/>
        <v>13.804251313156884</v>
      </c>
      <c r="H529" s="101">
        <f t="shared" si="146"/>
        <v>0.31589333207948916</v>
      </c>
      <c r="I529" s="101">
        <f t="shared" si="147"/>
        <v>0.31589333207948916</v>
      </c>
      <c r="J529" s="101">
        <f t="shared" si="148"/>
        <v>6.5572409729561826E-2</v>
      </c>
      <c r="K529" s="101">
        <f t="shared" si="149"/>
        <v>2.4762600420298375E-2</v>
      </c>
      <c r="L529" s="101">
        <f t="shared" si="156"/>
        <v>122.89486848933137</v>
      </c>
      <c r="M529" s="101">
        <f t="shared" si="150"/>
        <v>724.45012664704427</v>
      </c>
      <c r="N529" s="101">
        <f t="shared" si="151"/>
        <v>69.766116809668375</v>
      </c>
      <c r="O529" s="101">
        <f t="shared" si="152"/>
        <v>1.6653099766281967</v>
      </c>
      <c r="P529" s="101">
        <f t="shared" si="153"/>
        <v>1.6653099766281967</v>
      </c>
      <c r="Q529" s="101">
        <f t="shared" si="154"/>
        <v>0.34438302789329295</v>
      </c>
      <c r="R529" s="101">
        <f t="shared" si="155"/>
        <v>1.9402288931739366E-2</v>
      </c>
      <c r="S529" s="101">
        <f t="shared" si="157"/>
        <v>650.98960456729446</v>
      </c>
      <c r="T529" s="101">
        <f t="shared" si="158"/>
        <v>110.54816499166033</v>
      </c>
      <c r="U529" s="101">
        <f t="shared" si="159"/>
        <v>28.034587211473816</v>
      </c>
      <c r="V529" s="33">
        <f t="shared" si="160"/>
        <v>1000.0000000000006</v>
      </c>
      <c r="W529" s="105">
        <f>IF(A529=1,((cPH1_+cPHr+(cNES*L529+(cNES+cOSEX)*G529+(cNES+cEREX)*H529+(cNES+cHOEX)*I529 + (cNES+cNES)*S529 +(cNES+ cOSEX)*N529 + (cNES+cEREX)*O529 + (cNES+cHOEX)*P529)))/(1+cDR)^A$5:A$65536,(cPHr+(cNES*L529+(cNES+cOSEX)*G529+(cNES+cEREX)*H529+(cNES+cHOEX)*I529 + (cNES+cNES)*S529 +(cNES+ cOSEX)*N529 + (cNES+cEREX)*O529 + (cNES+cHOEX)*P529))/(1+cDR)^A$5:A$65536)</f>
        <v>92633.298055809239</v>
      </c>
      <c r="X529" s="112">
        <f t="shared" si="161"/>
        <v>861.41724779686649</v>
      </c>
      <c r="Y529" s="32">
        <f>(uNES*L529+ uOCEX*G529+uEREX*'PH + UC'!H529+uHOEX*I529+uNES*S529+ uOCEX*N529+uEREX*O529+uHOEX*P529)/(1+oDR)^A$5:A$65536</f>
        <v>487.86859729160398</v>
      </c>
    </row>
    <row r="530" spans="1:25" x14ac:dyDescent="0.25">
      <c r="A530" s="4">
        <v>524</v>
      </c>
      <c r="C530" s="110">
        <f>IF(male=0,VLOOKUP(((A528:A1362/'Life tables'!$I$2)*2)+age,lifetable,13,1),IF(male=1,VLOOKUP(((A528:A1362/'Life tables'!$I$2)*2)+age,lifetable,10,1),"error"))</f>
        <v>4.3180287415445218E-4</v>
      </c>
      <c r="F530" s="101">
        <f t="shared" si="144"/>
        <v>137.34881603299064</v>
      </c>
      <c r="G530" s="101">
        <f t="shared" si="145"/>
        <v>13.796976025748425</v>
      </c>
      <c r="H530" s="101">
        <f t="shared" si="146"/>
        <v>0.31572684606520568</v>
      </c>
      <c r="I530" s="101">
        <f t="shared" si="147"/>
        <v>0.31572684606520568</v>
      </c>
      <c r="J530" s="101">
        <f t="shared" si="148"/>
        <v>6.5537850946472062E-2</v>
      </c>
      <c r="K530" s="101">
        <f t="shared" si="149"/>
        <v>2.4749549728091194E-2</v>
      </c>
      <c r="L530" s="101">
        <f t="shared" si="156"/>
        <v>122.83009891443724</v>
      </c>
      <c r="M530" s="101">
        <f t="shared" si="150"/>
        <v>724.06843176387599</v>
      </c>
      <c r="N530" s="101">
        <f t="shared" si="151"/>
        <v>69.729358765428657</v>
      </c>
      <c r="O530" s="101">
        <f t="shared" si="152"/>
        <v>1.6644325659223556</v>
      </c>
      <c r="P530" s="101">
        <f t="shared" si="153"/>
        <v>1.6644325659223556</v>
      </c>
      <c r="Q530" s="101">
        <f t="shared" si="154"/>
        <v>0.34420158097961062</v>
      </c>
      <c r="R530" s="101">
        <f t="shared" si="155"/>
        <v>1.9392066344794325E-2</v>
      </c>
      <c r="S530" s="101">
        <f t="shared" si="157"/>
        <v>650.64661421927826</v>
      </c>
      <c r="T530" s="101">
        <f t="shared" si="158"/>
        <v>110.95790442358641</v>
      </c>
      <c r="U530" s="101">
        <f t="shared" si="159"/>
        <v>28.078728827546701</v>
      </c>
      <c r="V530" s="33">
        <f t="shared" si="160"/>
        <v>1000.0000000000009</v>
      </c>
      <c r="W530" s="105">
        <f>IF(A530=1,((cPH1_+cPHr+(cNES*L530+(cNES+cOSEX)*G530+(cNES+cEREX)*H530+(cNES+cHOEX)*I530 + (cNES+cNES)*S530 +(cNES+ cOSEX)*N530 + (cNES+cEREX)*O530 + (cNES+cHOEX)*P530)))/(1+cDR)^A$5:A$65536,(cPHr+(cNES*L530+(cNES+cOSEX)*G530+(cNES+cEREX)*H530+(cNES+cHOEX)*I530 + (cNES+cNES)*S530 +(cNES+ cOSEX)*N530 + (cNES+cEREX)*O530 + (cNES+cHOEX)*P530))/(1+cDR)^A$5:A$65536)</f>
        <v>92478.08452733788</v>
      </c>
      <c r="X530" s="112">
        <f t="shared" si="161"/>
        <v>860.96336674886777</v>
      </c>
      <c r="Y530" s="32">
        <f>(uNES*L530+ uOCEX*G530+uEREX*'PH + UC'!H530+uHOEX*I530+uNES*S530+ uOCEX*N530+uEREX*O530+uHOEX*P530)/(1+oDR)^A$5:A$65536</f>
        <v>487.47130780716731</v>
      </c>
    </row>
    <row r="531" spans="1:25" x14ac:dyDescent="0.25">
      <c r="A531" s="4">
        <v>525</v>
      </c>
      <c r="C531" s="110">
        <f>IF(male=0,VLOOKUP(((A529:A1363/'Life tables'!$I$2)*2)+age,lifetable,13,1),IF(male=1,VLOOKUP(((A529:A1363/'Life tables'!$I$2)*2)+age,lifetable,10,1),"error"))</f>
        <v>4.3180287415445218E-4</v>
      </c>
      <c r="F531" s="101">
        <f t="shared" si="144"/>
        <v>137.27642956967912</v>
      </c>
      <c r="G531" s="101">
        <f t="shared" si="145"/>
        <v>13.789704654012262</v>
      </c>
      <c r="H531" s="101">
        <f t="shared" si="146"/>
        <v>0.31556044965627217</v>
      </c>
      <c r="I531" s="101">
        <f t="shared" si="147"/>
        <v>0.31556044965627217</v>
      </c>
      <c r="J531" s="101">
        <f t="shared" si="148"/>
        <v>6.5503310763454281E-2</v>
      </c>
      <c r="K531" s="101">
        <f t="shared" si="149"/>
        <v>2.4736506059968577E-2</v>
      </c>
      <c r="L531" s="101">
        <f t="shared" si="156"/>
        <v>122.76536419953089</v>
      </c>
      <c r="M531" s="101">
        <f t="shared" si="150"/>
        <v>723.68693717918859</v>
      </c>
      <c r="N531" s="101">
        <f t="shared" si="151"/>
        <v>69.692620010366596</v>
      </c>
      <c r="O531" s="101">
        <f t="shared" si="152"/>
        <v>1.6635556156471862</v>
      </c>
      <c r="P531" s="101">
        <f t="shared" si="153"/>
        <v>1.6635556156471862</v>
      </c>
      <c r="Q531" s="101">
        <f t="shared" si="154"/>
        <v>0.34402022928214099</v>
      </c>
      <c r="R531" s="101">
        <f t="shared" si="155"/>
        <v>1.9381849122261343E-2</v>
      </c>
      <c r="S531" s="101">
        <f t="shared" si="157"/>
        <v>650.30380385912326</v>
      </c>
      <c r="T531" s="101">
        <f t="shared" si="158"/>
        <v>111.36742796363201</v>
      </c>
      <c r="U531" s="101">
        <f t="shared" si="159"/>
        <v>28.122847182728933</v>
      </c>
      <c r="V531" s="33">
        <f t="shared" si="160"/>
        <v>1000.0000000000009</v>
      </c>
      <c r="W531" s="105">
        <f>IF(A531=1,((cPH1_+cPHr+(cNES*L531+(cNES+cOSEX)*G531+(cNES+cEREX)*H531+(cNES+cHOEX)*I531 + (cNES+cNES)*S531 +(cNES+ cOSEX)*N531 + (cNES+cEREX)*O531 + (cNES+cHOEX)*P531)))/(1+cDR)^A$5:A$65536,(cPHr+(cNES*L531+(cNES+cOSEX)*G531+(cNES+cEREX)*H531+(cNES+cHOEX)*I531 + (cNES+cNES)*S531 +(cNES+ cOSEX)*N531 + (cNES+cEREX)*O531 + (cNES+cHOEX)*P531))/(1+cDR)^A$5:A$65536)</f>
        <v>92323.131037466213</v>
      </c>
      <c r="X531" s="112">
        <f t="shared" si="161"/>
        <v>860.50972485363991</v>
      </c>
      <c r="Y531" s="32">
        <f>(uNES*L531+ uOCEX*G531+uEREX*'PH + UC'!H531+uHOEX*I531+uNES*S531+ uOCEX*N531+uEREX*O531+uHOEX*P531)/(1+oDR)^A$5:A$65536</f>
        <v>487.0743418515259</v>
      </c>
    </row>
    <row r="532" spans="1:25" x14ac:dyDescent="0.25">
      <c r="A532" s="4">
        <v>526</v>
      </c>
      <c r="C532" s="110">
        <f>IF(male=0,VLOOKUP(((A530:A1364/'Life tables'!$I$2)*2)+age,lifetable,13,1),IF(male=1,VLOOKUP(((A530:A1364/'Life tables'!$I$2)*2)+age,lifetable,10,1),"error"))</f>
        <v>4.3180287415445218E-4</v>
      </c>
      <c r="F532" s="101">
        <f t="shared" si="144"/>
        <v>137.20408202932813</v>
      </c>
      <c r="G532" s="101">
        <f t="shared" si="145"/>
        <v>13.782437192168944</v>
      </c>
      <c r="H532" s="101">
        <f t="shared" si="146"/>
        <v>0.31539414272043292</v>
      </c>
      <c r="I532" s="101">
        <f t="shared" si="147"/>
        <v>0.31539414272043292</v>
      </c>
      <c r="J532" s="101">
        <f t="shared" si="148"/>
        <v>6.5468789153055207E-2</v>
      </c>
      <c r="K532" s="101">
        <f t="shared" si="149"/>
        <v>2.4723469405563112E-2</v>
      </c>
      <c r="L532" s="101">
        <f t="shared" si="156"/>
        <v>122.7006642931597</v>
      </c>
      <c r="M532" s="101">
        <f t="shared" si="150"/>
        <v>723.30564282431169</v>
      </c>
      <c r="N532" s="101">
        <f t="shared" si="151"/>
        <v>69.65590053786913</v>
      </c>
      <c r="O532" s="101">
        <f t="shared" si="152"/>
        <v>1.6626791256448346</v>
      </c>
      <c r="P532" s="101">
        <f t="shared" si="153"/>
        <v>1.6626791256448346</v>
      </c>
      <c r="Q532" s="101">
        <f t="shared" si="154"/>
        <v>0.3438389727682401</v>
      </c>
      <c r="R532" s="101">
        <f t="shared" si="155"/>
        <v>1.9371637262301289E-2</v>
      </c>
      <c r="S532" s="101">
        <f t="shared" si="157"/>
        <v>649.96117342512241</v>
      </c>
      <c r="T532" s="101">
        <f t="shared" si="158"/>
        <v>111.77673572555331</v>
      </c>
      <c r="U532" s="101">
        <f t="shared" si="159"/>
        <v>28.166942289396797</v>
      </c>
      <c r="V532" s="33">
        <f t="shared" si="160"/>
        <v>1000.0000000000009</v>
      </c>
      <c r="W532" s="105">
        <f>IF(A532=1,((cPH1_+cPHr+(cNES*L532+(cNES+cOSEX)*G532+(cNES+cEREX)*H532+(cNES+cHOEX)*I532 + (cNES+cNES)*S532 +(cNES+ cOSEX)*N532 + (cNES+cEREX)*O532 + (cNES+cHOEX)*P532)))/(1+cDR)^A$5:A$65536,(cPHr+(cNES*L532+(cNES+cOSEX)*G532+(cNES+cEREX)*H532+(cNES+cHOEX)*I532 + (cNES+cNES)*S532 +(cNES+ cOSEX)*N532 + (cNES+cEREX)*O532 + (cNES+cHOEX)*P532))/(1+cDR)^A$5:A$65536)</f>
        <v>92168.437152207756</v>
      </c>
      <c r="X532" s="112">
        <f t="shared" si="161"/>
        <v>860.05632198505077</v>
      </c>
      <c r="Y532" s="32">
        <f>(uNES*L532+ uOCEX*G532+uEREX*'PH + UC'!H532+uHOEX*I532+uNES*S532+ uOCEX*N532+uEREX*O532+uHOEX*P532)/(1+oDR)^A$5:A$65536</f>
        <v>486.67769916116151</v>
      </c>
    </row>
    <row r="533" spans="1:25" x14ac:dyDescent="0.25">
      <c r="A533" s="4">
        <v>527</v>
      </c>
      <c r="C533" s="110">
        <f>IF(male=0,VLOOKUP(((A531:A1365/'Life tables'!$I$2)*2)+age,lifetable,13,1),IF(male=1,VLOOKUP(((A531:A1365/'Life tables'!$I$2)*2)+age,lifetable,10,1),"error"))</f>
        <v>4.3180287415445218E-4</v>
      </c>
      <c r="F533" s="101">
        <f t="shared" si="144"/>
        <v>137.13177335610388</v>
      </c>
      <c r="G533" s="101">
        <f t="shared" si="145"/>
        <v>13.775173634609853</v>
      </c>
      <c r="H533" s="101">
        <f t="shared" si="146"/>
        <v>0.31522792512934161</v>
      </c>
      <c r="I533" s="101">
        <f t="shared" si="147"/>
        <v>0.31522792512934161</v>
      </c>
      <c r="J533" s="101">
        <f t="shared" si="148"/>
        <v>6.5434286088632942E-2</v>
      </c>
      <c r="K533" s="101">
        <f t="shared" si="149"/>
        <v>2.4710439754813841E-2</v>
      </c>
      <c r="L533" s="101">
        <f t="shared" si="156"/>
        <v>122.63599914539189</v>
      </c>
      <c r="M533" s="101">
        <f t="shared" si="150"/>
        <v>722.9245486289467</v>
      </c>
      <c r="N533" s="101">
        <f t="shared" si="151"/>
        <v>69.619200341166319</v>
      </c>
      <c r="O533" s="101">
        <f t="shared" si="152"/>
        <v>1.6618030957537036</v>
      </c>
      <c r="P533" s="101">
        <f t="shared" si="153"/>
        <v>1.6618030957537036</v>
      </c>
      <c r="Q533" s="101">
        <f t="shared" si="154"/>
        <v>0.34365781140448987</v>
      </c>
      <c r="R533" s="101">
        <f t="shared" si="155"/>
        <v>1.9361430763031418E-2</v>
      </c>
      <c r="S533" s="101">
        <f t="shared" si="157"/>
        <v>649.6187228541055</v>
      </c>
      <c r="T533" s="101">
        <f t="shared" si="158"/>
        <v>112.18582782304644</v>
      </c>
      <c r="U533" s="101">
        <f t="shared" si="159"/>
        <v>28.211014159914644</v>
      </c>
      <c r="V533" s="33">
        <f t="shared" si="160"/>
        <v>1000.0000000000007</v>
      </c>
      <c r="W533" s="105">
        <f>IF(A533=1,((cPH1_+cPHr+(cNES*L533+(cNES+cOSEX)*G533+(cNES+cEREX)*H533+(cNES+cHOEX)*I533 + (cNES+cNES)*S533 +(cNES+ cOSEX)*N533 + (cNES+cEREX)*O533 + (cNES+cHOEX)*P533)))/(1+cDR)^A$5:A$65536,(cPHr+(cNES*L533+(cNES+cOSEX)*G533+(cNES+cEREX)*H533+(cNES+cHOEX)*I533 + (cNES+cNES)*S533 +(cNES+ cOSEX)*N533 + (cNES+cEREX)*O533 + (cNES+cHOEX)*P533))/(1+cDR)^A$5:A$65536)</f>
        <v>92014.002438222684</v>
      </c>
      <c r="X533" s="112">
        <f t="shared" si="161"/>
        <v>859.60315801703962</v>
      </c>
      <c r="Y533" s="32">
        <f>(uNES*L533+ uOCEX*G533+uEREX*'PH + UC'!H533+uHOEX*I533+uNES*S533+ uOCEX*N533+uEREX*O533+uHOEX*P533)/(1+oDR)^A$5:A$65536</f>
        <v>486.28137947277207</v>
      </c>
    </row>
    <row r="534" spans="1:25" x14ac:dyDescent="0.25">
      <c r="A534" s="4">
        <v>528</v>
      </c>
      <c r="C534" s="110">
        <f>IF(male=0,VLOOKUP(((A532:A1366/'Life tables'!$I$2)*2)+age,lifetable,13,1),IF(male=1,VLOOKUP(((A532:A1366/'Life tables'!$I$2)*2)+age,lifetable,10,1),"error"))</f>
        <v>4.3180287415445218E-4</v>
      </c>
      <c r="F534" s="101">
        <f t="shared" si="144"/>
        <v>137.05950349579652</v>
      </c>
      <c r="G534" s="101">
        <f t="shared" si="145"/>
        <v>13.767913975889494</v>
      </c>
      <c r="H534" s="101">
        <f t="shared" si="146"/>
        <v>0.31506179675838469</v>
      </c>
      <c r="I534" s="101">
        <f t="shared" si="147"/>
        <v>0.31506179675838469</v>
      </c>
      <c r="J534" s="101">
        <f t="shared" si="148"/>
        <v>6.5399801544320527E-2</v>
      </c>
      <c r="K534" s="101">
        <f t="shared" si="149"/>
        <v>2.4697417097952423E-2</v>
      </c>
      <c r="L534" s="101">
        <f t="shared" si="156"/>
        <v>122.57136870774798</v>
      </c>
      <c r="M534" s="101">
        <f t="shared" si="150"/>
        <v>722.54365452124307</v>
      </c>
      <c r="N534" s="101">
        <f t="shared" si="151"/>
        <v>69.582519413338815</v>
      </c>
      <c r="O534" s="101">
        <f t="shared" si="152"/>
        <v>1.6609275258086289</v>
      </c>
      <c r="P534" s="101">
        <f t="shared" si="153"/>
        <v>1.6609275258086289</v>
      </c>
      <c r="Q534" s="101">
        <f t="shared" si="154"/>
        <v>0.34347674515673476</v>
      </c>
      <c r="R534" s="101">
        <f t="shared" si="155"/>
        <v>1.9351229622527426E-2</v>
      </c>
      <c r="S534" s="101">
        <f t="shared" si="157"/>
        <v>649.27645208150773</v>
      </c>
      <c r="T534" s="101">
        <f t="shared" si="158"/>
        <v>112.59470436974749</v>
      </c>
      <c r="U534" s="101">
        <f t="shared" si="159"/>
        <v>28.255062806635124</v>
      </c>
      <c r="V534" s="33">
        <f t="shared" si="160"/>
        <v>1000.0000000000007</v>
      </c>
      <c r="W534" s="105">
        <f>IF(A534=1,((cPH1_+cPHr+(cNES*L534+(cNES+cOSEX)*G534+(cNES+cEREX)*H534+(cNES+cHOEX)*I534 + (cNES+cNES)*S534 +(cNES+ cOSEX)*N534 + (cNES+cEREX)*O534 + (cNES+cHOEX)*P534)))/(1+cDR)^A$5:A$65536,(cPHr+(cNES*L534+(cNES+cOSEX)*G534+(cNES+cEREX)*H534+(cNES+cHOEX)*I534 + (cNES+cNES)*S534 +(cNES+ cOSEX)*N534 + (cNES+cEREX)*O534 + (cNES+cHOEX)*P534))/(1+cDR)^A$5:A$65536)</f>
        <v>91859.826462820653</v>
      </c>
      <c r="X534" s="112">
        <f t="shared" si="161"/>
        <v>859.15023282361801</v>
      </c>
      <c r="Y534" s="32">
        <f>(uNES*L534+ uOCEX*G534+uEREX*'PH + UC'!H534+uHOEX*I534+uNES*S534+ uOCEX*N534+uEREX*O534+uHOEX*P534)/(1+oDR)^A$5:A$65536</f>
        <v>485.88538252327277</v>
      </c>
    </row>
    <row r="535" spans="1:25" x14ac:dyDescent="0.25">
      <c r="A535" s="4">
        <v>529</v>
      </c>
      <c r="C535" s="110">
        <f>IF(male=0,VLOOKUP(((A533:A1367/'Life tables'!$I$2)*2)+age,lifetable,13,1),IF(male=1,VLOOKUP(((A533:A1367/'Life tables'!$I$2)*2)+age,lifetable,10,1),"error"))</f>
        <v>4.3180287415445218E-4</v>
      </c>
      <c r="F535" s="101">
        <f t="shared" si="144"/>
        <v>136.98727239574762</v>
      </c>
      <c r="G535" s="101">
        <f t="shared" si="145"/>
        <v>13.760658210718219</v>
      </c>
      <c r="H535" s="101">
        <f t="shared" si="146"/>
        <v>0.31489575748651522</v>
      </c>
      <c r="I535" s="101">
        <f t="shared" si="147"/>
        <v>0.31489575748651522</v>
      </c>
      <c r="J535" s="101">
        <f t="shared" si="148"/>
        <v>6.5365335494991308E-2</v>
      </c>
      <c r="K535" s="101">
        <f t="shared" si="149"/>
        <v>2.4684401425490089E-2</v>
      </c>
      <c r="L535" s="101">
        <f t="shared" si="156"/>
        <v>122.50677293313589</v>
      </c>
      <c r="M535" s="101">
        <f t="shared" si="150"/>
        <v>722.1629604278703</v>
      </c>
      <c r="N535" s="101">
        <f t="shared" si="151"/>
        <v>69.545857747324732</v>
      </c>
      <c r="O535" s="101">
        <f t="shared" si="152"/>
        <v>1.6600524156410439</v>
      </c>
      <c r="P535" s="101">
        <f t="shared" si="153"/>
        <v>1.6600524156410439</v>
      </c>
      <c r="Q535" s="101">
        <f t="shared" si="154"/>
        <v>0.34329577399011546</v>
      </c>
      <c r="R535" s="101">
        <f t="shared" si="155"/>
        <v>1.9341033838825364E-2</v>
      </c>
      <c r="S535" s="101">
        <f t="shared" si="157"/>
        <v>648.9343610414345</v>
      </c>
      <c r="T535" s="101">
        <f t="shared" si="158"/>
        <v>113.0033654792326</v>
      </c>
      <c r="U535" s="101">
        <f t="shared" si="159"/>
        <v>28.29908824189944</v>
      </c>
      <c r="V535" s="33">
        <f t="shared" si="160"/>
        <v>1000.0000000000005</v>
      </c>
      <c r="W535" s="105">
        <f>IF(A535=1,((cPH1_+cPHr+(cNES*L535+(cNES+cOSEX)*G535+(cNES+cEREX)*H535+(cNES+cHOEX)*I535 + (cNES+cNES)*S535 +(cNES+ cOSEX)*N535 + (cNES+cEREX)*O535 + (cNES+cHOEX)*P535)))/(1+cDR)^A$5:A$65536,(cPHr+(cNES*L535+(cNES+cOSEX)*G535+(cNES+cEREX)*H535+(cNES+cHOEX)*I535 + (cNES+cNES)*S535 +(cNES+ cOSEX)*N535 + (cNES+cEREX)*O535 + (cNES+cHOEX)*P535))/(1+cDR)^A$5:A$65536)</f>
        <v>91705.90879396307</v>
      </c>
      <c r="X535" s="112">
        <f t="shared" si="161"/>
        <v>858.69754627886846</v>
      </c>
      <c r="Y535" s="32">
        <f>(uNES*L535+ uOCEX*G535+uEREX*'PH + UC'!H535+uHOEX*I535+uNES*S535+ uOCEX*N535+uEREX*O535+uHOEX*P535)/(1+oDR)^A$5:A$65536</f>
        <v>485.48970804979598</v>
      </c>
    </row>
    <row r="536" spans="1:25" x14ac:dyDescent="0.25">
      <c r="A536" s="4">
        <v>530</v>
      </c>
      <c r="C536" s="110">
        <f>IF(male=0,VLOOKUP(((A534:A1368/'Life tables'!$I$2)*2)+age,lifetable,13,1),IF(male=1,VLOOKUP(((A534:A1368/'Life tables'!$I$2)*2)+age,lifetable,10,1),"error"))</f>
        <v>4.3180287415445218E-4</v>
      </c>
      <c r="F536" s="101">
        <f t="shared" si="144"/>
        <v>136.91508000478044</v>
      </c>
      <c r="G536" s="101">
        <f t="shared" si="145"/>
        <v>13.753406333955216</v>
      </c>
      <c r="H536" s="101">
        <f t="shared" si="146"/>
        <v>0.31472980719609184</v>
      </c>
      <c r="I536" s="101">
        <f t="shared" si="147"/>
        <v>0.31472980719609184</v>
      </c>
      <c r="J536" s="101">
        <f t="shared" si="148"/>
        <v>6.5330887916225558E-2</v>
      </c>
      <c r="K536" s="101">
        <f t="shared" si="149"/>
        <v>2.4671392728205045E-2</v>
      </c>
      <c r="L536" s="101">
        <f t="shared" si="156"/>
        <v>122.44221177578861</v>
      </c>
      <c r="M536" s="101">
        <f t="shared" si="150"/>
        <v>721.78246627408805</v>
      </c>
      <c r="N536" s="101">
        <f t="shared" si="151"/>
        <v>69.509215335926399</v>
      </c>
      <c r="O536" s="101">
        <f t="shared" si="152"/>
        <v>1.6591777650791411</v>
      </c>
      <c r="P536" s="101">
        <f t="shared" si="153"/>
        <v>1.6591777650791411</v>
      </c>
      <c r="Q536" s="101">
        <f t="shared" si="154"/>
        <v>0.34311489786910254</v>
      </c>
      <c r="R536" s="101">
        <f t="shared" si="155"/>
        <v>1.9330843409923526E-2</v>
      </c>
      <c r="S536" s="101">
        <f t="shared" si="157"/>
        <v>648.59244966672441</v>
      </c>
      <c r="T536" s="101">
        <f t="shared" si="158"/>
        <v>113.41181126501793</v>
      </c>
      <c r="U536" s="101">
        <f t="shared" si="159"/>
        <v>28.343090478037571</v>
      </c>
      <c r="V536" s="33">
        <f t="shared" si="160"/>
        <v>1000.0000000000006</v>
      </c>
      <c r="W536" s="105">
        <f>IF(A536=1,((cPH1_+cPHr+(cNES*L536+(cNES+cOSEX)*G536+(cNES+cEREX)*H536+(cNES+cHOEX)*I536 + (cNES+cNES)*S536 +(cNES+ cOSEX)*N536 + (cNES+cEREX)*O536 + (cNES+cHOEX)*P536)))/(1+cDR)^A$5:A$65536,(cPHr+(cNES*L536+(cNES+cOSEX)*G536+(cNES+cEREX)*H536+(cNES+cHOEX)*I536 + (cNES+cNES)*S536 +(cNES+ cOSEX)*N536 + (cNES+cEREX)*O536 + (cNES+cHOEX)*P536))/(1+cDR)^A$5:A$65536)</f>
        <v>91552.249000265656</v>
      </c>
      <c r="X536" s="112">
        <f t="shared" si="161"/>
        <v>858.24509825694508</v>
      </c>
      <c r="Y536" s="32">
        <f>(uNES*L536+ uOCEX*G536+uEREX*'PH + UC'!H536+uHOEX*I536+uNES*S536+ uOCEX*N536+uEREX*O536+uHOEX*P536)/(1+oDR)^A$5:A$65536</f>
        <v>485.09435578968953</v>
      </c>
    </row>
    <row r="537" spans="1:25" x14ac:dyDescent="0.25">
      <c r="A537" s="4">
        <v>531</v>
      </c>
      <c r="C537" s="110">
        <f>IF(male=0,VLOOKUP(((A535:A1369/'Life tables'!$I$2)*2)+age,lifetable,13,1),IF(male=1,VLOOKUP(((A535:A1369/'Life tables'!$I$2)*2)+age,lifetable,10,1),"error"))</f>
        <v>4.3180287415445218E-4</v>
      </c>
      <c r="F537" s="101">
        <f t="shared" si="144"/>
        <v>136.84292627313354</v>
      </c>
      <c r="G537" s="101">
        <f t="shared" si="145"/>
        <v>13.746158340601845</v>
      </c>
      <c r="H537" s="101">
        <f t="shared" si="146"/>
        <v>0.314563945772727</v>
      </c>
      <c r="I537" s="101">
        <f t="shared" si="147"/>
        <v>0.314563945772727</v>
      </c>
      <c r="J537" s="101">
        <f t="shared" si="148"/>
        <v>6.5296458784278977E-2</v>
      </c>
      <c r="K537" s="101">
        <f t="shared" si="149"/>
        <v>2.4658390997130547E-2</v>
      </c>
      <c r="L537" s="101">
        <f t="shared" si="156"/>
        <v>122.37768519120483</v>
      </c>
      <c r="M537" s="101">
        <f t="shared" si="150"/>
        <v>721.40217198381163</v>
      </c>
      <c r="N537" s="101">
        <f t="shared" si="151"/>
        <v>69.472592171816729</v>
      </c>
      <c r="O537" s="101">
        <f t="shared" si="152"/>
        <v>1.6583035739480232</v>
      </c>
      <c r="P537" s="101">
        <f t="shared" si="153"/>
        <v>1.6583035739480232</v>
      </c>
      <c r="Q537" s="101">
        <f t="shared" si="154"/>
        <v>0.34293411675752755</v>
      </c>
      <c r="R537" s="101">
        <f t="shared" si="155"/>
        <v>1.9320658333784217E-2</v>
      </c>
      <c r="S537" s="101">
        <f t="shared" si="157"/>
        <v>648.25071788900755</v>
      </c>
      <c r="T537" s="101">
        <f t="shared" si="158"/>
        <v>113.82004184055974</v>
      </c>
      <c r="U537" s="101">
        <f t="shared" si="159"/>
        <v>28.387069527368485</v>
      </c>
      <c r="V537" s="33">
        <f t="shared" si="160"/>
        <v>1000.0000000000006</v>
      </c>
      <c r="W537" s="105">
        <f>IF(A537=1,((cPH1_+cPHr+(cNES*L537+(cNES+cOSEX)*G537+(cNES+cEREX)*H537+(cNES+cHOEX)*I537 + (cNES+cNES)*S537 +(cNES+ cOSEX)*N537 + (cNES+cEREX)*O537 + (cNES+cHOEX)*P537)))/(1+cDR)^A$5:A$65536,(cPHr+(cNES*L537+(cNES+cOSEX)*G537+(cNES+cEREX)*H537+(cNES+cHOEX)*I537 + (cNES+cNES)*S537 +(cNES+ cOSEX)*N537 + (cNES+cEREX)*O537 + (cNES+cHOEX)*P537))/(1+cDR)^A$5:A$65536)</f>
        <v>91398.846651000305</v>
      </c>
      <c r="X537" s="112">
        <f t="shared" si="161"/>
        <v>857.79288863207239</v>
      </c>
      <c r="Y537" s="32">
        <f>(uNES*L537+ uOCEX*G537+uEREX*'PH + UC'!H537+uHOEX*I537+uNES*S537+ uOCEX*N537+uEREX*O537+uHOEX*P537)/(1+oDR)^A$5:A$65536</f>
        <v>484.69932548051804</v>
      </c>
    </row>
    <row r="538" spans="1:25" x14ac:dyDescent="0.25">
      <c r="A538" s="4">
        <v>532</v>
      </c>
      <c r="C538" s="110">
        <f>IF(male=0,VLOOKUP(((A536:A1370/'Life tables'!$I$2)*2)+age,lifetable,13,1),IF(male=1,VLOOKUP(((A536:A1370/'Life tables'!$I$2)*2)+age,lifetable,10,1),"error"))</f>
        <v>4.3180287415445218E-4</v>
      </c>
      <c r="F538" s="101">
        <f t="shared" si="144"/>
        <v>136.7708111523973</v>
      </c>
      <c r="G538" s="101">
        <f t="shared" si="145"/>
        <v>13.738914225795256</v>
      </c>
      <c r="H538" s="101">
        <f t="shared" si="146"/>
        <v>0.31439817310514029</v>
      </c>
      <c r="I538" s="101">
        <f t="shared" si="147"/>
        <v>0.31439817310514029</v>
      </c>
      <c r="J538" s="101">
        <f t="shared" si="148"/>
        <v>6.5262048076052265E-2</v>
      </c>
      <c r="K538" s="101">
        <f t="shared" si="149"/>
        <v>2.4645396223543416E-2</v>
      </c>
      <c r="L538" s="101">
        <f t="shared" si="156"/>
        <v>122.31319313609217</v>
      </c>
      <c r="M538" s="101">
        <f t="shared" si="150"/>
        <v>721.0220774796752</v>
      </c>
      <c r="N538" s="101">
        <f t="shared" si="151"/>
        <v>69.435988247545183</v>
      </c>
      <c r="O538" s="101">
        <f t="shared" si="152"/>
        <v>1.6574298420698477</v>
      </c>
      <c r="P538" s="101">
        <f t="shared" si="153"/>
        <v>1.6574298420698477</v>
      </c>
      <c r="Q538" s="101">
        <f t="shared" si="154"/>
        <v>0.34275343061861291</v>
      </c>
      <c r="R538" s="101">
        <f t="shared" si="155"/>
        <v>1.9310478608335409E-2</v>
      </c>
      <c r="S538" s="101">
        <f t="shared" si="157"/>
        <v>647.9091656387634</v>
      </c>
      <c r="T538" s="101">
        <f t="shared" si="158"/>
        <v>114.2280573192544</v>
      </c>
      <c r="U538" s="101">
        <f t="shared" si="159"/>
        <v>28.431025402200365</v>
      </c>
      <c r="V538" s="33">
        <f t="shared" si="160"/>
        <v>1000.0000000000007</v>
      </c>
      <c r="W538" s="105">
        <f>IF(A538=1,((cPH1_+cPHr+(cNES*L538+(cNES+cOSEX)*G538+(cNES+cEREX)*H538+(cNES+cHOEX)*I538 + (cNES+cNES)*S538 +(cNES+ cOSEX)*N538 + (cNES+cEREX)*O538 + (cNES+cHOEX)*P538)))/(1+cDR)^A$5:A$65536,(cPHr+(cNES*L538+(cNES+cOSEX)*G538+(cNES+cEREX)*H538+(cNES+cHOEX)*I538 + (cNES+cNES)*S538 +(cNES+ cOSEX)*N538 + (cNES+cEREX)*O538 + (cNES+cHOEX)*P538))/(1+cDR)^A$5:A$65536)</f>
        <v>91245.701316097315</v>
      </c>
      <c r="X538" s="112">
        <f t="shared" si="161"/>
        <v>857.34091727854593</v>
      </c>
      <c r="Y538" s="32">
        <f>(uNES*L538+ uOCEX*G538+uEREX*'PH + UC'!H538+uHOEX*I538+uNES*S538+ uOCEX*N538+uEREX*O538+uHOEX*P538)/(1+oDR)^A$5:A$65536</f>
        <v>484.304616860061</v>
      </c>
    </row>
    <row r="539" spans="1:25" x14ac:dyDescent="0.25">
      <c r="A539" s="4">
        <v>533</v>
      </c>
      <c r="C539" s="110">
        <f>IF(male=0,VLOOKUP(((A537:A1371/'Life tables'!$I$2)*2)+age,lifetable,13,1),IF(male=1,VLOOKUP(((A537:A1371/'Life tables'!$I$2)*2)+age,lifetable,10,1),"error"))</f>
        <v>4.3180287415445218E-4</v>
      </c>
      <c r="F539" s="101">
        <f t="shared" si="144"/>
        <v>136.69873459545346</v>
      </c>
      <c r="G539" s="101">
        <f t="shared" si="145"/>
        <v>13.731673984802326</v>
      </c>
      <c r="H539" s="101">
        <f t="shared" si="146"/>
        <v>0.31423248908501994</v>
      </c>
      <c r="I539" s="101">
        <f t="shared" si="147"/>
        <v>0.31423248908501994</v>
      </c>
      <c r="J539" s="101">
        <f t="shared" si="148"/>
        <v>6.5227655769062268E-2</v>
      </c>
      <c r="K539" s="101">
        <f t="shared" si="149"/>
        <v>2.4632408398953195E-2</v>
      </c>
      <c r="L539" s="101">
        <f t="shared" si="156"/>
        <v>122.24873556831308</v>
      </c>
      <c r="M539" s="101">
        <f t="shared" si="150"/>
        <v>720.64218268309253</v>
      </c>
      <c r="N539" s="101">
        <f t="shared" si="151"/>
        <v>69.39940355554377</v>
      </c>
      <c r="O539" s="101">
        <f t="shared" si="152"/>
        <v>1.6565565692639661</v>
      </c>
      <c r="P539" s="101">
        <f t="shared" si="153"/>
        <v>1.6565565692639661</v>
      </c>
      <c r="Q539" s="101">
        <f t="shared" si="154"/>
        <v>0.34257283941500088</v>
      </c>
      <c r="R539" s="101">
        <f t="shared" si="155"/>
        <v>1.9300304231472401E-2</v>
      </c>
      <c r="S539" s="101">
        <f t="shared" si="157"/>
        <v>647.56779284537436</v>
      </c>
      <c r="T539" s="101">
        <f t="shared" si="158"/>
        <v>114.63585781443847</v>
      </c>
      <c r="U539" s="101">
        <f t="shared" si="159"/>
        <v>28.474958114830791</v>
      </c>
      <c r="V539" s="33">
        <f t="shared" si="160"/>
        <v>1000.0000000000008</v>
      </c>
      <c r="W539" s="105">
        <f>IF(A539=1,((cPH1_+cPHr+(cNES*L539+(cNES+cOSEX)*G539+(cNES+cEREX)*H539+(cNES+cHOEX)*I539 + (cNES+cNES)*S539 +(cNES+ cOSEX)*N539 + (cNES+cEREX)*O539 + (cNES+cHOEX)*P539)))/(1+cDR)^A$5:A$65536,(cPHr+(cNES*L539+(cNES+cOSEX)*G539+(cNES+cEREX)*H539+(cNES+cHOEX)*I539 + (cNES+cNES)*S539 +(cNES+ cOSEX)*N539 + (cNES+cEREX)*O539 + (cNES+cHOEX)*P539))/(1+cDR)^A$5:A$65536)</f>
        <v>91092.812566146938</v>
      </c>
      <c r="X539" s="112">
        <f t="shared" si="161"/>
        <v>856.88918407073152</v>
      </c>
      <c r="Y539" s="32">
        <f>(uNES*L539+ uOCEX*G539+uEREX*'PH + UC'!H539+uHOEX*I539+uNES*S539+ uOCEX*N539+uEREX*O539+uHOEX*P539)/(1+oDR)^A$5:A$65536</f>
        <v>483.91022966631408</v>
      </c>
    </row>
    <row r="540" spans="1:25" x14ac:dyDescent="0.25">
      <c r="A540" s="4">
        <v>534</v>
      </c>
      <c r="C540" s="110">
        <f>IF(male=0,VLOOKUP(((A538:A1372/'Life tables'!$I$2)*2)+age,lifetable,13,1),IF(male=1,VLOOKUP(((A538:A1372/'Life tables'!$I$2)*2)+age,lifetable,10,1),"error"))</f>
        <v>4.3180287415445218E-4</v>
      </c>
      <c r="F540" s="101">
        <f t="shared" si="144"/>
        <v>136.62669655641739</v>
      </c>
      <c r="G540" s="101">
        <f t="shared" si="145"/>
        <v>13.724437613013842</v>
      </c>
      <c r="H540" s="101">
        <f t="shared" si="146"/>
        <v>0.31406689360688989</v>
      </c>
      <c r="I540" s="101">
        <f t="shared" si="147"/>
        <v>0.31406689360688989</v>
      </c>
      <c r="J540" s="101">
        <f t="shared" si="148"/>
        <v>6.5193281841414513E-2</v>
      </c>
      <c r="K540" s="101">
        <f t="shared" si="149"/>
        <v>2.4619427515091705E-2</v>
      </c>
      <c r="L540" s="101">
        <f t="shared" si="156"/>
        <v>122.18431244683326</v>
      </c>
      <c r="M540" s="101">
        <f t="shared" si="150"/>
        <v>720.26248751431422</v>
      </c>
      <c r="N540" s="101">
        <f t="shared" si="151"/>
        <v>69.36283808813242</v>
      </c>
      <c r="O540" s="101">
        <f t="shared" si="152"/>
        <v>1.6556837553470571</v>
      </c>
      <c r="P540" s="101">
        <f t="shared" si="153"/>
        <v>1.6556837553470571</v>
      </c>
      <c r="Q540" s="101">
        <f t="shared" si="154"/>
        <v>0.34239234310878097</v>
      </c>
      <c r="R540" s="101">
        <f t="shared" si="155"/>
        <v>1.9290135201059336E-2</v>
      </c>
      <c r="S540" s="101">
        <f t="shared" si="157"/>
        <v>647.22659943717781</v>
      </c>
      <c r="T540" s="101">
        <f t="shared" si="158"/>
        <v>115.04344343938867</v>
      </c>
      <c r="U540" s="101">
        <f t="shared" si="159"/>
        <v>28.518867677546943</v>
      </c>
      <c r="V540" s="33">
        <f t="shared" si="160"/>
        <v>1000.0000000000008</v>
      </c>
      <c r="W540" s="105">
        <f>IF(A540=1,((cPH1_+cPHr+(cNES*L540+(cNES+cOSEX)*G540+(cNES+cEREX)*H540+(cNES+cHOEX)*I540 + (cNES+cNES)*S540 +(cNES+ cOSEX)*N540 + (cNES+cEREX)*O540 + (cNES+cHOEX)*P540)))/(1+cDR)^A$5:A$65536,(cPHr+(cNES*L540+(cNES+cOSEX)*G540+(cNES+cEREX)*H540+(cNES+cHOEX)*I540 + (cNES+cNES)*S540 +(cNES+ cOSEX)*N540 + (cNES+cEREX)*O540 + (cNES+cHOEX)*P540))/(1+cDR)^A$5:A$65536)</f>
        <v>90940.179972401325</v>
      </c>
      <c r="X540" s="112">
        <f t="shared" si="161"/>
        <v>856.43768888306522</v>
      </c>
      <c r="Y540" s="32">
        <f>(uNES*L540+ uOCEX*G540+uEREX*'PH + UC'!H540+uHOEX*I540+uNES*S540+ uOCEX*N540+uEREX*O540+uHOEX*P540)/(1+oDR)^A$5:A$65536</f>
        <v>483.5161636374886</v>
      </c>
    </row>
    <row r="541" spans="1:25" x14ac:dyDescent="0.25">
      <c r="A541" s="4">
        <v>535</v>
      </c>
      <c r="C541" s="110">
        <f>IF(male=0,VLOOKUP(((A539:A1373/'Life tables'!$I$2)*2)+age,lifetable,13,1),IF(male=1,VLOOKUP(((A539:A1373/'Life tables'!$I$2)*2)+age,lifetable,10,1),"error"))</f>
        <v>4.3180287415445218E-4</v>
      </c>
      <c r="F541" s="101">
        <f t="shared" si="144"/>
        <v>136.55469699058258</v>
      </c>
      <c r="G541" s="101">
        <f t="shared" si="145"/>
        <v>13.717205105938948</v>
      </c>
      <c r="H541" s="101">
        <f t="shared" si="146"/>
        <v>0.31390138656798228</v>
      </c>
      <c r="I541" s="101">
        <f t="shared" si="147"/>
        <v>0.31390138656798228</v>
      </c>
      <c r="J541" s="101">
        <f t="shared" si="148"/>
        <v>6.515892627177669E-2</v>
      </c>
      <c r="K541" s="101">
        <f t="shared" si="149"/>
        <v>2.4606453563903063E-2</v>
      </c>
      <c r="L541" s="101">
        <f t="shared" si="156"/>
        <v>122.11992373167199</v>
      </c>
      <c r="M541" s="101">
        <f t="shared" si="150"/>
        <v>719.88299189248255</v>
      </c>
      <c r="N541" s="101">
        <f t="shared" si="151"/>
        <v>69.326291837524394</v>
      </c>
      <c r="O541" s="101">
        <f t="shared" si="152"/>
        <v>1.654811400133251</v>
      </c>
      <c r="P541" s="101">
        <f t="shared" si="153"/>
        <v>1.654811400133251</v>
      </c>
      <c r="Q541" s="101">
        <f t="shared" si="154"/>
        <v>0.34221194166151575</v>
      </c>
      <c r="R541" s="101">
        <f t="shared" si="155"/>
        <v>1.9279971514930678E-2</v>
      </c>
      <c r="S541" s="101">
        <f t="shared" si="157"/>
        <v>646.88558534151525</v>
      </c>
      <c r="T541" s="101">
        <f t="shared" si="158"/>
        <v>115.45081430732196</v>
      </c>
      <c r="U541" s="101">
        <f t="shared" si="159"/>
        <v>28.562754102625778</v>
      </c>
      <c r="V541" s="33">
        <f t="shared" si="160"/>
        <v>1000.0000000000008</v>
      </c>
      <c r="W541" s="105">
        <f>IF(A541=1,((cPH1_+cPHr+(cNES*L541+(cNES+cOSEX)*G541+(cNES+cEREX)*H541+(cNES+cHOEX)*I541 + (cNES+cNES)*S541 +(cNES+ cOSEX)*N541 + (cNES+cEREX)*O541 + (cNES+cHOEX)*P541)))/(1+cDR)^A$5:A$65536,(cPHr+(cNES*L541+(cNES+cOSEX)*G541+(cNES+cEREX)*H541+(cNES+cHOEX)*I541 + (cNES+cNES)*S541 +(cNES+ cOSEX)*N541 + (cNES+cEREX)*O541 + (cNES+cHOEX)*P541))/(1+cDR)^A$5:A$65536)</f>
        <v>90787.803106775886</v>
      </c>
      <c r="X541" s="112">
        <f t="shared" si="161"/>
        <v>855.98643159005303</v>
      </c>
      <c r="Y541" s="32">
        <f>(uNES*L541+ uOCEX*G541+uEREX*'PH + UC'!H541+uHOEX*I541+uNES*S541+ uOCEX*N541+uEREX*O541+uHOEX*P541)/(1+oDR)^A$5:A$65536</f>
        <v>483.12241851200952</v>
      </c>
    </row>
    <row r="542" spans="1:25" x14ac:dyDescent="0.25">
      <c r="A542" s="4">
        <v>536</v>
      </c>
      <c r="C542" s="110">
        <f>IF(male=0,VLOOKUP(((A540:A1374/'Life tables'!$I$2)*2)+age,lifetable,13,1),IF(male=1,VLOOKUP(((A540:A1374/'Life tables'!$I$2)*2)+age,lifetable,10,1),"error"))</f>
        <v>4.3180287415445218E-4</v>
      </c>
      <c r="F542" s="101">
        <f t="shared" si="144"/>
        <v>136.48273585436823</v>
      </c>
      <c r="G542" s="101">
        <f t="shared" si="145"/>
        <v>13.709976459199854</v>
      </c>
      <c r="H542" s="101">
        <f t="shared" si="146"/>
        <v>0.31373596786811686</v>
      </c>
      <c r="I542" s="101">
        <f t="shared" si="147"/>
        <v>0.31373596786811686</v>
      </c>
      <c r="J542" s="101">
        <f t="shared" si="148"/>
        <v>6.5124589039353628E-2</v>
      </c>
      <c r="K542" s="101">
        <f t="shared" si="149"/>
        <v>2.4593486537534237E-2</v>
      </c>
      <c r="L542" s="101">
        <f t="shared" si="156"/>
        <v>122.05556938385526</v>
      </c>
      <c r="M542" s="101">
        <f t="shared" si="150"/>
        <v>719.5036957356848</v>
      </c>
      <c r="N542" s="101">
        <f t="shared" si="151"/>
        <v>69.289764795831289</v>
      </c>
      <c r="O542" s="101">
        <f t="shared" si="152"/>
        <v>1.6539395034342532</v>
      </c>
      <c r="P542" s="101">
        <f t="shared" si="153"/>
        <v>1.6539395034342532</v>
      </c>
      <c r="Q542" s="101">
        <f t="shared" si="154"/>
        <v>0.34203163503426609</v>
      </c>
      <c r="R542" s="101">
        <f t="shared" si="155"/>
        <v>1.9269813170892627E-2</v>
      </c>
      <c r="S542" s="101">
        <f t="shared" si="157"/>
        <v>646.5447504847798</v>
      </c>
      <c r="T542" s="101">
        <f t="shared" si="158"/>
        <v>115.85797053139558</v>
      </c>
      <c r="U542" s="101">
        <f t="shared" si="159"/>
        <v>28.606617402334205</v>
      </c>
      <c r="V542" s="33">
        <f t="shared" si="160"/>
        <v>1000.0000000000008</v>
      </c>
      <c r="W542" s="105">
        <f>IF(A542=1,((cPH1_+cPHr+(cNES*L542+(cNES+cOSEX)*G542+(cNES+cEREX)*H542+(cNES+cHOEX)*I542 + (cNES+cNES)*S542 +(cNES+ cOSEX)*N542 + (cNES+cEREX)*O542 + (cNES+cHOEX)*P542)))/(1+cDR)^A$5:A$65536,(cPHr+(cNES*L542+(cNES+cOSEX)*G542+(cNES+cEREX)*H542+(cNES+cHOEX)*I542 + (cNES+cNES)*S542 +(cNES+ cOSEX)*N542 + (cNES+cEREX)*O542 + (cNES+cHOEX)*P542))/(1+cDR)^A$5:A$65536)</f>
        <v>90635.681541851009</v>
      </c>
      <c r="X542" s="112">
        <f t="shared" si="161"/>
        <v>855.53541206627096</v>
      </c>
      <c r="Y542" s="32">
        <f>(uNES*L542+ uOCEX*G542+uEREX*'PH + UC'!H542+uHOEX*I542+uNES*S542+ uOCEX*N542+uEREX*O542+uHOEX*P542)/(1+oDR)^A$5:A$65536</f>
        <v>482.72899402851783</v>
      </c>
    </row>
    <row r="543" spans="1:25" x14ac:dyDescent="0.25">
      <c r="A543" s="4">
        <v>537</v>
      </c>
      <c r="C543" s="110">
        <f>IF(male=0,VLOOKUP(((A541:A1375/'Life tables'!$I$2)*2)+age,lifetable,13,1),IF(male=1,VLOOKUP(((A541:A1375/'Life tables'!$I$2)*2)+age,lifetable,10,1),"error"))</f>
        <v>4.3180287415445218E-4</v>
      </c>
      <c r="F543" s="101">
        <f t="shared" si="144"/>
        <v>136.41081310526866</v>
      </c>
      <c r="G543" s="101">
        <f t="shared" si="145"/>
        <v>13.702751668526783</v>
      </c>
      <c r="H543" s="101">
        <f t="shared" si="146"/>
        <v>0.31357063740958496</v>
      </c>
      <c r="I543" s="101">
        <f t="shared" si="147"/>
        <v>0.31357063740958496</v>
      </c>
      <c r="J543" s="101">
        <f t="shared" si="148"/>
        <v>6.5090270123863203E-2</v>
      </c>
      <c r="K543" s="101">
        <f t="shared" si="149"/>
        <v>2.4580526428325915E-2</v>
      </c>
      <c r="L543" s="101">
        <f t="shared" si="156"/>
        <v>121.99124936537052</v>
      </c>
      <c r="M543" s="101">
        <f t="shared" si="150"/>
        <v>719.12459896100222</v>
      </c>
      <c r="N543" s="101">
        <f t="shared" si="151"/>
        <v>69.253256955067855</v>
      </c>
      <c r="O543" s="101">
        <f t="shared" si="152"/>
        <v>1.6530680650594567</v>
      </c>
      <c r="P543" s="101">
        <f t="shared" si="153"/>
        <v>1.6530680650594567</v>
      </c>
      <c r="Q543" s="101">
        <f t="shared" si="154"/>
        <v>0.34185142318761486</v>
      </c>
      <c r="R543" s="101">
        <f t="shared" si="155"/>
        <v>1.9259660166724455E-2</v>
      </c>
      <c r="S543" s="101">
        <f t="shared" si="157"/>
        <v>646.20409479246109</v>
      </c>
      <c r="T543" s="101">
        <f t="shared" si="158"/>
        <v>116.26491222470706</v>
      </c>
      <c r="U543" s="101">
        <f t="shared" si="159"/>
        <v>28.650457588929257</v>
      </c>
      <c r="V543" s="33">
        <f t="shared" si="160"/>
        <v>1000.0000000000006</v>
      </c>
      <c r="W543" s="105">
        <f>IF(A543=1,((cPH1_+cPHr+(cNES*L543+(cNES+cOSEX)*G543+(cNES+cEREX)*H543+(cNES+cHOEX)*I543 + (cNES+cNES)*S543 +(cNES+ cOSEX)*N543 + (cNES+cEREX)*O543 + (cNES+cHOEX)*P543)))/(1+cDR)^A$5:A$65536,(cPHr+(cNES*L543+(cNES+cOSEX)*G543+(cNES+cEREX)*H543+(cNES+cHOEX)*I543 + (cNES+cNES)*S543 +(cNES+ cOSEX)*N543 + (cNES+cEREX)*O543 + (cNES+cHOEX)*P543))/(1+cDR)^A$5:A$65536)</f>
        <v>90483.81485087295</v>
      </c>
      <c r="X543" s="112">
        <f t="shared" si="161"/>
        <v>855.08463018636428</v>
      </c>
      <c r="Y543" s="32">
        <f>(uNES*L543+ uOCEX*G543+uEREX*'PH + UC'!H543+uHOEX*I543+uNES*S543+ uOCEX*N543+uEREX*O543+uHOEX*P543)/(1+oDR)^A$5:A$65536</f>
        <v>482.33588992586823</v>
      </c>
    </row>
    <row r="544" spans="1:25" x14ac:dyDescent="0.25">
      <c r="A544" s="4">
        <v>538</v>
      </c>
      <c r="C544" s="110">
        <f>IF(male=0,VLOOKUP(((A542:A1376/'Life tables'!$I$2)*2)+age,lifetable,13,1),IF(male=1,VLOOKUP(((A542:A1376/'Life tables'!$I$2)*2)+age,lifetable,10,1),"error"))</f>
        <v>4.3180287415445218E-4</v>
      </c>
      <c r="F544" s="101">
        <f t="shared" si="144"/>
        <v>136.33892870180534</v>
      </c>
      <c r="G544" s="101">
        <f t="shared" si="145"/>
        <v>13.695530729753125</v>
      </c>
      <c r="H544" s="101">
        <f t="shared" si="146"/>
        <v>0.31340539509703896</v>
      </c>
      <c r="I544" s="101">
        <f t="shared" si="147"/>
        <v>0.31340539509703896</v>
      </c>
      <c r="J544" s="101">
        <f t="shared" si="148"/>
        <v>6.5055969505513317E-2</v>
      </c>
      <c r="K544" s="101">
        <f t="shared" si="149"/>
        <v>2.4567573228803891E-2</v>
      </c>
      <c r="L544" s="101">
        <f t="shared" si="156"/>
        <v>121.92696363912383</v>
      </c>
      <c r="M544" s="101">
        <f t="shared" si="150"/>
        <v>718.74570148455894</v>
      </c>
      <c r="N544" s="101">
        <f t="shared" si="151"/>
        <v>69.216768307156684</v>
      </c>
      <c r="O544" s="101">
        <f t="shared" si="152"/>
        <v>1.6521970848160539</v>
      </c>
      <c r="P544" s="101">
        <f t="shared" si="153"/>
        <v>1.6521970848160539</v>
      </c>
      <c r="Q544" s="101">
        <f t="shared" si="154"/>
        <v>0.34167130608168983</v>
      </c>
      <c r="R544" s="101">
        <f t="shared" si="155"/>
        <v>1.9249512500179783E-2</v>
      </c>
      <c r="S544" s="101">
        <f t="shared" si="157"/>
        <v>645.86361818918829</v>
      </c>
      <c r="T544" s="101">
        <f t="shared" si="158"/>
        <v>116.67163950029426</v>
      </c>
      <c r="U544" s="101">
        <f t="shared" si="159"/>
        <v>28.694274674658239</v>
      </c>
      <c r="V544" s="33">
        <f t="shared" si="160"/>
        <v>1000.0000000000007</v>
      </c>
      <c r="W544" s="105">
        <f>IF(A544=1,((cPH1_+cPHr+(cNES*L544+(cNES+cOSEX)*G544+(cNES+cEREX)*H544+(cNES+cHOEX)*I544 + (cNES+cNES)*S544 +(cNES+ cOSEX)*N544 + (cNES+cEREX)*O544 + (cNES+cHOEX)*P544)))/(1+cDR)^A$5:A$65536,(cPHr+(cNES*L544+(cNES+cOSEX)*G544+(cNES+cEREX)*H544+(cNES+cHOEX)*I544 + (cNES+cNES)*S544 +(cNES+ cOSEX)*N544 + (cNES+cEREX)*O544 + (cNES+cHOEX)*P544))/(1+cDR)^A$5:A$65536)</f>
        <v>90332.20260775552</v>
      </c>
      <c r="X544" s="112">
        <f t="shared" si="161"/>
        <v>854.63408582504815</v>
      </c>
      <c r="Y544" s="32">
        <f>(uNES*L544+ uOCEX*G544+uEREX*'PH + UC'!H544+uHOEX*I544+uNES*S544+ uOCEX*N544+uEREX*O544+uHOEX*P544)/(1+oDR)^A$5:A$65536</f>
        <v>481.94310594313009</v>
      </c>
    </row>
    <row r="545" spans="1:25" x14ac:dyDescent="0.25">
      <c r="A545" s="4">
        <v>539</v>
      </c>
      <c r="C545" s="110">
        <f>IF(male=0,VLOOKUP(((A543:A1377/'Life tables'!$I$2)*2)+age,lifetable,13,1),IF(male=1,VLOOKUP(((A543:A1377/'Life tables'!$I$2)*2)+age,lifetable,10,1),"error"))</f>
        <v>4.3180287415445218E-4</v>
      </c>
      <c r="F545" s="101">
        <f t="shared" si="144"/>
        <v>136.2670826034811</v>
      </c>
      <c r="G545" s="101">
        <f t="shared" si="145"/>
        <v>13.688313638810856</v>
      </c>
      <c r="H545" s="101">
        <f t="shared" si="146"/>
        <v>0.313240240837387</v>
      </c>
      <c r="I545" s="101">
        <f t="shared" si="147"/>
        <v>0.313240240837387</v>
      </c>
      <c r="J545" s="101">
        <f t="shared" si="148"/>
        <v>6.5021687164980219E-2</v>
      </c>
      <c r="K545" s="101">
        <f t="shared" si="149"/>
        <v>2.4554626931670771E-2</v>
      </c>
      <c r="L545" s="101">
        <f t="shared" si="156"/>
        <v>121.86271216889881</v>
      </c>
      <c r="M545" s="101">
        <f t="shared" si="150"/>
        <v>718.36700322156707</v>
      </c>
      <c r="N545" s="101">
        <f t="shared" si="151"/>
        <v>69.180298843932505</v>
      </c>
      <c r="O545" s="101">
        <f t="shared" si="152"/>
        <v>1.6513265625091411</v>
      </c>
      <c r="P545" s="101">
        <f t="shared" si="153"/>
        <v>1.6513265625091411</v>
      </c>
      <c r="Q545" s="101">
        <f t="shared" si="154"/>
        <v>0.34149128367618536</v>
      </c>
      <c r="R545" s="101">
        <f t="shared" si="155"/>
        <v>1.9239370168987815E-2</v>
      </c>
      <c r="S545" s="101">
        <f t="shared" si="157"/>
        <v>645.52332059877108</v>
      </c>
      <c r="T545" s="101">
        <f t="shared" si="158"/>
        <v>117.07815247113543</v>
      </c>
      <c r="U545" s="101">
        <f t="shared" si="159"/>
        <v>28.738068671758896</v>
      </c>
      <c r="V545" s="33">
        <f t="shared" si="160"/>
        <v>1000.0000000000007</v>
      </c>
      <c r="W545" s="105">
        <f>IF(A545=1,((cPH1_+cPHr+(cNES*L545+(cNES+cOSEX)*G545+(cNES+cEREX)*H545+(cNES+cHOEX)*I545 + (cNES+cNES)*S545 +(cNES+ cOSEX)*N545 + (cNES+cEREX)*O545 + (cNES+cHOEX)*P545)))/(1+cDR)^A$5:A$65536,(cPHr+(cNES*L545+(cNES+cOSEX)*G545+(cNES+cEREX)*H545+(cNES+cHOEX)*I545 + (cNES+cNES)*S545 +(cNES+ cOSEX)*N545 + (cNES+cEREX)*O545 + (cNES+cHOEX)*P545))/(1+cDR)^A$5:A$65536)</f>
        <v>90180.84438708068</v>
      </c>
      <c r="X545" s="112">
        <f t="shared" si="161"/>
        <v>854.18377885710629</v>
      </c>
      <c r="Y545" s="32">
        <f>(uNES*L545+ uOCEX*G545+uEREX*'PH + UC'!H545+uHOEX*I545+uNES*S545+ uOCEX*N545+uEREX*O545+uHOEX*P545)/(1+oDR)^A$5:A$65536</f>
        <v>481.55064181958664</v>
      </c>
    </row>
    <row r="546" spans="1:25" x14ac:dyDescent="0.25">
      <c r="A546" s="4">
        <v>540</v>
      </c>
      <c r="C546" s="110">
        <f>IF(male=0,VLOOKUP(((A544:A1378/'Life tables'!$I$2)*2)+age,lifetable,13,1),IF(male=1,VLOOKUP(((A544:A1378/'Life tables'!$I$2)*2)+age,lifetable,10,1),"error"))</f>
        <v>4.3180287415445218E-4</v>
      </c>
      <c r="F546" s="101">
        <f t="shared" si="144"/>
        <v>136.19527477073609</v>
      </c>
      <c r="G546" s="101">
        <f t="shared" si="145"/>
        <v>13.681100391726105</v>
      </c>
      <c r="H546" s="101">
        <f t="shared" si="146"/>
        <v>0.31307517453969197</v>
      </c>
      <c r="I546" s="101">
        <f t="shared" si="147"/>
        <v>0.31307517453969197</v>
      </c>
      <c r="J546" s="101">
        <f t="shared" si="148"/>
        <v>6.4987423083387411E-2</v>
      </c>
      <c r="K546" s="101">
        <f t="shared" si="149"/>
        <v>2.454168752979808E-2</v>
      </c>
      <c r="L546" s="101">
        <f t="shared" si="156"/>
        <v>121.79849491931742</v>
      </c>
      <c r="M546" s="101">
        <f t="shared" si="150"/>
        <v>717.98850408637009</v>
      </c>
      <c r="N546" s="101">
        <f t="shared" si="151"/>
        <v>69.143848557146399</v>
      </c>
      <c r="O546" s="101">
        <f t="shared" si="152"/>
        <v>1.6504564979418175</v>
      </c>
      <c r="P546" s="101">
        <f t="shared" si="153"/>
        <v>1.6504564979418175</v>
      </c>
      <c r="Q546" s="101">
        <f t="shared" si="154"/>
        <v>0.34131135593038253</v>
      </c>
      <c r="R546" s="101">
        <f t="shared" si="155"/>
        <v>1.9229233170854496E-2</v>
      </c>
      <c r="S546" s="101">
        <f t="shared" si="157"/>
        <v>645.18320194423882</v>
      </c>
      <c r="T546" s="101">
        <f t="shared" si="158"/>
        <v>117.48445125014919</v>
      </c>
      <c r="U546" s="101">
        <f t="shared" si="159"/>
        <v>28.781839592459548</v>
      </c>
      <c r="V546" s="33">
        <f t="shared" si="160"/>
        <v>1000.0000000000005</v>
      </c>
      <c r="W546" s="105">
        <f>IF(A546=1,((cPH1_+cPHr+(cNES*L546+(cNES+cOSEX)*G546+(cNES+cEREX)*H546+(cNES+cHOEX)*I546 + (cNES+cNES)*S546 +(cNES+ cOSEX)*N546 + (cNES+cEREX)*O546 + (cNES+cHOEX)*P546)))/(1+cDR)^A$5:A$65536,(cPHr+(cNES*L546+(cNES+cOSEX)*G546+(cNES+cEREX)*H546+(cNES+cHOEX)*I546 + (cNES+cNES)*S546 +(cNES+ cOSEX)*N546 + (cNES+cEREX)*O546 + (cNES+cHOEX)*P546))/(1+cDR)^A$5:A$65536)</f>
        <v>90029.739764099999</v>
      </c>
      <c r="X546" s="112">
        <f t="shared" si="161"/>
        <v>853.73370915739179</v>
      </c>
      <c r="Y546" s="32">
        <f>(uNES*L546+ uOCEX*G546+uEREX*'PH + UC'!H546+uHOEX*I546+uNES*S546+ uOCEX*N546+uEREX*O546+uHOEX*P546)/(1+oDR)^A$5:A$65536</f>
        <v>481.15849729473439</v>
      </c>
    </row>
    <row r="547" spans="1:25" x14ac:dyDescent="0.25">
      <c r="A547" s="4">
        <v>541</v>
      </c>
      <c r="C547" s="110">
        <f>IF(male=0,VLOOKUP(((A545:A1379/'Life tables'!$I$2)*2)+age,lifetable,13,1),IF(male=1,VLOOKUP(((A545:A1379/'Life tables'!$I$2)*2)+age,lifetable,10,1),"error"))</f>
        <v>4.3180287415445218E-4</v>
      </c>
      <c r="F547" s="101">
        <f t="shared" si="144"/>
        <v>136.12350516490619</v>
      </c>
      <c r="G547" s="101">
        <f t="shared" si="145"/>
        <v>13.673890984614982</v>
      </c>
      <c r="H547" s="101">
        <f t="shared" si="146"/>
        <v>0.31291019611507581</v>
      </c>
      <c r="I547" s="101">
        <f t="shared" si="147"/>
        <v>0.31291019611507581</v>
      </c>
      <c r="J547" s="101">
        <f t="shared" si="148"/>
        <v>6.4953177242285762E-2</v>
      </c>
      <c r="K547" s="101">
        <f t="shared" si="149"/>
        <v>2.4528755016218748E-2</v>
      </c>
      <c r="L547" s="101">
        <f t="shared" si="156"/>
        <v>121.73431185580256</v>
      </c>
      <c r="M547" s="101">
        <f t="shared" si="150"/>
        <v>717.61020399248559</v>
      </c>
      <c r="N547" s="101">
        <f t="shared" si="151"/>
        <v>69.107417438469938</v>
      </c>
      <c r="O547" s="101">
        <f t="shared" si="152"/>
        <v>1.6495868909152842</v>
      </c>
      <c r="P547" s="101">
        <f t="shared" si="153"/>
        <v>1.6495868909152842</v>
      </c>
      <c r="Q547" s="101">
        <f t="shared" si="154"/>
        <v>0.34113152280317027</v>
      </c>
      <c r="R547" s="101">
        <f t="shared" si="155"/>
        <v>1.9219101503463641E-2</v>
      </c>
      <c r="S547" s="101">
        <f t="shared" si="157"/>
        <v>644.84326214787848</v>
      </c>
      <c r="T547" s="101">
        <f t="shared" si="158"/>
        <v>117.89053595019465</v>
      </c>
      <c r="U547" s="101">
        <f t="shared" si="159"/>
        <v>28.825587448979231</v>
      </c>
      <c r="V547" s="33">
        <f t="shared" si="160"/>
        <v>1000.0000000000006</v>
      </c>
      <c r="W547" s="105">
        <f>IF(A547=1,((cPH1_+cPHr+(cNES*L547+(cNES+cOSEX)*G547+(cNES+cEREX)*H547+(cNES+cHOEX)*I547 + (cNES+cNES)*S547 +(cNES+ cOSEX)*N547 + (cNES+cEREX)*O547 + (cNES+cHOEX)*P547)))/(1+cDR)^A$5:A$65536,(cPHr+(cNES*L547+(cNES+cOSEX)*G547+(cNES+cEREX)*H547+(cNES+cHOEX)*I547 + (cNES+cNES)*S547 +(cNES+ cOSEX)*N547 + (cNES+cEREX)*O547 + (cNES+cHOEX)*P547))/(1+cDR)^A$5:A$65536)</f>
        <v>89878.888314735188</v>
      </c>
      <c r="X547" s="112">
        <f t="shared" si="161"/>
        <v>853.28387660082672</v>
      </c>
      <c r="Y547" s="32">
        <f>(uNES*L547+ uOCEX*G547+uEREX*'PH + UC'!H547+uHOEX*I547+uNES*S547+ uOCEX*N547+uEREX*O547+uHOEX*P547)/(1+oDR)^A$5:A$65536</f>
        <v>480.76667210828396</v>
      </c>
    </row>
    <row r="548" spans="1:25" x14ac:dyDescent="0.25">
      <c r="A548" s="4">
        <v>542</v>
      </c>
      <c r="C548" s="110">
        <f>IF(male=0,VLOOKUP(((A546:A1380/'Life tables'!$I$2)*2)+age,lifetable,13,1),IF(male=1,VLOOKUP(((A546:A1380/'Life tables'!$I$2)*2)+age,lifetable,10,1),"error"))</f>
        <v>4.3180287415445218E-4</v>
      </c>
      <c r="F548" s="101">
        <f t="shared" si="144"/>
        <v>136.05177374818274</v>
      </c>
      <c r="G548" s="101">
        <f t="shared" si="145"/>
        <v>13.666685413679527</v>
      </c>
      <c r="H548" s="101">
        <f t="shared" si="146"/>
        <v>0.31274530547662688</v>
      </c>
      <c r="I548" s="101">
        <f t="shared" si="147"/>
        <v>0.31274530547662688</v>
      </c>
      <c r="J548" s="101">
        <f t="shared" si="148"/>
        <v>6.4918949623634328E-2</v>
      </c>
      <c r="K548" s="101">
        <f t="shared" si="149"/>
        <v>2.4515829384119833E-2</v>
      </c>
      <c r="L548" s="101">
        <f t="shared" si="156"/>
        <v>121.6701629445422</v>
      </c>
      <c r="M548" s="101">
        <f t="shared" si="150"/>
        <v>717.23210285264406</v>
      </c>
      <c r="N548" s="101">
        <f t="shared" si="151"/>
        <v>69.071005479498879</v>
      </c>
      <c r="O548" s="101">
        <f t="shared" si="152"/>
        <v>1.6487177412289327</v>
      </c>
      <c r="P548" s="101">
        <f t="shared" si="153"/>
        <v>1.6487177412289327</v>
      </c>
      <c r="Q548" s="101">
        <f t="shared" si="154"/>
        <v>0.34095178425306311</v>
      </c>
      <c r="R548" s="101">
        <f t="shared" si="155"/>
        <v>1.920897516447799E-2</v>
      </c>
      <c r="S548" s="101">
        <f t="shared" si="157"/>
        <v>644.50350113126979</v>
      </c>
      <c r="T548" s="101">
        <f t="shared" si="158"/>
        <v>118.29640668407134</v>
      </c>
      <c r="U548" s="101">
        <f t="shared" si="159"/>
        <v>28.869312253527831</v>
      </c>
      <c r="V548" s="33">
        <f t="shared" si="160"/>
        <v>1000.0000000000007</v>
      </c>
      <c r="W548" s="105">
        <f>IF(A548=1,((cPH1_+cPHr+(cNES*L548+(cNES+cOSEX)*G548+(cNES+cEREX)*H548+(cNES+cHOEX)*I548 + (cNES+cNES)*S548 +(cNES+ cOSEX)*N548 + (cNES+cEREX)*O548 + (cNES+cHOEX)*P548)))/(1+cDR)^A$5:A$65536,(cPHr+(cNES*L548+(cNES+cOSEX)*G548+(cNES+cEREX)*H548+(cNES+cHOEX)*I548 + (cNES+cNES)*S548 +(cNES+ cOSEX)*N548 + (cNES+cEREX)*O548 + (cNES+cHOEX)*P548))/(1+cDR)^A$5:A$65536)</f>
        <v>89728.28961557908</v>
      </c>
      <c r="X548" s="112">
        <f t="shared" si="161"/>
        <v>852.83428106240149</v>
      </c>
      <c r="Y548" s="32">
        <f>(uNES*L548+ uOCEX*G548+uEREX*'PH + UC'!H548+uHOEX*I548+uNES*S548+ uOCEX*N548+uEREX*O548+uHOEX*P548)/(1+oDR)^A$5:A$65536</f>
        <v>480.3751660001592</v>
      </c>
    </row>
    <row r="549" spans="1:25" x14ac:dyDescent="0.25">
      <c r="A549" s="4">
        <v>543</v>
      </c>
      <c r="C549" s="110">
        <f>IF(male=0,VLOOKUP(((A547:A1381/'Life tables'!$I$2)*2)+age,lifetable,13,1),IF(male=1,VLOOKUP(((A547:A1381/'Life tables'!$I$2)*2)+age,lifetable,10,1),"error"))</f>
        <v>4.3180287415445218E-4</v>
      </c>
      <c r="F549" s="101">
        <f t="shared" si="144"/>
        <v>135.9800804835746</v>
      </c>
      <c r="G549" s="101">
        <f t="shared" si="145"/>
        <v>13.659483675203903</v>
      </c>
      <c r="H549" s="101">
        <f t="shared" si="146"/>
        <v>0.3125805025393128</v>
      </c>
      <c r="I549" s="101">
        <f t="shared" si="147"/>
        <v>0.3125805025393128</v>
      </c>
      <c r="J549" s="101">
        <f t="shared" si="148"/>
        <v>6.4884740209782327E-2</v>
      </c>
      <c r="K549" s="101">
        <f t="shared" si="149"/>
        <v>2.4502910626835735E-2</v>
      </c>
      <c r="L549" s="101">
        <f t="shared" si="156"/>
        <v>121.60604815245546</v>
      </c>
      <c r="M549" s="101">
        <f t="shared" si="150"/>
        <v>716.85420057882686</v>
      </c>
      <c r="N549" s="101">
        <f t="shared" si="151"/>
        <v>69.034612671756832</v>
      </c>
      <c r="O549" s="101">
        <f t="shared" si="152"/>
        <v>1.6478490486804325</v>
      </c>
      <c r="P549" s="101">
        <f t="shared" si="153"/>
        <v>1.6478490486804325</v>
      </c>
      <c r="Q549" s="101">
        <f t="shared" si="154"/>
        <v>0.34077214023821939</v>
      </c>
      <c r="R549" s="101">
        <f t="shared" si="155"/>
        <v>1.9198854151540219E-2</v>
      </c>
      <c r="S549" s="101">
        <f t="shared" si="157"/>
        <v>644.16391881531945</v>
      </c>
      <c r="T549" s="101">
        <f t="shared" si="158"/>
        <v>118.70206356451935</v>
      </c>
      <c r="U549" s="101">
        <f t="shared" si="159"/>
        <v>28.913014018306207</v>
      </c>
      <c r="V549" s="33">
        <f t="shared" si="160"/>
        <v>1000.0000000000007</v>
      </c>
      <c r="W549" s="105">
        <f>IF(A549=1,((cPH1_+cPHr+(cNES*L549+(cNES+cOSEX)*G549+(cNES+cEREX)*H549+(cNES+cHOEX)*I549 + (cNES+cNES)*S549 +(cNES+ cOSEX)*N549 + (cNES+cEREX)*O549 + (cNES+cHOEX)*P549)))/(1+cDR)^A$5:A$65536,(cPHr+(cNES*L549+(cNES+cOSEX)*G549+(cNES+cEREX)*H549+(cNES+cHOEX)*I549 + (cNES+cNES)*S549 +(cNES+ cOSEX)*N549 + (cNES+cEREX)*O549 + (cNES+cHOEX)*P549))/(1+cDR)^A$5:A$65536)</f>
        <v>89577.943243896152</v>
      </c>
      <c r="X549" s="112">
        <f t="shared" si="161"/>
        <v>852.38492241717518</v>
      </c>
      <c r="Y549" s="32">
        <f>(uNES*L549+ uOCEX*G549+uEREX*'PH + UC'!H549+uHOEX*I549+uNES*S549+ uOCEX*N549+uEREX*O549+uHOEX*P549)/(1+oDR)^A$5:A$65536</f>
        <v>479.98397871049667</v>
      </c>
    </row>
    <row r="550" spans="1:25" x14ac:dyDescent="0.25">
      <c r="A550" s="4">
        <v>544</v>
      </c>
      <c r="C550" s="110">
        <f>IF(male=0,VLOOKUP(((A548:A1382/'Life tables'!$I$2)*2)+age,lifetable,13,1),IF(male=1,VLOOKUP(((A548:A1382/'Life tables'!$I$2)*2)+age,lifetable,10,1),"error"))</f>
        <v>4.3180287415445218E-4</v>
      </c>
      <c r="F550" s="101">
        <f t="shared" si="144"/>
        <v>135.90842533487174</v>
      </c>
      <c r="G550" s="101">
        <f t="shared" si="145"/>
        <v>13.652285765550738</v>
      </c>
      <c r="H550" s="101">
        <f t="shared" si="146"/>
        <v>0.31241578721989677</v>
      </c>
      <c r="I550" s="101">
        <f t="shared" si="147"/>
        <v>0.31241578721989677</v>
      </c>
      <c r="J550" s="101">
        <f t="shared" si="148"/>
        <v>6.4850548983451661E-2</v>
      </c>
      <c r="K550" s="101">
        <f t="shared" si="149"/>
        <v>2.4489998737841592E-2</v>
      </c>
      <c r="L550" s="101">
        <f t="shared" si="156"/>
        <v>121.54196744715992</v>
      </c>
      <c r="M550" s="101">
        <f t="shared" si="150"/>
        <v>716.47649708230335</v>
      </c>
      <c r="N550" s="101">
        <f t="shared" si="151"/>
        <v>68.998239006698839</v>
      </c>
      <c r="O550" s="101">
        <f t="shared" si="152"/>
        <v>1.6469808130658166</v>
      </c>
      <c r="P550" s="101">
        <f t="shared" si="153"/>
        <v>1.6469808130658166</v>
      </c>
      <c r="Q550" s="101">
        <f t="shared" si="154"/>
        <v>0.34059259071645909</v>
      </c>
      <c r="R550" s="101">
        <f t="shared" si="155"/>
        <v>1.9188738462273942E-2</v>
      </c>
      <c r="S550" s="101">
        <f t="shared" si="157"/>
        <v>643.82451512029411</v>
      </c>
      <c r="T550" s="101">
        <f t="shared" si="158"/>
        <v>119.10750670421926</v>
      </c>
      <c r="U550" s="101">
        <f t="shared" si="159"/>
        <v>28.956692755506321</v>
      </c>
      <c r="V550" s="33">
        <f t="shared" si="160"/>
        <v>1000.0000000000007</v>
      </c>
      <c r="W550" s="105">
        <f>IF(A550=1,((cPH1_+cPHr+(cNES*L550+(cNES+cOSEX)*G550+(cNES+cEREX)*H550+(cNES+cHOEX)*I550 + (cNES+cNES)*S550 +(cNES+ cOSEX)*N550 + (cNES+cEREX)*O550 + (cNES+cHOEX)*P550)))/(1+cDR)^A$5:A$65536,(cPHr+(cNES*L550+(cNES+cOSEX)*G550+(cNES+cEREX)*H550+(cNES+cHOEX)*I550 + (cNES+cNES)*S550 +(cNES+ cOSEX)*N550 + (cNES+cEREX)*O550 + (cNES+cHOEX)*P550))/(1+cDR)^A$5:A$65536)</f>
        <v>89427.848777623556</v>
      </c>
      <c r="X550" s="112">
        <f t="shared" si="161"/>
        <v>851.93580054027507</v>
      </c>
      <c r="Y550" s="32">
        <f>(uNES*L550+ uOCEX*G550+uEREX*'PH + UC'!H550+uHOEX*I550+uNES*S550+ uOCEX*N550+uEREX*O550+uHOEX*P550)/(1+oDR)^A$5:A$65536</f>
        <v>479.59310997964531</v>
      </c>
    </row>
    <row r="551" spans="1:25" x14ac:dyDescent="0.25">
      <c r="A551" s="4">
        <v>545</v>
      </c>
      <c r="C551" s="110">
        <f>IF(male=0,VLOOKUP(((A549:A1383/'Life tables'!$I$2)*2)+age,lifetable,13,1),IF(male=1,VLOOKUP(((A549:A1383/'Life tables'!$I$2)*2)+age,lifetable,10,1),"error"))</f>
        <v>4.3180287415445218E-4</v>
      </c>
      <c r="F551" s="101">
        <f t="shared" si="144"/>
        <v>135.83680826661023</v>
      </c>
      <c r="G551" s="101">
        <f t="shared" si="145"/>
        <v>13.645091681157604</v>
      </c>
      <c r="H551" s="101">
        <f t="shared" si="146"/>
        <v>0.31225115943685705</v>
      </c>
      <c r="I551" s="101">
        <f t="shared" si="147"/>
        <v>0.31225115943685705</v>
      </c>
      <c r="J551" s="101">
        <f t="shared" si="148"/>
        <v>6.4816375927720188E-2</v>
      </c>
      <c r="K551" s="101">
        <f t="shared" si="149"/>
        <v>2.447709371074698E-2</v>
      </c>
      <c r="L551" s="101">
        <f t="shared" si="156"/>
        <v>121.47792079694045</v>
      </c>
      <c r="M551" s="101">
        <f t="shared" si="150"/>
        <v>716.09899227366498</v>
      </c>
      <c r="N551" s="101">
        <f t="shared" si="151"/>
        <v>68.961884475714669</v>
      </c>
      <c r="O551" s="101">
        <f t="shared" si="152"/>
        <v>1.6461130341795593</v>
      </c>
      <c r="P551" s="101">
        <f t="shared" si="153"/>
        <v>1.6461130341795593</v>
      </c>
      <c r="Q551" s="101">
        <f t="shared" si="154"/>
        <v>0.34041313564527997</v>
      </c>
      <c r="R551" s="101">
        <f t="shared" si="155"/>
        <v>1.9178628094284604E-2</v>
      </c>
      <c r="S551" s="101">
        <f t="shared" si="157"/>
        <v>643.48528996585162</v>
      </c>
      <c r="T551" s="101">
        <f t="shared" si="158"/>
        <v>119.51273621579226</v>
      </c>
      <c r="U551" s="101">
        <f t="shared" si="159"/>
        <v>29.000348477311352</v>
      </c>
      <c r="V551" s="33">
        <f t="shared" si="160"/>
        <v>1000.0000000000008</v>
      </c>
      <c r="W551" s="105">
        <f>IF(A551=1,((cPH1_+cPHr+(cNES*L551+(cNES+cOSEX)*G551+(cNES+cEREX)*H551+(cNES+cHOEX)*I551 + (cNES+cNES)*S551 +(cNES+ cOSEX)*N551 + (cNES+cEREX)*O551 + (cNES+cHOEX)*P551)))/(1+cDR)^A$5:A$65536,(cPHr+(cNES*L551+(cNES+cOSEX)*G551+(cNES+cEREX)*H551+(cNES+cHOEX)*I551 + (cNES+cNES)*S551 +(cNES+ cOSEX)*N551 + (cNES+cEREX)*O551 + (cNES+cHOEX)*P551))/(1+cDR)^A$5:A$65536)</f>
        <v>89278.005795371006</v>
      </c>
      <c r="X551" s="112">
        <f t="shared" si="161"/>
        <v>851.48691530689723</v>
      </c>
      <c r="Y551" s="32">
        <f>(uNES*L551+ uOCEX*G551+uEREX*'PH + UC'!H551+uHOEX*I551+uNES*S551+ uOCEX*N551+uEREX*O551+uHOEX*P551)/(1+oDR)^A$5:A$65536</f>
        <v>479.20255954816804</v>
      </c>
    </row>
    <row r="552" spans="1:25" x14ac:dyDescent="0.25">
      <c r="A552" s="4">
        <v>546</v>
      </c>
      <c r="C552" s="110">
        <f>IF(male=0,VLOOKUP(((A550:A1384/'Life tables'!$I$2)*2)+age,lifetable,13,1),IF(male=1,VLOOKUP(((A550:A1384/'Life tables'!$I$2)*2)+age,lifetable,10,1),"error"))</f>
        <v>4.3180287415445218E-4</v>
      </c>
      <c r="F552" s="101">
        <f t="shared" si="144"/>
        <v>135.76522924403926</v>
      </c>
      <c r="G552" s="101">
        <f t="shared" si="145"/>
        <v>13.637901418533708</v>
      </c>
      <c r="H552" s="101">
        <f t="shared" si="146"/>
        <v>0.31208661911031116</v>
      </c>
      <c r="I552" s="101">
        <f t="shared" si="147"/>
        <v>0.31208661911031116</v>
      </c>
      <c r="J552" s="101">
        <f t="shared" si="148"/>
        <v>6.4782221026006115E-2</v>
      </c>
      <c r="K552" s="101">
        <f t="shared" si="149"/>
        <v>2.4464195539289989E-2</v>
      </c>
      <c r="L552" s="101">
        <f t="shared" si="156"/>
        <v>121.41390817071964</v>
      </c>
      <c r="M552" s="101">
        <f t="shared" si="150"/>
        <v>715.72168606285777</v>
      </c>
      <c r="N552" s="101">
        <f t="shared" si="151"/>
        <v>68.925549070131922</v>
      </c>
      <c r="O552" s="101">
        <f t="shared" si="152"/>
        <v>1.645245711814652</v>
      </c>
      <c r="P552" s="101">
        <f t="shared" si="153"/>
        <v>1.645245711814652</v>
      </c>
      <c r="Q552" s="101">
        <f t="shared" si="154"/>
        <v>0.34023377498187285</v>
      </c>
      <c r="R552" s="101">
        <f t="shared" si="155"/>
        <v>1.9168523045160379E-2</v>
      </c>
      <c r="S552" s="101">
        <f t="shared" si="157"/>
        <v>643.14624327106947</v>
      </c>
      <c r="T552" s="101">
        <f t="shared" si="158"/>
        <v>119.91775221180013</v>
      </c>
      <c r="U552" s="101">
        <f t="shared" si="159"/>
        <v>29.043981195895803</v>
      </c>
      <c r="V552" s="33">
        <f t="shared" si="160"/>
        <v>1000.0000000000006</v>
      </c>
      <c r="W552" s="105">
        <f>IF(A552=1,((cPH1_+cPHr+(cNES*L552+(cNES+cOSEX)*G552+(cNES+cEREX)*H552+(cNES+cHOEX)*I552 + (cNES+cNES)*S552 +(cNES+ cOSEX)*N552 + (cNES+cEREX)*O552 + (cNES+cHOEX)*P552)))/(1+cDR)^A$5:A$65536,(cPHr+(cNES*L552+(cNES+cOSEX)*G552+(cNES+cEREX)*H552+(cNES+cHOEX)*I552 + (cNES+cNES)*S552 +(cNES+ cOSEX)*N552 + (cNES+cEREX)*O552 + (cNES+cHOEX)*P552))/(1+cDR)^A$5:A$65536)</f>
        <v>89128.413876421837</v>
      </c>
      <c r="X552" s="112">
        <f t="shared" si="161"/>
        <v>851.03826659230469</v>
      </c>
      <c r="Y552" s="32">
        <f>(uNES*L552+ uOCEX*G552+uEREX*'PH + UC'!H552+uHOEX*I552+uNES*S552+ uOCEX*N552+uEREX*O552+uHOEX*P552)/(1+oDR)^A$5:A$65536</f>
        <v>478.81232715683842</v>
      </c>
    </row>
    <row r="553" spans="1:25" x14ac:dyDescent="0.25">
      <c r="A553" s="4">
        <v>547</v>
      </c>
      <c r="C553" s="110">
        <f>IF(male=0,VLOOKUP(((A551:A1385/'Life tables'!$I$2)*2)+age,lifetable,13,1),IF(male=1,VLOOKUP(((A551:A1385/'Life tables'!$I$2)*2)+age,lifetable,10,1),"error"))</f>
        <v>4.3180287415445218E-4</v>
      </c>
      <c r="F553" s="101">
        <f t="shared" si="144"/>
        <v>135.69368823308929</v>
      </c>
      <c r="G553" s="101">
        <f t="shared" si="145"/>
        <v>13.630714974256698</v>
      </c>
      <c r="H553" s="101">
        <f t="shared" si="146"/>
        <v>0.31192216616194263</v>
      </c>
      <c r="I553" s="101">
        <f t="shared" si="147"/>
        <v>0.31192216616194263</v>
      </c>
      <c r="J553" s="101">
        <f t="shared" si="148"/>
        <v>6.474808426205271E-2</v>
      </c>
      <c r="K553" s="101">
        <f t="shared" si="149"/>
        <v>2.4451304217331458E-2</v>
      </c>
      <c r="L553" s="101">
        <f t="shared" si="156"/>
        <v>121.34992953802933</v>
      </c>
      <c r="M553" s="101">
        <f t="shared" si="150"/>
        <v>715.34457835921535</v>
      </c>
      <c r="N553" s="101">
        <f t="shared" si="151"/>
        <v>68.889232781219249</v>
      </c>
      <c r="O553" s="101">
        <f t="shared" si="152"/>
        <v>1.6443788457626773</v>
      </c>
      <c r="P553" s="101">
        <f t="shared" si="153"/>
        <v>1.6443788457626773</v>
      </c>
      <c r="Q553" s="101">
        <f t="shared" si="154"/>
        <v>0.34005450868313769</v>
      </c>
      <c r="R553" s="101">
        <f t="shared" si="155"/>
        <v>1.9158423312473024E-2</v>
      </c>
      <c r="S553" s="101">
        <f t="shared" si="157"/>
        <v>642.80737495447511</v>
      </c>
      <c r="T553" s="101">
        <f t="shared" si="158"/>
        <v>120.32255480474532</v>
      </c>
      <c r="U553" s="101">
        <f t="shared" si="159"/>
        <v>29.087590923425608</v>
      </c>
      <c r="V553" s="33">
        <f t="shared" si="160"/>
        <v>1000.0000000000006</v>
      </c>
      <c r="W553" s="105">
        <f>IF(A553=1,((cPH1_+cPHr+(cNES*L553+(cNES+cOSEX)*G553+(cNES+cEREX)*H553+(cNES+cHOEX)*I553 + (cNES+cNES)*S553 +(cNES+ cOSEX)*N553 + (cNES+cEREX)*O553 + (cNES+cHOEX)*P553)))/(1+cDR)^A$5:A$65536,(cPHr+(cNES*L553+(cNES+cOSEX)*G553+(cNES+cEREX)*H553+(cNES+cHOEX)*I553 + (cNES+cNES)*S553 +(cNES+ cOSEX)*N553 + (cNES+cEREX)*O553 + (cNES+cHOEX)*P553))/(1+cDR)^A$5:A$65536)</f>
        <v>88979.072600733125</v>
      </c>
      <c r="X553" s="112">
        <f t="shared" si="161"/>
        <v>850.58985427182961</v>
      </c>
      <c r="Y553" s="32">
        <f>(uNES*L553+ uOCEX*G553+uEREX*'PH + UC'!H553+uHOEX*I553+uNES*S553+ uOCEX*N553+uEREX*O553+uHOEX*P553)/(1+oDR)^A$5:A$65536</f>
        <v>478.42241254664367</v>
      </c>
    </row>
    <row r="554" spans="1:25" x14ac:dyDescent="0.25">
      <c r="A554" s="4">
        <v>548</v>
      </c>
      <c r="C554" s="110">
        <f>IF(male=0,VLOOKUP(((A552:A1386/'Life tables'!$I$2)*2)+age,lifetable,13,1),IF(male=1,VLOOKUP(((A552:A1386/'Life tables'!$I$2)*2)+age,lifetable,10,1),"error"))</f>
        <v>4.6329957291590951E-4</v>
      </c>
      <c r="F554" s="101">
        <f t="shared" si="144"/>
        <v>135.62218520034176</v>
      </c>
      <c r="G554" s="101">
        <f t="shared" si="145"/>
        <v>13.623532344969606</v>
      </c>
      <c r="H554" s="101">
        <f t="shared" si="146"/>
        <v>0.31175780051493152</v>
      </c>
      <c r="I554" s="101">
        <f t="shared" si="147"/>
        <v>0.31175780051493152</v>
      </c>
      <c r="J554" s="101">
        <f t="shared" si="148"/>
        <v>6.9434351709934755E-2</v>
      </c>
      <c r="K554" s="101">
        <f t="shared" si="149"/>
        <v>2.443841973884954E-2</v>
      </c>
      <c r="L554" s="101">
        <f t="shared" si="156"/>
        <v>121.2812644828935</v>
      </c>
      <c r="M554" s="101">
        <f t="shared" si="150"/>
        <v>714.96766907148788</v>
      </c>
      <c r="N554" s="101">
        <f t="shared" si="151"/>
        <v>68.85293560018907</v>
      </c>
      <c r="O554" s="101">
        <f t="shared" si="152"/>
        <v>1.6435124358138773</v>
      </c>
      <c r="P554" s="101">
        <f t="shared" si="153"/>
        <v>1.6435124358138773</v>
      </c>
      <c r="Q554" s="101">
        <f t="shared" si="154"/>
        <v>0.36466662860626692</v>
      </c>
      <c r="R554" s="101">
        <f t="shared" si="155"/>
        <v>1.9148328893778682E-2</v>
      </c>
      <c r="S554" s="101">
        <f t="shared" si="157"/>
        <v>642.44389364217102</v>
      </c>
      <c r="T554" s="101">
        <f t="shared" si="158"/>
        <v>120.75665578506153</v>
      </c>
      <c r="U554" s="101">
        <f t="shared" si="159"/>
        <v>29.131177672058236</v>
      </c>
      <c r="V554" s="33">
        <f t="shared" si="160"/>
        <v>1000.0000000000006</v>
      </c>
      <c r="W554" s="105">
        <f>IF(A554=1,((cPH1_+cPHr+(cNES*L554+(cNES+cOSEX)*G554+(cNES+cEREX)*H554+(cNES+cHOEX)*I554 + (cNES+cNES)*S554 +(cNES+ cOSEX)*N554 + (cNES+cEREX)*O554 + (cNES+cHOEX)*P554)))/(1+cDR)^A$5:A$65536,(cPHr+(cNES*L554+(cNES+cOSEX)*G554+(cNES+cEREX)*H554+(cNES+cHOEX)*I554 + (cNES+cNES)*S554 +(cNES+ cOSEX)*N554 + (cNES+cEREX)*O554 + (cNES+cHOEX)*P554))/(1+cDR)^A$5:A$65536)</f>
        <v>88827.30867970144</v>
      </c>
      <c r="X554" s="112">
        <f t="shared" si="161"/>
        <v>850.1121665428808</v>
      </c>
      <c r="Y554" s="32">
        <f>(uNES*L554+ uOCEX*G554+uEREX*'PH + UC'!H554+uHOEX*I554+uNES*S554+ uOCEX*N554+uEREX*O554+uHOEX*P554)/(1+oDR)^A$5:A$65536</f>
        <v>478.01595124591876</v>
      </c>
    </row>
    <row r="555" spans="1:25" x14ac:dyDescent="0.25">
      <c r="A555" s="4">
        <v>549</v>
      </c>
      <c r="C555" s="110">
        <f>IF(male=0,VLOOKUP(((A553:A1387/'Life tables'!$I$2)*2)+age,lifetable,13,1),IF(male=1,VLOOKUP(((A553:A1387/'Life tables'!$I$2)*2)+age,lifetable,10,1),"error"))</f>
        <v>4.6329957291590951E-4</v>
      </c>
      <c r="F555" s="101">
        <f t="shared" si="144"/>
        <v>135.54599980392854</v>
      </c>
      <c r="G555" s="101">
        <f t="shared" si="145"/>
        <v>13.615879362452647</v>
      </c>
      <c r="H555" s="101">
        <f t="shared" si="146"/>
        <v>0.31158267141210766</v>
      </c>
      <c r="I555" s="101">
        <f t="shared" si="147"/>
        <v>0.31158267141210766</v>
      </c>
      <c r="J555" s="101">
        <f t="shared" si="148"/>
        <v>6.9395347150305361E-2</v>
      </c>
      <c r="K555" s="101">
        <f t="shared" si="149"/>
        <v>2.4424691522534733E-2</v>
      </c>
      <c r="L555" s="101">
        <f t="shared" si="156"/>
        <v>121.21313505997884</v>
      </c>
      <c r="M555" s="101">
        <f t="shared" si="150"/>
        <v>714.56616673895235</v>
      </c>
      <c r="N555" s="101">
        <f t="shared" si="151"/>
        <v>68.814270055659904</v>
      </c>
      <c r="O555" s="101">
        <f t="shared" si="152"/>
        <v>1.6425894932738498</v>
      </c>
      <c r="P555" s="101">
        <f t="shared" si="153"/>
        <v>1.6425894932738498</v>
      </c>
      <c r="Q555" s="101">
        <f t="shared" si="154"/>
        <v>0.36446184381904234</v>
      </c>
      <c r="R555" s="101">
        <f t="shared" si="155"/>
        <v>1.9137575821930004E-2</v>
      </c>
      <c r="S555" s="101">
        <f t="shared" si="157"/>
        <v>642.08311827710372</v>
      </c>
      <c r="T555" s="101">
        <f t="shared" si="158"/>
        <v>121.19051297603087</v>
      </c>
      <c r="U555" s="101">
        <f t="shared" si="159"/>
        <v>29.174739939402702</v>
      </c>
      <c r="V555" s="33">
        <f t="shared" si="160"/>
        <v>1000.0000000000006</v>
      </c>
      <c r="W555" s="105">
        <f>IF(A555=1,((cPH1_+cPHr+(cNES*L555+(cNES+cOSEX)*G555+(cNES+cEREX)*H555+(cNES+cHOEX)*I555 + (cNES+cNES)*S555 +(cNES+ cOSEX)*N555 + (cNES+cEREX)*O555 + (cNES+cHOEX)*P555)))/(1+cDR)^A$5:A$65536,(cPHr+(cNES*L555+(cNES+cOSEX)*G555+(cNES+cEREX)*H555+(cNES+cHOEX)*I555 + (cNES+cNES)*S555 +(cNES+ cOSEX)*N555 + (cNES+cEREX)*O555 + (cNES+cHOEX)*P555))/(1+cDR)^A$5:A$65536)</f>
        <v>88675.394654698728</v>
      </c>
      <c r="X555" s="112">
        <f t="shared" si="161"/>
        <v>849.63474708456704</v>
      </c>
      <c r="Y555" s="32">
        <f>(uNES*L555+ uOCEX*G555+uEREX*'PH + UC'!H555+uHOEX*I555+uNES*S555+ uOCEX*N555+uEREX*O555+uHOEX*P555)/(1+oDR)^A$5:A$65536</f>
        <v>477.61010490739841</v>
      </c>
    </row>
    <row r="556" spans="1:25" x14ac:dyDescent="0.25">
      <c r="A556" s="4">
        <v>550</v>
      </c>
      <c r="C556" s="110">
        <f>IF(male=0,VLOOKUP(((A554:A1388/'Life tables'!$I$2)*2)+age,lifetable,13,1),IF(male=1,VLOOKUP(((A554:A1388/'Life tables'!$I$2)*2)+age,lifetable,10,1),"error"))</f>
        <v>4.6329957291590951E-4</v>
      </c>
      <c r="F556" s="101">
        <f t="shared" si="144"/>
        <v>135.46985812138166</v>
      </c>
      <c r="G556" s="101">
        <f t="shared" si="145"/>
        <v>13.608230771085053</v>
      </c>
      <c r="H556" s="101">
        <f t="shared" si="146"/>
        <v>0.31140764279534222</v>
      </c>
      <c r="I556" s="101">
        <f t="shared" si="147"/>
        <v>0.31140764279534222</v>
      </c>
      <c r="J556" s="101">
        <f t="shared" si="148"/>
        <v>6.935636497081947E-2</v>
      </c>
      <c r="K556" s="101">
        <f t="shared" si="149"/>
        <v>2.4410971183233651E-2</v>
      </c>
      <c r="L556" s="101">
        <f t="shared" si="156"/>
        <v>121.14504472855188</v>
      </c>
      <c r="M556" s="101">
        <f t="shared" si="150"/>
        <v>714.16488896318526</v>
      </c>
      <c r="N556" s="101">
        <f t="shared" si="151"/>
        <v>68.77562613643407</v>
      </c>
      <c r="O556" s="101">
        <f t="shared" si="152"/>
        <v>1.6416670669275713</v>
      </c>
      <c r="P556" s="101">
        <f t="shared" si="153"/>
        <v>1.6416670669275713</v>
      </c>
      <c r="Q556" s="101">
        <f t="shared" si="154"/>
        <v>0.36425717356617116</v>
      </c>
      <c r="R556" s="101">
        <f t="shared" si="155"/>
        <v>1.912682876418104E-2</v>
      </c>
      <c r="S556" s="101">
        <f t="shared" si="157"/>
        <v>641.72254469056566</v>
      </c>
      <c r="T556" s="101">
        <f t="shared" si="158"/>
        <v>121.62412651456786</v>
      </c>
      <c r="U556" s="101">
        <f t="shared" si="159"/>
        <v>29.218277739350118</v>
      </c>
      <c r="V556" s="33">
        <f t="shared" si="160"/>
        <v>1000.0000000000005</v>
      </c>
      <c r="W556" s="105">
        <f>IF(A556=1,((cPH1_+cPHr+(cNES*L556+(cNES+cOSEX)*G556+(cNES+cEREX)*H556+(cNES+cHOEX)*I556 + (cNES+cNES)*S556 +(cNES+ cOSEX)*N556 + (cNES+cEREX)*O556 + (cNES+cHOEX)*P556)))/(1+cDR)^A$5:A$65536,(cPHr+(cNES*L556+(cNES+cOSEX)*G556+(cNES+cEREX)*H556+(cNES+cHOEX)*I556 + (cNES+cNES)*S556 +(cNES+ cOSEX)*N556 + (cNES+cEREX)*O556 + (cNES+cHOEX)*P556))/(1+cDR)^A$5:A$65536)</f>
        <v>88523.740400049472</v>
      </c>
      <c r="X556" s="112">
        <f t="shared" si="161"/>
        <v>849.15759574608251</v>
      </c>
      <c r="Y556" s="32">
        <f>(uNES*L556+ uOCEX*G556+uEREX*'PH + UC'!H556+uHOEX*I556+uNES*S556+ uOCEX*N556+uEREX*O556+uHOEX*P556)/(1+oDR)^A$5:A$65536</f>
        <v>477.20460314298134</v>
      </c>
    </row>
    <row r="557" spans="1:25" x14ac:dyDescent="0.25">
      <c r="A557" s="4">
        <v>551</v>
      </c>
      <c r="C557" s="110">
        <f>IF(male=0,VLOOKUP(((A555:A1389/'Life tables'!$I$2)*2)+age,lifetable,13,1),IF(male=1,VLOOKUP(((A555:A1389/'Life tables'!$I$2)*2)+age,lifetable,10,1),"error"))</f>
        <v>4.6329957291590951E-4</v>
      </c>
      <c r="F557" s="101">
        <f t="shared" si="144"/>
        <v>135.39376008620633</v>
      </c>
      <c r="G557" s="101">
        <f t="shared" si="145"/>
        <v>13.600586564187276</v>
      </c>
      <c r="H557" s="101">
        <f t="shared" si="146"/>
        <v>0.31123271451178208</v>
      </c>
      <c r="I557" s="101">
        <f t="shared" si="147"/>
        <v>0.31123271451178208</v>
      </c>
      <c r="J557" s="101">
        <f t="shared" si="148"/>
        <v>6.9317405137433868E-2</v>
      </c>
      <c r="K557" s="101">
        <f t="shared" si="149"/>
        <v>2.4397258708964271E-2</v>
      </c>
      <c r="L557" s="101">
        <f t="shared" si="156"/>
        <v>121.07699342914908</v>
      </c>
      <c r="M557" s="101">
        <f t="shared" si="150"/>
        <v>713.76383565987612</v>
      </c>
      <c r="N557" s="101">
        <f t="shared" si="151"/>
        <v>68.737003834392297</v>
      </c>
      <c r="O557" s="101">
        <f t="shared" si="152"/>
        <v>1.6407451565812352</v>
      </c>
      <c r="P557" s="101">
        <f t="shared" si="153"/>
        <v>1.6407451565812352</v>
      </c>
      <c r="Q557" s="101">
        <f t="shared" si="154"/>
        <v>0.36405261780465104</v>
      </c>
      <c r="R557" s="101">
        <f t="shared" si="155"/>
        <v>1.9116087718273785E-2</v>
      </c>
      <c r="S557" s="101">
        <f t="shared" si="157"/>
        <v>641.36217280679841</v>
      </c>
      <c r="T557" s="101">
        <f t="shared" si="158"/>
        <v>122.05749653750995</v>
      </c>
      <c r="U557" s="101">
        <f t="shared" si="159"/>
        <v>29.261791085777357</v>
      </c>
      <c r="V557" s="33">
        <f t="shared" si="160"/>
        <v>1000.0000000000002</v>
      </c>
      <c r="W557" s="105">
        <f>IF(A557=1,((cPH1_+cPHr+(cNES*L557+(cNES+cOSEX)*G557+(cNES+cEREX)*H557+(cNES+cHOEX)*I557 + (cNES+cNES)*S557 +(cNES+ cOSEX)*N557 + (cNES+cEREX)*O557 + (cNES+cHOEX)*P557)))/(1+cDR)^A$5:A$65536,(cPHr+(cNES*L557+(cNES+cOSEX)*G557+(cNES+cEREX)*H557+(cNES+cHOEX)*I557 + (cNES+cNES)*S557 +(cNES+ cOSEX)*N557 + (cNES+cEREX)*O557 + (cNES+cHOEX)*P557))/(1+cDR)^A$5:A$65536)</f>
        <v>88372.345473391048</v>
      </c>
      <c r="X557" s="112">
        <f t="shared" si="161"/>
        <v>848.68071237671313</v>
      </c>
      <c r="Y557" s="32">
        <f>(uNES*L557+ uOCEX*G557+uEREX*'PH + UC'!H557+uHOEX*I557+uNES*S557+ uOCEX*N557+uEREX*O557+uHOEX*P557)/(1+oDR)^A$5:A$65536</f>
        <v>476.79944566005179</v>
      </c>
    </row>
    <row r="558" spans="1:25" x14ac:dyDescent="0.25">
      <c r="A558" s="4">
        <v>552</v>
      </c>
      <c r="C558" s="110">
        <f>IF(male=0,VLOOKUP(((A556:A1390/'Life tables'!$I$2)*2)+age,lifetable,13,1),IF(male=1,VLOOKUP(((A556:A1390/'Life tables'!$I$2)*2)+age,lifetable,10,1),"error"))</f>
        <v>4.6329957291590951E-4</v>
      </c>
      <c r="F558" s="101">
        <f t="shared" si="144"/>
        <v>135.31770563384003</v>
      </c>
      <c r="G558" s="101">
        <f t="shared" si="145"/>
        <v>13.592946735273884</v>
      </c>
      <c r="H558" s="101">
        <f t="shared" si="146"/>
        <v>0.31105788641301596</v>
      </c>
      <c r="I558" s="101">
        <f t="shared" si="147"/>
        <v>0.31105788641301596</v>
      </c>
      <c r="J558" s="101">
        <f t="shared" si="148"/>
        <v>6.9278467617094497E-2</v>
      </c>
      <c r="K558" s="101">
        <f t="shared" si="149"/>
        <v>2.4383554088092764E-2</v>
      </c>
      <c r="L558" s="101">
        <f t="shared" si="156"/>
        <v>121.00898110403493</v>
      </c>
      <c r="M558" s="101">
        <f t="shared" si="150"/>
        <v>713.36300674287315</v>
      </c>
      <c r="N558" s="101">
        <f t="shared" si="151"/>
        <v>68.698403141237961</v>
      </c>
      <c r="O558" s="101">
        <f t="shared" si="152"/>
        <v>1.6398237620368026</v>
      </c>
      <c r="P558" s="101">
        <f t="shared" si="153"/>
        <v>1.6398237620368026</v>
      </c>
      <c r="Q558" s="101">
        <f t="shared" si="154"/>
        <v>0.36384817649054069</v>
      </c>
      <c r="R558" s="101">
        <f t="shared" si="155"/>
        <v>1.9105352681900913E-2</v>
      </c>
      <c r="S558" s="101">
        <f t="shared" si="157"/>
        <v>641.0020025483891</v>
      </c>
      <c r="T558" s="101">
        <f t="shared" si="158"/>
        <v>122.49062318161758</v>
      </c>
      <c r="U558" s="101">
        <f t="shared" si="159"/>
        <v>29.305279992547351</v>
      </c>
      <c r="V558" s="33">
        <f t="shared" si="160"/>
        <v>1000.0000000000003</v>
      </c>
      <c r="W558" s="105">
        <f>IF(A558=1,((cPH1_+cPHr+(cNES*L558+(cNES+cOSEX)*G558+(cNES+cEREX)*H558+(cNES+cHOEX)*I558 + (cNES+cNES)*S558 +(cNES+ cOSEX)*N558 + (cNES+cEREX)*O558 + (cNES+cHOEX)*P558)))/(1+cDR)^A$5:A$65536,(cPHr+(cNES*L558+(cNES+cOSEX)*G558+(cNES+cEREX)*H558+(cNES+cHOEX)*I558 + (cNES+cNES)*S558 +(cNES+ cOSEX)*N558 + (cNES+cEREX)*O558 + (cNES+cHOEX)*P558))/(1+cDR)^A$5:A$65536)</f>
        <v>88221.209433028838</v>
      </c>
      <c r="X558" s="112">
        <f t="shared" si="161"/>
        <v>848.20409682583545</v>
      </c>
      <c r="Y558" s="32">
        <f>(uNES*L558+ uOCEX*G558+uEREX*'PH + UC'!H558+uHOEX*I558+uNES*S558+ uOCEX*N558+uEREX*O558+uHOEX*P558)/(1+oDR)^A$5:A$65536</f>
        <v>476.39463216624512</v>
      </c>
    </row>
    <row r="559" spans="1:25" x14ac:dyDescent="0.25">
      <c r="A559" s="4">
        <v>553</v>
      </c>
      <c r="C559" s="110">
        <f>IF(male=0,VLOOKUP(((A557:A1391/'Life tables'!$I$2)*2)+age,lifetable,13,1),IF(male=1,VLOOKUP(((A557:A1391/'Life tables'!$I$2)*2)+age,lifetable,10,1),"error"))</f>
        <v>4.6329957291590951E-4</v>
      </c>
      <c r="F559" s="101">
        <f t="shared" si="144"/>
        <v>135.24169470156585</v>
      </c>
      <c r="G559" s="101">
        <f t="shared" si="145"/>
        <v>13.585311278044825</v>
      </c>
      <c r="H559" s="101">
        <f t="shared" si="146"/>
        <v>0.31088315835487501</v>
      </c>
      <c r="I559" s="101">
        <f t="shared" si="147"/>
        <v>0.31088315835487501</v>
      </c>
      <c r="J559" s="101">
        <f t="shared" si="148"/>
        <v>6.9239552377692262E-2</v>
      </c>
      <c r="K559" s="101">
        <f t="shared" si="149"/>
        <v>2.4369857309317865E-2</v>
      </c>
      <c r="L559" s="101">
        <f t="shared" si="156"/>
        <v>120.94100769712426</v>
      </c>
      <c r="M559" s="101">
        <f t="shared" si="150"/>
        <v>712.9624021242696</v>
      </c>
      <c r="N559" s="101">
        <f t="shared" si="151"/>
        <v>68.659824048505456</v>
      </c>
      <c r="O559" s="101">
        <f t="shared" si="152"/>
        <v>1.6389028830922001</v>
      </c>
      <c r="P559" s="101">
        <f t="shared" si="153"/>
        <v>1.6389028830922001</v>
      </c>
      <c r="Q559" s="101">
        <f t="shared" si="154"/>
        <v>0.36364384957900364</v>
      </c>
      <c r="R559" s="101">
        <f t="shared" si="155"/>
        <v>1.9094623652708097E-2</v>
      </c>
      <c r="S559" s="101">
        <f t="shared" si="157"/>
        <v>640.64203383634799</v>
      </c>
      <c r="T559" s="101">
        <f t="shared" si="158"/>
        <v>122.92350658357428</v>
      </c>
      <c r="U559" s="101">
        <f t="shared" si="159"/>
        <v>29.348744473509377</v>
      </c>
      <c r="V559" s="33">
        <f t="shared" si="160"/>
        <v>1000.0000000000003</v>
      </c>
      <c r="W559" s="105">
        <f>IF(A559=1,((cPH1_+cPHr+(cNES*L559+(cNES+cOSEX)*G559+(cNES+cEREX)*H559+(cNES+cHOEX)*I559 + (cNES+cNES)*S559 +(cNES+ cOSEX)*N559 + (cNES+cEREX)*O559 + (cNES+cHOEX)*P559)))/(1+cDR)^A$5:A$65536,(cPHr+(cNES*L559+(cNES+cOSEX)*G559+(cNES+cEREX)*H559+(cNES+cHOEX)*I559 + (cNES+cNES)*S559 +(cNES+ cOSEX)*N559 + (cNES+cEREX)*O559 + (cNES+cHOEX)*P559))/(1+cDR)^A$5:A$65536)</f>
        <v>88070.33183793888</v>
      </c>
      <c r="X559" s="112">
        <f t="shared" si="161"/>
        <v>847.72774894291672</v>
      </c>
      <c r="Y559" s="32">
        <f>(uNES*L559+ uOCEX*G559+uEREX*'PH + UC'!H559+uHOEX*I559+uNES*S559+ uOCEX*N559+uEREX*O559+uHOEX*P559)/(1+oDR)^A$5:A$65536</f>
        <v>475.990162369448</v>
      </c>
    </row>
    <row r="560" spans="1:25" x14ac:dyDescent="0.25">
      <c r="A560" s="4">
        <v>554</v>
      </c>
      <c r="C560" s="110">
        <f>IF(male=0,VLOOKUP(((A558:A1392/'Life tables'!$I$2)*2)+age,lifetable,13,1),IF(male=1,VLOOKUP(((A558:A1392/'Life tables'!$I$2)*2)+age,lifetable,10,1),"error"))</f>
        <v>4.6329957291590951E-4</v>
      </c>
      <c r="F560" s="101">
        <f t="shared" si="144"/>
        <v>135.16572722842972</v>
      </c>
      <c r="G560" s="101">
        <f t="shared" si="145"/>
        <v>13.577680186377139</v>
      </c>
      <c r="H560" s="101">
        <f t="shared" si="146"/>
        <v>0.31070853019724276</v>
      </c>
      <c r="I560" s="101">
        <f t="shared" si="147"/>
        <v>0.31070853019724276</v>
      </c>
      <c r="J560" s="101">
        <f t="shared" si="148"/>
        <v>6.9200659388020558E-2</v>
      </c>
      <c r="K560" s="101">
        <f t="shared" si="149"/>
        <v>2.4356168361655963E-2</v>
      </c>
      <c r="L560" s="101">
        <f t="shared" si="156"/>
        <v>120.87307315390842</v>
      </c>
      <c r="M560" s="101">
        <f t="shared" si="150"/>
        <v>712.56202171448706</v>
      </c>
      <c r="N560" s="101">
        <f t="shared" si="151"/>
        <v>68.621266547568197</v>
      </c>
      <c r="O560" s="101">
        <f t="shared" si="152"/>
        <v>1.6379825195415119</v>
      </c>
      <c r="P560" s="101">
        <f t="shared" si="153"/>
        <v>1.6379825195415119</v>
      </c>
      <c r="Q560" s="101">
        <f t="shared" si="154"/>
        <v>0.36343963702435056</v>
      </c>
      <c r="R560" s="101">
        <f t="shared" si="155"/>
        <v>1.9083900628296239E-2</v>
      </c>
      <c r="S560" s="101">
        <f t="shared" si="157"/>
        <v>640.28226659018321</v>
      </c>
      <c r="T560" s="101">
        <f t="shared" si="158"/>
        <v>123.35614687998665</v>
      </c>
      <c r="U560" s="101">
        <f t="shared" si="159"/>
        <v>29.392184542499329</v>
      </c>
      <c r="V560" s="33">
        <f t="shared" si="160"/>
        <v>1000.0000000000005</v>
      </c>
      <c r="W560" s="105">
        <f>IF(A560=1,((cPH1_+cPHr+(cNES*L560+(cNES+cOSEX)*G560+(cNES+cEREX)*H560+(cNES+cHOEX)*I560 + (cNES+cNES)*S560 +(cNES+ cOSEX)*N560 + (cNES+cEREX)*O560 + (cNES+cHOEX)*P560)))/(1+cDR)^A$5:A$65536,(cPHr+(cNES*L560+(cNES+cOSEX)*G560+(cNES+cEREX)*H560+(cNES+cHOEX)*I560 + (cNES+cNES)*S560 +(cNES+ cOSEX)*N560 + (cNES+cEREX)*O560 + (cNES+cHOEX)*P560))/(1+cDR)^A$5:A$65536)</f>
        <v>87919.71224777108</v>
      </c>
      <c r="X560" s="112">
        <f t="shared" si="161"/>
        <v>847.25166857751447</v>
      </c>
      <c r="Y560" s="32">
        <f>(uNES*L560+ uOCEX*G560+uEREX*'PH + UC'!H560+uHOEX*I560+uNES*S560+ uOCEX*N560+uEREX*O560+uHOEX*P560)/(1+oDR)^A$5:A$65536</f>
        <v>475.58603597779774</v>
      </c>
    </row>
    <row r="561" spans="1:25" x14ac:dyDescent="0.25">
      <c r="A561" s="4">
        <v>555</v>
      </c>
      <c r="C561" s="110">
        <f>IF(male=0,VLOOKUP(((A559:A1393/'Life tables'!$I$2)*2)+age,lifetable,13,1),IF(male=1,VLOOKUP(((A559:A1393/'Life tables'!$I$2)*2)+age,lifetable,10,1),"error"))</f>
        <v>4.6329957291590951E-4</v>
      </c>
      <c r="F561" s="101">
        <f t="shared" si="144"/>
        <v>135.08980315516138</v>
      </c>
      <c r="G561" s="101">
        <f t="shared" si="145"/>
        <v>13.570053454317003</v>
      </c>
      <c r="H561" s="101">
        <f t="shared" si="146"/>
        <v>0.31053400180387331</v>
      </c>
      <c r="I561" s="101">
        <f t="shared" si="147"/>
        <v>0.31053400180387331</v>
      </c>
      <c r="J561" s="101">
        <f t="shared" si="148"/>
        <v>6.9161788617734879E-2</v>
      </c>
      <c r="K561" s="101">
        <f t="shared" si="149"/>
        <v>2.4342487234426859E-2</v>
      </c>
      <c r="L561" s="101">
        <f t="shared" si="156"/>
        <v>120.80517742138447</v>
      </c>
      <c r="M561" s="101">
        <f t="shared" si="150"/>
        <v>712.16186542235312</v>
      </c>
      <c r="N561" s="101">
        <f t="shared" si="151"/>
        <v>68.582730629646079</v>
      </c>
      <c r="O561" s="101">
        <f t="shared" si="152"/>
        <v>1.6370626711751579</v>
      </c>
      <c r="P561" s="101">
        <f t="shared" si="153"/>
        <v>1.6370626711751579</v>
      </c>
      <c r="Q561" s="101">
        <f t="shared" si="154"/>
        <v>0.36323553878007964</v>
      </c>
      <c r="R561" s="101">
        <f t="shared" si="155"/>
        <v>1.9073183606223554E-2</v>
      </c>
      <c r="S561" s="101">
        <f t="shared" si="157"/>
        <v>639.92270072797044</v>
      </c>
      <c r="T561" s="101">
        <f t="shared" si="158"/>
        <v>123.78854420738446</v>
      </c>
      <c r="U561" s="101">
        <f t="shared" si="159"/>
        <v>29.435600213339981</v>
      </c>
      <c r="V561" s="33">
        <f t="shared" si="160"/>
        <v>1000.0000000000005</v>
      </c>
      <c r="W561" s="105">
        <f>IF(A561=1,((cPH1_+cPHr+(cNES*L561+(cNES+cOSEX)*G561+(cNES+cEREX)*H561+(cNES+cHOEX)*I561 + (cNES+cNES)*S561 +(cNES+ cOSEX)*N561 + (cNES+cEREX)*O561 + (cNES+cHOEX)*P561)))/(1+cDR)^A$5:A$65536,(cPHr+(cNES*L561+(cNES+cOSEX)*G561+(cNES+cEREX)*H561+(cNES+cHOEX)*I561 + (cNES+cNES)*S561 +(cNES+ cOSEX)*N561 + (cNES+cEREX)*O561 + (cNES+cHOEX)*P561))/(1+cDR)^A$5:A$65536)</f>
        <v>87769.350222851441</v>
      </c>
      <c r="X561" s="112">
        <f t="shared" si="161"/>
        <v>846.77585557927614</v>
      </c>
      <c r="Y561" s="32">
        <f>(uNES*L561+ uOCEX*G561+uEREX*'PH + UC'!H561+uHOEX*I561+uNES*S561+ uOCEX*N561+uEREX*O561+uHOEX*P561)/(1+oDR)^A$5:A$65536</f>
        <v>475.1822526996819</v>
      </c>
    </row>
    <row r="562" spans="1:25" x14ac:dyDescent="0.25">
      <c r="A562" s="4">
        <v>556</v>
      </c>
      <c r="C562" s="110">
        <f>IF(male=0,VLOOKUP(((A560:A1394/'Life tables'!$I$2)*2)+age,lifetable,13,1),IF(male=1,VLOOKUP(((A560:A1394/'Life tables'!$I$2)*2)+age,lifetable,10,1),"error"))</f>
        <v>4.6329957291590951E-4</v>
      </c>
      <c r="F562" s="101">
        <f t="shared" si="144"/>
        <v>135.01392242409884</v>
      </c>
      <c r="G562" s="101">
        <f t="shared" si="145"/>
        <v>13.562431076072151</v>
      </c>
      <c r="H562" s="101">
        <f t="shared" si="146"/>
        <v>0.31035957304221767</v>
      </c>
      <c r="I562" s="101">
        <f t="shared" si="147"/>
        <v>0.31035957304221767</v>
      </c>
      <c r="J562" s="101">
        <f t="shared" si="148"/>
        <v>6.9122940037314048E-2</v>
      </c>
      <c r="K562" s="101">
        <f t="shared" si="149"/>
        <v>2.432881391724016E-2</v>
      </c>
      <c r="L562" s="101">
        <f t="shared" si="156"/>
        <v>120.7373204479877</v>
      </c>
      <c r="M562" s="101">
        <f t="shared" si="150"/>
        <v>711.76193315517719</v>
      </c>
      <c r="N562" s="101">
        <f t="shared" si="151"/>
        <v>68.544216285812794</v>
      </c>
      <c r="O562" s="101">
        <f t="shared" si="152"/>
        <v>1.6361433377800683</v>
      </c>
      <c r="P562" s="101">
        <f t="shared" si="153"/>
        <v>1.6361433377800683</v>
      </c>
      <c r="Q562" s="101">
        <f t="shared" si="154"/>
        <v>0.36303155479891391</v>
      </c>
      <c r="R562" s="101">
        <f t="shared" si="155"/>
        <v>1.9062472584007593E-2</v>
      </c>
      <c r="S562" s="101">
        <f t="shared" si="157"/>
        <v>639.56333616642132</v>
      </c>
      <c r="T562" s="101">
        <f t="shared" si="158"/>
        <v>124.22069870222069</v>
      </c>
      <c r="U562" s="101">
        <f t="shared" si="159"/>
        <v>29.478991499841229</v>
      </c>
      <c r="V562" s="33">
        <f t="shared" si="160"/>
        <v>1000.0000000000005</v>
      </c>
      <c r="W562" s="105">
        <f>IF(A562=1,((cPH1_+cPHr+(cNES*L562+(cNES+cOSEX)*G562+(cNES+cEREX)*H562+(cNES+cHOEX)*I562 + (cNES+cNES)*S562 +(cNES+ cOSEX)*N562 + (cNES+cEREX)*O562 + (cNES+cHOEX)*P562)))/(1+cDR)^A$5:A$65536,(cPHr+(cNES*L562+(cNES+cOSEX)*G562+(cNES+cEREX)*H562+(cNES+cHOEX)*I562 + (cNES+cNES)*S562 +(cNES+ cOSEX)*N562 + (cNES+cEREX)*O562 + (cNES+cHOEX)*P562))/(1+cDR)^A$5:A$65536)</f>
        <v>87619.245324184682</v>
      </c>
      <c r="X562" s="112">
        <f t="shared" si="161"/>
        <v>846.30030979793855</v>
      </c>
      <c r="Y562" s="32">
        <f>(uNES*L562+ uOCEX*G562+uEREX*'PH + UC'!H562+uHOEX*I562+uNES*S562+ uOCEX*N562+uEREX*O562+uHOEX*P562)/(1+oDR)^A$5:A$65536</f>
        <v>474.77881224373812</v>
      </c>
    </row>
    <row r="563" spans="1:25" x14ac:dyDescent="0.25">
      <c r="A563" s="4">
        <v>557</v>
      </c>
      <c r="C563" s="110">
        <f>IF(male=0,VLOOKUP(((A561:A1395/'Life tables'!$I$2)*2)+age,lifetable,13,1),IF(male=1,VLOOKUP(((A561:A1395/'Life tables'!$I$2)*2)+age,lifetable,10,1),"error"))</f>
        <v>4.6329957291590951E-4</v>
      </c>
      <c r="F563" s="101">
        <f t="shared" si="144"/>
        <v>134.93808497911635</v>
      </c>
      <c r="G563" s="101">
        <f t="shared" si="145"/>
        <v>13.554813046004632</v>
      </c>
      <c r="H563" s="101">
        <f t="shared" si="146"/>
        <v>0.3101852437832584</v>
      </c>
      <c r="I563" s="101">
        <f t="shared" si="147"/>
        <v>0.3101852437832584</v>
      </c>
      <c r="J563" s="101">
        <f t="shared" si="148"/>
        <v>6.9084113618023468E-2</v>
      </c>
      <c r="K563" s="101">
        <f t="shared" si="149"/>
        <v>2.4315148399982302E-2</v>
      </c>
      <c r="L563" s="101">
        <f t="shared" si="156"/>
        <v>120.6695021835272</v>
      </c>
      <c r="M563" s="101">
        <f t="shared" si="150"/>
        <v>711.36222481882214</v>
      </c>
      <c r="N563" s="101">
        <f t="shared" si="151"/>
        <v>68.505723507002728</v>
      </c>
      <c r="O563" s="101">
        <f t="shared" si="152"/>
        <v>1.6352245191398476</v>
      </c>
      <c r="P563" s="101">
        <f t="shared" si="153"/>
        <v>1.6352245191398476</v>
      </c>
      <c r="Q563" s="101">
        <f t="shared" si="154"/>
        <v>0.36282768503283952</v>
      </c>
      <c r="R563" s="101">
        <f t="shared" si="155"/>
        <v>1.9051767559127165E-2</v>
      </c>
      <c r="S563" s="101">
        <f t="shared" si="157"/>
        <v>639.20417282094775</v>
      </c>
      <c r="T563" s="101">
        <f t="shared" si="158"/>
        <v>124.65261050087155</v>
      </c>
      <c r="U563" s="101">
        <f t="shared" si="159"/>
        <v>29.522358415800337</v>
      </c>
      <c r="V563" s="33">
        <f t="shared" si="160"/>
        <v>1000.0000000000005</v>
      </c>
      <c r="W563" s="105">
        <f>IF(A563=1,((cPH1_+cPHr+(cNES*L563+(cNES+cOSEX)*G563+(cNES+cEREX)*H563+(cNES+cHOEX)*I563 + (cNES+cNES)*S563 +(cNES+ cOSEX)*N563 + (cNES+cEREX)*O563 + (cNES+cHOEX)*P563)))/(1+cDR)^A$5:A$65536,(cPHr+(cNES*L563+(cNES+cOSEX)*G563+(cNES+cEREX)*H563+(cNES+cHOEX)*I563 + (cNES+cNES)*S563 +(cNES+ cOSEX)*N563 + (cNES+cEREX)*O563 + (cNES+cHOEX)*P563))/(1+cDR)^A$5:A$65536)</f>
        <v>87469.397113456216</v>
      </c>
      <c r="X563" s="112">
        <f t="shared" si="161"/>
        <v>845.82503108332855</v>
      </c>
      <c r="Y563" s="32">
        <f>(uNES*L563+ uOCEX*G563+uEREX*'PH + UC'!H563+uHOEX*I563+uNES*S563+ uOCEX*N563+uEREX*O563+uHOEX*P563)/(1+oDR)^A$5:A$65536</f>
        <v>474.37571431885362</v>
      </c>
    </row>
    <row r="564" spans="1:25" x14ac:dyDescent="0.25">
      <c r="A564" s="4">
        <v>558</v>
      </c>
      <c r="C564" s="110">
        <f>IF(male=0,VLOOKUP(((A562:A1396/'Life tables'!$I$2)*2)+age,lifetable,13,1),IF(male=1,VLOOKUP(((A562:A1396/'Life tables'!$I$2)*2)+age,lifetable,10,1),"error"))</f>
        <v>4.6329957291590951E-4</v>
      </c>
      <c r="F564" s="101">
        <f t="shared" si="144"/>
        <v>134.86229076555571</v>
      </c>
      <c r="G564" s="101">
        <f t="shared" si="145"/>
        <v>13.547199358623917</v>
      </c>
      <c r="H564" s="101">
        <f t="shared" si="146"/>
        <v>0.31001101390135144</v>
      </c>
      <c r="I564" s="101">
        <f t="shared" si="147"/>
        <v>0.31001101390135144</v>
      </c>
      <c r="J564" s="101">
        <f t="shared" si="148"/>
        <v>6.9045309331879745E-2</v>
      </c>
      <c r="K564" s="101">
        <f t="shared" si="149"/>
        <v>2.4301490672804151E-2</v>
      </c>
      <c r="L564" s="101">
        <f t="shared" si="156"/>
        <v>120.60172257912441</v>
      </c>
      <c r="M564" s="101">
        <f t="shared" si="150"/>
        <v>710.96274031777273</v>
      </c>
      <c r="N564" s="101">
        <f t="shared" si="151"/>
        <v>68.467252284017576</v>
      </c>
      <c r="O564" s="101">
        <f t="shared" si="152"/>
        <v>1.6343062150349328</v>
      </c>
      <c r="P564" s="101">
        <f t="shared" si="153"/>
        <v>1.6343062150349328</v>
      </c>
      <c r="Q564" s="101">
        <f t="shared" si="154"/>
        <v>0.36262392943313893</v>
      </c>
      <c r="R564" s="101">
        <f t="shared" si="155"/>
        <v>1.9041068529024173E-2</v>
      </c>
      <c r="S564" s="101">
        <f t="shared" si="157"/>
        <v>638.84521060572308</v>
      </c>
      <c r="T564" s="101">
        <f t="shared" si="158"/>
        <v>125.08427973963657</v>
      </c>
      <c r="U564" s="101">
        <f t="shared" si="159"/>
        <v>29.565700975002166</v>
      </c>
      <c r="V564" s="33">
        <f t="shared" si="160"/>
        <v>1000.0000000000003</v>
      </c>
      <c r="W564" s="105">
        <f>IF(A564=1,((cPH1_+cPHr+(cNES*L564+(cNES+cOSEX)*G564+(cNES+cEREX)*H564+(cNES+cHOEX)*I564 + (cNES+cNES)*S564 +(cNES+ cOSEX)*N564 + (cNES+cEREX)*O564 + (cNES+cHOEX)*P564)))/(1+cDR)^A$5:A$65536,(cPHr+(cNES*L564+(cNES+cOSEX)*G564+(cNES+cEREX)*H564+(cNES+cHOEX)*I564 + (cNES+cNES)*S564 +(cNES+ cOSEX)*N564 + (cNES+cEREX)*O564 + (cNES+cHOEX)*P564))/(1+cDR)^A$5:A$65536)</f>
        <v>87319.805153034584</v>
      </c>
      <c r="X564" s="112">
        <f t="shared" si="161"/>
        <v>845.35001928536155</v>
      </c>
      <c r="Y564" s="32">
        <f>(uNES*L564+ uOCEX*G564+uEREX*'PH + UC'!H564+uHOEX*I564+uNES*S564+ uOCEX*N564+uEREX*O564+uHOEX*P564)/(1+oDR)^A$5:A$65536</f>
        <v>473.97295863416542</v>
      </c>
    </row>
    <row r="565" spans="1:25" x14ac:dyDescent="0.25">
      <c r="A565" s="4">
        <v>559</v>
      </c>
      <c r="C565" s="110">
        <f>IF(male=0,VLOOKUP(((A563:A1397/'Life tables'!$I$2)*2)+age,lifetable,13,1),IF(male=1,VLOOKUP(((A563:A1397/'Life tables'!$I$2)*2)+age,lifetable,10,1),"error"))</f>
        <v>4.6329957291590951E-4</v>
      </c>
      <c r="F565" s="101">
        <f t="shared" si="144"/>
        <v>134.7865397301604</v>
      </c>
      <c r="G565" s="101">
        <f t="shared" si="145"/>
        <v>13.539590008580277</v>
      </c>
      <c r="H565" s="101">
        <f t="shared" si="146"/>
        <v>0.30983688327407471</v>
      </c>
      <c r="I565" s="101">
        <f t="shared" si="147"/>
        <v>0.30983688327407471</v>
      </c>
      <c r="J565" s="101">
        <f t="shared" si="148"/>
        <v>6.9006527151617286E-2</v>
      </c>
      <c r="K565" s="101">
        <f t="shared" si="149"/>
        <v>2.4287840726109157E-2</v>
      </c>
      <c r="L565" s="101">
        <f t="shared" si="156"/>
        <v>120.53398158715424</v>
      </c>
      <c r="M565" s="101">
        <f t="shared" si="150"/>
        <v>710.56347955520118</v>
      </c>
      <c r="N565" s="101">
        <f t="shared" si="151"/>
        <v>68.428802607532589</v>
      </c>
      <c r="O565" s="101">
        <f t="shared" si="152"/>
        <v>1.633388425242744</v>
      </c>
      <c r="P565" s="101">
        <f t="shared" si="153"/>
        <v>1.633388425242744</v>
      </c>
      <c r="Q565" s="101">
        <f t="shared" si="154"/>
        <v>0.36242028795042569</v>
      </c>
      <c r="R565" s="101">
        <f t="shared" si="155"/>
        <v>1.9030375491105367E-2</v>
      </c>
      <c r="S565" s="101">
        <f t="shared" si="157"/>
        <v>638.48644943374154</v>
      </c>
      <c r="T565" s="101">
        <f t="shared" si="158"/>
        <v>125.51570655473861</v>
      </c>
      <c r="U565" s="101">
        <f t="shared" si="159"/>
        <v>29.609019191219382</v>
      </c>
      <c r="V565" s="33">
        <f t="shared" si="160"/>
        <v>1000.0000000000003</v>
      </c>
      <c r="W565" s="105">
        <f>IF(A565=1,((cPH1_+cPHr+(cNES*L565+(cNES+cOSEX)*G565+(cNES+cEREX)*H565+(cNES+cHOEX)*I565 + (cNES+cNES)*S565 +(cNES+ cOSEX)*N565 + (cNES+cEREX)*O565 + (cNES+cHOEX)*P565)))/(1+cDR)^A$5:A$65536,(cPHr+(cNES*L565+(cNES+cOSEX)*G565+(cNES+cEREX)*H565+(cNES+cHOEX)*I565 + (cNES+cNES)*S565 +(cNES+ cOSEX)*N565 + (cNES+cEREX)*O565 + (cNES+cHOEX)*P565))/(1+cDR)^A$5:A$65536)</f>
        <v>87170.469005972976</v>
      </c>
      <c r="X565" s="112">
        <f t="shared" si="161"/>
        <v>844.87527425404232</v>
      </c>
      <c r="Y565" s="32">
        <f>(uNES*L565+ uOCEX*G565+uEREX*'PH + UC'!H565+uHOEX*I565+uNES*S565+ uOCEX*N565+uEREX*O565+uHOEX*P565)/(1+oDR)^A$5:A$65536</f>
        <v>473.57054489905926</v>
      </c>
    </row>
    <row r="566" spans="1:25" x14ac:dyDescent="0.25">
      <c r="A566" s="4">
        <v>560</v>
      </c>
      <c r="C566" s="110">
        <f>IF(male=0,VLOOKUP(((A564:A1398/'Life tables'!$I$2)*2)+age,lifetable,13,1),IF(male=1,VLOOKUP(((A564:A1398/'Life tables'!$I$2)*2)+age,lifetable,10,1),"error"))</f>
        <v>4.6329957291590951E-4</v>
      </c>
      <c r="F566" s="101">
        <f t="shared" si="144"/>
        <v>134.71083182101299</v>
      </c>
      <c r="G566" s="101">
        <f t="shared" si="145"/>
        <v>13.531984990658493</v>
      </c>
      <c r="H566" s="101">
        <f t="shared" si="146"/>
        <v>0.30966285178208458</v>
      </c>
      <c r="I566" s="101">
        <f t="shared" si="147"/>
        <v>0.30966285178208458</v>
      </c>
      <c r="J566" s="101">
        <f t="shared" si="148"/>
        <v>6.8967767050655937E-2</v>
      </c>
      <c r="K566" s="101">
        <f t="shared" si="149"/>
        <v>2.4274198550542071E-2</v>
      </c>
      <c r="L566" s="101">
        <f t="shared" si="156"/>
        <v>120.46627916118914</v>
      </c>
      <c r="M566" s="101">
        <f t="shared" si="150"/>
        <v>710.16444243302931</v>
      </c>
      <c r="N566" s="101">
        <f t="shared" si="151"/>
        <v>68.390374468102635</v>
      </c>
      <c r="O566" s="101">
        <f t="shared" si="152"/>
        <v>1.6324711495378263</v>
      </c>
      <c r="P566" s="101">
        <f t="shared" si="153"/>
        <v>1.6324711495378263</v>
      </c>
      <c r="Q566" s="101">
        <f t="shared" si="154"/>
        <v>0.36221676053467539</v>
      </c>
      <c r="R566" s="101">
        <f t="shared" si="155"/>
        <v>1.9019688442744011E-2</v>
      </c>
      <c r="S566" s="101">
        <f t="shared" si="157"/>
        <v>638.12788921687365</v>
      </c>
      <c r="T566" s="101">
        <f t="shared" si="158"/>
        <v>125.94689108232394</v>
      </c>
      <c r="U566" s="101">
        <f t="shared" si="159"/>
        <v>29.652313078212668</v>
      </c>
      <c r="V566" s="33">
        <f t="shared" si="160"/>
        <v>1000.0000000000003</v>
      </c>
      <c r="W566" s="105">
        <f>IF(A566=1,((cPH1_+cPHr+(cNES*L566+(cNES+cOSEX)*G566+(cNES+cEREX)*H566+(cNES+cHOEX)*I566 + (cNES+cNES)*S566 +(cNES+ cOSEX)*N566 + (cNES+cEREX)*O566 + (cNES+cHOEX)*P566)))/(1+cDR)^A$5:A$65536,(cPHr+(cNES*L566+(cNES+cOSEX)*G566+(cNES+cEREX)*H566+(cNES+cHOEX)*I566 + (cNES+cNES)*S566 +(cNES+ cOSEX)*N566 + (cNES+cEREX)*O566 + (cNES+cHOEX)*P566))/(1+cDR)^A$5:A$65536)</f>
        <v>87021.388236011422</v>
      </c>
      <c r="X566" s="112">
        <f t="shared" si="161"/>
        <v>844.40079583946374</v>
      </c>
      <c r="Y566" s="32">
        <f>(uNES*L566+ uOCEX*G566+uEREX*'PH + UC'!H566+uHOEX*I566+uNES*S566+ uOCEX*N566+uEREX*O566+uHOEX*P566)/(1+oDR)^A$5:A$65536</f>
        <v>473.16847282316934</v>
      </c>
    </row>
    <row r="567" spans="1:25" x14ac:dyDescent="0.25">
      <c r="A567" s="4">
        <v>561</v>
      </c>
      <c r="C567" s="110">
        <f>IF(male=0,VLOOKUP(((A565:A1399/'Life tables'!$I$2)*2)+age,lifetable,13,1),IF(male=1,VLOOKUP(((A565:A1399/'Life tables'!$I$2)*2)+age,lifetable,10,1),"error"))</f>
        <v>4.6329957291590951E-4</v>
      </c>
      <c r="F567" s="101">
        <f t="shared" si="144"/>
        <v>134.6351669874752</v>
      </c>
      <c r="G567" s="101">
        <f t="shared" si="145"/>
        <v>13.524384299771851</v>
      </c>
      <c r="H567" s="101">
        <f t="shared" si="146"/>
        <v>0.30948891930897759</v>
      </c>
      <c r="I567" s="101">
        <f t="shared" si="147"/>
        <v>0.30948891930897759</v>
      </c>
      <c r="J567" s="101">
        <f t="shared" si="148"/>
        <v>6.8929029003070463E-2</v>
      </c>
      <c r="K567" s="101">
        <f t="shared" si="149"/>
        <v>2.4260564136978132E-2</v>
      </c>
      <c r="L567" s="101">
        <f t="shared" si="156"/>
        <v>120.39861525594534</v>
      </c>
      <c r="M567" s="101">
        <f t="shared" si="150"/>
        <v>709.76562885198871</v>
      </c>
      <c r="N567" s="101">
        <f t="shared" si="151"/>
        <v>68.35196785616796</v>
      </c>
      <c r="O567" s="101">
        <f t="shared" si="152"/>
        <v>1.6315543876919896</v>
      </c>
      <c r="P567" s="101">
        <f t="shared" si="153"/>
        <v>1.6315543876919896</v>
      </c>
      <c r="Q567" s="101">
        <f t="shared" si="154"/>
        <v>0.36201334713525646</v>
      </c>
      <c r="R567" s="101">
        <f t="shared" si="155"/>
        <v>1.9009007381281487E-2</v>
      </c>
      <c r="S567" s="101">
        <f t="shared" si="157"/>
        <v>637.76952986592028</v>
      </c>
      <c r="T567" s="101">
        <f t="shared" si="158"/>
        <v>126.37783345846228</v>
      </c>
      <c r="U567" s="101">
        <f t="shared" si="159"/>
        <v>29.695582649730927</v>
      </c>
      <c r="V567" s="33">
        <f t="shared" si="160"/>
        <v>1000.0000000000006</v>
      </c>
      <c r="W567" s="105">
        <f>IF(A567=1,((cPH1_+cPHr+(cNES*L567+(cNES+cOSEX)*G567+(cNES+cEREX)*H567+(cNES+cHOEX)*I567 + (cNES+cNES)*S567 +(cNES+ cOSEX)*N567 + (cNES+cEREX)*O567 + (cNES+cHOEX)*P567)))/(1+cDR)^A$5:A$65536,(cPHr+(cNES*L567+(cNES+cOSEX)*G567+(cNES+cEREX)*H567+(cNES+cHOEX)*I567 + (cNES+cNES)*S567 +(cNES+ cOSEX)*N567 + (cNES+cEREX)*O567 + (cNES+cHOEX)*P567))/(1+cDR)^A$5:A$65536)</f>
        <v>86872.562407577963</v>
      </c>
      <c r="X567" s="112">
        <f t="shared" si="161"/>
        <v>843.92658389180735</v>
      </c>
      <c r="Y567" s="32">
        <f>(uNES*L567+ uOCEX*G567+uEREX*'PH + UC'!H567+uHOEX*I567+uNES*S567+ uOCEX*N567+uEREX*O567+uHOEX*P567)/(1+oDR)^A$5:A$65536</f>
        <v>472.76674211637936</v>
      </c>
    </row>
    <row r="568" spans="1:25" x14ac:dyDescent="0.25">
      <c r="A568" s="4">
        <v>562</v>
      </c>
      <c r="C568" s="110">
        <f>IF(male=0,VLOOKUP(((A566:A1400/'Life tables'!$I$2)*2)+age,lifetable,13,1),IF(male=1,VLOOKUP(((A566:A1400/'Life tables'!$I$2)*2)+age,lifetable,10,1),"error"))</f>
        <v>4.6329957291590951E-4</v>
      </c>
      <c r="F568" s="101">
        <f t="shared" si="144"/>
        <v>134.55954518013064</v>
      </c>
      <c r="G568" s="101">
        <f t="shared" si="145"/>
        <v>13.516787930956367</v>
      </c>
      <c r="H568" s="101">
        <f t="shared" si="146"/>
        <v>0.30931508574115918</v>
      </c>
      <c r="I568" s="101">
        <f t="shared" si="147"/>
        <v>0.30931508574115918</v>
      </c>
      <c r="J568" s="101">
        <f t="shared" si="148"/>
        <v>6.8890312983561228E-2</v>
      </c>
      <c r="K568" s="101">
        <f t="shared" si="149"/>
        <v>2.4246937476512763E-2</v>
      </c>
      <c r="L568" s="101">
        <f t="shared" si="156"/>
        <v>120.33098982723189</v>
      </c>
      <c r="M568" s="101">
        <f t="shared" si="150"/>
        <v>709.36703871167663</v>
      </c>
      <c r="N568" s="101">
        <f t="shared" si="151"/>
        <v>68.313582762059553</v>
      </c>
      <c r="O568" s="101">
        <f t="shared" si="152"/>
        <v>1.6306381394744351</v>
      </c>
      <c r="P568" s="101">
        <f t="shared" si="153"/>
        <v>1.6306381394744351</v>
      </c>
      <c r="Q568" s="101">
        <f t="shared" si="154"/>
        <v>0.36181004770095876</v>
      </c>
      <c r="R568" s="101">
        <f t="shared" si="155"/>
        <v>1.8998332304028795E-2</v>
      </c>
      <c r="S568" s="101">
        <f t="shared" si="157"/>
        <v>637.41137129066317</v>
      </c>
      <c r="T568" s="101">
        <f t="shared" si="158"/>
        <v>126.8085338191468</v>
      </c>
      <c r="U568" s="101">
        <f t="shared" si="159"/>
        <v>29.738827919511468</v>
      </c>
      <c r="V568" s="33">
        <f t="shared" si="160"/>
        <v>1000.0000000000003</v>
      </c>
      <c r="W568" s="105">
        <f>IF(A568=1,((cPH1_+cPHr+(cNES*L568+(cNES+cOSEX)*G568+(cNES+cEREX)*H568+(cNES+cHOEX)*I568 + (cNES+cNES)*S568 +(cNES+ cOSEX)*N568 + (cNES+cEREX)*O568 + (cNES+cHOEX)*P568)))/(1+cDR)^A$5:A$65536,(cPHr+(cNES*L568+(cNES+cOSEX)*G568+(cNES+cEREX)*H568+(cNES+cHOEX)*I568 + (cNES+cNES)*S568 +(cNES+ cOSEX)*N568 + (cNES+cEREX)*O568 + (cNES+cHOEX)*P568))/(1+cDR)^A$5:A$65536)</f>
        <v>86723.991085790563</v>
      </c>
      <c r="X568" s="112">
        <f t="shared" si="161"/>
        <v>843.45263826134214</v>
      </c>
      <c r="Y568" s="32">
        <f>(uNES*L568+ uOCEX*G568+uEREX*'PH + UC'!H568+uHOEX*I568+uNES*S568+ uOCEX*N568+uEREX*O568+uHOEX*P568)/(1+oDR)^A$5:A$65536</f>
        <v>472.36535248881978</v>
      </c>
    </row>
    <row r="569" spans="1:25" x14ac:dyDescent="0.25">
      <c r="A569" s="4">
        <v>563</v>
      </c>
      <c r="C569" s="110">
        <f>IF(male=0,VLOOKUP(((A567:A1401/'Life tables'!$I$2)*2)+age,lifetable,13,1),IF(male=1,VLOOKUP(((A567:A1401/'Life tables'!$I$2)*2)+age,lifetable,10,1),"error"))</f>
        <v>4.6329957291590951E-4</v>
      </c>
      <c r="F569" s="101">
        <f t="shared" si="144"/>
        <v>134.4839663507303</v>
      </c>
      <c r="G569" s="101">
        <f t="shared" si="145"/>
        <v>13.509195879365329</v>
      </c>
      <c r="H569" s="101">
        <f t="shared" si="146"/>
        <v>0.30914135096771828</v>
      </c>
      <c r="I569" s="101">
        <f t="shared" si="147"/>
        <v>0.30914135096771828</v>
      </c>
      <c r="J569" s="101">
        <f t="shared" si="148"/>
        <v>6.8851618967426212E-2</v>
      </c>
      <c r="K569" s="101">
        <f t="shared" si="149"/>
        <v>2.4233318560451737E-2</v>
      </c>
      <c r="L569" s="101">
        <f t="shared" si="156"/>
        <v>120.26340283190166</v>
      </c>
      <c r="M569" s="101">
        <f t="shared" si="150"/>
        <v>708.96867191061176</v>
      </c>
      <c r="N569" s="101">
        <f t="shared" si="151"/>
        <v>68.275219176004541</v>
      </c>
      <c r="O569" s="101">
        <f t="shared" si="152"/>
        <v>1.6297224046518861</v>
      </c>
      <c r="P569" s="101">
        <f t="shared" si="153"/>
        <v>1.6297224046518861</v>
      </c>
      <c r="Q569" s="101">
        <f t="shared" si="154"/>
        <v>0.36160686218002241</v>
      </c>
      <c r="R569" s="101">
        <f t="shared" si="155"/>
        <v>1.8987663208268064E-2</v>
      </c>
      <c r="S569" s="101">
        <f t="shared" si="157"/>
        <v>637.05341339991514</v>
      </c>
      <c r="T569" s="101">
        <f t="shared" si="158"/>
        <v>127.23899230029426</v>
      </c>
      <c r="U569" s="101">
        <f t="shared" si="159"/>
        <v>29.782048901280188</v>
      </c>
      <c r="V569" s="33">
        <f t="shared" si="160"/>
        <v>1000.0000000000003</v>
      </c>
      <c r="W569" s="105">
        <f>IF(A569=1,((cPH1_+cPHr+(cNES*L569+(cNES+cOSEX)*G569+(cNES+cEREX)*H569+(cNES+cHOEX)*I569 + (cNES+cNES)*S569 +(cNES+ cOSEX)*N569 + (cNES+cEREX)*O569 + (cNES+cHOEX)*P569)))/(1+cDR)^A$5:A$65536,(cPHr+(cNES*L569+(cNES+cOSEX)*G569+(cNES+cEREX)*H569+(cNES+cHOEX)*I569 + (cNES+cNES)*S569 +(cNES+ cOSEX)*N569 + (cNES+cEREX)*O569 + (cNES+cHOEX)*P569))/(1+cDR)^A$5:A$65536)</f>
        <v>86575.673836458227</v>
      </c>
      <c r="X569" s="112">
        <f t="shared" si="161"/>
        <v>842.97895879842588</v>
      </c>
      <c r="Y569" s="32">
        <f>(uNES*L569+ uOCEX*G569+uEREX*'PH + UC'!H569+uHOEX*I569+uNES*S569+ uOCEX*N569+uEREX*O569+uHOEX*P569)/(1+oDR)^A$5:A$65536</f>
        <v>471.96430365087031</v>
      </c>
    </row>
    <row r="570" spans="1:25" x14ac:dyDescent="0.25">
      <c r="A570" s="4">
        <v>564</v>
      </c>
      <c r="C570" s="110">
        <f>IF(male=0,VLOOKUP(((A568:A1402/'Life tables'!$I$2)*2)+age,lifetable,13,1),IF(male=1,VLOOKUP(((A568:A1402/'Life tables'!$I$2)*2)+age,lifetable,10,1),"error"))</f>
        <v>4.6329957291590951E-4</v>
      </c>
      <c r="F570" s="101">
        <f t="shared" si="144"/>
        <v>134.40843045214035</v>
      </c>
      <c r="G570" s="101">
        <f t="shared" si="145"/>
        <v>13.501608140264041</v>
      </c>
      <c r="H570" s="101">
        <f t="shared" si="146"/>
        <v>0.30896771488030722</v>
      </c>
      <c r="I570" s="101">
        <f t="shared" si="147"/>
        <v>0.30896771488030722</v>
      </c>
      <c r="J570" s="101">
        <f t="shared" si="148"/>
        <v>6.8812946930534358E-2</v>
      </c>
      <c r="K570" s="101">
        <f t="shared" si="149"/>
        <v>2.421970738030178E-2</v>
      </c>
      <c r="L570" s="101">
        <f t="shared" si="156"/>
        <v>120.19585422780486</v>
      </c>
      <c r="M570" s="101">
        <f t="shared" si="150"/>
        <v>708.57052834628541</v>
      </c>
      <c r="N570" s="101">
        <f t="shared" si="151"/>
        <v>68.236877088131124</v>
      </c>
      <c r="O570" s="101">
        <f t="shared" si="152"/>
        <v>1.6288071829887032</v>
      </c>
      <c r="P570" s="101">
        <f t="shared" si="153"/>
        <v>1.6288071829887032</v>
      </c>
      <c r="Q570" s="101">
        <f t="shared" si="154"/>
        <v>0.36140379052016303</v>
      </c>
      <c r="R570" s="101">
        <f t="shared" si="155"/>
        <v>1.8977000091253887E-2</v>
      </c>
      <c r="S570" s="101">
        <f t="shared" si="157"/>
        <v>636.69565610156542</v>
      </c>
      <c r="T570" s="101">
        <f t="shared" si="158"/>
        <v>127.66920903774495</v>
      </c>
      <c r="U570" s="101">
        <f t="shared" si="159"/>
        <v>29.825245608751743</v>
      </c>
      <c r="V570" s="33">
        <f t="shared" si="160"/>
        <v>1000.0000000000002</v>
      </c>
      <c r="W570" s="105">
        <f>IF(A570=1,((cPH1_+cPHr+(cNES*L570+(cNES+cOSEX)*G570+(cNES+cEREX)*H570+(cNES+cHOEX)*I570 + (cNES+cNES)*S570 +(cNES+ cOSEX)*N570 + (cNES+cEREX)*O570 + (cNES+cHOEX)*P570)))/(1+cDR)^A$5:A$65536,(cPHr+(cNES*L570+(cNES+cOSEX)*G570+(cNES+cEREX)*H570+(cNES+cHOEX)*I570 + (cNES+cNES)*S570 +(cNES+ cOSEX)*N570 + (cNES+cEREX)*O570 + (cNES+cHOEX)*P570))/(1+cDR)^A$5:A$65536)</f>
        <v>86427.610226082383</v>
      </c>
      <c r="X570" s="112">
        <f t="shared" si="161"/>
        <v>842.50554535350352</v>
      </c>
      <c r="Y570" s="32">
        <f>(uNES*L570+ uOCEX*G570+uEREX*'PH + UC'!H570+uHOEX*I570+uNES*S570+ uOCEX*N570+uEREX*O570+uHOEX*P570)/(1+oDR)^A$5:A$65536</f>
        <v>471.56359531315684</v>
      </c>
    </row>
    <row r="571" spans="1:25" x14ac:dyDescent="0.25">
      <c r="A571" s="4">
        <v>565</v>
      </c>
      <c r="C571" s="110">
        <f>IF(male=0,VLOOKUP(((A569:A1403/'Life tables'!$I$2)*2)+age,lifetable,13,1),IF(male=1,VLOOKUP(((A569:A1403/'Life tables'!$I$2)*2)+age,lifetable,10,1),"error"))</f>
        <v>4.6329957291590951E-4</v>
      </c>
      <c r="F571" s="101">
        <f t="shared" si="144"/>
        <v>134.33293743829248</v>
      </c>
      <c r="G571" s="101">
        <f t="shared" si="145"/>
        <v>13.494024709024851</v>
      </c>
      <c r="H571" s="101">
        <f t="shared" si="146"/>
        <v>0.30879417737302778</v>
      </c>
      <c r="I571" s="101">
        <f t="shared" si="147"/>
        <v>0.30879417737302778</v>
      </c>
      <c r="J571" s="101">
        <f t="shared" si="148"/>
        <v>6.8774296849300115E-2</v>
      </c>
      <c r="K571" s="101">
        <f t="shared" si="149"/>
        <v>2.4206103927761621E-2</v>
      </c>
      <c r="L571" s="101">
        <f t="shared" si="156"/>
        <v>120.12834397374451</v>
      </c>
      <c r="M571" s="101">
        <f t="shared" si="150"/>
        <v>708.17260791521096</v>
      </c>
      <c r="N571" s="101">
        <f t="shared" si="151"/>
        <v>68.198556488473315</v>
      </c>
      <c r="O571" s="101">
        <f t="shared" si="152"/>
        <v>1.6278924742469993</v>
      </c>
      <c r="P571" s="101">
        <f t="shared" si="153"/>
        <v>1.6278924742469993</v>
      </c>
      <c r="Q571" s="101">
        <f t="shared" si="154"/>
        <v>0.36120083266859765</v>
      </c>
      <c r="R571" s="101">
        <f t="shared" si="155"/>
        <v>1.8966342950214678E-2</v>
      </c>
      <c r="S571" s="101">
        <f t="shared" si="157"/>
        <v>636.33809930262487</v>
      </c>
      <c r="T571" s="101">
        <f t="shared" si="158"/>
        <v>128.09918416726285</v>
      </c>
      <c r="U571" s="101">
        <f t="shared" si="159"/>
        <v>29.868418055629718</v>
      </c>
      <c r="V571" s="33">
        <f t="shared" si="160"/>
        <v>1000.0000000000001</v>
      </c>
      <c r="W571" s="105">
        <f>IF(A571=1,((cPH1_+cPHr+(cNES*L571+(cNES+cOSEX)*G571+(cNES+cEREX)*H571+(cNES+cHOEX)*I571 + (cNES+cNES)*S571 +(cNES+ cOSEX)*N571 + (cNES+cEREX)*O571 + (cNES+cHOEX)*P571)))/(1+cDR)^A$5:A$65536,(cPHr+(cNES*L571+(cNES+cOSEX)*G571+(cNES+cEREX)*H571+(cNES+cHOEX)*I571 + (cNES+cNES)*S571 +(cNES+ cOSEX)*N571 + (cNES+cEREX)*O571 + (cNES+cHOEX)*P571))/(1+cDR)^A$5:A$65536)</f>
        <v>86279.799821858018</v>
      </c>
      <c r="X571" s="112">
        <f t="shared" si="161"/>
        <v>842.03239777710758</v>
      </c>
      <c r="Y571" s="32">
        <f>(uNES*L571+ uOCEX*G571+uEREX*'PH + UC'!H571+uHOEX*I571+uNES*S571+ uOCEX*N571+uEREX*O571+uHOEX*P571)/(1+oDR)^A$5:A$65536</f>
        <v>471.16322718655402</v>
      </c>
    </row>
    <row r="572" spans="1:25" x14ac:dyDescent="0.25">
      <c r="A572" s="4">
        <v>566</v>
      </c>
      <c r="C572" s="110">
        <f>IF(male=0,VLOOKUP(((A570:A1404/'Life tables'!$I$2)*2)+age,lifetable,13,1),IF(male=1,VLOOKUP(((A570:A1404/'Life tables'!$I$2)*2)+age,lifetable,10,1),"error"))</f>
        <v>4.6329957291590951E-4</v>
      </c>
      <c r="F572" s="101">
        <f t="shared" si="144"/>
        <v>134.2574872641361</v>
      </c>
      <c r="G572" s="101">
        <f t="shared" si="145"/>
        <v>13.486445581122329</v>
      </c>
      <c r="H572" s="101">
        <f t="shared" si="146"/>
        <v>0.30862073834232118</v>
      </c>
      <c r="I572" s="101">
        <f t="shared" si="147"/>
        <v>0.30862073834232118</v>
      </c>
      <c r="J572" s="101">
        <f t="shared" si="148"/>
        <v>6.8735668700659017E-2</v>
      </c>
      <c r="K572" s="101">
        <f t="shared" si="149"/>
        <v>2.4192508194713386E-2</v>
      </c>
      <c r="L572" s="101">
        <f t="shared" si="156"/>
        <v>120.06087202943375</v>
      </c>
      <c r="M572" s="101">
        <f t="shared" si="150"/>
        <v>707.77491051297147</v>
      </c>
      <c r="N572" s="101">
        <f t="shared" si="151"/>
        <v>68.160257366975529</v>
      </c>
      <c r="O572" s="101">
        <f t="shared" si="152"/>
        <v>1.6269782781867492</v>
      </c>
      <c r="P572" s="101">
        <f t="shared" si="153"/>
        <v>1.6269782781867492</v>
      </c>
      <c r="Q572" s="101">
        <f t="shared" si="154"/>
        <v>0.36099798857206877</v>
      </c>
      <c r="R572" s="101">
        <f t="shared" si="155"/>
        <v>1.8955691782353939E-2</v>
      </c>
      <c r="S572" s="101">
        <f t="shared" si="157"/>
        <v>635.98074290926797</v>
      </c>
      <c r="T572" s="101">
        <f t="shared" si="158"/>
        <v>128.52891782453557</v>
      </c>
      <c r="U572" s="101">
        <f t="shared" si="159"/>
        <v>29.911566255606786</v>
      </c>
      <c r="V572" s="33">
        <f t="shared" si="160"/>
        <v>1000.0000000000001</v>
      </c>
      <c r="W572" s="105">
        <f>IF(A572=1,((cPH1_+cPHr+(cNES*L572+(cNES+cOSEX)*G572+(cNES+cEREX)*H572+(cNES+cHOEX)*I572 + (cNES+cNES)*S572 +(cNES+ cOSEX)*N572 + (cNES+cEREX)*O572 + (cNES+cHOEX)*P572)))/(1+cDR)^A$5:A$65536,(cPHr+(cNES*L572+(cNES+cOSEX)*G572+(cNES+cEREX)*H572+(cNES+cHOEX)*I572 + (cNES+cNES)*S572 +(cNES+ cOSEX)*N572 + (cNES+cEREX)*O572 + (cNES+cHOEX)*P572))/(1+cDR)^A$5:A$65536)</f>
        <v>86132.242191674639</v>
      </c>
      <c r="X572" s="112">
        <f t="shared" si="161"/>
        <v>841.55951591985774</v>
      </c>
      <c r="Y572" s="32">
        <f>(uNES*L572+ uOCEX*G572+uEREX*'PH + UC'!H572+uHOEX*I572+uNES*S572+ uOCEX*N572+uEREX*O572+uHOEX*P572)/(1+oDR)^A$5:A$65536</f>
        <v>470.76319898218253</v>
      </c>
    </row>
    <row r="573" spans="1:25" x14ac:dyDescent="0.25">
      <c r="A573" s="4">
        <v>567</v>
      </c>
      <c r="C573" s="110">
        <f>IF(male=0,VLOOKUP(((A571:A1405/'Life tables'!$I$2)*2)+age,lifetable,13,1),IF(male=1,VLOOKUP(((A571:A1405/'Life tables'!$I$2)*2)+age,lifetable,10,1),"error"))</f>
        <v>4.6329957291590951E-4</v>
      </c>
      <c r="F573" s="101">
        <f t="shared" si="144"/>
        <v>134.18207988559337</v>
      </c>
      <c r="G573" s="101">
        <f t="shared" si="145"/>
        <v>13.478870752128762</v>
      </c>
      <c r="H573" s="101">
        <f t="shared" si="146"/>
        <v>0.30844739768686463</v>
      </c>
      <c r="I573" s="101">
        <f t="shared" si="147"/>
        <v>0.30844739768686463</v>
      </c>
      <c r="J573" s="101">
        <f t="shared" si="148"/>
        <v>6.8697062462044545E-2</v>
      </c>
      <c r="K573" s="101">
        <f t="shared" si="149"/>
        <v>2.4178920173214456E-2</v>
      </c>
      <c r="L573" s="101">
        <f t="shared" si="156"/>
        <v>119.99343835545562</v>
      </c>
      <c r="M573" s="101">
        <f t="shared" si="150"/>
        <v>707.37743603426429</v>
      </c>
      <c r="N573" s="101">
        <f t="shared" si="151"/>
        <v>68.121979713496899</v>
      </c>
      <c r="O573" s="101">
        <f t="shared" si="152"/>
        <v>1.6260645945658909</v>
      </c>
      <c r="P573" s="101">
        <f t="shared" si="153"/>
        <v>1.6260645945658909</v>
      </c>
      <c r="Q573" s="101">
        <f t="shared" si="154"/>
        <v>0.3607952581768672</v>
      </c>
      <c r="R573" s="101">
        <f t="shared" si="155"/>
        <v>1.8945046584851438E-2</v>
      </c>
      <c r="S573" s="101">
        <f t="shared" si="157"/>
        <v>635.62358682687386</v>
      </c>
      <c r="T573" s="101">
        <f t="shared" si="158"/>
        <v>128.95841014517447</v>
      </c>
      <c r="U573" s="101">
        <f t="shared" si="159"/>
        <v>29.954690222364853</v>
      </c>
      <c r="V573" s="33">
        <f t="shared" si="160"/>
        <v>1000</v>
      </c>
      <c r="W573" s="105">
        <f>IF(A573=1,((cPH1_+cPHr+(cNES*L573+(cNES+cOSEX)*G573+(cNES+cEREX)*H573+(cNES+cHOEX)*I573 + (cNES+cNES)*S573 +(cNES+ cOSEX)*N573 + (cNES+cEREX)*O573 + (cNES+cHOEX)*P573)))/(1+cDR)^A$5:A$65536,(cPHr+(cNES*L573+(cNES+cOSEX)*G573+(cNES+cEREX)*H573+(cNES+cHOEX)*I573 + (cNES+cNES)*S573 +(cNES+ cOSEX)*N573 + (cNES+cEREX)*O573 + (cNES+cHOEX)*P573))/(1+cDR)^A$5:A$65536)</f>
        <v>85984.936904117087</v>
      </c>
      <c r="X573" s="112">
        <f t="shared" si="161"/>
        <v>841.0868996324607</v>
      </c>
      <c r="Y573" s="32">
        <f>(uNES*L573+ uOCEX*G573+uEREX*'PH + UC'!H573+uHOEX*I573+uNES*S573+ uOCEX*N573+uEREX*O573+uHOEX*P573)/(1+oDR)^A$5:A$65536</f>
        <v>470.36351041141</v>
      </c>
    </row>
    <row r="574" spans="1:25" x14ac:dyDescent="0.25">
      <c r="A574" s="4">
        <v>568</v>
      </c>
      <c r="C574" s="110">
        <f>IF(male=0,VLOOKUP(((A572:A1406/'Life tables'!$I$2)*2)+age,lifetable,13,1),IF(male=1,VLOOKUP(((A572:A1406/'Life tables'!$I$2)*2)+age,lifetable,10,1),"error"))</f>
        <v>4.6329957291590951E-4</v>
      </c>
      <c r="F574" s="101">
        <f t="shared" si="144"/>
        <v>134.1067152595154</v>
      </c>
      <c r="G574" s="101">
        <f t="shared" si="145"/>
        <v>13.471300217709757</v>
      </c>
      <c r="H574" s="101">
        <f t="shared" si="146"/>
        <v>0.30827415530747077</v>
      </c>
      <c r="I574" s="101">
        <f t="shared" si="147"/>
        <v>0.30827415530747077</v>
      </c>
      <c r="J574" s="101">
        <f t="shared" si="148"/>
        <v>6.8658478111365828E-2</v>
      </c>
      <c r="K574" s="101">
        <f t="shared" si="149"/>
        <v>2.4165339855489638E-2</v>
      </c>
      <c r="L574" s="101">
        <f t="shared" si="156"/>
        <v>119.92604291322384</v>
      </c>
      <c r="M574" s="101">
        <f t="shared" si="150"/>
        <v>706.98018437294536</v>
      </c>
      <c r="N574" s="101">
        <f t="shared" si="151"/>
        <v>68.083723517815514</v>
      </c>
      <c r="O574" s="101">
        <f t="shared" si="152"/>
        <v>1.6251514231404287</v>
      </c>
      <c r="P574" s="101">
        <f t="shared" si="153"/>
        <v>1.6251514231404287</v>
      </c>
      <c r="Q574" s="101">
        <f t="shared" si="154"/>
        <v>0.36059264142885467</v>
      </c>
      <c r="R574" s="101">
        <f t="shared" si="155"/>
        <v>1.8934407354864419E-2</v>
      </c>
      <c r="S574" s="101">
        <f t="shared" si="157"/>
        <v>635.2666309600653</v>
      </c>
      <c r="T574" s="101">
        <f t="shared" si="158"/>
        <v>129.38766126471469</v>
      </c>
      <c r="U574" s="101">
        <f t="shared" si="159"/>
        <v>29.997789969575209</v>
      </c>
      <c r="V574" s="33">
        <f t="shared" si="160"/>
        <v>1000.0000000000001</v>
      </c>
      <c r="W574" s="105">
        <f>IF(A574=1,((cPH1_+cPHr+(cNES*L574+(cNES+cOSEX)*G574+(cNES+cEREX)*H574+(cNES+cHOEX)*I574 + (cNES+cNES)*S574 +(cNES+ cOSEX)*N574 + (cNES+cEREX)*O574 + (cNES+cHOEX)*P574)))/(1+cDR)^A$5:A$65536,(cPHr+(cNES*L574+(cNES+cOSEX)*G574+(cNES+cEREX)*H574+(cNES+cHOEX)*I574 + (cNES+cNES)*S574 +(cNES+ cOSEX)*N574 + (cNES+cEREX)*O574 + (cNES+cHOEX)*P574))/(1+cDR)^A$5:A$65536)</f>
        <v>85837.883528466889</v>
      </c>
      <c r="X574" s="112">
        <f t="shared" si="161"/>
        <v>840.6145487657102</v>
      </c>
      <c r="Y574" s="32">
        <f>(uNES*L574+ uOCEX*G574+uEREX*'PH + UC'!H574+uHOEX*I574+uNES*S574+ uOCEX*N574+uEREX*O574+uHOEX*P574)/(1+oDR)^A$5:A$65536</f>
        <v>469.96416118585046</v>
      </c>
    </row>
    <row r="575" spans="1:25" x14ac:dyDescent="0.25">
      <c r="A575" s="4">
        <v>569</v>
      </c>
      <c r="C575" s="110">
        <f>IF(male=0,VLOOKUP(((A573:A1407/'Life tables'!$I$2)*2)+age,lifetable,13,1),IF(male=1,VLOOKUP(((A573:A1407/'Life tables'!$I$2)*2)+age,lifetable,10,1),"error"))</f>
        <v>4.6329957291590951E-4</v>
      </c>
      <c r="F575" s="101">
        <f t="shared" si="144"/>
        <v>134.03139334364113</v>
      </c>
      <c r="G575" s="101">
        <f t="shared" si="145"/>
        <v>13.463733973620103</v>
      </c>
      <c r="H575" s="101">
        <f t="shared" si="146"/>
        <v>0.30810101110699323</v>
      </c>
      <c r="I575" s="101">
        <f t="shared" si="147"/>
        <v>0.30810101110699323</v>
      </c>
      <c r="J575" s="101">
        <f t="shared" si="148"/>
        <v>6.861991562698648E-2</v>
      </c>
      <c r="K575" s="101">
        <f t="shared" si="149"/>
        <v>2.4151767233923701E-2</v>
      </c>
      <c r="L575" s="101">
        <f t="shared" si="156"/>
        <v>119.85868566494612</v>
      </c>
      <c r="M575" s="101">
        <f t="shared" si="150"/>
        <v>706.58315542206913</v>
      </c>
      <c r="N575" s="101">
        <f t="shared" si="151"/>
        <v>68.0454887696323</v>
      </c>
      <c r="O575" s="101">
        <f t="shared" si="152"/>
        <v>1.6242387636645244</v>
      </c>
      <c r="P575" s="101">
        <f t="shared" si="153"/>
        <v>1.6242387636645244</v>
      </c>
      <c r="Q575" s="101">
        <f t="shared" si="154"/>
        <v>0.36039013827348371</v>
      </c>
      <c r="R575" s="101">
        <f t="shared" si="155"/>
        <v>1.8923774089528653E-2</v>
      </c>
      <c r="S575" s="101">
        <f t="shared" si="157"/>
        <v>634.90987521274474</v>
      </c>
      <c r="T575" s="101">
        <f t="shared" si="158"/>
        <v>129.81667131861516</v>
      </c>
      <c r="U575" s="101">
        <f t="shared" si="159"/>
        <v>30.040865510898662</v>
      </c>
      <c r="V575" s="33">
        <f t="shared" si="160"/>
        <v>1000.0000000000001</v>
      </c>
      <c r="W575" s="105">
        <f>IF(A575=1,((cPH1_+cPHr+(cNES*L575+(cNES+cOSEX)*G575+(cNES+cEREX)*H575+(cNES+cHOEX)*I575 + (cNES+cNES)*S575 +(cNES+ cOSEX)*N575 + (cNES+cEREX)*O575 + (cNES+cHOEX)*P575)))/(1+cDR)^A$5:A$65536,(cPHr+(cNES*L575+(cNES+cOSEX)*G575+(cNES+cEREX)*H575+(cNES+cHOEX)*I575 + (cNES+cNES)*S575 +(cNES+ cOSEX)*N575 + (cNES+cEREX)*O575 + (cNES+cHOEX)*P575))/(1+cDR)^A$5:A$65536)</f>
        <v>85691.081634702146</v>
      </c>
      <c r="X575" s="112">
        <f t="shared" si="161"/>
        <v>840.14246317048628</v>
      </c>
      <c r="Y575" s="32">
        <f>(uNES*L575+ uOCEX*G575+uEREX*'PH + UC'!H575+uHOEX*I575+uNES*S575+ uOCEX*N575+uEREX*O575+uHOEX*P575)/(1+oDR)^A$5:A$65536</f>
        <v>469.56515101736431</v>
      </c>
    </row>
    <row r="576" spans="1:25" x14ac:dyDescent="0.25">
      <c r="A576" s="4">
        <v>570</v>
      </c>
      <c r="C576" s="110">
        <f>IF(male=0,VLOOKUP(((A574:A1408/'Life tables'!$I$2)*2)+age,lifetable,13,1),IF(male=1,VLOOKUP(((A574:A1408/'Life tables'!$I$2)*2)+age,lifetable,10,1),"error"))</f>
        <v>4.6329957291590951E-4</v>
      </c>
      <c r="F576" s="101">
        <f t="shared" si="144"/>
        <v>133.95611409655788</v>
      </c>
      <c r="G576" s="101">
        <f t="shared" si="145"/>
        <v>13.456172015699806</v>
      </c>
      <c r="H576" s="101">
        <f t="shared" si="146"/>
        <v>0.30792796499023567</v>
      </c>
      <c r="I576" s="101">
        <f t="shared" si="147"/>
        <v>0.30792796499023567</v>
      </c>
      <c r="J576" s="101">
        <f t="shared" si="148"/>
        <v>6.858137498770453E-2</v>
      </c>
      <c r="K576" s="101">
        <f t="shared" si="149"/>
        <v>2.4138202301054294E-2</v>
      </c>
      <c r="L576" s="101">
        <f t="shared" si="156"/>
        <v>119.79136657358885</v>
      </c>
      <c r="M576" s="101">
        <f t="shared" si="150"/>
        <v>706.18634907392845</v>
      </c>
      <c r="N576" s="101">
        <f t="shared" si="151"/>
        <v>68.00727545857481</v>
      </c>
      <c r="O576" s="101">
        <f t="shared" si="152"/>
        <v>1.6233266158905895</v>
      </c>
      <c r="P576" s="101">
        <f t="shared" si="153"/>
        <v>1.6233266158905895</v>
      </c>
      <c r="Q576" s="101">
        <f t="shared" si="154"/>
        <v>0.36018774865581904</v>
      </c>
      <c r="R576" s="101">
        <f t="shared" si="155"/>
        <v>1.8913146785959525E-2</v>
      </c>
      <c r="S576" s="101">
        <f t="shared" si="157"/>
        <v>634.55331948813068</v>
      </c>
      <c r="T576" s="101">
        <f t="shared" si="158"/>
        <v>130.24544044225868</v>
      </c>
      <c r="U576" s="101">
        <f t="shared" si="159"/>
        <v>30.083916859985678</v>
      </c>
      <c r="V576" s="33">
        <f t="shared" si="160"/>
        <v>1000.0000000000001</v>
      </c>
      <c r="W576" s="105">
        <f>IF(A576=1,((cPH1_+cPHr+(cNES*L576+(cNES+cOSEX)*G576+(cNES+cEREX)*H576+(cNES+cHOEX)*I576 + (cNES+cNES)*S576 +(cNES+ cOSEX)*N576 + (cNES+cEREX)*O576 + (cNES+cHOEX)*P576)))/(1+cDR)^A$5:A$65536,(cPHr+(cNES*L576+(cNES+cOSEX)*G576+(cNES+cEREX)*H576+(cNES+cHOEX)*I576 + (cNES+cNES)*S576 +(cNES+ cOSEX)*N576 + (cNES+cEREX)*O576 + (cNES+cHOEX)*P576))/(1+cDR)^A$5:A$65536)</f>
        <v>85544.530793498881</v>
      </c>
      <c r="X576" s="112">
        <f t="shared" si="161"/>
        <v>839.67064269775574</v>
      </c>
      <c r="Y576" s="32">
        <f>(uNES*L576+ uOCEX*G576+uEREX*'PH + UC'!H576+uHOEX*I576+uNES*S576+ uOCEX*N576+uEREX*O576+uHOEX*P576)/(1+oDR)^A$5:A$65536</f>
        <v>469.16647961805762</v>
      </c>
    </row>
    <row r="577" spans="1:25" x14ac:dyDescent="0.25">
      <c r="A577" s="4">
        <v>571</v>
      </c>
      <c r="C577" s="110">
        <f>IF(male=0,VLOOKUP(((A575:A1409/'Life tables'!$I$2)*2)+age,lifetable,13,1),IF(male=1,VLOOKUP(((A575:A1409/'Life tables'!$I$2)*2)+age,lifetable,10,1),"error"))</f>
        <v>4.6329957291590951E-4</v>
      </c>
      <c r="F577" s="101">
        <f t="shared" si="144"/>
        <v>133.88087747766335</v>
      </c>
      <c r="G577" s="101">
        <f t="shared" si="145"/>
        <v>13.448614339870282</v>
      </c>
      <c r="H577" s="101">
        <f t="shared" si="146"/>
        <v>0.30775501686386464</v>
      </c>
      <c r="I577" s="101">
        <f t="shared" si="147"/>
        <v>0.30775501686386464</v>
      </c>
      <c r="J577" s="101">
        <f t="shared" si="148"/>
        <v>6.8542856172732813E-2</v>
      </c>
      <c r="K577" s="101">
        <f t="shared" si="149"/>
        <v>2.4124645049565088E-2</v>
      </c>
      <c r="L577" s="101">
        <f t="shared" si="156"/>
        <v>119.72408560284303</v>
      </c>
      <c r="M577" s="101">
        <f t="shared" si="150"/>
        <v>705.78976522009248</v>
      </c>
      <c r="N577" s="101">
        <f t="shared" si="151"/>
        <v>67.969083574200923</v>
      </c>
      <c r="O577" s="101">
        <f t="shared" si="152"/>
        <v>1.622414979569371</v>
      </c>
      <c r="P577" s="101">
        <f t="shared" si="153"/>
        <v>1.622414979569371</v>
      </c>
      <c r="Q577" s="101">
        <f t="shared" si="154"/>
        <v>0.35998547252055563</v>
      </c>
      <c r="R577" s="101">
        <f t="shared" si="155"/>
        <v>1.890252544125302E-2</v>
      </c>
      <c r="S577" s="101">
        <f t="shared" si="157"/>
        <v>634.19696368879102</v>
      </c>
      <c r="T577" s="101">
        <f t="shared" si="158"/>
        <v>130.67396877095197</v>
      </c>
      <c r="U577" s="101">
        <f t="shared" si="159"/>
        <v>30.126944030476494</v>
      </c>
      <c r="V577" s="33">
        <f t="shared" si="160"/>
        <v>1000.0000000000002</v>
      </c>
      <c r="W577" s="105">
        <f>IF(A577=1,((cPH1_+cPHr+(cNES*L577+(cNES+cOSEX)*G577+(cNES+cEREX)*H577+(cNES+cHOEX)*I577 + (cNES+cNES)*S577 +(cNES+ cOSEX)*N577 + (cNES+cEREX)*O577 + (cNES+cHOEX)*P577)))/(1+cDR)^A$5:A$65536,(cPHr+(cNES*L577+(cNES+cOSEX)*G577+(cNES+cEREX)*H577+(cNES+cHOEX)*I577 + (cNES+cNES)*S577 +(cNES+ cOSEX)*N577 + (cNES+cEREX)*O577 + (cNES+cHOEX)*P577))/(1+cDR)^A$5:A$65536)</f>
        <v>85398.230576231319</v>
      </c>
      <c r="X577" s="112">
        <f t="shared" si="161"/>
        <v>839.19908719857176</v>
      </c>
      <c r="Y577" s="32">
        <f>(uNES*L577+ uOCEX*G577+uEREX*'PH + UC'!H577+uHOEX*I577+uNES*S577+ uOCEX*N577+uEREX*O577+uHOEX*P577)/(1+oDR)^A$5:A$65536</f>
        <v>468.76814670028244</v>
      </c>
    </row>
    <row r="578" spans="1:25" x14ac:dyDescent="0.25">
      <c r="A578" s="4">
        <v>572</v>
      </c>
      <c r="C578" s="110">
        <f>IF(male=0,VLOOKUP(((A576:A1410/'Life tables'!$I$2)*2)+age,lifetable,13,1),IF(male=1,VLOOKUP(((A576:A1410/'Life tables'!$I$2)*2)+age,lifetable,10,1),"error"))</f>
        <v>4.6329957291590951E-4</v>
      </c>
      <c r="F578" s="101">
        <f t="shared" si="144"/>
        <v>133.80568344712992</v>
      </c>
      <c r="G578" s="101">
        <f t="shared" si="145"/>
        <v>13.441060942130765</v>
      </c>
      <c r="H578" s="101">
        <f t="shared" si="146"/>
        <v>0.30758216663632759</v>
      </c>
      <c r="I578" s="101">
        <f t="shared" si="147"/>
        <v>0.30758216663632759</v>
      </c>
      <c r="J578" s="101">
        <f t="shared" si="148"/>
        <v>6.8504359161680892E-2</v>
      </c>
      <c r="K578" s="101">
        <f t="shared" si="149"/>
        <v>2.4111095472279361E-2</v>
      </c>
      <c r="L578" s="101">
        <f t="shared" si="156"/>
        <v>119.65684271709254</v>
      </c>
      <c r="M578" s="101">
        <f t="shared" si="150"/>
        <v>705.39340375144184</v>
      </c>
      <c r="N578" s="101">
        <f t="shared" si="151"/>
        <v>67.930913106002208</v>
      </c>
      <c r="O578" s="101">
        <f t="shared" si="152"/>
        <v>1.6215038544500342</v>
      </c>
      <c r="P578" s="101">
        <f t="shared" si="153"/>
        <v>1.6215038544500342</v>
      </c>
      <c r="Q578" s="101">
        <f t="shared" si="154"/>
        <v>0.35978330981203777</v>
      </c>
      <c r="R578" s="101">
        <f t="shared" si="155"/>
        <v>1.88919100524867E-2</v>
      </c>
      <c r="S578" s="101">
        <f t="shared" si="157"/>
        <v>633.84080771667504</v>
      </c>
      <c r="T578" s="101">
        <f t="shared" si="158"/>
        <v>131.1022564399257</v>
      </c>
      <c r="U578" s="101">
        <f t="shared" si="159"/>
        <v>30.169947036001261</v>
      </c>
      <c r="V578" s="33">
        <f t="shared" si="160"/>
        <v>1000.0000000000002</v>
      </c>
      <c r="W578" s="105">
        <f>IF(A578=1,((cPH1_+cPHr+(cNES*L578+(cNES+cOSEX)*G578+(cNES+cEREX)*H578+(cNES+cHOEX)*I578 + (cNES+cNES)*S578 +(cNES+ cOSEX)*N578 + (cNES+cEREX)*O578 + (cNES+cHOEX)*P578)))/(1+cDR)^A$5:A$65536,(cPHr+(cNES*L578+(cNES+cOSEX)*G578+(cNES+cEREX)*H578+(cNES+cHOEX)*I578 + (cNES+cNES)*S578 +(cNES+ cOSEX)*N578 + (cNES+cEREX)*O578 + (cNES+cHOEX)*P578))/(1+cDR)^A$5:A$65536)</f>
        <v>85252.180554972496</v>
      </c>
      <c r="X578" s="112">
        <f t="shared" si="161"/>
        <v>838.72779652407326</v>
      </c>
      <c r="Y578" s="32">
        <f>(uNES*L578+ uOCEX*G578+uEREX*'PH + UC'!H578+uHOEX*I578+uNES*S578+ uOCEX*N578+uEREX*O578+uHOEX*P578)/(1+oDR)^A$5:A$65536</f>
        <v>468.37015197663573</v>
      </c>
    </row>
    <row r="579" spans="1:25" x14ac:dyDescent="0.25">
      <c r="A579" s="4">
        <v>573</v>
      </c>
      <c r="C579" s="110">
        <f>IF(male=0,VLOOKUP(((A577:A1411/'Life tables'!$I$2)*2)+age,lifetable,13,1),IF(male=1,VLOOKUP(((A577:A1411/'Life tables'!$I$2)*2)+age,lifetable,10,1),"error"))</f>
        <v>4.6329957291590951E-4</v>
      </c>
      <c r="F579" s="101">
        <f t="shared" si="144"/>
        <v>133.73053196587006</v>
      </c>
      <c r="G579" s="101">
        <f t="shared" si="145"/>
        <v>13.433511818554827</v>
      </c>
      <c r="H579" s="101">
        <f t="shared" si="146"/>
        <v>0.30740941421777301</v>
      </c>
      <c r="I579" s="101">
        <f t="shared" si="147"/>
        <v>0.30740941421777301</v>
      </c>
      <c r="J579" s="101">
        <f t="shared" si="148"/>
        <v>6.846588393453712E-2</v>
      </c>
      <c r="K579" s="101">
        <f t="shared" si="149"/>
        <v>2.4097553562153724E-2</v>
      </c>
      <c r="L579" s="101">
        <f t="shared" si="156"/>
        <v>119.589637881383</v>
      </c>
      <c r="M579" s="101">
        <f t="shared" si="150"/>
        <v>704.99726455820326</v>
      </c>
      <c r="N579" s="101">
        <f t="shared" si="151"/>
        <v>67.892764043407269</v>
      </c>
      <c r="O579" s="101">
        <f t="shared" si="152"/>
        <v>1.6205932402802403</v>
      </c>
      <c r="P579" s="101">
        <f t="shared" si="153"/>
        <v>1.6205932402802403</v>
      </c>
      <c r="Q579" s="101">
        <f t="shared" si="154"/>
        <v>0.35958126047427569</v>
      </c>
      <c r="R579" s="101">
        <f t="shared" si="155"/>
        <v>1.8881300616720605E-2</v>
      </c>
      <c r="S579" s="101">
        <f t="shared" si="157"/>
        <v>633.48485147314454</v>
      </c>
      <c r="T579" s="101">
        <f t="shared" si="158"/>
        <v>131.53030358433452</v>
      </c>
      <c r="U579" s="101">
        <f t="shared" si="159"/>
        <v>30.212925890180134</v>
      </c>
      <c r="V579" s="33">
        <f t="shared" si="160"/>
        <v>1000.0000000000003</v>
      </c>
      <c r="W579" s="105">
        <f>IF(A579=1,((cPH1_+cPHr+(cNES*L579+(cNES+cOSEX)*G579+(cNES+cEREX)*H579+(cNES+cHOEX)*I579 + (cNES+cNES)*S579 +(cNES+ cOSEX)*N579 + (cNES+cEREX)*O579 + (cNES+cHOEX)*P579)))/(1+cDR)^A$5:A$65536,(cPHr+(cNES*L579+(cNES+cOSEX)*G579+(cNES+cEREX)*H579+(cNES+cHOEX)*I579 + (cNES+cNES)*S579 +(cNES+ cOSEX)*N579 + (cNES+cEREX)*O579 + (cNES+cHOEX)*P579))/(1+cDR)^A$5:A$65536)</f>
        <v>85106.380302494217</v>
      </c>
      <c r="X579" s="112">
        <f t="shared" si="161"/>
        <v>838.25677052548565</v>
      </c>
      <c r="Y579" s="32">
        <f>(uNES*L579+ uOCEX*G579+uEREX*'PH + UC'!H579+uHOEX*I579+uNES*S579+ uOCEX*N579+uEREX*O579+uHOEX*P579)/(1+oDR)^A$5:A$65536</f>
        <v>467.97249515995992</v>
      </c>
    </row>
    <row r="580" spans="1:25" x14ac:dyDescent="0.25">
      <c r="A580" s="4">
        <v>574</v>
      </c>
      <c r="C580" s="110">
        <f>IF(male=0,VLOOKUP(((A578:A1412/'Life tables'!$I$2)*2)+age,lifetable,13,1),IF(male=1,VLOOKUP(((A578:A1412/'Life tables'!$I$2)*2)+age,lifetable,10,1),"error"))</f>
        <v>4.9660762749414999E-4</v>
      </c>
      <c r="F580" s="101">
        <f t="shared" si="144"/>
        <v>133.65542299550341</v>
      </c>
      <c r="G580" s="101">
        <f t="shared" si="145"/>
        <v>13.425966965287083</v>
      </c>
      <c r="H580" s="101">
        <f t="shared" si="146"/>
        <v>0.3072367595199752</v>
      </c>
      <c r="I580" s="101">
        <f t="shared" si="147"/>
        <v>0.3072367595199752</v>
      </c>
      <c r="J580" s="101">
        <f t="shared" si="148"/>
        <v>7.3346892353418486E-2</v>
      </c>
      <c r="K580" s="101">
        <f t="shared" si="149"/>
        <v>2.4084019312272251E-2</v>
      </c>
      <c r="L580" s="101">
        <f t="shared" si="156"/>
        <v>119.51755159951068</v>
      </c>
      <c r="M580" s="101">
        <f t="shared" si="150"/>
        <v>704.60134752998215</v>
      </c>
      <c r="N580" s="101">
        <f t="shared" si="151"/>
        <v>67.854636375784864</v>
      </c>
      <c r="O580" s="101">
        <f t="shared" si="152"/>
        <v>1.6196831368062232</v>
      </c>
      <c r="P580" s="101">
        <f t="shared" si="153"/>
        <v>1.6196831368062232</v>
      </c>
      <c r="Q580" s="101">
        <f t="shared" si="154"/>
        <v>0.38521622751082546</v>
      </c>
      <c r="R580" s="101">
        <f t="shared" si="155"/>
        <v>1.8870697130998138E-2</v>
      </c>
      <c r="S580" s="101">
        <f t="shared" si="157"/>
        <v>633.10325795594304</v>
      </c>
      <c r="T580" s="101">
        <f t="shared" si="158"/>
        <v>131.98886670419876</v>
      </c>
      <c r="U580" s="101">
        <f t="shared" si="159"/>
        <v>30.255880606623403</v>
      </c>
      <c r="V580" s="33">
        <f t="shared" si="160"/>
        <v>1000.0000000000002</v>
      </c>
      <c r="W580" s="105">
        <f>IF(A580=1,((cPH1_+cPHr+(cNES*L580+(cNES+cOSEX)*G580+(cNES+cEREX)*H580+(cNES+cHOEX)*I580 + (cNES+cNES)*S580 +(cNES+ cOSEX)*N580 + (cNES+cEREX)*O580 + (cNES+cHOEX)*P580)))/(1+cDR)^A$5:A$65536,(cPHr+(cNES*L580+(cNES+cOSEX)*G580+(cNES+cEREX)*H580+(cNES+cHOEX)*I580 + (cNES+cNES)*S580 +(cNES+ cOSEX)*N580 + (cNES+cEREX)*O580 + (cNES+cHOEX)*P580))/(1+cDR)^A$5:A$65536)</f>
        <v>84958.125849498232</v>
      </c>
      <c r="X580" s="112">
        <f t="shared" si="161"/>
        <v>837.75525268917806</v>
      </c>
      <c r="Y580" s="32">
        <f>(uNES*L580+ uOCEX*G580+uEREX*'PH + UC'!H580+uHOEX*I580+uNES*S580+ uOCEX*N580+uEREX*O580+uHOEX*P580)/(1+oDR)^A$5:A$65536</f>
        <v>467.55773142975636</v>
      </c>
    </row>
    <row r="581" spans="1:25" x14ac:dyDescent="0.25">
      <c r="A581" s="4">
        <v>575</v>
      </c>
      <c r="C581" s="110">
        <f>IF(male=0,VLOOKUP(((A579:A1413/'Life tables'!$I$2)*2)+age,lifetable,13,1),IF(male=1,VLOOKUP(((A579:A1413/'Life tables'!$I$2)*2)+age,lifetable,10,1),"error"))</f>
        <v>4.9660762749414999E-4</v>
      </c>
      <c r="F581" s="101">
        <f t="shared" si="144"/>
        <v>133.57543711619394</v>
      </c>
      <c r="G581" s="101">
        <f t="shared" si="145"/>
        <v>13.417932216309223</v>
      </c>
      <c r="H581" s="101">
        <f t="shared" si="146"/>
        <v>0.30705289416071307</v>
      </c>
      <c r="I581" s="101">
        <f t="shared" si="147"/>
        <v>0.30705289416071307</v>
      </c>
      <c r="J581" s="101">
        <f t="shared" si="148"/>
        <v>7.3302998020154483E-2</v>
      </c>
      <c r="K581" s="101">
        <f t="shared" si="149"/>
        <v>2.4069606268500261E-2</v>
      </c>
      <c r="L581" s="101">
        <f t="shared" si="156"/>
        <v>119.44602650727464</v>
      </c>
      <c r="M581" s="101">
        <f t="shared" si="150"/>
        <v>704.17981557298401</v>
      </c>
      <c r="N581" s="101">
        <f t="shared" si="151"/>
        <v>67.814041935023212</v>
      </c>
      <c r="O581" s="101">
        <f t="shared" si="152"/>
        <v>1.6187141517130663</v>
      </c>
      <c r="P581" s="101">
        <f t="shared" si="153"/>
        <v>1.6187141517130663</v>
      </c>
      <c r="Q581" s="101">
        <f t="shared" si="154"/>
        <v>0.38498576960605524</v>
      </c>
      <c r="R581" s="101">
        <f t="shared" si="155"/>
        <v>1.8859407623932286E-2</v>
      </c>
      <c r="S581" s="101">
        <f t="shared" si="157"/>
        <v>632.72450015730465</v>
      </c>
      <c r="T581" s="101">
        <f t="shared" si="158"/>
        <v>132.44715547182497</v>
      </c>
      <c r="U581" s="101">
        <f t="shared" si="159"/>
        <v>30.298809620515836</v>
      </c>
      <c r="V581" s="33">
        <f t="shared" si="160"/>
        <v>1000.0000000000001</v>
      </c>
      <c r="W581" s="105">
        <f>IF(A581=1,((cPH1_+cPHr+(cNES*L581+(cNES+cOSEX)*G581+(cNES+cEREX)*H581+(cNES+cHOEX)*I581 + (cNES+cNES)*S581 +(cNES+ cOSEX)*N581 + (cNES+cEREX)*O581 + (cNES+cHOEX)*P581)))/(1+cDR)^A$5:A$65536,(cPHr+(cNES*L581+(cNES+cOSEX)*G581+(cNES+cEREX)*H581+(cNES+cHOEX)*I581 + (cNES+cNES)*S581 +(cNES+ cOSEX)*N581 + (cNES+cEREX)*O581 + (cNES+cHOEX)*P581))/(1+cDR)^A$5:A$65536)</f>
        <v>84809.716007358351</v>
      </c>
      <c r="X581" s="112">
        <f t="shared" si="161"/>
        <v>837.25403490765927</v>
      </c>
      <c r="Y581" s="32">
        <f>(uNES*L581+ uOCEX*G581+uEREX*'PH + UC'!H581+uHOEX*I581+uNES*S581+ uOCEX*N581+uEREX*O581+uHOEX*P581)/(1+oDR)^A$5:A$65536</f>
        <v>467.14361422055731</v>
      </c>
    </row>
    <row r="582" spans="1:25" x14ac:dyDescent="0.25">
      <c r="A582" s="4">
        <v>576</v>
      </c>
      <c r="C582" s="110">
        <f>IF(male=0,VLOOKUP(((A580:A1414/'Life tables'!$I$2)*2)+age,lifetable,13,1),IF(male=1,VLOOKUP(((A580:A1414/'Life tables'!$I$2)*2)+age,lifetable,10,1),"error"))</f>
        <v>4.9660762749414999E-4</v>
      </c>
      <c r="F582" s="101">
        <f t="shared" si="144"/>
        <v>133.49550006955883</v>
      </c>
      <c r="G582" s="101">
        <f t="shared" si="145"/>
        <v>13.409902372675706</v>
      </c>
      <c r="H582" s="101">
        <f t="shared" si="146"/>
        <v>0.30686914105422974</v>
      </c>
      <c r="I582" s="101">
        <f t="shared" si="147"/>
        <v>0.30686914105422974</v>
      </c>
      <c r="J582" s="101">
        <f t="shared" si="148"/>
        <v>7.3259130485091611E-2</v>
      </c>
      <c r="K582" s="101">
        <f t="shared" si="149"/>
        <v>2.4055202024124853E-2</v>
      </c>
      <c r="L582" s="101">
        <f t="shared" si="156"/>
        <v>119.37454508226544</v>
      </c>
      <c r="M582" s="101">
        <f t="shared" si="150"/>
        <v>703.75853483810045</v>
      </c>
      <c r="N582" s="101">
        <f t="shared" si="151"/>
        <v>67.773471687495515</v>
      </c>
      <c r="O582" s="101">
        <f t="shared" si="152"/>
        <v>1.6177457441098959</v>
      </c>
      <c r="P582" s="101">
        <f t="shared" si="153"/>
        <v>1.6177457441098959</v>
      </c>
      <c r="Q582" s="101">
        <f t="shared" si="154"/>
        <v>0.38475544904821962</v>
      </c>
      <c r="R582" s="101">
        <f t="shared" si="155"/>
        <v>1.8848124845119867E-2</v>
      </c>
      <c r="S582" s="101">
        <f t="shared" si="157"/>
        <v>632.34596808849176</v>
      </c>
      <c r="T582" s="101">
        <f t="shared" si="158"/>
        <v>132.90517005135828</v>
      </c>
      <c r="U582" s="101">
        <f t="shared" si="159"/>
        <v>30.34171294738508</v>
      </c>
      <c r="V582" s="33">
        <f t="shared" si="160"/>
        <v>1000</v>
      </c>
      <c r="W582" s="105">
        <f>IF(A582=1,((cPH1_+cPHr+(cNES*L582+(cNES+cOSEX)*G582+(cNES+cEREX)*H582+(cNES+cHOEX)*I582 + (cNES+cNES)*S582 +(cNES+ cOSEX)*N582 + (cNES+cEREX)*O582 + (cNES+cHOEX)*P582)))/(1+cDR)^A$5:A$65536,(cPHr+(cNES*L582+(cNES+cOSEX)*G582+(cNES+cEREX)*H582+(cNES+cHOEX)*I582 + (cNES+cNES)*S582 +(cNES+ cOSEX)*N582 + (cNES+cEREX)*O582 + (cNES+cHOEX)*P582))/(1+cDR)^A$5:A$65536)</f>
        <v>84661.565380123226</v>
      </c>
      <c r="X582" s="112">
        <f t="shared" si="161"/>
        <v>836.75311700125667</v>
      </c>
      <c r="Y582" s="32">
        <f>(uNES*L582+ uOCEX*G582+uEREX*'PH + UC'!H582+uHOEX*I582+uNES*S582+ uOCEX*N582+uEREX*O582+uHOEX*P582)/(1+oDR)^A$5:A$65536</f>
        <v>466.72986379760522</v>
      </c>
    </row>
    <row r="583" spans="1:25" x14ac:dyDescent="0.25">
      <c r="A583" s="4">
        <v>577</v>
      </c>
      <c r="C583" s="110">
        <f>IF(male=0,VLOOKUP(((A581:A1415/'Life tables'!$I$2)*2)+age,lifetable,13,1),IF(male=1,VLOOKUP(((A581:A1415/'Life tables'!$I$2)*2)+age,lifetable,10,1),"error"))</f>
        <v>4.9660762749414999E-4</v>
      </c>
      <c r="F583" s="101">
        <f t="shared" ref="F583:F646" si="162">E582*(1-pCAPH)+(L582+G582+H582+I582)*(1-pCAPH)+(S582+N582+O582+P582)*(pUAPH)</f>
        <v>133.41561178215599</v>
      </c>
      <c r="G583" s="101">
        <f t="shared" ref="G583:G646" si="163">F583*(rrOSEX)</f>
        <v>13.401877427009117</v>
      </c>
      <c r="H583" s="101">
        <f t="shared" ref="H583:H646" si="164">F583*rrEREX</f>
        <v>0.3066855000317022</v>
      </c>
      <c r="I583" s="101">
        <f t="shared" ref="I583:I646" si="165">F583*rrHOEX</f>
        <v>0.3066855000317022</v>
      </c>
      <c r="J583" s="101">
        <f t="shared" ref="J583:J646" si="166">F583*mr + G583*mr + H583*mr+I583*mr</f>
        <v>7.3215289707926665E-2</v>
      </c>
      <c r="K583" s="101">
        <f t="shared" ref="K583:K646" si="167">F583*amr + I583*amrHOEX</f>
        <v>2.4040806565912134E-2</v>
      </c>
      <c r="L583" s="101">
        <f t="shared" si="156"/>
        <v>119.30310725880963</v>
      </c>
      <c r="M583" s="101">
        <f t="shared" ref="M583:M646" si="168">E582*pCAPH+(L582+G582+H582+I582)*pCAPH+(S582+N582+O582+P582)*(1-pUAPH)</f>
        <v>703.33750521910076</v>
      </c>
      <c r="N583" s="101">
        <f t="shared" ref="N583:N646" si="169">M583*rrOSEXc</f>
        <v>67.732925622971493</v>
      </c>
      <c r="O583" s="101">
        <f t="shared" ref="O583:O646" si="170">M583*rrEREXc</f>
        <v>1.6167779137525167</v>
      </c>
      <c r="P583" s="101">
        <f t="shared" ref="P583:P646" si="171">M583*rrHOEXc</f>
        <v>1.6167779137525167</v>
      </c>
      <c r="Q583" s="101">
        <f t="shared" ref="Q583:Q646" si="172">M583*mr + N583*mr + O583*mr+P583*mr</f>
        <v>0.38452526577924073</v>
      </c>
      <c r="R583" s="101">
        <f t="shared" ref="R583:R646" si="173">M583*amrc + P583*amrHOEX</f>
        <v>1.8836848791715804E-2</v>
      </c>
      <c r="S583" s="101">
        <f t="shared" si="157"/>
        <v>631.96766165405325</v>
      </c>
      <c r="T583" s="101">
        <f t="shared" si="158"/>
        <v>133.36291060684545</v>
      </c>
      <c r="U583" s="101">
        <f t="shared" si="159"/>
        <v>30.384590602742708</v>
      </c>
      <c r="V583" s="33">
        <f t="shared" si="160"/>
        <v>1000</v>
      </c>
      <c r="W583" s="105">
        <f>IF(A583=1,((cPH1_+cPHr+(cNES*L583+(cNES+cOSEX)*G583+(cNES+cEREX)*H583+(cNES+cHOEX)*I583 + (cNES+cNES)*S583 +(cNES+ cOSEX)*N583 + (cNES+cEREX)*O583 + (cNES+cHOEX)*P583)))/(1+cDR)^A$5:A$65536,(cPHr+(cNES*L583+(cNES+cOSEX)*G583+(cNES+cEREX)*H583+(cNES+cHOEX)*I583 + (cNES+cNES)*S583 +(cNES+ cOSEX)*N583 + (cNES+cEREX)*O583 + (cNES+cHOEX)*P583))/(1+cDR)^A$5:A$65536)</f>
        <v>84513.673516925046</v>
      </c>
      <c r="X583" s="112">
        <f t="shared" si="161"/>
        <v>836.25249879041189</v>
      </c>
      <c r="Y583" s="32">
        <f>(uNES*L583+ uOCEX*G583+uEREX*'PH + UC'!H583+uHOEX*I583+uNES*S583+ uOCEX*N583+uEREX*O583+uHOEX*P583)/(1+oDR)^A$5:A$65536</f>
        <v>466.31647983596901</v>
      </c>
    </row>
    <row r="584" spans="1:25" x14ac:dyDescent="0.25">
      <c r="A584" s="4">
        <v>578</v>
      </c>
      <c r="C584" s="110">
        <f>IF(male=0,VLOOKUP(((A582:A1416/'Life tables'!$I$2)*2)+age,lifetable,13,1),IF(male=1,VLOOKUP(((A582:A1416/'Life tables'!$I$2)*2)+age,lifetable,10,1),"error"))</f>
        <v>4.9660762749414999E-4</v>
      </c>
      <c r="F584" s="101">
        <f t="shared" si="162"/>
        <v>133.33577218258682</v>
      </c>
      <c r="G584" s="101">
        <f t="shared" si="163"/>
        <v>13.393857372137319</v>
      </c>
      <c r="H584" s="101">
        <f t="shared" si="164"/>
        <v>0.30650197092900477</v>
      </c>
      <c r="I584" s="101">
        <f t="shared" si="165"/>
        <v>0.30650197092900477</v>
      </c>
      <c r="J584" s="101">
        <f t="shared" si="166"/>
        <v>7.3171475649477735E-2</v>
      </c>
      <c r="K584" s="101">
        <f t="shared" si="167"/>
        <v>2.402641988099646E-2</v>
      </c>
      <c r="L584" s="101">
        <f t="shared" ref="L584:L647" si="174">F584-SUM(G584:K584)</f>
        <v>119.23171297306102</v>
      </c>
      <c r="M584" s="101">
        <f t="shared" si="168"/>
        <v>702.91672660782524</v>
      </c>
      <c r="N584" s="101">
        <f t="shared" si="169"/>
        <v>67.692403731035157</v>
      </c>
      <c r="O584" s="101">
        <f t="shared" si="170"/>
        <v>1.6158106603922999</v>
      </c>
      <c r="P584" s="101">
        <f t="shared" si="171"/>
        <v>1.6158106603922999</v>
      </c>
      <c r="Q584" s="101">
        <f t="shared" si="172"/>
        <v>0.38429521973998604</v>
      </c>
      <c r="R584" s="101">
        <f t="shared" si="173"/>
        <v>1.8825579460823354E-2</v>
      </c>
      <c r="S584" s="101">
        <f t="shared" ref="S584:S647" si="175">M584-SUM(N584:R584)</f>
        <v>631.58958075680471</v>
      </c>
      <c r="T584" s="101">
        <f t="shared" ref="T584:T647" si="176">J584+Q584+T583</f>
        <v>133.8203773022349</v>
      </c>
      <c r="U584" s="101">
        <f t="shared" ref="U584:U647" si="177">K584+R584+U583</f>
        <v>30.427442602084529</v>
      </c>
      <c r="V584" s="33">
        <f t="shared" ref="V584:V647" si="178">SUM(G584:I584,L584,N584,O584,P584,S584,T584,U584)</f>
        <v>1000.0000000000002</v>
      </c>
      <c r="W584" s="105">
        <f>IF(A584=1,((cPH1_+cPHr+(cNES*L584+(cNES+cOSEX)*G584+(cNES+cEREX)*H584+(cNES+cHOEX)*I584 + (cNES+cNES)*S584 +(cNES+ cOSEX)*N584 + (cNES+cEREX)*O584 + (cNES+cHOEX)*P584)))/(1+cDR)^A$5:A$65536,(cPHr+(cNES*L584+(cNES+cOSEX)*G584+(cNES+cEREX)*H584+(cNES+cHOEX)*I584 + (cNES+cNES)*S584 +(cNES+ cOSEX)*N584 + (cNES+cEREX)*O584 + (cNES+cHOEX)*P584))/(1+cDR)^A$5:A$65536)</f>
        <v>84366.03996759314</v>
      </c>
      <c r="X584" s="112">
        <f t="shared" ref="X584:X647" si="179">(L584+G584+H584+I584+N584+O584+P584+S584)</f>
        <v>835.75218009568084</v>
      </c>
      <c r="Y584" s="32">
        <f>(uNES*L584+ uOCEX*G584+uEREX*'PH + UC'!H584+uHOEX*I584+uNES*S584+ uOCEX*N584+uEREX*O584+uHOEX*P584)/(1+oDR)^A$5:A$65536</f>
        <v>465.90346201100806</v>
      </c>
    </row>
    <row r="585" spans="1:25" x14ac:dyDescent="0.25">
      <c r="A585" s="4">
        <v>579</v>
      </c>
      <c r="C585" s="110">
        <f>IF(male=0,VLOOKUP(((A583:A1417/'Life tables'!$I$2)*2)+age,lifetable,13,1),IF(male=1,VLOOKUP(((A583:A1417/'Life tables'!$I$2)*2)+age,lifetable,10,1),"error"))</f>
        <v>4.9660762749414999E-4</v>
      </c>
      <c r="F585" s="101">
        <f t="shared" si="162"/>
        <v>133.25598120140452</v>
      </c>
      <c r="G585" s="101">
        <f t="shared" si="163"/>
        <v>13.385842201084234</v>
      </c>
      <c r="H585" s="101">
        <f t="shared" si="164"/>
        <v>0.30631855358649868</v>
      </c>
      <c r="I585" s="101">
        <f t="shared" si="165"/>
        <v>0.30631855358649868</v>
      </c>
      <c r="J585" s="101">
        <f t="shared" si="166"/>
        <v>7.3127688271634128E-2</v>
      </c>
      <c r="K585" s="101">
        <f t="shared" si="167"/>
        <v>2.401204195686386E-2</v>
      </c>
      <c r="L585" s="101">
        <f t="shared" si="174"/>
        <v>119.1603621629188</v>
      </c>
      <c r="M585" s="101">
        <f t="shared" si="168"/>
        <v>702.49619889427618</v>
      </c>
      <c r="N585" s="101">
        <f t="shared" si="169"/>
        <v>67.651906001093479</v>
      </c>
      <c r="O585" s="101">
        <f t="shared" si="170"/>
        <v>1.614843983776391</v>
      </c>
      <c r="P585" s="101">
        <f t="shared" si="171"/>
        <v>1.614843983776391</v>
      </c>
      <c r="Q585" s="101">
        <f t="shared" si="172"/>
        <v>0.38406531087031803</v>
      </c>
      <c r="R585" s="101">
        <f t="shared" si="173"/>
        <v>1.8814316849496547E-2</v>
      </c>
      <c r="S585" s="101">
        <f t="shared" si="175"/>
        <v>631.21172529791011</v>
      </c>
      <c r="T585" s="101">
        <f t="shared" si="176"/>
        <v>134.27757030137684</v>
      </c>
      <c r="U585" s="101">
        <f t="shared" si="177"/>
        <v>30.470268960890888</v>
      </c>
      <c r="V585" s="33">
        <f t="shared" si="178"/>
        <v>1000</v>
      </c>
      <c r="W585" s="105">
        <f>IF(A585=1,((cPH1_+cPHr+(cNES*L585+(cNES+cOSEX)*G585+(cNES+cEREX)*H585+(cNES+cHOEX)*I585 + (cNES+cNES)*S585 +(cNES+ cOSEX)*N585 + (cNES+cEREX)*O585 + (cNES+cHOEX)*P585)))/(1+cDR)^A$5:A$65536,(cPHr+(cNES*L585+(cNES+cOSEX)*G585+(cNES+cEREX)*H585+(cNES+cHOEX)*I585 + (cNES+cNES)*S585 +(cNES+ cOSEX)*N585 + (cNES+cEREX)*O585 + (cNES+cHOEX)*P585))/(1+cDR)^A$5:A$65536)</f>
        <v>84218.664282656391</v>
      </c>
      <c r="X585" s="112">
        <f t="shared" si="179"/>
        <v>835.25216073773231</v>
      </c>
      <c r="Y585" s="32">
        <f>(uNES*L585+ uOCEX*G585+uEREX*'PH + UC'!H585+uHOEX*I585+uNES*S585+ uOCEX*N585+uEREX*O585+uHOEX*P585)/(1+oDR)^A$5:A$65536</f>
        <v>465.49080999837236</v>
      </c>
    </row>
    <row r="586" spans="1:25" x14ac:dyDescent="0.25">
      <c r="A586" s="4">
        <v>580</v>
      </c>
      <c r="C586" s="110">
        <f>IF(male=0,VLOOKUP(((A584:A1418/'Life tables'!$I$2)*2)+age,lifetable,13,1),IF(male=1,VLOOKUP(((A584:A1418/'Life tables'!$I$2)*2)+age,lifetable,10,1),"error"))</f>
        <v>4.9660762749414999E-4</v>
      </c>
      <c r="F586" s="101">
        <f t="shared" si="162"/>
        <v>133.17623877102679</v>
      </c>
      <c r="G586" s="101">
        <f t="shared" si="163"/>
        <v>13.377831907061077</v>
      </c>
      <c r="H586" s="101">
        <f t="shared" si="164"/>
        <v>0.30613524784883078</v>
      </c>
      <c r="I586" s="101">
        <f t="shared" si="165"/>
        <v>0.30613524784883078</v>
      </c>
      <c r="J586" s="101">
        <f t="shared" si="166"/>
        <v>7.3083927537308274E-2</v>
      </c>
      <c r="K586" s="101">
        <f t="shared" si="167"/>
        <v>2.3997672781336358E-2</v>
      </c>
      <c r="L586" s="101">
        <f t="shared" si="174"/>
        <v>119.08905476794941</v>
      </c>
      <c r="M586" s="101">
        <f t="shared" si="168"/>
        <v>702.07592196670566</v>
      </c>
      <c r="N586" s="101">
        <f t="shared" si="169"/>
        <v>67.611432422384894</v>
      </c>
      <c r="O586" s="101">
        <f t="shared" si="170"/>
        <v>1.6138778836479128</v>
      </c>
      <c r="P586" s="101">
        <f t="shared" si="171"/>
        <v>1.6138778836479128</v>
      </c>
      <c r="Q586" s="101">
        <f t="shared" si="172"/>
        <v>0.38383553910914259</v>
      </c>
      <c r="R586" s="101">
        <f t="shared" si="173"/>
        <v>1.8803060954742538E-2</v>
      </c>
      <c r="S586" s="101">
        <f t="shared" si="175"/>
        <v>630.834095176961</v>
      </c>
      <c r="T586" s="101">
        <f t="shared" si="176"/>
        <v>134.73448976802328</v>
      </c>
      <c r="U586" s="101">
        <f t="shared" si="177"/>
        <v>30.513069694626967</v>
      </c>
      <c r="V586" s="33">
        <f t="shared" si="178"/>
        <v>1000.0000000000002</v>
      </c>
      <c r="W586" s="105">
        <f>IF(A586=1,((cPH1_+cPHr+(cNES*L586+(cNES+cOSEX)*G586+(cNES+cEREX)*H586+(cNES+cHOEX)*I586 + (cNES+cNES)*S586 +(cNES+ cOSEX)*N586 + (cNES+cEREX)*O586 + (cNES+cHOEX)*P586)))/(1+cDR)^A$5:A$65536,(cPHr+(cNES*L586+(cNES+cOSEX)*G586+(cNES+cEREX)*H586+(cNES+cHOEX)*I586 + (cNES+cNES)*S586 +(cNES+ cOSEX)*N586 + (cNES+cEREX)*O586 + (cNES+cHOEX)*P586))/(1+cDR)^A$5:A$65536)</f>
        <v>84071.54601334664</v>
      </c>
      <c r="X586" s="112">
        <f t="shared" si="179"/>
        <v>834.75244053734991</v>
      </c>
      <c r="Y586" s="32">
        <f>(uNES*L586+ uOCEX*G586+uEREX*'PH + UC'!H586+uHOEX*I586+uNES*S586+ uOCEX*N586+uEREX*O586+uHOEX*P586)/(1+oDR)^A$5:A$65536</f>
        <v>465.07852347400211</v>
      </c>
    </row>
    <row r="587" spans="1:25" x14ac:dyDescent="0.25">
      <c r="A587" s="4">
        <v>581</v>
      </c>
      <c r="C587" s="110">
        <f>IF(male=0,VLOOKUP(((A585:A1419/'Life tables'!$I$2)*2)+age,lifetable,13,1),IF(male=1,VLOOKUP(((A585:A1419/'Life tables'!$I$2)*2)+age,lifetable,10,1),"error"))</f>
        <v>4.9660762749414999E-4</v>
      </c>
      <c r="F587" s="101">
        <f t="shared" si="162"/>
        <v>133.09654482565207</v>
      </c>
      <c r="G587" s="101">
        <f t="shared" si="163"/>
        <v>13.369826483457949</v>
      </c>
      <c r="H587" s="101">
        <f t="shared" si="164"/>
        <v>0.30595205356474164</v>
      </c>
      <c r="I587" s="101">
        <f t="shared" si="165"/>
        <v>0.30595205356474164</v>
      </c>
      <c r="J587" s="101">
        <f t="shared" si="166"/>
        <v>7.3040193410389878E-2</v>
      </c>
      <c r="K587" s="101">
        <f t="shared" si="167"/>
        <v>2.3983312342556854E-2</v>
      </c>
      <c r="L587" s="101">
        <f t="shared" si="174"/>
        <v>119.0177907293117</v>
      </c>
      <c r="M587" s="101">
        <f t="shared" si="168"/>
        <v>701.65589571169789</v>
      </c>
      <c r="N587" s="101">
        <f t="shared" si="169"/>
        <v>67.570982983987221</v>
      </c>
      <c r="O587" s="101">
        <f t="shared" si="170"/>
        <v>1.6129123597461534</v>
      </c>
      <c r="P587" s="101">
        <f t="shared" si="171"/>
        <v>1.6129123597461534</v>
      </c>
      <c r="Q587" s="101">
        <f t="shared" si="172"/>
        <v>0.38360590439445352</v>
      </c>
      <c r="R587" s="101">
        <f t="shared" si="173"/>
        <v>1.8791811773523816E-2</v>
      </c>
      <c r="S587" s="101">
        <f t="shared" si="175"/>
        <v>630.45669029205044</v>
      </c>
      <c r="T587" s="101">
        <f t="shared" si="176"/>
        <v>135.19113586582813</v>
      </c>
      <c r="U587" s="101">
        <f t="shared" si="177"/>
        <v>30.555844818743047</v>
      </c>
      <c r="V587" s="33">
        <f t="shared" si="178"/>
        <v>1000.0000000000002</v>
      </c>
      <c r="W587" s="105">
        <f>IF(A587=1,((cPH1_+cPHr+(cNES*L587+(cNES+cOSEX)*G587+(cNES+cEREX)*H587+(cNES+cHOEX)*I587 + (cNES+cNES)*S587 +(cNES+ cOSEX)*N587 + (cNES+cEREX)*O587 + (cNES+cHOEX)*P587)))/(1+cDR)^A$5:A$65536,(cPHr+(cNES*L587+(cNES+cOSEX)*G587+(cNES+cEREX)*H587+(cNES+cHOEX)*I587 + (cNES+cNES)*S587 +(cNES+ cOSEX)*N587 + (cNES+cEREX)*O587 + (cNES+cHOEX)*P587))/(1+cDR)^A$5:A$65536)</f>
        <v>83924.684711600683</v>
      </c>
      <c r="X587" s="112">
        <f t="shared" si="179"/>
        <v>834.25301931542913</v>
      </c>
      <c r="Y587" s="32">
        <f>(uNES*L587+ uOCEX*G587+uEREX*'PH + UC'!H587+uHOEX*I587+uNES*S587+ uOCEX*N587+uEREX*O587+uHOEX*P587)/(1+oDR)^A$5:A$65536</f>
        <v>464.66660211412727</v>
      </c>
    </row>
    <row r="588" spans="1:25" x14ac:dyDescent="0.25">
      <c r="A588" s="4">
        <v>582</v>
      </c>
      <c r="C588" s="110">
        <f>IF(male=0,VLOOKUP(((A586:A1420/'Life tables'!$I$2)*2)+age,lifetable,13,1),IF(male=1,VLOOKUP(((A586:A1420/'Life tables'!$I$2)*2)+age,lifetable,10,1),"error"))</f>
        <v>4.9660762749414999E-4</v>
      </c>
      <c r="F588" s="101">
        <f t="shared" si="162"/>
        <v>133.01689930117996</v>
      </c>
      <c r="G588" s="101">
        <f t="shared" si="163"/>
        <v>13.361825923835827</v>
      </c>
      <c r="H588" s="101">
        <f t="shared" si="164"/>
        <v>0.30576897058688224</v>
      </c>
      <c r="I588" s="101">
        <f t="shared" si="165"/>
        <v>0.30576897058688224</v>
      </c>
      <c r="J588" s="101">
        <f t="shared" si="166"/>
        <v>7.2996485855702148E-2</v>
      </c>
      <c r="K588" s="101">
        <f t="shared" si="167"/>
        <v>2.3968960628974779E-2</v>
      </c>
      <c r="L588" s="101">
        <f t="shared" si="174"/>
        <v>118.94656998968568</v>
      </c>
      <c r="M588" s="101">
        <f t="shared" si="168"/>
        <v>701.23612001424897</v>
      </c>
      <c r="N588" s="101">
        <f t="shared" si="169"/>
        <v>67.530557674825317</v>
      </c>
      <c r="O588" s="101">
        <f t="shared" si="170"/>
        <v>1.6119474118067514</v>
      </c>
      <c r="P588" s="101">
        <f t="shared" si="171"/>
        <v>1.6119474118067514</v>
      </c>
      <c r="Q588" s="101">
        <f t="shared" si="172"/>
        <v>0.38337640666337647</v>
      </c>
      <c r="R588" s="101">
        <f t="shared" si="173"/>
        <v>1.8780569302760342E-2</v>
      </c>
      <c r="S588" s="101">
        <f t="shared" si="175"/>
        <v>630.07951053984402</v>
      </c>
      <c r="T588" s="101">
        <f t="shared" si="176"/>
        <v>135.64750875834721</v>
      </c>
      <c r="U588" s="101">
        <f t="shared" si="177"/>
        <v>30.598594348674784</v>
      </c>
      <c r="V588" s="33">
        <f t="shared" si="178"/>
        <v>1000.0000000000001</v>
      </c>
      <c r="W588" s="105">
        <f>IF(A588=1,((cPH1_+cPHr+(cNES*L588+(cNES+cOSEX)*G588+(cNES+cEREX)*H588+(cNES+cHOEX)*I588 + (cNES+cNES)*S588 +(cNES+ cOSEX)*N588 + (cNES+cEREX)*O588 + (cNES+cHOEX)*P588)))/(1+cDR)^A$5:A$65536,(cPHr+(cNES*L588+(cNES+cOSEX)*G588+(cNES+cEREX)*H588+(cNES+cHOEX)*I588 + (cNES+cNES)*S588 +(cNES+ cOSEX)*N588 + (cNES+cEREX)*O588 + (cNES+cHOEX)*P588))/(1+cDR)^A$5:A$65536)</f>
        <v>83778.07993006309</v>
      </c>
      <c r="X588" s="112">
        <f t="shared" si="179"/>
        <v>833.7538968929781</v>
      </c>
      <c r="Y588" s="32">
        <f>(uNES*L588+ uOCEX*G588+uEREX*'PH + UC'!H588+uHOEX*I588+uNES*S588+ uOCEX*N588+uEREX*O588+uHOEX*P588)/(1+oDR)^A$5:A$65536</f>
        <v>464.25504559526661</v>
      </c>
    </row>
    <row r="589" spans="1:25" x14ac:dyDescent="0.25">
      <c r="A589" s="4">
        <v>583</v>
      </c>
      <c r="C589" s="110">
        <f>IF(male=0,VLOOKUP(((A587:A1421/'Life tables'!$I$2)*2)+age,lifetable,13,1),IF(male=1,VLOOKUP(((A587:A1421/'Life tables'!$I$2)*2)+age,lifetable,10,1),"error"))</f>
        <v>4.9660762749414999E-4</v>
      </c>
      <c r="F589" s="101">
        <f t="shared" si="162"/>
        <v>132.93730213513496</v>
      </c>
      <c r="G589" s="101">
        <f t="shared" si="163"/>
        <v>13.353830221918916</v>
      </c>
      <c r="H589" s="101">
        <f t="shared" si="164"/>
        <v>0.30558599877163861</v>
      </c>
      <c r="I589" s="101">
        <f t="shared" si="165"/>
        <v>0.30558599877163861</v>
      </c>
      <c r="J589" s="101">
        <f t="shared" si="166"/>
        <v>7.2952804838960023E-2</v>
      </c>
      <c r="K589" s="101">
        <f t="shared" si="167"/>
        <v>2.3954617629332375E-2</v>
      </c>
      <c r="L589" s="101">
        <f t="shared" si="174"/>
        <v>118.87539249320447</v>
      </c>
      <c r="M589" s="101">
        <f t="shared" si="168"/>
        <v>700.81659475784329</v>
      </c>
      <c r="N589" s="101">
        <f t="shared" si="169"/>
        <v>67.490156483678504</v>
      </c>
      <c r="O589" s="101">
        <f t="shared" si="170"/>
        <v>1.6109830395618689</v>
      </c>
      <c r="P589" s="101">
        <f t="shared" si="171"/>
        <v>1.6109830395618689</v>
      </c>
      <c r="Q589" s="101">
        <f t="shared" si="172"/>
        <v>0.38314704585221054</v>
      </c>
      <c r="R589" s="101">
        <f t="shared" si="173"/>
        <v>1.8769333539331575E-2</v>
      </c>
      <c r="S589" s="101">
        <f t="shared" si="175"/>
        <v>629.70255581564948</v>
      </c>
      <c r="T589" s="101">
        <f t="shared" si="176"/>
        <v>136.10360860903839</v>
      </c>
      <c r="U589" s="101">
        <f t="shared" si="177"/>
        <v>30.641318299843448</v>
      </c>
      <c r="V589" s="33">
        <f t="shared" si="178"/>
        <v>1000.0000000000001</v>
      </c>
      <c r="W589" s="105">
        <f>IF(A589=1,((cPH1_+cPHr+(cNES*L589+(cNES+cOSEX)*G589+(cNES+cEREX)*H589+(cNES+cHOEX)*I589 + (cNES+cNES)*S589 +(cNES+ cOSEX)*N589 + (cNES+cEREX)*O589 + (cNES+cHOEX)*P589)))/(1+cDR)^A$5:A$65536,(cPHr+(cNES*L589+(cNES+cOSEX)*G589+(cNES+cEREX)*H589+(cNES+cHOEX)*I589 + (cNES+cNES)*S589 +(cNES+ cOSEX)*N589 + (cNES+cEREX)*O589 + (cNES+cHOEX)*P589))/(1+cDR)^A$5:A$65536)</f>
        <v>83631.731222088274</v>
      </c>
      <c r="X589" s="112">
        <f t="shared" si="179"/>
        <v>833.25507309111845</v>
      </c>
      <c r="Y589" s="32">
        <f>(uNES*L589+ uOCEX*G589+uEREX*'PH + UC'!H589+uHOEX*I589+uNES*S589+ uOCEX*N589+uEREX*O589+uHOEX*P589)/(1+oDR)^A$5:A$65536</f>
        <v>463.84385359422885</v>
      </c>
    </row>
    <row r="590" spans="1:25" x14ac:dyDescent="0.25">
      <c r="A590" s="4">
        <v>584</v>
      </c>
      <c r="C590" s="110">
        <f>IF(male=0,VLOOKUP(((A588:A1422/'Life tables'!$I$2)*2)+age,lifetable,13,1),IF(male=1,VLOOKUP(((A588:A1422/'Life tables'!$I$2)*2)+age,lifetable,10,1),"error"))</f>
        <v>4.9660762749414999E-4</v>
      </c>
      <c r="F590" s="101">
        <f t="shared" si="162"/>
        <v>132.85775326659387</v>
      </c>
      <c r="G590" s="101">
        <f t="shared" si="163"/>
        <v>13.345839371587354</v>
      </c>
      <c r="H590" s="101">
        <f t="shared" si="164"/>
        <v>0.30540313797896529</v>
      </c>
      <c r="I590" s="101">
        <f t="shared" si="165"/>
        <v>0.30540313797896529</v>
      </c>
      <c r="J590" s="101">
        <f t="shared" si="166"/>
        <v>7.2909150326730371E-2</v>
      </c>
      <c r="K590" s="101">
        <f t="shared" si="167"/>
        <v>2.3940283332651593E-2</v>
      </c>
      <c r="L590" s="101">
        <f t="shared" si="174"/>
        <v>118.80425818538922</v>
      </c>
      <c r="M590" s="101">
        <f t="shared" si="168"/>
        <v>700.39731982452452</v>
      </c>
      <c r="N590" s="101">
        <f t="shared" si="169"/>
        <v>67.449779399187307</v>
      </c>
      <c r="O590" s="101">
        <f t="shared" si="170"/>
        <v>1.6100192427403577</v>
      </c>
      <c r="P590" s="101">
        <f t="shared" si="171"/>
        <v>1.6100192427403577</v>
      </c>
      <c r="Q590" s="101">
        <f t="shared" si="172"/>
        <v>0.38291782189646717</v>
      </c>
      <c r="R590" s="101">
        <f t="shared" si="173"/>
        <v>1.8758104480078405E-2</v>
      </c>
      <c r="S590" s="101">
        <f t="shared" si="175"/>
        <v>629.32582601347997</v>
      </c>
      <c r="T590" s="101">
        <f t="shared" si="176"/>
        <v>136.5594355812616</v>
      </c>
      <c r="U590" s="101">
        <f t="shared" si="177"/>
        <v>30.684016687656179</v>
      </c>
      <c r="V590" s="33">
        <f t="shared" si="178"/>
        <v>1000.0000000000002</v>
      </c>
      <c r="W590" s="105">
        <f>IF(A590=1,((cPH1_+cPHr+(cNES*L590+(cNES+cOSEX)*G590+(cNES+cEREX)*H590+(cNES+cHOEX)*I590 + (cNES+cNES)*S590 +(cNES+ cOSEX)*N590 + (cNES+cEREX)*O590 + (cNES+cHOEX)*P590)))/(1+cDR)^A$5:A$65536,(cPHr+(cNES*L590+(cNES+cOSEX)*G590+(cNES+cEREX)*H590+(cNES+cHOEX)*I590 + (cNES+cNES)*S590 +(cNES+ cOSEX)*N590 + (cNES+cEREX)*O590 + (cNES+cHOEX)*P590))/(1+cDR)^A$5:A$65536)</f>
        <v>83485.638141742631</v>
      </c>
      <c r="X590" s="112">
        <f t="shared" si="179"/>
        <v>832.75654773108249</v>
      </c>
      <c r="Y590" s="32">
        <f>(uNES*L590+ uOCEX*G590+uEREX*'PH + UC'!H590+uHOEX*I590+uNES*S590+ uOCEX*N590+uEREX*O590+uHOEX*P590)/(1+oDR)^A$5:A$65536</f>
        <v>463.43302578810983</v>
      </c>
    </row>
    <row r="591" spans="1:25" x14ac:dyDescent="0.25">
      <c r="A591" s="4">
        <v>585</v>
      </c>
      <c r="C591" s="110">
        <f>IF(male=0,VLOOKUP(((A589:A1423/'Life tables'!$I$2)*2)+age,lifetable,13,1),IF(male=1,VLOOKUP(((A589:A1423/'Life tables'!$I$2)*2)+age,lifetable,10,1),"error"))</f>
        <v>4.9660762749414999E-4</v>
      </c>
      <c r="F591" s="101">
        <f t="shared" si="162"/>
        <v>132.77825263611626</v>
      </c>
      <c r="G591" s="101">
        <f t="shared" si="163"/>
        <v>13.337853366870226</v>
      </c>
      <c r="H591" s="101">
        <f t="shared" si="164"/>
        <v>0.30522038807222523</v>
      </c>
      <c r="I591" s="101">
        <f t="shared" si="165"/>
        <v>0.30522038807222523</v>
      </c>
      <c r="J591" s="101">
        <f t="shared" si="166"/>
        <v>7.2865522286393633E-2</v>
      </c>
      <c r="K591" s="101">
        <f t="shared" si="167"/>
        <v>2.3925957728221574E-2</v>
      </c>
      <c r="L591" s="101">
        <f t="shared" si="174"/>
        <v>118.73316701308697</v>
      </c>
      <c r="M591" s="101">
        <f t="shared" si="168"/>
        <v>699.97829509496614</v>
      </c>
      <c r="N591" s="101">
        <f t="shared" si="169"/>
        <v>67.409426409860345</v>
      </c>
      <c r="O591" s="101">
        <f t="shared" si="170"/>
        <v>1.6090560210679188</v>
      </c>
      <c r="P591" s="101">
        <f t="shared" si="171"/>
        <v>1.6090560210679188</v>
      </c>
      <c r="Q591" s="101">
        <f t="shared" si="172"/>
        <v>0.38268873473090881</v>
      </c>
      <c r="R591" s="101">
        <f t="shared" si="173"/>
        <v>1.8746882121805013E-2</v>
      </c>
      <c r="S591" s="101">
        <f t="shared" si="175"/>
        <v>628.94932102611722</v>
      </c>
      <c r="T591" s="101">
        <f t="shared" si="176"/>
        <v>137.01498983827889</v>
      </c>
      <c r="U591" s="101">
        <f t="shared" si="177"/>
        <v>30.726689527506206</v>
      </c>
      <c r="V591" s="33">
        <f t="shared" si="178"/>
        <v>1000.0000000000001</v>
      </c>
      <c r="W591" s="105">
        <f>IF(A591=1,((cPH1_+cPHr+(cNES*L591+(cNES+cOSEX)*G591+(cNES+cEREX)*H591+(cNES+cHOEX)*I591 + (cNES+cNES)*S591 +(cNES+ cOSEX)*N591 + (cNES+cEREX)*O591 + (cNES+cHOEX)*P591)))/(1+cDR)^A$5:A$65536,(cPHr+(cNES*L591+(cNES+cOSEX)*G591+(cNES+cEREX)*H591+(cNES+cHOEX)*I591 + (cNES+cNES)*S591 +(cNES+ cOSEX)*N591 + (cNES+cEREX)*O591 + (cNES+cHOEX)*P591))/(1+cDR)^A$5:A$65536)</f>
        <v>83339.80024380637</v>
      </c>
      <c r="X591" s="112">
        <f t="shared" si="179"/>
        <v>832.25832063421501</v>
      </c>
      <c r="Y591" s="32">
        <f>(uNES*L591+ uOCEX*G591+uEREX*'PH + UC'!H591+uHOEX*I591+uNES*S591+ uOCEX*N591+uEREX*O591+uHOEX*P591)/(1+oDR)^A$5:A$65536</f>
        <v>463.02256185429491</v>
      </c>
    </row>
    <row r="592" spans="1:25" x14ac:dyDescent="0.25">
      <c r="A592" s="4">
        <v>586</v>
      </c>
      <c r="C592" s="110">
        <f>IF(male=0,VLOOKUP(((A590:A1424/'Life tables'!$I$2)*2)+age,lifetable,13,1),IF(male=1,VLOOKUP(((A590:A1424/'Life tables'!$I$2)*2)+age,lifetable,10,1),"error"))</f>
        <v>4.9660762749414999E-4</v>
      </c>
      <c r="F592" s="101">
        <f t="shared" si="162"/>
        <v>132.69880018567827</v>
      </c>
      <c r="G592" s="101">
        <f t="shared" si="163"/>
        <v>13.329872201938912</v>
      </c>
      <c r="H592" s="101">
        <f t="shared" si="164"/>
        <v>0.30503774891803759</v>
      </c>
      <c r="I592" s="101">
        <f t="shared" si="165"/>
        <v>0.30503774891803759</v>
      </c>
      <c r="J592" s="101">
        <f t="shared" si="166"/>
        <v>7.2821920686107738E-2</v>
      </c>
      <c r="K592" s="101">
        <f t="shared" si="167"/>
        <v>2.3911640805586713E-2</v>
      </c>
      <c r="L592" s="101">
        <f t="shared" si="174"/>
        <v>118.66211892441159</v>
      </c>
      <c r="M592" s="101">
        <f t="shared" si="168"/>
        <v>699.55952044853666</v>
      </c>
      <c r="N592" s="101">
        <f t="shared" si="169"/>
        <v>67.369097504080514</v>
      </c>
      <c r="O592" s="101">
        <f t="shared" si="170"/>
        <v>1.6080933742672541</v>
      </c>
      <c r="P592" s="101">
        <f t="shared" si="171"/>
        <v>1.6080933742672541</v>
      </c>
      <c r="Q592" s="101">
        <f t="shared" si="172"/>
        <v>0.38245978428958444</v>
      </c>
      <c r="R592" s="101">
        <f t="shared" si="173"/>
        <v>1.8735666461280644E-2</v>
      </c>
      <c r="S592" s="101">
        <f t="shared" si="175"/>
        <v>628.57304074517083</v>
      </c>
      <c r="T592" s="101">
        <f t="shared" si="176"/>
        <v>137.4702715432546</v>
      </c>
      <c r="U592" s="101">
        <f t="shared" si="177"/>
        <v>30.769336834773075</v>
      </c>
      <c r="V592" s="33">
        <f t="shared" si="178"/>
        <v>1000.0000000000001</v>
      </c>
      <c r="W592" s="105">
        <f>IF(A592=1,((cPH1_+cPHr+(cNES*L592+(cNES+cOSEX)*G592+(cNES+cEREX)*H592+(cNES+cHOEX)*I592 + (cNES+cNES)*S592 +(cNES+ cOSEX)*N592 + (cNES+cEREX)*O592 + (cNES+cHOEX)*P592)))/(1+cDR)^A$5:A$65536,(cPHr+(cNES*L592+(cNES+cOSEX)*G592+(cNES+cEREX)*H592+(cNES+cHOEX)*I592 + (cNES+cNES)*S592 +(cNES+ cOSEX)*N592 + (cNES+cEREX)*O592 + (cNES+cHOEX)*P592))/(1+cDR)^A$5:A$65536)</f>
        <v>83194.217083775424</v>
      </c>
      <c r="X592" s="112">
        <f t="shared" si="179"/>
        <v>831.76039162197242</v>
      </c>
      <c r="Y592" s="32">
        <f>(uNES*L592+ uOCEX*G592+uEREX*'PH + UC'!H592+uHOEX*I592+uNES*S592+ uOCEX*N592+uEREX*O592+uHOEX*P592)/(1+oDR)^A$5:A$65536</f>
        <v>462.61246147045665</v>
      </c>
    </row>
    <row r="593" spans="1:25" x14ac:dyDescent="0.25">
      <c r="A593" s="4">
        <v>587</v>
      </c>
      <c r="C593" s="110">
        <f>IF(male=0,VLOOKUP(((A591:A1425/'Life tables'!$I$2)*2)+age,lifetable,13,1),IF(male=1,VLOOKUP(((A591:A1425/'Life tables'!$I$2)*2)+age,lifetable,10,1),"error"))</f>
        <v>4.9660762749414999E-4</v>
      </c>
      <c r="F593" s="101">
        <f t="shared" si="162"/>
        <v>132.61939585860929</v>
      </c>
      <c r="G593" s="101">
        <f t="shared" si="163"/>
        <v>13.321895871100734</v>
      </c>
      <c r="H593" s="101">
        <f t="shared" si="164"/>
        <v>0.30485522038613239</v>
      </c>
      <c r="I593" s="101">
        <f t="shared" si="165"/>
        <v>0.30485522038613239</v>
      </c>
      <c r="J593" s="101">
        <f t="shared" si="166"/>
        <v>7.2778345494773231E-2</v>
      </c>
      <c r="K593" s="101">
        <f t="shared" si="167"/>
        <v>2.3897332554535265E-2</v>
      </c>
      <c r="L593" s="101">
        <f t="shared" si="174"/>
        <v>118.59111386868699</v>
      </c>
      <c r="M593" s="101">
        <f t="shared" si="168"/>
        <v>699.14099576336309</v>
      </c>
      <c r="N593" s="101">
        <f t="shared" si="169"/>
        <v>67.328792670111213</v>
      </c>
      <c r="O593" s="101">
        <f t="shared" si="170"/>
        <v>1.6071313020582112</v>
      </c>
      <c r="P593" s="101">
        <f t="shared" si="171"/>
        <v>1.6071313020582112</v>
      </c>
      <c r="Q593" s="101">
        <f t="shared" si="172"/>
        <v>0.38223097050586419</v>
      </c>
      <c r="R593" s="101">
        <f t="shared" si="173"/>
        <v>1.8724457495241275E-2</v>
      </c>
      <c r="S593" s="101">
        <f t="shared" si="175"/>
        <v>628.19698506113434</v>
      </c>
      <c r="T593" s="101">
        <f t="shared" si="176"/>
        <v>137.92528085925522</v>
      </c>
      <c r="U593" s="101">
        <f t="shared" si="177"/>
        <v>30.81195862482285</v>
      </c>
      <c r="V593" s="33">
        <f t="shared" si="178"/>
        <v>1000</v>
      </c>
      <c r="W593" s="105">
        <f>IF(A593=1,((cPH1_+cPHr+(cNES*L593+(cNES+cOSEX)*G593+(cNES+cEREX)*H593+(cNES+cHOEX)*I593 + (cNES+cNES)*S593 +(cNES+ cOSEX)*N593 + (cNES+cEREX)*O593 + (cNES+cHOEX)*P593)))/(1+cDR)^A$5:A$65536,(cPHr+(cNES*L593+(cNES+cOSEX)*G593+(cNES+cEREX)*H593+(cNES+cHOEX)*I593 + (cNES+cNES)*S593 +(cNES+ cOSEX)*N593 + (cNES+cEREX)*O593 + (cNES+cHOEX)*P593))/(1+cDR)^A$5:A$65536)</f>
        <v>83048.888217862972</v>
      </c>
      <c r="X593" s="112">
        <f t="shared" si="179"/>
        <v>831.26276051592197</v>
      </c>
      <c r="Y593" s="32">
        <f>(uNES*L593+ uOCEX*G593+uEREX*'PH + UC'!H593+uHOEX*I593+uNES*S593+ uOCEX*N593+uEREX*O593+uHOEX*P593)/(1+oDR)^A$5:A$65536</f>
        <v>462.2027243145555</v>
      </c>
    </row>
    <row r="594" spans="1:25" x14ac:dyDescent="0.25">
      <c r="A594" s="4">
        <v>588</v>
      </c>
      <c r="C594" s="110">
        <f>IF(male=0,VLOOKUP(((A592:A1426/'Life tables'!$I$2)*2)+age,lifetable,13,1),IF(male=1,VLOOKUP(((A592:A1426/'Life tables'!$I$2)*2)+age,lifetable,10,1),"error"))</f>
        <v>4.9660762749414999E-4</v>
      </c>
      <c r="F594" s="101">
        <f t="shared" si="162"/>
        <v>132.54003959953158</v>
      </c>
      <c r="G594" s="101">
        <f t="shared" si="163"/>
        <v>13.313924368792877</v>
      </c>
      <c r="H594" s="101">
        <f t="shared" si="164"/>
        <v>0.30467280234921157</v>
      </c>
      <c r="I594" s="101">
        <f t="shared" si="165"/>
        <v>0.30467280234921157</v>
      </c>
      <c r="J594" s="101">
        <f t="shared" si="166"/>
        <v>7.2734796682000113E-2</v>
      </c>
      <c r="K594" s="101">
        <f t="shared" si="167"/>
        <v>2.3883032965088445E-2</v>
      </c>
      <c r="L594" s="101">
        <f t="shared" si="174"/>
        <v>118.52015179639319</v>
      </c>
      <c r="M594" s="101">
        <f t="shared" si="168"/>
        <v>698.72272091639024</v>
      </c>
      <c r="N594" s="101">
        <f t="shared" si="169"/>
        <v>67.288511896101951</v>
      </c>
      <c r="O594" s="101">
        <f t="shared" si="170"/>
        <v>1.6061698041579204</v>
      </c>
      <c r="P594" s="101">
        <f t="shared" si="171"/>
        <v>1.6061698041579204</v>
      </c>
      <c r="Q594" s="101">
        <f t="shared" si="172"/>
        <v>0.38200229331247193</v>
      </c>
      <c r="R594" s="101">
        <f t="shared" si="173"/>
        <v>1.8713255220391235E-2</v>
      </c>
      <c r="S594" s="101">
        <f t="shared" si="175"/>
        <v>627.82115386343958</v>
      </c>
      <c r="T594" s="101">
        <f t="shared" si="176"/>
        <v>138.38001794924969</v>
      </c>
      <c r="U594" s="101">
        <f t="shared" si="177"/>
        <v>30.854554913008329</v>
      </c>
      <c r="V594" s="33">
        <f t="shared" si="178"/>
        <v>999.99999999999989</v>
      </c>
      <c r="W594" s="105">
        <f>IF(A594=1,((cPH1_+cPHr+(cNES*L594+(cNES+cOSEX)*G594+(cNES+cEREX)*H594+(cNES+cHOEX)*I594 + (cNES+cNES)*S594 +(cNES+ cOSEX)*N594 + (cNES+cEREX)*O594 + (cNES+cHOEX)*P594)))/(1+cDR)^A$5:A$65536,(cPHr+(cNES*L594+(cNES+cOSEX)*G594+(cNES+cEREX)*H594+(cNES+cHOEX)*I594 + (cNES+cNES)*S594 +(cNES+ cOSEX)*N594 + (cNES+cEREX)*O594 + (cNES+cHOEX)*P594))/(1+cDR)^A$5:A$65536)</f>
        <v>82903.813203000973</v>
      </c>
      <c r="X594" s="112">
        <f t="shared" si="179"/>
        <v>830.76542713774188</v>
      </c>
      <c r="Y594" s="32">
        <f>(uNES*L594+ uOCEX*G594+uEREX*'PH + UC'!H594+uHOEX*I594+uNES*S594+ uOCEX*N594+uEREX*O594+uHOEX*P594)/(1+oDR)^A$5:A$65536</f>
        <v>461.79335006483876</v>
      </c>
    </row>
    <row r="595" spans="1:25" x14ac:dyDescent="0.25">
      <c r="A595" s="4">
        <v>589</v>
      </c>
      <c r="C595" s="110">
        <f>IF(male=0,VLOOKUP(((A593:A1427/'Life tables'!$I$2)*2)+age,lifetable,13,1),IF(male=1,VLOOKUP(((A593:A1427/'Life tables'!$I$2)*2)+age,lifetable,10,1),"error"))</f>
        <v>4.9660762749414999E-4</v>
      </c>
      <c r="F595" s="101">
        <f t="shared" si="162"/>
        <v>132.46073135430248</v>
      </c>
      <c r="G595" s="101">
        <f t="shared" si="163"/>
        <v>13.305957689576601</v>
      </c>
      <c r="H595" s="101">
        <f t="shared" si="164"/>
        <v>0.30449049468281614</v>
      </c>
      <c r="I595" s="101">
        <f t="shared" si="165"/>
        <v>0.30449049468281614</v>
      </c>
      <c r="J595" s="101">
        <f t="shared" si="166"/>
        <v>7.2691274218076196E-2</v>
      </c>
      <c r="K595" s="101">
        <f t="shared" si="167"/>
        <v>2.3868742027490016E-2</v>
      </c>
      <c r="L595" s="101">
        <f t="shared" si="174"/>
        <v>118.44923265911468</v>
      </c>
      <c r="M595" s="101">
        <f t="shared" si="168"/>
        <v>698.30469578343934</v>
      </c>
      <c r="N595" s="101">
        <f t="shared" si="169"/>
        <v>67.248255170094041</v>
      </c>
      <c r="O595" s="101">
        <f t="shared" si="170"/>
        <v>1.6052088802809292</v>
      </c>
      <c r="P595" s="101">
        <f t="shared" si="171"/>
        <v>1.6052088802809292</v>
      </c>
      <c r="Q595" s="101">
        <f t="shared" si="172"/>
        <v>0.38177375264151725</v>
      </c>
      <c r="R595" s="101">
        <f t="shared" si="173"/>
        <v>1.8702059633404759E-2</v>
      </c>
      <c r="S595" s="101">
        <f t="shared" si="175"/>
        <v>627.44554704050847</v>
      </c>
      <c r="T595" s="101">
        <f t="shared" si="176"/>
        <v>138.83448297610929</v>
      </c>
      <c r="U595" s="101">
        <f t="shared" si="177"/>
        <v>30.897125714669222</v>
      </c>
      <c r="V595" s="33">
        <f t="shared" si="178"/>
        <v>999.99999999999977</v>
      </c>
      <c r="W595" s="105">
        <f>IF(A595=1,((cPH1_+cPHr+(cNES*L595+(cNES+cOSEX)*G595+(cNES+cEREX)*H595+(cNES+cHOEX)*I595 + (cNES+cNES)*S595 +(cNES+ cOSEX)*N595 + (cNES+cEREX)*O595 + (cNES+cHOEX)*P595)))/(1+cDR)^A$5:A$65536,(cPHr+(cNES*L595+(cNES+cOSEX)*G595+(cNES+cEREX)*H595+(cNES+cHOEX)*I595 + (cNES+cNES)*S595 +(cNES+ cOSEX)*N595 + (cNES+cEREX)*O595 + (cNES+cHOEX)*P595))/(1+cDR)^A$5:A$65536)</f>
        <v>82758.991596841413</v>
      </c>
      <c r="X595" s="112">
        <f t="shared" si="179"/>
        <v>830.26839130922133</v>
      </c>
      <c r="Y595" s="32">
        <f>(uNES*L595+ uOCEX*G595+uEREX*'PH + UC'!H595+uHOEX*I595+uNES*S595+ uOCEX*N595+uEREX*O595+uHOEX*P595)/(1+oDR)^A$5:A$65536</f>
        <v>461.38433839984049</v>
      </c>
    </row>
    <row r="596" spans="1:25" x14ac:dyDescent="0.25">
      <c r="A596" s="4">
        <v>590</v>
      </c>
      <c r="C596" s="110">
        <f>IF(male=0,VLOOKUP(((A594:A1428/'Life tables'!$I$2)*2)+age,lifetable,13,1),IF(male=1,VLOOKUP(((A594:A1428/'Life tables'!$I$2)*2)+age,lifetable,10,1),"error"))</f>
        <v>4.9660762749414999E-4</v>
      </c>
      <c r="F596" s="101">
        <f t="shared" si="162"/>
        <v>132.38147106995945</v>
      </c>
      <c r="G596" s="101">
        <f t="shared" si="163"/>
        <v>13.297995828131707</v>
      </c>
      <c r="H596" s="101">
        <f t="shared" si="164"/>
        <v>0.30430829726519987</v>
      </c>
      <c r="I596" s="101">
        <f t="shared" si="165"/>
        <v>0.30430829726519987</v>
      </c>
      <c r="J596" s="101">
        <f t="shared" si="166"/>
        <v>7.2647778073936908E-2</v>
      </c>
      <c r="K596" s="101">
        <f t="shared" si="167"/>
        <v>2.3854459732196406E-2</v>
      </c>
      <c r="L596" s="101">
        <f t="shared" si="174"/>
        <v>118.3783564094912</v>
      </c>
      <c r="M596" s="101">
        <f t="shared" si="168"/>
        <v>697.88692023926171</v>
      </c>
      <c r="N596" s="101">
        <f t="shared" si="169"/>
        <v>67.208022480025747</v>
      </c>
      <c r="O596" s="101">
        <f t="shared" si="170"/>
        <v>1.6042485301393257</v>
      </c>
      <c r="P596" s="101">
        <f t="shared" si="171"/>
        <v>1.6042485301393257</v>
      </c>
      <c r="Q596" s="101">
        <f t="shared" si="172"/>
        <v>0.38154534842452492</v>
      </c>
      <c r="R596" s="101">
        <f t="shared" si="173"/>
        <v>1.8690870730927421E-2</v>
      </c>
      <c r="S596" s="101">
        <f t="shared" si="175"/>
        <v>627.07016447980186</v>
      </c>
      <c r="T596" s="101">
        <f t="shared" si="176"/>
        <v>139.28867610260775</v>
      </c>
      <c r="U596" s="101">
        <f t="shared" si="177"/>
        <v>30.939671045132346</v>
      </c>
      <c r="V596" s="33">
        <f t="shared" si="178"/>
        <v>999.99999999999977</v>
      </c>
      <c r="W596" s="105">
        <f>IF(A596=1,((cPH1_+cPHr+(cNES*L596+(cNES+cOSEX)*G596+(cNES+cEREX)*H596+(cNES+cHOEX)*I596 + (cNES+cNES)*S596 +(cNES+ cOSEX)*N596 + (cNES+cEREX)*O596 + (cNES+cHOEX)*P596)))/(1+cDR)^A$5:A$65536,(cPHr+(cNES*L596+(cNES+cOSEX)*G596+(cNES+cEREX)*H596+(cNES+cHOEX)*I596 + (cNES+cNES)*S596 +(cNES+ cOSEX)*N596 + (cNES+cEREX)*O596 + (cNES+cHOEX)*P596))/(1+cDR)^A$5:A$65536)</f>
        <v>82614.422957757808</v>
      </c>
      <c r="X596" s="112">
        <f t="shared" si="179"/>
        <v>829.77165285225965</v>
      </c>
      <c r="Y596" s="32">
        <f>(uNES*L596+ uOCEX*G596+uEREX*'PH + UC'!H596+uHOEX*I596+uNES*S596+ uOCEX*N596+uEREX*O596+uHOEX*P596)/(1+oDR)^A$5:A$65536</f>
        <v>460.975688998382</v>
      </c>
    </row>
    <row r="597" spans="1:25" x14ac:dyDescent="0.25">
      <c r="A597" s="4">
        <v>591</v>
      </c>
      <c r="C597" s="110">
        <f>IF(male=0,VLOOKUP(((A595:A1429/'Life tables'!$I$2)*2)+age,lifetable,13,1),IF(male=1,VLOOKUP(((A595:A1429/'Life tables'!$I$2)*2)+age,lifetable,10,1),"error"))</f>
        <v>4.9660762749414999E-4</v>
      </c>
      <c r="F597" s="101">
        <f t="shared" si="162"/>
        <v>132.30225869466739</v>
      </c>
      <c r="G597" s="101">
        <f t="shared" si="163"/>
        <v>13.290038779251253</v>
      </c>
      <c r="H597" s="101">
        <f t="shared" si="164"/>
        <v>0.30412620997720835</v>
      </c>
      <c r="I597" s="101">
        <f t="shared" si="165"/>
        <v>0.30412620997720835</v>
      </c>
      <c r="J597" s="101">
        <f t="shared" si="166"/>
        <v>7.2604308221136393E-2</v>
      </c>
      <c r="K597" s="101">
        <f t="shared" si="167"/>
        <v>2.3840186069867202E-2</v>
      </c>
      <c r="L597" s="101">
        <f t="shared" si="174"/>
        <v>118.30752300117071</v>
      </c>
      <c r="M597" s="101">
        <f t="shared" si="168"/>
        <v>697.46939415759232</v>
      </c>
      <c r="N597" s="101">
        <f t="shared" si="169"/>
        <v>67.16781381373751</v>
      </c>
      <c r="O597" s="101">
        <f t="shared" si="170"/>
        <v>1.6032887534428613</v>
      </c>
      <c r="P597" s="101">
        <f t="shared" si="171"/>
        <v>1.6032887534428613</v>
      </c>
      <c r="Q597" s="101">
        <f t="shared" si="172"/>
        <v>0.38131708059246366</v>
      </c>
      <c r="R597" s="101">
        <f t="shared" si="173"/>
        <v>1.8679688509577581E-2</v>
      </c>
      <c r="S597" s="101">
        <f t="shared" si="175"/>
        <v>626.69500606786698</v>
      </c>
      <c r="T597" s="101">
        <f t="shared" si="176"/>
        <v>139.74259749142135</v>
      </c>
      <c r="U597" s="101">
        <f t="shared" si="177"/>
        <v>30.98219091971179</v>
      </c>
      <c r="V597" s="33">
        <f t="shared" si="178"/>
        <v>999.99999999999966</v>
      </c>
      <c r="W597" s="105">
        <f>IF(A597=1,((cPH1_+cPHr+(cNES*L597+(cNES+cOSEX)*G597+(cNES+cEREX)*H597+(cNES+cHOEX)*I597 + (cNES+cNES)*S597 +(cNES+ cOSEX)*N597 + (cNES+cEREX)*O597 + (cNES+cHOEX)*P597)))/(1+cDR)^A$5:A$65536,(cPHr+(cNES*L597+(cNES+cOSEX)*G597+(cNES+cEREX)*H597+(cNES+cHOEX)*I597 + (cNES+cNES)*S597 +(cNES+ cOSEX)*N597 + (cNES+cEREX)*O597 + (cNES+cHOEX)*P597))/(1+cDR)^A$5:A$65536)</f>
        <v>82470.106844846014</v>
      </c>
      <c r="X597" s="112">
        <f t="shared" si="179"/>
        <v>829.27521158886657</v>
      </c>
      <c r="Y597" s="32">
        <f>(uNES*L597+ uOCEX*G597+uEREX*'PH + UC'!H597+uHOEX*I597+uNES*S597+ uOCEX*N597+uEREX*O597+uHOEX*P597)/(1+oDR)^A$5:A$65536</f>
        <v>460.56740153956974</v>
      </c>
    </row>
    <row r="598" spans="1:25" x14ac:dyDescent="0.25">
      <c r="A598" s="4">
        <v>592</v>
      </c>
      <c r="C598" s="110">
        <f>IF(male=0,VLOOKUP(((A596:A1430/'Life tables'!$I$2)*2)+age,lifetable,13,1),IF(male=1,VLOOKUP(((A596:A1430/'Life tables'!$I$2)*2)+age,lifetable,10,1),"error"))</f>
        <v>4.9660762749414999E-4</v>
      </c>
      <c r="F598" s="101">
        <f t="shared" si="162"/>
        <v>132.22309417766837</v>
      </c>
      <c r="G598" s="101">
        <f t="shared" si="163"/>
        <v>13.282086537836497</v>
      </c>
      <c r="H598" s="101">
        <f t="shared" si="164"/>
        <v>0.30394423270216309</v>
      </c>
      <c r="I598" s="101">
        <f t="shared" si="165"/>
        <v>0.30394423270216309</v>
      </c>
      <c r="J598" s="101">
        <f t="shared" si="166"/>
        <v>7.2560864631819919E-2</v>
      </c>
      <c r="K598" s="101">
        <f t="shared" si="167"/>
        <v>2.3825921031356081E-2</v>
      </c>
      <c r="L598" s="101">
        <f t="shared" si="174"/>
        <v>118.23673238876438</v>
      </c>
      <c r="M598" s="101">
        <f t="shared" si="168"/>
        <v>697.0521174111982</v>
      </c>
      <c r="N598" s="101">
        <f t="shared" si="169"/>
        <v>67.127629158976475</v>
      </c>
      <c r="O598" s="101">
        <f t="shared" si="170"/>
        <v>1.6023295498990626</v>
      </c>
      <c r="P598" s="101">
        <f t="shared" si="171"/>
        <v>1.6023295498990626</v>
      </c>
      <c r="Q598" s="101">
        <f t="shared" si="172"/>
        <v>0.38108894907577356</v>
      </c>
      <c r="R598" s="101">
        <f t="shared" si="173"/>
        <v>1.8668512965947674E-2</v>
      </c>
      <c r="S598" s="101">
        <f t="shared" si="175"/>
        <v>626.32007169038184</v>
      </c>
      <c r="T598" s="101">
        <f t="shared" si="176"/>
        <v>140.19624730512894</v>
      </c>
      <c r="U598" s="101">
        <f t="shared" si="177"/>
        <v>31.024685353709096</v>
      </c>
      <c r="V598" s="33">
        <f t="shared" si="178"/>
        <v>999.99999999999966</v>
      </c>
      <c r="W598" s="105">
        <f>IF(A598=1,((cPH1_+cPHr+(cNES*L598+(cNES+cOSEX)*G598+(cNES+cEREX)*H598+(cNES+cHOEX)*I598 + (cNES+cNES)*S598 +(cNES+ cOSEX)*N598 + (cNES+cEREX)*O598 + (cNES+cHOEX)*P598)))/(1+cDR)^A$5:A$65536,(cPHr+(cNES*L598+(cNES+cOSEX)*G598+(cNES+cEREX)*H598+(cNES+cHOEX)*I598 + (cNES+cNES)*S598 +(cNES+ cOSEX)*N598 + (cNES+cEREX)*O598 + (cNES+cHOEX)*P598))/(1+cDR)^A$5:A$65536)</f>
        <v>82326.042817925452</v>
      </c>
      <c r="X598" s="112">
        <f t="shared" si="179"/>
        <v>828.77906734116164</v>
      </c>
      <c r="Y598" s="32">
        <f>(uNES*L598+ uOCEX*G598+uEREX*'PH + UC'!H598+uHOEX*I598+uNES*S598+ uOCEX*N598+uEREX*O598+uHOEX*P598)/(1+oDR)^A$5:A$65536</f>
        <v>460.15947570279639</v>
      </c>
    </row>
    <row r="599" spans="1:25" x14ac:dyDescent="0.25">
      <c r="A599" s="4">
        <v>593</v>
      </c>
      <c r="C599" s="110">
        <f>IF(male=0,VLOOKUP(((A597:A1431/'Life tables'!$I$2)*2)+age,lifetable,13,1),IF(male=1,VLOOKUP(((A597:A1431/'Life tables'!$I$2)*2)+age,lifetable,10,1),"error"))</f>
        <v>4.9660762749414999E-4</v>
      </c>
      <c r="F599" s="101">
        <f t="shared" si="162"/>
        <v>132.14397746923396</v>
      </c>
      <c r="G599" s="101">
        <f t="shared" si="163"/>
        <v>13.274139098892112</v>
      </c>
      <c r="H599" s="101">
        <f t="shared" si="164"/>
        <v>0.30376236532575224</v>
      </c>
      <c r="I599" s="101">
        <f t="shared" si="165"/>
        <v>0.30376236532575224</v>
      </c>
      <c r="J599" s="101">
        <f t="shared" si="166"/>
        <v>7.2517447278697689E-2</v>
      </c>
      <c r="K599" s="101">
        <f t="shared" si="167"/>
        <v>2.3811664607702239E-2</v>
      </c>
      <c r="L599" s="101">
        <f t="shared" si="174"/>
        <v>118.16598452780394</v>
      </c>
      <c r="M599" s="101">
        <f t="shared" si="168"/>
        <v>696.63508987192768</v>
      </c>
      <c r="N599" s="101">
        <f t="shared" si="169"/>
        <v>67.087468503401396</v>
      </c>
      <c r="O599" s="101">
        <f t="shared" si="170"/>
        <v>1.601370919213345</v>
      </c>
      <c r="P599" s="101">
        <f t="shared" si="171"/>
        <v>1.601370919213345</v>
      </c>
      <c r="Q599" s="101">
        <f t="shared" si="172"/>
        <v>0.38086095380439194</v>
      </c>
      <c r="R599" s="101">
        <f t="shared" si="173"/>
        <v>1.8657344096605532E-2</v>
      </c>
      <c r="S599" s="101">
        <f t="shared" si="175"/>
        <v>625.94536123219859</v>
      </c>
      <c r="T599" s="101">
        <f t="shared" si="176"/>
        <v>140.64962570621202</v>
      </c>
      <c r="U599" s="101">
        <f t="shared" si="177"/>
        <v>31.067154362413405</v>
      </c>
      <c r="V599" s="33">
        <f t="shared" si="178"/>
        <v>999.99999999999966</v>
      </c>
      <c r="W599" s="105">
        <f>IF(A599=1,((cPH1_+cPHr+(cNES*L599+(cNES+cOSEX)*G599+(cNES+cEREX)*H599+(cNES+cHOEX)*I599 + (cNES+cNES)*S599 +(cNES+ cOSEX)*N599 + (cNES+cEREX)*O599 + (cNES+cHOEX)*P599)))/(1+cDR)^A$5:A$65536,(cPHr+(cNES*L599+(cNES+cOSEX)*G599+(cNES+cEREX)*H599+(cNES+cHOEX)*I599 + (cNES+cNES)*S599 +(cNES+ cOSEX)*N599 + (cNES+cEREX)*O599 + (cNES+cHOEX)*P599))/(1+cDR)^A$5:A$65536)</f>
        <v>82182.230437539896</v>
      </c>
      <c r="X599" s="112">
        <f t="shared" si="179"/>
        <v>828.28321993137422</v>
      </c>
      <c r="Y599" s="32">
        <f>(uNES*L599+ uOCEX*G599+uEREX*'PH + UC'!H599+uHOEX*I599+uNES*S599+ uOCEX*N599+uEREX*O599+uHOEX*P599)/(1+oDR)^A$5:A$65536</f>
        <v>459.75191116774016</v>
      </c>
    </row>
    <row r="600" spans="1:25" x14ac:dyDescent="0.25">
      <c r="A600" s="4">
        <v>594</v>
      </c>
      <c r="C600" s="110">
        <f>IF(male=0,VLOOKUP(((A598:A1432/'Life tables'!$I$2)*2)+age,lifetable,13,1),IF(male=1,VLOOKUP(((A598:A1432/'Life tables'!$I$2)*2)+age,lifetable,10,1),"error"))</f>
        <v>4.9660762749414999E-4</v>
      </c>
      <c r="F600" s="101">
        <f t="shared" si="162"/>
        <v>132.0649085206191</v>
      </c>
      <c r="G600" s="101">
        <f t="shared" si="163"/>
        <v>13.266196457521557</v>
      </c>
      <c r="H600" s="101">
        <f t="shared" si="164"/>
        <v>0.30358060773592443</v>
      </c>
      <c r="I600" s="101">
        <f t="shared" si="165"/>
        <v>0.30358060773592443</v>
      </c>
      <c r="J600" s="101">
        <f t="shared" si="166"/>
        <v>7.2474056135019616E-2</v>
      </c>
      <c r="K600" s="101">
        <f t="shared" si="167"/>
        <v>2.379741679012206E-2</v>
      </c>
      <c r="L600" s="101">
        <f t="shared" si="174"/>
        <v>118.09527937470055</v>
      </c>
      <c r="M600" s="101">
        <f t="shared" si="168"/>
        <v>696.21831141075506</v>
      </c>
      <c r="N600" s="101">
        <f t="shared" si="169"/>
        <v>67.047331834586799</v>
      </c>
      <c r="O600" s="101">
        <f t="shared" si="170"/>
        <v>1.600412861089114</v>
      </c>
      <c r="P600" s="101">
        <f t="shared" si="171"/>
        <v>1.600412861089114</v>
      </c>
      <c r="Q600" s="101">
        <f t="shared" si="172"/>
        <v>0.38063309470777873</v>
      </c>
      <c r="R600" s="101">
        <f t="shared" si="173"/>
        <v>1.8646181898095578E-2</v>
      </c>
      <c r="S600" s="101">
        <f t="shared" si="175"/>
        <v>625.57087457738419</v>
      </c>
      <c r="T600" s="101">
        <f t="shared" si="176"/>
        <v>141.10273285705483</v>
      </c>
      <c r="U600" s="101">
        <f t="shared" si="177"/>
        <v>31.10959796110162</v>
      </c>
      <c r="V600" s="33">
        <f t="shared" si="178"/>
        <v>999.99999999999955</v>
      </c>
      <c r="W600" s="105">
        <f>IF(A600=1,((cPH1_+cPHr+(cNES*L600+(cNES+cOSEX)*G600+(cNES+cEREX)*H600+(cNES+cHOEX)*I600 + (cNES+cNES)*S600 +(cNES+ cOSEX)*N600 + (cNES+cEREX)*O600 + (cNES+cHOEX)*P600)))/(1+cDR)^A$5:A$65536,(cPHr+(cNES*L600+(cNES+cOSEX)*G600+(cNES+cEREX)*H600+(cNES+cHOEX)*I600 + (cNES+cNES)*S600 +(cNES+ cOSEX)*N600 + (cNES+cEREX)*O600 + (cNES+cHOEX)*P600))/(1+cDR)^A$5:A$65536)</f>
        <v>82038.669264958313</v>
      </c>
      <c r="X600" s="112">
        <f t="shared" si="179"/>
        <v>827.78766918184328</v>
      </c>
      <c r="Y600" s="32">
        <f>(uNES*L600+ uOCEX*G600+uEREX*'PH + UC'!H600+uHOEX*I600+uNES*S600+ uOCEX*N600+uEREX*O600+uHOEX*P600)/(1+oDR)^A$5:A$65536</f>
        <v>459.34470761436484</v>
      </c>
    </row>
    <row r="601" spans="1:25" x14ac:dyDescent="0.25">
      <c r="A601" s="4">
        <v>595</v>
      </c>
      <c r="C601" s="110">
        <f>IF(male=0,VLOOKUP(((A599:A1433/'Life tables'!$I$2)*2)+age,lifetable,13,1),IF(male=1,VLOOKUP(((A599:A1433/'Life tables'!$I$2)*2)+age,lifetable,10,1),"error"))</f>
        <v>4.9660762749414999E-4</v>
      </c>
      <c r="F601" s="101">
        <f t="shared" si="162"/>
        <v>131.98588728401862</v>
      </c>
      <c r="G601" s="101">
        <f t="shared" si="163"/>
        <v>13.258258608922702</v>
      </c>
      <c r="H601" s="101">
        <f t="shared" si="164"/>
        <v>0.30339895982278881</v>
      </c>
      <c r="I601" s="101">
        <f t="shared" si="165"/>
        <v>0.30339895982278881</v>
      </c>
      <c r="J601" s="101">
        <f t="shared" si="166"/>
        <v>7.2430691174551365E-2</v>
      </c>
      <c r="K601" s="101">
        <f t="shared" si="167"/>
        <v>2.3783177570001302E-2</v>
      </c>
      <c r="L601" s="101">
        <f t="shared" si="174"/>
        <v>118.02461688670579</v>
      </c>
      <c r="M601" s="101">
        <f t="shared" si="168"/>
        <v>695.80178189782464</v>
      </c>
      <c r="N601" s="101">
        <f t="shared" si="169"/>
        <v>67.007219140027317</v>
      </c>
      <c r="O601" s="101">
        <f t="shared" si="170"/>
        <v>1.5994553752278668</v>
      </c>
      <c r="P601" s="101">
        <f t="shared" si="171"/>
        <v>1.5994553752278668</v>
      </c>
      <c r="Q601" s="101">
        <f t="shared" si="172"/>
        <v>0.3804053717149396</v>
      </c>
      <c r="R601" s="101">
        <f t="shared" si="173"/>
        <v>1.8635026366939998E-2</v>
      </c>
      <c r="S601" s="101">
        <f t="shared" si="175"/>
        <v>625.19661160925966</v>
      </c>
      <c r="T601" s="101">
        <f t="shared" si="176"/>
        <v>141.55556891994433</v>
      </c>
      <c r="U601" s="101">
        <f t="shared" si="177"/>
        <v>31.15201616503856</v>
      </c>
      <c r="V601" s="33">
        <f t="shared" si="178"/>
        <v>999.99999999999977</v>
      </c>
      <c r="W601" s="105">
        <f>IF(A601=1,((cPH1_+cPHr+(cNES*L601+(cNES+cOSEX)*G601+(cNES+cEREX)*H601+(cNES+cHOEX)*I601 + (cNES+cNES)*S601 +(cNES+ cOSEX)*N601 + (cNES+cEREX)*O601 + (cNES+cHOEX)*P601)))/(1+cDR)^A$5:A$65536,(cPHr+(cNES*L601+(cNES+cOSEX)*G601+(cNES+cEREX)*H601+(cNES+cHOEX)*I601 + (cNES+cNES)*S601 +(cNES+ cOSEX)*N601 + (cNES+cEREX)*O601 + (cNES+cHOEX)*P601))/(1+cDR)^A$5:A$65536)</f>
        <v>81895.358862175577</v>
      </c>
      <c r="X601" s="112">
        <f t="shared" si="179"/>
        <v>827.29241491501682</v>
      </c>
      <c r="Y601" s="32">
        <f>(uNES*L601+ uOCEX*G601+uEREX*'PH + UC'!H601+uHOEX*I601+uNES*S601+ uOCEX*N601+uEREX*O601+uHOEX*P601)/(1+oDR)^A$5:A$65536</f>
        <v>458.93786472291828</v>
      </c>
    </row>
    <row r="602" spans="1:25" x14ac:dyDescent="0.25">
      <c r="A602" s="4">
        <v>596</v>
      </c>
      <c r="C602" s="110">
        <f>IF(male=0,VLOOKUP(((A600:A1434/'Life tables'!$I$2)*2)+age,lifetable,13,1),IF(male=1,VLOOKUP(((A600:A1434/'Life tables'!$I$2)*2)+age,lifetable,10,1),"error"))</f>
        <v>4.9660762749414999E-4</v>
      </c>
      <c r="F602" s="101">
        <f t="shared" si="162"/>
        <v>131.90691371252535</v>
      </c>
      <c r="G602" s="101">
        <f t="shared" si="163"/>
        <v>13.250325548383625</v>
      </c>
      <c r="H602" s="101">
        <f t="shared" si="164"/>
        <v>0.30321742147851877</v>
      </c>
      <c r="I602" s="101">
        <f t="shared" si="165"/>
        <v>0.30321742147851877</v>
      </c>
      <c r="J602" s="101">
        <f t="shared" si="166"/>
        <v>7.2387352371551389E-2</v>
      </c>
      <c r="K602" s="101">
        <f t="shared" si="167"/>
        <v>2.376894693888754E-2</v>
      </c>
      <c r="L602" s="101">
        <f t="shared" si="174"/>
        <v>117.95399702187426</v>
      </c>
      <c r="M602" s="101">
        <f t="shared" si="168"/>
        <v>695.38550120249147</v>
      </c>
      <c r="N602" s="101">
        <f t="shared" si="169"/>
        <v>66.967130407141539</v>
      </c>
      <c r="O602" s="101">
        <f t="shared" si="170"/>
        <v>1.5984984613292876</v>
      </c>
      <c r="P602" s="101">
        <f t="shared" si="171"/>
        <v>1.5984984613292876</v>
      </c>
      <c r="Q602" s="101">
        <f t="shared" si="172"/>
        <v>0.38017778475444919</v>
      </c>
      <c r="R602" s="101">
        <f t="shared" si="173"/>
        <v>1.8623877499639858E-2</v>
      </c>
      <c r="S602" s="101">
        <f t="shared" si="175"/>
        <v>624.82257221043733</v>
      </c>
      <c r="T602" s="101">
        <f t="shared" si="176"/>
        <v>142.00813405707032</v>
      </c>
      <c r="U602" s="101">
        <f t="shared" si="177"/>
        <v>31.194408989477086</v>
      </c>
      <c r="V602" s="33">
        <f t="shared" si="178"/>
        <v>999.99999999999977</v>
      </c>
      <c r="W602" s="105">
        <f>IF(A602=1,((cPH1_+cPHr+(cNES*L602+(cNES+cOSEX)*G602+(cNES+cEREX)*H602+(cNES+cHOEX)*I602 + (cNES+cNES)*S602 +(cNES+ cOSEX)*N602 + (cNES+cEREX)*O602 + (cNES+cHOEX)*P602)))/(1+cDR)^A$5:A$65536,(cPHr+(cNES*L602+(cNES+cOSEX)*G602+(cNES+cEREX)*H602+(cNES+cHOEX)*I602 + (cNES+cNES)*S602 +(cNES+ cOSEX)*N602 + (cNES+cEREX)*O602 + (cNES+cHOEX)*P602))/(1+cDR)^A$5:A$65536)</f>
        <v>81752.298791913097</v>
      </c>
      <c r="X602" s="112">
        <f t="shared" si="179"/>
        <v>826.79745695345241</v>
      </c>
      <c r="Y602" s="32">
        <f>(uNES*L602+ uOCEX*G602+uEREX*'PH + UC'!H602+uHOEX*I602+uNES*S602+ uOCEX*N602+uEREX*O602+uHOEX*P602)/(1+oDR)^A$5:A$65536</f>
        <v>458.53138217393314</v>
      </c>
    </row>
    <row r="603" spans="1:25" x14ac:dyDescent="0.25">
      <c r="A603" s="4">
        <v>597</v>
      </c>
      <c r="C603" s="110">
        <f>IF(male=0,VLOOKUP(((A601:A1435/'Life tables'!$I$2)*2)+age,lifetable,13,1),IF(male=1,VLOOKUP(((A601:A1435/'Life tables'!$I$2)*2)+age,lifetable,10,1),"error"))</f>
        <v>4.9660762749414999E-4</v>
      </c>
      <c r="F603" s="101">
        <f t="shared" si="162"/>
        <v>131.82798776009034</v>
      </c>
      <c r="G603" s="101">
        <f t="shared" si="163"/>
        <v>13.242397271278611</v>
      </c>
      <c r="H603" s="101">
        <f t="shared" si="164"/>
        <v>0.30303599259726061</v>
      </c>
      <c r="I603" s="101">
        <f t="shared" si="165"/>
        <v>0.30303599259726061</v>
      </c>
      <c r="J603" s="101">
        <f t="shared" si="166"/>
        <v>7.2344039700749097E-2</v>
      </c>
      <c r="K603" s="101">
        <f t="shared" si="167"/>
        <v>2.3754724888482983E-2</v>
      </c>
      <c r="L603" s="101">
        <f t="shared" si="174"/>
        <v>117.88341973902797</v>
      </c>
      <c r="M603" s="101">
        <f t="shared" si="168"/>
        <v>694.9694691933621</v>
      </c>
      <c r="N603" s="101">
        <f t="shared" si="169"/>
        <v>66.927065623275993</v>
      </c>
      <c r="O603" s="101">
        <f t="shared" si="170"/>
        <v>1.597542119091339</v>
      </c>
      <c r="P603" s="101">
        <f t="shared" si="171"/>
        <v>1.597542119091339</v>
      </c>
      <c r="Q603" s="101">
        <f t="shared" si="172"/>
        <v>0.37995033375447257</v>
      </c>
      <c r="R603" s="101">
        <f t="shared" si="173"/>
        <v>1.8612735292676156E-2</v>
      </c>
      <c r="S603" s="101">
        <f t="shared" si="175"/>
        <v>624.44875626285625</v>
      </c>
      <c r="T603" s="101">
        <f t="shared" si="176"/>
        <v>142.46042843052555</v>
      </c>
      <c r="U603" s="101">
        <f t="shared" si="177"/>
        <v>31.236776449658244</v>
      </c>
      <c r="V603" s="33">
        <f t="shared" si="178"/>
        <v>999.99999999999977</v>
      </c>
      <c r="W603" s="105">
        <f>IF(A603=1,((cPH1_+cPHr+(cNES*L603+(cNES+cOSEX)*G603+(cNES+cEREX)*H603+(cNES+cHOEX)*I603 + (cNES+cNES)*S603 +(cNES+ cOSEX)*N603 + (cNES+cEREX)*O603 + (cNES+cHOEX)*P603)))/(1+cDR)^A$5:A$65536,(cPHr+(cNES*L603+(cNES+cOSEX)*G603+(cNES+cEREX)*H603+(cNES+cHOEX)*I603 + (cNES+cNES)*S603 +(cNES+ cOSEX)*N603 + (cNES+cEREX)*O603 + (cNES+cHOEX)*P603))/(1+cDR)^A$5:A$65536)</f>
        <v>81609.488617619209</v>
      </c>
      <c r="X603" s="112">
        <f t="shared" si="179"/>
        <v>826.30279511981598</v>
      </c>
      <c r="Y603" s="32">
        <f>(uNES*L603+ uOCEX*G603+uEREX*'PH + UC'!H603+uHOEX*I603+uNES*S603+ uOCEX*N603+uEREX*O603+uHOEX*P603)/(1+oDR)^A$5:A$65536</f>
        <v>458.12525964822657</v>
      </c>
    </row>
    <row r="604" spans="1:25" x14ac:dyDescent="0.25">
      <c r="A604" s="4">
        <v>598</v>
      </c>
      <c r="C604" s="110">
        <f>IF(male=0,VLOOKUP(((A602:A1436/'Life tables'!$I$2)*2)+age,lifetable,13,1),IF(male=1,VLOOKUP(((A602:A1436/'Life tables'!$I$2)*2)+age,lifetable,10,1),"error"))</f>
        <v>4.9660762749414999E-4</v>
      </c>
      <c r="F604" s="101">
        <f t="shared" si="162"/>
        <v>131.74910938148494</v>
      </c>
      <c r="G604" s="101">
        <f t="shared" si="163"/>
        <v>13.234473773064346</v>
      </c>
      <c r="H604" s="101">
        <f t="shared" si="164"/>
        <v>0.30285467307504621</v>
      </c>
      <c r="I604" s="101">
        <f t="shared" si="165"/>
        <v>0.30285467307504621</v>
      </c>
      <c r="J604" s="101">
        <f t="shared" si="166"/>
        <v>7.2300753137324161E-2</v>
      </c>
      <c r="K604" s="101">
        <f t="shared" si="167"/>
        <v>2.3740511410637665E-2</v>
      </c>
      <c r="L604" s="101">
        <f t="shared" si="174"/>
        <v>117.81288499772253</v>
      </c>
      <c r="M604" s="101">
        <f t="shared" si="168"/>
        <v>694.55368573833118</v>
      </c>
      <c r="N604" s="101">
        <f t="shared" si="169"/>
        <v>66.887024775708653</v>
      </c>
      <c r="O604" s="101">
        <f t="shared" si="170"/>
        <v>1.5965863482103475</v>
      </c>
      <c r="P604" s="101">
        <f t="shared" si="171"/>
        <v>1.5965863482103475</v>
      </c>
      <c r="Q604" s="101">
        <f t="shared" si="172"/>
        <v>0.37972301864278579</v>
      </c>
      <c r="R604" s="101">
        <f t="shared" si="173"/>
        <v>1.8601599742510844E-2</v>
      </c>
      <c r="S604" s="101">
        <f t="shared" si="175"/>
        <v>624.07516364781657</v>
      </c>
      <c r="T604" s="101">
        <f t="shared" si="176"/>
        <v>142.91245220230567</v>
      </c>
      <c r="U604" s="101">
        <f t="shared" si="177"/>
        <v>31.279118560811391</v>
      </c>
      <c r="V604" s="33">
        <f t="shared" si="178"/>
        <v>999.99999999999989</v>
      </c>
      <c r="W604" s="105">
        <f>IF(A604=1,((cPH1_+cPHr+(cNES*L604+(cNES+cOSEX)*G604+(cNES+cEREX)*H604+(cNES+cHOEX)*I604 + (cNES+cNES)*S604 +(cNES+ cOSEX)*N604 + (cNES+cEREX)*O604 + (cNES+cHOEX)*P604)))/(1+cDR)^A$5:A$65536,(cPHr+(cNES*L604+(cNES+cOSEX)*G604+(cNES+cEREX)*H604+(cNES+cHOEX)*I604 + (cNES+cNES)*S604 +(cNES+ cOSEX)*N604 + (cNES+cEREX)*O604 + (cNES+cHOEX)*P604))/(1+cDR)^A$5:A$65536)</f>
        <v>81466.927903469754</v>
      </c>
      <c r="X604" s="112">
        <f t="shared" si="179"/>
        <v>825.80842923688283</v>
      </c>
      <c r="Y604" s="32">
        <f>(uNES*L604+ uOCEX*G604+uEREX*'PH + UC'!H604+uHOEX*I604+uNES*S604+ uOCEX*N604+uEREX*O604+uHOEX*P604)/(1+oDR)^A$5:A$65536</f>
        <v>457.71949682689967</v>
      </c>
    </row>
    <row r="605" spans="1:25" x14ac:dyDescent="0.25">
      <c r="A605" s="4">
        <v>599</v>
      </c>
      <c r="C605" s="110">
        <f>IF(male=0,VLOOKUP(((A603:A1437/'Life tables'!$I$2)*2)+age,lifetable,13,1),IF(male=1,VLOOKUP(((A603:A1437/'Life tables'!$I$2)*2)+age,lifetable,10,1),"error"))</f>
        <v>4.9660762749414999E-4</v>
      </c>
      <c r="F605" s="101">
        <f t="shared" si="162"/>
        <v>131.67027853226423</v>
      </c>
      <c r="G605" s="101">
        <f t="shared" si="163"/>
        <v>13.22655504927625</v>
      </c>
      <c r="H605" s="101">
        <f t="shared" si="164"/>
        <v>0.30267346280970892</v>
      </c>
      <c r="I605" s="101">
        <f t="shared" si="165"/>
        <v>0.30267346280970892</v>
      </c>
      <c r="J605" s="101">
        <f t="shared" si="166"/>
        <v>7.2257492656886232E-2</v>
      </c>
      <c r="K605" s="101">
        <f t="shared" si="167"/>
        <v>2.3726306497342843E-2</v>
      </c>
      <c r="L605" s="101">
        <f t="shared" si="174"/>
        <v>117.74239275821434</v>
      </c>
      <c r="M605" s="101">
        <f t="shared" si="168"/>
        <v>694.13815070461874</v>
      </c>
      <c r="N605" s="101">
        <f t="shared" si="169"/>
        <v>66.847007851652506</v>
      </c>
      <c r="O605" s="101">
        <f t="shared" si="170"/>
        <v>1.5956311483810885</v>
      </c>
      <c r="P605" s="101">
        <f t="shared" si="171"/>
        <v>1.5956311483810885</v>
      </c>
      <c r="Q605" s="101">
        <f t="shared" si="172"/>
        <v>0.37949583934679604</v>
      </c>
      <c r="R605" s="101">
        <f t="shared" si="173"/>
        <v>1.8590470845587789E-2</v>
      </c>
      <c r="S605" s="101">
        <f t="shared" si="175"/>
        <v>623.70179424601167</v>
      </c>
      <c r="T605" s="101">
        <f t="shared" si="176"/>
        <v>143.36420553430935</v>
      </c>
      <c r="U605" s="101">
        <f t="shared" si="177"/>
        <v>31.32143533815432</v>
      </c>
      <c r="V605" s="33">
        <f t="shared" si="178"/>
        <v>1000</v>
      </c>
      <c r="W605" s="105">
        <f>IF(A605=1,((cPH1_+cPHr+(cNES*L605+(cNES+cOSEX)*G605+(cNES+cEREX)*H605+(cNES+cHOEX)*I605 + (cNES+cNES)*S605 +(cNES+ cOSEX)*N605 + (cNES+cEREX)*O605 + (cNES+cHOEX)*P605)))/(1+cDR)^A$5:A$65536,(cPHr+(cNES*L605+(cNES+cOSEX)*G605+(cNES+cEREX)*H605+(cNES+cHOEX)*I605 + (cNES+cNES)*S605 +(cNES+ cOSEX)*N605 + (cNES+cEREX)*O605 + (cNES+cHOEX)*P605))/(1+cDR)^A$5:A$65536)</f>
        <v>81324.61621436842</v>
      </c>
      <c r="X605" s="112">
        <f t="shared" si="179"/>
        <v>825.31435912753636</v>
      </c>
      <c r="Y605" s="32">
        <f>(uNES*L605+ uOCEX*G605+uEREX*'PH + UC'!H605+uHOEX*I605+uNES*S605+ uOCEX*N605+uEREX*O605+uHOEX*P605)/(1+oDR)^A$5:A$65536</f>
        <v>457.31409339133666</v>
      </c>
    </row>
    <row r="606" spans="1:25" x14ac:dyDescent="0.25">
      <c r="A606" s="4">
        <v>600</v>
      </c>
      <c r="C606" s="110">
        <f>IF(male=0,VLOOKUP(((A604:A1438/'Life tables'!$I$2)*2)+age,lifetable,13,1),IF(male=1,VLOOKUP(((A604:A1438/'Life tables'!$I$2)*2)+age,lifetable,10,1),"error"))</f>
        <v>5.3177043245611344E-4</v>
      </c>
      <c r="F606" s="101">
        <f t="shared" si="162"/>
        <v>131.59149516873259</v>
      </c>
      <c r="G606" s="101">
        <f t="shared" si="163"/>
        <v>13.218641095525001</v>
      </c>
      <c r="H606" s="101">
        <f t="shared" si="164"/>
        <v>0.30249236170080473</v>
      </c>
      <c r="I606" s="101">
        <f t="shared" si="165"/>
        <v>0.30249236170080473</v>
      </c>
      <c r="J606" s="101">
        <f t="shared" si="166"/>
        <v>7.7327461773265577E-2</v>
      </c>
      <c r="K606" s="101">
        <f t="shared" si="167"/>
        <v>2.3712110140724781E-2</v>
      </c>
      <c r="L606" s="101">
        <f t="shared" si="174"/>
        <v>117.66682977789199</v>
      </c>
      <c r="M606" s="101">
        <f t="shared" si="168"/>
        <v>693.72286395880394</v>
      </c>
      <c r="N606" s="101">
        <f t="shared" si="169"/>
        <v>66.807014838258866</v>
      </c>
      <c r="O606" s="101">
        <f t="shared" si="170"/>
        <v>1.5946765192968648</v>
      </c>
      <c r="P606" s="101">
        <f t="shared" si="171"/>
        <v>1.5946765192968648</v>
      </c>
      <c r="Q606" s="101">
        <f t="shared" si="172"/>
        <v>0.40612330618829784</v>
      </c>
      <c r="R606" s="101">
        <f t="shared" si="173"/>
        <v>1.8579348598333705E-2</v>
      </c>
      <c r="S606" s="101">
        <f t="shared" si="175"/>
        <v>623.30179342716474</v>
      </c>
      <c r="T606" s="101">
        <f t="shared" si="176"/>
        <v>143.84765630227091</v>
      </c>
      <c r="U606" s="101">
        <f t="shared" si="177"/>
        <v>31.363726796893378</v>
      </c>
      <c r="V606" s="33">
        <f t="shared" si="178"/>
        <v>1000.0000000000002</v>
      </c>
      <c r="W606" s="105">
        <f>IF(A606=1,((cPH1_+cPHr+(cNES*L606+(cNES+cOSEX)*G606+(cNES+cEREX)*H606+(cNES+cHOEX)*I606 + (cNES+cNES)*S606 +(cNES+ cOSEX)*N606 + (cNES+cEREX)*O606 + (cNES+cHOEX)*P606)))/(1+cDR)^A$5:A$65536,(cPHr+(cNES*L606+(cNES+cOSEX)*G606+(cNES+cEREX)*H606+(cNES+cHOEX)*I606 + (cNES+cNES)*S606 +(cNES+ cOSEX)*N606 + (cNES+cEREX)*O606 + (cNES+cHOEX)*P606))/(1+cDR)^A$5:A$65536)</f>
        <v>81179.825870309098</v>
      </c>
      <c r="X606" s="112">
        <f t="shared" si="179"/>
        <v>824.7886169008359</v>
      </c>
      <c r="Y606" s="32">
        <f>(uNES*L606+ uOCEX*G606+uEREX*'PH + UC'!H606+uHOEX*I606+uNES*S606+ uOCEX*N606+uEREX*O606+uHOEX*P606)/(1+oDR)^A$5:A$65536</f>
        <v>456.89105252024979</v>
      </c>
    </row>
    <row r="607" spans="1:25" x14ac:dyDescent="0.25">
      <c r="A607" s="4">
        <v>601</v>
      </c>
      <c r="C607" s="110">
        <f>IF(male=0,VLOOKUP(((A605:A1439/'Life tables'!$I$2)*2)+age,lifetable,13,1),IF(male=1,VLOOKUP(((A605:A1439/'Life tables'!$I$2)*2)+age,lifetable,10,1),"error"))</f>
        <v>5.3177043245611344E-4</v>
      </c>
      <c r="F607" s="101">
        <f t="shared" si="162"/>
        <v>131.50764612668991</v>
      </c>
      <c r="G607" s="101">
        <f t="shared" si="163"/>
        <v>13.210218283765435</v>
      </c>
      <c r="H607" s="101">
        <f t="shared" si="164"/>
        <v>0.3022996160015381</v>
      </c>
      <c r="I607" s="101">
        <f t="shared" si="165"/>
        <v>0.3022996160015381</v>
      </c>
      <c r="J607" s="101">
        <f t="shared" si="166"/>
        <v>7.7278189336737954E-2</v>
      </c>
      <c r="K607" s="101">
        <f t="shared" si="167"/>
        <v>2.3697000974911588E-2</v>
      </c>
      <c r="L607" s="101">
        <f t="shared" si="174"/>
        <v>117.59185342060975</v>
      </c>
      <c r="M607" s="101">
        <f t="shared" si="168"/>
        <v>693.280970774146</v>
      </c>
      <c r="N607" s="101">
        <f t="shared" si="169"/>
        <v>66.764459567158383</v>
      </c>
      <c r="O607" s="101">
        <f t="shared" si="170"/>
        <v>1.5936607293867702</v>
      </c>
      <c r="P607" s="101">
        <f t="shared" si="171"/>
        <v>1.5936607293867702</v>
      </c>
      <c r="Q607" s="101">
        <f t="shared" si="172"/>
        <v>0.40586461048939698</v>
      </c>
      <c r="R607" s="101">
        <f t="shared" si="173"/>
        <v>1.856751377502381E-2</v>
      </c>
      <c r="S607" s="101">
        <f t="shared" si="175"/>
        <v>622.90475762394965</v>
      </c>
      <c r="T607" s="101">
        <f t="shared" si="176"/>
        <v>144.33079910209705</v>
      </c>
      <c r="U607" s="101">
        <f t="shared" si="177"/>
        <v>31.405991311643312</v>
      </c>
      <c r="V607" s="33">
        <f t="shared" si="178"/>
        <v>1000.0000000000001</v>
      </c>
      <c r="W607" s="105">
        <f>IF(A607=1,((cPH1_+cPHr+(cNES*L607+(cNES+cOSEX)*G607+(cNES+cEREX)*H607+(cNES+cHOEX)*I607 + (cNES+cNES)*S607 +(cNES+ cOSEX)*N607 + (cNES+cEREX)*O607 + (cNES+cHOEX)*P607)))/(1+cDR)^A$5:A$65536,(cPHr+(cNES*L607+(cNES+cOSEX)*G607+(cNES+cEREX)*H607+(cNES+cHOEX)*I607 + (cNES+cNES)*S607 +(cNES+ cOSEX)*N607 + (cNES+cEREX)*O607 + (cNES+cHOEX)*P607))/(1+cDR)^A$5:A$65536)</f>
        <v>81034.876038654329</v>
      </c>
      <c r="X607" s="112">
        <f t="shared" si="179"/>
        <v>824.26320958625979</v>
      </c>
      <c r="Y607" s="32">
        <f>(uNES*L607+ uOCEX*G607+uEREX*'PH + UC'!H607+uHOEX*I607+uNES*S607+ uOCEX*N607+uEREX*O607+uHOEX*P607)/(1+oDR)^A$5:A$65536</f>
        <v>456.46869072627527</v>
      </c>
    </row>
    <row r="608" spans="1:25" x14ac:dyDescent="0.25">
      <c r="A608" s="4">
        <v>602</v>
      </c>
      <c r="C608" s="110">
        <f>IF(male=0,VLOOKUP(((A606:A1440/'Life tables'!$I$2)*2)+age,lifetable,13,1),IF(male=1,VLOOKUP(((A606:A1440/'Life tables'!$I$2)*2)+age,lifetable,10,1),"error"))</f>
        <v>5.3177043245611344E-4</v>
      </c>
      <c r="F608" s="101">
        <f t="shared" si="162"/>
        <v>131.42385151923915</v>
      </c>
      <c r="G608" s="101">
        <f t="shared" si="163"/>
        <v>13.201800940074556</v>
      </c>
      <c r="H608" s="101">
        <f t="shared" si="164"/>
        <v>0.30210699543230546</v>
      </c>
      <c r="I608" s="101">
        <f t="shared" si="165"/>
        <v>0.30210699543230546</v>
      </c>
      <c r="J608" s="101">
        <f t="shared" si="166"/>
        <v>7.7228948887754931E-2</v>
      </c>
      <c r="K608" s="101">
        <f t="shared" si="167"/>
        <v>2.368190161793169E-2</v>
      </c>
      <c r="L608" s="101">
        <f t="shared" si="174"/>
        <v>117.5169257377943</v>
      </c>
      <c r="M608" s="101">
        <f t="shared" si="168"/>
        <v>692.83935806702061</v>
      </c>
      <c r="N608" s="101">
        <f t="shared" si="169"/>
        <v>66.721931306651982</v>
      </c>
      <c r="O608" s="101">
        <f t="shared" si="170"/>
        <v>1.5926455842167562</v>
      </c>
      <c r="P608" s="101">
        <f t="shared" si="171"/>
        <v>1.5926455842167562</v>
      </c>
      <c r="Q608" s="101">
        <f t="shared" si="172"/>
        <v>0.40560607898929757</v>
      </c>
      <c r="R608" s="101">
        <f t="shared" si="173"/>
        <v>1.85556864634886E-2</v>
      </c>
      <c r="S608" s="101">
        <f t="shared" si="175"/>
        <v>622.50797382648238</v>
      </c>
      <c r="T608" s="101">
        <f t="shared" si="176"/>
        <v>144.8136341299741</v>
      </c>
      <c r="U608" s="101">
        <f t="shared" si="177"/>
        <v>31.448228899724732</v>
      </c>
      <c r="V608" s="33">
        <f t="shared" si="178"/>
        <v>1000.0000000000003</v>
      </c>
      <c r="W608" s="105">
        <f>IF(A608=1,((cPH1_+cPHr+(cNES*L608+(cNES+cOSEX)*G608+(cNES+cEREX)*H608+(cNES+cHOEX)*I608 + (cNES+cNES)*S608 +(cNES+ cOSEX)*N608 + (cNES+cEREX)*O608 + (cNES+cHOEX)*P608)))/(1+cDR)^A$5:A$65536,(cPHr+(cNES*L608+(cNES+cOSEX)*G608+(cNES+cEREX)*H608+(cNES+cHOEX)*I608 + (cNES+cNES)*S608 +(cNES+ cOSEX)*N608 + (cNES+cEREX)*O608 + (cNES+cHOEX)*P608))/(1+cDR)^A$5:A$65536)</f>
        <v>80890.184984579522</v>
      </c>
      <c r="X608" s="112">
        <f t="shared" si="179"/>
        <v>823.73813697030141</v>
      </c>
      <c r="Y608" s="32">
        <f>(uNES*L608+ uOCEX*G608+uEREX*'PH + UC'!H608+uHOEX*I608+uNES*S608+ uOCEX*N608+uEREX*O608+uHOEX*P608)/(1+oDR)^A$5:A$65536</f>
        <v>456.04671937587676</v>
      </c>
    </row>
    <row r="609" spans="1:25" x14ac:dyDescent="0.25">
      <c r="A609" s="4">
        <v>603</v>
      </c>
      <c r="C609" s="110">
        <f>IF(male=0,VLOOKUP(((A607:A1441/'Life tables'!$I$2)*2)+age,lifetable,13,1),IF(male=1,VLOOKUP(((A607:A1441/'Life tables'!$I$2)*2)+age,lifetable,10,1),"error"))</f>
        <v>5.3177043245611344E-4</v>
      </c>
      <c r="F609" s="101">
        <f t="shared" si="162"/>
        <v>131.34011126550359</v>
      </c>
      <c r="G609" s="101">
        <f t="shared" si="163"/>
        <v>13.193389056328124</v>
      </c>
      <c r="H609" s="101">
        <f t="shared" si="164"/>
        <v>0.30191449980719376</v>
      </c>
      <c r="I609" s="101">
        <f t="shared" si="165"/>
        <v>0.30191449980719376</v>
      </c>
      <c r="J609" s="101">
        <f t="shared" si="166"/>
        <v>7.7179740378790745E-2</v>
      </c>
      <c r="K609" s="101">
        <f t="shared" si="167"/>
        <v>2.3666812055211518E-2</v>
      </c>
      <c r="L609" s="101">
        <f t="shared" si="174"/>
        <v>117.44204665712708</v>
      </c>
      <c r="M609" s="101">
        <f t="shared" si="168"/>
        <v>692.39802570479765</v>
      </c>
      <c r="N609" s="101">
        <f t="shared" si="169"/>
        <v>66.679430043967088</v>
      </c>
      <c r="O609" s="101">
        <f t="shared" si="170"/>
        <v>1.5916310834819432</v>
      </c>
      <c r="P609" s="101">
        <f t="shared" si="171"/>
        <v>1.5916310834819432</v>
      </c>
      <c r="Q609" s="101">
        <f t="shared" si="172"/>
        <v>0.40534771161035449</v>
      </c>
      <c r="R609" s="101">
        <f t="shared" si="173"/>
        <v>1.8543866660175972E-2</v>
      </c>
      <c r="S609" s="101">
        <f t="shared" si="175"/>
        <v>622.11144191559617</v>
      </c>
      <c r="T609" s="101">
        <f t="shared" si="176"/>
        <v>145.29616158196325</v>
      </c>
      <c r="U609" s="101">
        <f t="shared" si="177"/>
        <v>31.490439578440121</v>
      </c>
      <c r="V609" s="33">
        <f t="shared" si="178"/>
        <v>1000.0000000000001</v>
      </c>
      <c r="W609" s="105">
        <f>IF(A609=1,((cPH1_+cPHr+(cNES*L609+(cNES+cOSEX)*G609+(cNES+cEREX)*H609+(cNES+cHOEX)*I609 + (cNES+cNES)*S609 +(cNES+ cOSEX)*N609 + (cNES+cEREX)*O609 + (cNES+cHOEX)*P609)))/(1+cDR)^A$5:A$65536,(cPHr+(cNES*L609+(cNES+cOSEX)*G609+(cNES+cEREX)*H609+(cNES+cHOEX)*I609 + (cNES+cNES)*S609 +(cNES+ cOSEX)*N609 + (cNES+cEREX)*O609 + (cNES+cHOEX)*P609))/(1+cDR)^A$5:A$65536)</f>
        <v>80745.752247996395</v>
      </c>
      <c r="X609" s="112">
        <f t="shared" si="179"/>
        <v>823.21339883959672</v>
      </c>
      <c r="Y609" s="32">
        <f>(uNES*L609+ uOCEX*G609+uEREX*'PH + UC'!H609+uHOEX*I609+uNES*S609+ uOCEX*N609+uEREX*O609+uHOEX*P609)/(1+oDR)^A$5:A$65536</f>
        <v>455.62513810804762</v>
      </c>
    </row>
    <row r="610" spans="1:25" x14ac:dyDescent="0.25">
      <c r="A610" s="4">
        <v>604</v>
      </c>
      <c r="C610" s="110">
        <f>IF(male=0,VLOOKUP(((A608:A1442/'Life tables'!$I$2)*2)+age,lifetable,13,1),IF(male=1,VLOOKUP(((A608:A1442/'Life tables'!$I$2)*2)+age,lifetable,10,1),"error"))</f>
        <v>5.3177043245611344E-4</v>
      </c>
      <c r="F610" s="101">
        <f t="shared" si="162"/>
        <v>131.25642528674854</v>
      </c>
      <c r="G610" s="101">
        <f t="shared" si="163"/>
        <v>13.184982624617076</v>
      </c>
      <c r="H610" s="101">
        <f t="shared" si="164"/>
        <v>0.30172212894521361</v>
      </c>
      <c r="I610" s="101">
        <f t="shared" si="165"/>
        <v>0.30172212894521361</v>
      </c>
      <c r="J610" s="101">
        <f t="shared" si="166"/>
        <v>7.7130563763578311E-2</v>
      </c>
      <c r="K610" s="101">
        <f t="shared" si="167"/>
        <v>2.3651732272563484E-2</v>
      </c>
      <c r="L610" s="101">
        <f t="shared" si="174"/>
        <v>117.3672161082049</v>
      </c>
      <c r="M610" s="101">
        <f t="shared" si="168"/>
        <v>691.95697355284824</v>
      </c>
      <c r="N610" s="101">
        <f t="shared" si="169"/>
        <v>66.636955766138641</v>
      </c>
      <c r="O610" s="101">
        <f t="shared" si="170"/>
        <v>1.5906172268728567</v>
      </c>
      <c r="P610" s="101">
        <f t="shared" si="171"/>
        <v>1.5906172268728567</v>
      </c>
      <c r="Q610" s="101">
        <f t="shared" si="172"/>
        <v>0.40508950827375267</v>
      </c>
      <c r="R610" s="101">
        <f t="shared" si="173"/>
        <v>1.8532054361480279E-2</v>
      </c>
      <c r="S610" s="101">
        <f t="shared" si="175"/>
        <v>621.71516177032868</v>
      </c>
      <c r="T610" s="101">
        <f t="shared" si="176"/>
        <v>145.77838165400058</v>
      </c>
      <c r="U610" s="101">
        <f t="shared" si="177"/>
        <v>31.532623365074166</v>
      </c>
      <c r="V610" s="33">
        <f t="shared" si="178"/>
        <v>1000.0000000000002</v>
      </c>
      <c r="W610" s="105">
        <f>IF(A610=1,((cPH1_+cPHr+(cNES*L610+(cNES+cOSEX)*G610+(cNES+cEREX)*H610+(cNES+cHOEX)*I610 + (cNES+cNES)*S610 +(cNES+ cOSEX)*N610 + (cNES+cEREX)*O610 + (cNES+cHOEX)*P610)))/(1+cDR)^A$5:A$65536,(cPHr+(cNES*L610+(cNES+cOSEX)*G610+(cNES+cEREX)*H610+(cNES+cHOEX)*I610 + (cNES+cNES)*S610 +(cNES+ cOSEX)*N610 + (cNES+cEREX)*O610 + (cNES+cHOEX)*P610))/(1+cDR)^A$5:A$65536)</f>
        <v>80601.577369546241</v>
      </c>
      <c r="X610" s="112">
        <f t="shared" si="179"/>
        <v>822.68899498092549</v>
      </c>
      <c r="Y610" s="32">
        <f>(uNES*L610+ uOCEX*G610+uEREX*'PH + UC'!H610+uHOEX*I610+uNES*S610+ uOCEX*N610+uEREX*O610+uHOEX*P610)/(1+oDR)^A$5:A$65536</f>
        <v>455.20394656211869</v>
      </c>
    </row>
    <row r="611" spans="1:25" x14ac:dyDescent="0.25">
      <c r="A611" s="4">
        <v>605</v>
      </c>
      <c r="C611" s="110">
        <f>IF(male=0,VLOOKUP(((A609:A1443/'Life tables'!$I$2)*2)+age,lifetable,13,1),IF(male=1,VLOOKUP(((A609:A1443/'Life tables'!$I$2)*2)+age,lifetable,10,1),"error"))</f>
        <v>5.3177043245611344E-4</v>
      </c>
      <c r="F611" s="101">
        <f t="shared" si="162"/>
        <v>131.17279350628539</v>
      </c>
      <c r="G611" s="101">
        <f t="shared" si="163"/>
        <v>13.176581637237879</v>
      </c>
      <c r="H611" s="101">
        <f t="shared" si="164"/>
        <v>0.30152988267007935</v>
      </c>
      <c r="I611" s="101">
        <f t="shared" si="165"/>
        <v>0.30152988267007935</v>
      </c>
      <c r="J611" s="101">
        <f t="shared" si="166"/>
        <v>7.7081418997052953E-2</v>
      </c>
      <c r="K611" s="101">
        <f t="shared" si="167"/>
        <v>2.36366622561687E-2</v>
      </c>
      <c r="L611" s="101">
        <f t="shared" si="174"/>
        <v>117.29243402245413</v>
      </c>
      <c r="M611" s="101">
        <f t="shared" si="168"/>
        <v>691.51620147463996</v>
      </c>
      <c r="N611" s="101">
        <f t="shared" si="169"/>
        <v>66.594508460018289</v>
      </c>
      <c r="O611" s="101">
        <f t="shared" si="170"/>
        <v>1.5896040140756464</v>
      </c>
      <c r="P611" s="101">
        <f t="shared" si="171"/>
        <v>1.5896040140756464</v>
      </c>
      <c r="Q611" s="101">
        <f t="shared" si="172"/>
        <v>0.4048314688995624</v>
      </c>
      <c r="R611" s="101">
        <f t="shared" si="173"/>
        <v>1.8520249563744897E-2</v>
      </c>
      <c r="S611" s="101">
        <f t="shared" si="175"/>
        <v>621.31913326800702</v>
      </c>
      <c r="T611" s="101">
        <f t="shared" si="176"/>
        <v>146.2602945418972</v>
      </c>
      <c r="U611" s="101">
        <f t="shared" si="177"/>
        <v>31.574780276894078</v>
      </c>
      <c r="V611" s="33">
        <f t="shared" si="178"/>
        <v>1000.0000000000001</v>
      </c>
      <c r="W611" s="105">
        <f>IF(A611=1,((cPH1_+cPHr+(cNES*L611+(cNES+cOSEX)*G611+(cNES+cEREX)*H611+(cNES+cHOEX)*I611 + (cNES+cNES)*S611 +(cNES+ cOSEX)*N611 + (cNES+cEREX)*O611 + (cNES+cHOEX)*P611)))/(1+cDR)^A$5:A$65536,(cPHr+(cNES*L611+(cNES+cOSEX)*G611+(cNES+cEREX)*H611+(cNES+cHOEX)*I611 + (cNES+cNES)*S611 +(cNES+ cOSEX)*N611 + (cNES+cEREX)*O611 + (cNES+cHOEX)*P611))/(1+cDR)^A$5:A$65536)</f>
        <v>80457.659890602532</v>
      </c>
      <c r="X611" s="112">
        <f t="shared" si="179"/>
        <v>822.16492518120879</v>
      </c>
      <c r="Y611" s="32">
        <f>(uNES*L611+ uOCEX*G611+uEREX*'PH + UC'!H611+uHOEX*I611+uNES*S611+ uOCEX*N611+uEREX*O611+uHOEX*P611)/(1+oDR)^A$5:A$65536</f>
        <v>454.78314437775686</v>
      </c>
    </row>
    <row r="612" spans="1:25" x14ac:dyDescent="0.25">
      <c r="A612" s="4">
        <v>606</v>
      </c>
      <c r="C612" s="110">
        <f>IF(male=0,VLOOKUP(((A610:A1444/'Life tables'!$I$2)*2)+age,lifetable,13,1),IF(male=1,VLOOKUP(((A610:A1444/'Life tables'!$I$2)*2)+age,lifetable,10,1),"error"))</f>
        <v>5.3177043245611344E-4</v>
      </c>
      <c r="F612" s="101">
        <f t="shared" si="162"/>
        <v>131.08921584938003</v>
      </c>
      <c r="G612" s="101">
        <f t="shared" si="163"/>
        <v>13.168186086683336</v>
      </c>
      <c r="H612" s="101">
        <f t="shared" si="164"/>
        <v>0.30133776080999786</v>
      </c>
      <c r="I612" s="101">
        <f t="shared" si="165"/>
        <v>0.30133776080999786</v>
      </c>
      <c r="J612" s="101">
        <f t="shared" si="166"/>
        <v>7.703230603529837E-2</v>
      </c>
      <c r="K612" s="101">
        <f t="shared" si="167"/>
        <v>2.362160199256046E-2</v>
      </c>
      <c r="L612" s="101">
        <f t="shared" si="174"/>
        <v>117.21770033304884</v>
      </c>
      <c r="M612" s="101">
        <f t="shared" si="168"/>
        <v>691.07570933182888</v>
      </c>
      <c r="N612" s="101">
        <f t="shared" si="169"/>
        <v>66.552088112283187</v>
      </c>
      <c r="O612" s="101">
        <f t="shared" si="170"/>
        <v>1.588591444772298</v>
      </c>
      <c r="P612" s="101">
        <f t="shared" si="171"/>
        <v>1.588591444772298</v>
      </c>
      <c r="Q612" s="101">
        <f t="shared" si="172"/>
        <v>0.4045735934067935</v>
      </c>
      <c r="R612" s="101">
        <f t="shared" si="173"/>
        <v>1.8508452263264686E-2</v>
      </c>
      <c r="S612" s="101">
        <f t="shared" si="175"/>
        <v>620.92335628433102</v>
      </c>
      <c r="T612" s="101">
        <f t="shared" si="176"/>
        <v>146.74190044133928</v>
      </c>
      <c r="U612" s="101">
        <f t="shared" si="177"/>
        <v>31.616910331149903</v>
      </c>
      <c r="V612" s="33">
        <f t="shared" si="178"/>
        <v>1000.0000000000002</v>
      </c>
      <c r="W612" s="105">
        <f>IF(A612=1,((cPH1_+cPHr+(cNES*L612+(cNES+cOSEX)*G612+(cNES+cEREX)*H612+(cNES+cHOEX)*I612 + (cNES+cNES)*S612 +(cNES+ cOSEX)*N612 + (cNES+cEREX)*O612 + (cNES+cHOEX)*P612)))/(1+cDR)^A$5:A$65536,(cPHr+(cNES*L612+(cNES+cOSEX)*G612+(cNES+cEREX)*H612+(cNES+cHOEX)*I612 + (cNES+cNES)*S612 +(cNES+ cOSEX)*N612 + (cNES+cEREX)*O612 + (cNES+cHOEX)*P612))/(1+cDR)^A$5:A$65536)</f>
        <v>80313.999353274106</v>
      </c>
      <c r="X612" s="112">
        <f t="shared" si="179"/>
        <v>821.64118922751095</v>
      </c>
      <c r="Y612" s="32">
        <f>(uNES*L612+ uOCEX*G612+uEREX*'PH + UC'!H612+uHOEX*I612+uNES*S612+ uOCEX*N612+uEREX*O612+uHOEX*P612)/(1+oDR)^A$5:A$65536</f>
        <v>454.36273119496542</v>
      </c>
    </row>
    <row r="613" spans="1:25" x14ac:dyDescent="0.25">
      <c r="A613" s="4">
        <v>607</v>
      </c>
      <c r="C613" s="110">
        <f>IF(male=0,VLOOKUP(((A611:A1445/'Life tables'!$I$2)*2)+age,lifetable,13,1),IF(male=1,VLOOKUP(((A611:A1445/'Life tables'!$I$2)*2)+age,lifetable,10,1),"error"))</f>
        <v>5.3177043245611344E-4</v>
      </c>
      <c r="F613" s="101">
        <f t="shared" si="162"/>
        <v>131.0056922431653</v>
      </c>
      <c r="G613" s="101">
        <f t="shared" si="163"/>
        <v>13.159795965633791</v>
      </c>
      <c r="H613" s="101">
        <f t="shared" si="164"/>
        <v>0.30114576319746778</v>
      </c>
      <c r="I613" s="101">
        <f t="shared" si="165"/>
        <v>0.30114576319746778</v>
      </c>
      <c r="J613" s="101">
        <f t="shared" si="166"/>
        <v>7.6983224835495495E-2</v>
      </c>
      <c r="K613" s="101">
        <f t="shared" si="167"/>
        <v>2.3606551468608478E-2</v>
      </c>
      <c r="L613" s="101">
        <f t="shared" si="174"/>
        <v>117.14301497483247</v>
      </c>
      <c r="M613" s="101">
        <f t="shared" si="168"/>
        <v>690.63549698434565</v>
      </c>
      <c r="N613" s="101">
        <f t="shared" si="169"/>
        <v>66.509694709444389</v>
      </c>
      <c r="O613" s="101">
        <f t="shared" si="170"/>
        <v>1.587579518640831</v>
      </c>
      <c r="P613" s="101">
        <f t="shared" si="171"/>
        <v>1.587579518640831</v>
      </c>
      <c r="Q613" s="101">
        <f t="shared" si="172"/>
        <v>0.4043158817134459</v>
      </c>
      <c r="R613" s="101">
        <f t="shared" si="173"/>
        <v>1.8496662456288299E-2</v>
      </c>
      <c r="S613" s="101">
        <f t="shared" si="175"/>
        <v>620.52783069344991</v>
      </c>
      <c r="T613" s="101">
        <f t="shared" si="176"/>
        <v>147.22319954788821</v>
      </c>
      <c r="U613" s="101">
        <f t="shared" si="177"/>
        <v>31.659013545074799</v>
      </c>
      <c r="V613" s="33">
        <f t="shared" si="178"/>
        <v>1000.0000000000001</v>
      </c>
      <c r="W613" s="105">
        <f>IF(A613=1,((cPH1_+cPHr+(cNES*L613+(cNES+cOSEX)*G613+(cNES+cEREX)*H613+(cNES+cHOEX)*I613 + (cNES+cNES)*S613 +(cNES+ cOSEX)*N613 + (cNES+cEREX)*O613 + (cNES+cHOEX)*P613)))/(1+cDR)^A$5:A$65536,(cPHr+(cNES*L613+(cNES+cOSEX)*G613+(cNES+cEREX)*H613+(cNES+cHOEX)*I613 + (cNES+cNES)*S613 +(cNES+ cOSEX)*N613 + (cNES+cEREX)*O613 + (cNES+cHOEX)*P613))/(1+cDR)^A$5:A$65536)</f>
        <v>80170.595300407353</v>
      </c>
      <c r="X613" s="112">
        <f t="shared" si="179"/>
        <v>821.11778690703716</v>
      </c>
      <c r="Y613" s="32">
        <f>(uNES*L613+ uOCEX*G613+uEREX*'PH + UC'!H613+uHOEX*I613+uNES*S613+ uOCEX*N613+uEREX*O613+uHOEX*P613)/(1+oDR)^A$5:A$65536</f>
        <v>453.942706654083</v>
      </c>
    </row>
    <row r="614" spans="1:25" x14ac:dyDescent="0.25">
      <c r="A614" s="4">
        <v>608</v>
      </c>
      <c r="C614" s="110">
        <f>IF(male=0,VLOOKUP(((A612:A1446/'Life tables'!$I$2)*2)+age,lifetable,13,1),IF(male=1,VLOOKUP(((A612:A1446/'Life tables'!$I$2)*2)+age,lifetable,10,1),"error"))</f>
        <v>5.3177043245611344E-4</v>
      </c>
      <c r="F614" s="101">
        <f t="shared" si="162"/>
        <v>130.92222261655766</v>
      </c>
      <c r="G614" s="101">
        <f t="shared" si="163"/>
        <v>13.151411266948749</v>
      </c>
      <c r="H614" s="101">
        <f t="shared" si="164"/>
        <v>0.3009538896690877</v>
      </c>
      <c r="I614" s="101">
        <f t="shared" si="165"/>
        <v>0.3009538896690877</v>
      </c>
      <c r="J614" s="101">
        <f t="shared" si="166"/>
        <v>7.6934175355873324E-2</v>
      </c>
      <c r="K614" s="101">
        <f t="shared" si="167"/>
        <v>2.3591510671503866E-2</v>
      </c>
      <c r="L614" s="101">
        <f t="shared" si="174"/>
        <v>117.06837788424336</v>
      </c>
      <c r="M614" s="101">
        <f t="shared" si="168"/>
        <v>690.19556429047952</v>
      </c>
      <c r="N614" s="101">
        <f t="shared" si="169"/>
        <v>66.467328237854815</v>
      </c>
      <c r="O614" s="101">
        <f t="shared" si="170"/>
        <v>1.5865682353554915</v>
      </c>
      <c r="P614" s="101">
        <f t="shared" si="171"/>
        <v>1.5865682353554915</v>
      </c>
      <c r="Q614" s="101">
        <f t="shared" si="172"/>
        <v>0.40405833373655831</v>
      </c>
      <c r="R614" s="101">
        <f t="shared" si="173"/>
        <v>1.8484880139020422E-2</v>
      </c>
      <c r="S614" s="101">
        <f t="shared" si="175"/>
        <v>620.13255636803819</v>
      </c>
      <c r="T614" s="101">
        <f t="shared" si="176"/>
        <v>147.70419205698065</v>
      </c>
      <c r="U614" s="101">
        <f t="shared" si="177"/>
        <v>31.701089935885324</v>
      </c>
      <c r="V614" s="33">
        <f t="shared" si="178"/>
        <v>1000.0000000000002</v>
      </c>
      <c r="W614" s="105">
        <f>IF(A614=1,((cPH1_+cPHr+(cNES*L614+(cNES+cOSEX)*G614+(cNES+cEREX)*H614+(cNES+cHOEX)*I614 + (cNES+cNES)*S614 +(cNES+ cOSEX)*N614 + (cNES+cEREX)*O614 + (cNES+cHOEX)*P614)))/(1+cDR)^A$5:A$65536,(cPHr+(cNES*L614+(cNES+cOSEX)*G614+(cNES+cEREX)*H614+(cNES+cHOEX)*I614 + (cNES+cNES)*S614 +(cNES+ cOSEX)*N614 + (cNES+cEREX)*O614 + (cNES+cHOEX)*P614))/(1+cDR)^A$5:A$65536)</f>
        <v>80027.447275589031</v>
      </c>
      <c r="X614" s="112">
        <f t="shared" si="179"/>
        <v>820.59471800713425</v>
      </c>
      <c r="Y614" s="32">
        <f>(uNES*L614+ uOCEX*G614+uEREX*'PH + UC'!H614+uHOEX*I614+uNES*S614+ uOCEX*N614+uEREX*O614+uHOEX*P614)/(1+oDR)^A$5:A$65536</f>
        <v>453.52307039578307</v>
      </c>
    </row>
    <row r="615" spans="1:25" x14ac:dyDescent="0.25">
      <c r="A615" s="4">
        <v>609</v>
      </c>
      <c r="C615" s="110">
        <f>IF(male=0,VLOOKUP(((A613:A1447/'Life tables'!$I$2)*2)+age,lifetable,13,1),IF(male=1,VLOOKUP(((A613:A1447/'Life tables'!$I$2)*2)+age,lifetable,10,1),"error"))</f>
        <v>5.3177043245611344E-4</v>
      </c>
      <c r="F615" s="101">
        <f t="shared" si="162"/>
        <v>130.83880690017722</v>
      </c>
      <c r="G615" s="101">
        <f t="shared" si="163"/>
        <v>13.143031983658858</v>
      </c>
      <c r="H615" s="101">
        <f t="shared" si="164"/>
        <v>0.30076214006537261</v>
      </c>
      <c r="I615" s="101">
        <f t="shared" si="165"/>
        <v>0.30076214006537261</v>
      </c>
      <c r="J615" s="101">
        <f t="shared" si="166"/>
        <v>7.6885157555661929E-2</v>
      </c>
      <c r="K615" s="101">
        <f t="shared" si="167"/>
        <v>2.3576479588744724E-2</v>
      </c>
      <c r="L615" s="101">
        <f t="shared" si="174"/>
        <v>116.99378899924321</v>
      </c>
      <c r="M615" s="101">
        <f t="shared" si="168"/>
        <v>689.755911106957</v>
      </c>
      <c r="N615" s="101">
        <f t="shared" si="169"/>
        <v>66.424988683716919</v>
      </c>
      <c r="O615" s="101">
        <f t="shared" si="170"/>
        <v>1.5855575945869338</v>
      </c>
      <c r="P615" s="101">
        <f t="shared" si="171"/>
        <v>1.5855575945869338</v>
      </c>
      <c r="Q615" s="101">
        <f t="shared" si="172"/>
        <v>0.4038009493922548</v>
      </c>
      <c r="R615" s="101">
        <f t="shared" si="173"/>
        <v>1.8473105307623892E-2</v>
      </c>
      <c r="S615" s="101">
        <f t="shared" si="175"/>
        <v>619.73753317936632</v>
      </c>
      <c r="T615" s="101">
        <f t="shared" si="176"/>
        <v>148.18487816392857</v>
      </c>
      <c r="U615" s="101">
        <f t="shared" si="177"/>
        <v>31.743139520781693</v>
      </c>
      <c r="V615" s="33">
        <f t="shared" si="178"/>
        <v>1000.0000000000002</v>
      </c>
      <c r="W615" s="105">
        <f>IF(A615=1,((cPH1_+cPHr+(cNES*L615+(cNES+cOSEX)*G615+(cNES+cEREX)*H615+(cNES+cHOEX)*I615 + (cNES+cNES)*S615 +(cNES+ cOSEX)*N615 + (cNES+cEREX)*O615 + (cNES+cHOEX)*P615)))/(1+cDR)^A$5:A$65536,(cPHr+(cNES*L615+(cNES+cOSEX)*G615+(cNES+cEREX)*H615+(cNES+cHOEX)*I615 + (cNES+cNES)*S615 +(cNES+ cOSEX)*N615 + (cNES+cEREX)*O615 + (cNES+cHOEX)*P615))/(1+cDR)^A$5:A$65536)</f>
        <v>79884.554823147962</v>
      </c>
      <c r="X615" s="112">
        <f t="shared" si="179"/>
        <v>820.07198231528992</v>
      </c>
      <c r="Y615" s="32">
        <f>(uNES*L615+ uOCEX*G615+uEREX*'PH + UC'!H615+uHOEX*I615+uNES*S615+ uOCEX*N615+uEREX*O615+uHOEX*P615)/(1+oDR)^A$5:A$65536</f>
        <v>453.10382206107448</v>
      </c>
    </row>
    <row r="616" spans="1:25" x14ac:dyDescent="0.25">
      <c r="A616" s="4">
        <v>610</v>
      </c>
      <c r="C616" s="110">
        <f>IF(male=0,VLOOKUP(((A614:A1448/'Life tables'!$I$2)*2)+age,lifetable,13,1),IF(male=1,VLOOKUP(((A614:A1448/'Life tables'!$I$2)*2)+age,lifetable,10,1),"error"))</f>
        <v>5.3177043245611344E-4</v>
      </c>
      <c r="F616" s="101">
        <f t="shared" si="162"/>
        <v>130.75544502627176</v>
      </c>
      <c r="G616" s="101">
        <f t="shared" si="163"/>
        <v>13.134658108958265</v>
      </c>
      <c r="H616" s="101">
        <f t="shared" si="164"/>
        <v>0.30057051423057884</v>
      </c>
      <c r="I616" s="101">
        <f t="shared" si="165"/>
        <v>0.30057051423057884</v>
      </c>
      <c r="J616" s="101">
        <f t="shared" si="166"/>
        <v>7.6836171395047934E-2</v>
      </c>
      <c r="K616" s="101">
        <f t="shared" si="167"/>
        <v>2.356145820812245E-2</v>
      </c>
      <c r="L616" s="101">
        <f t="shared" si="174"/>
        <v>116.91924825924917</v>
      </c>
      <c r="M616" s="101">
        <f t="shared" si="168"/>
        <v>689.31653728901813</v>
      </c>
      <c r="N616" s="101">
        <f t="shared" si="169"/>
        <v>66.382676033090007</v>
      </c>
      <c r="O616" s="101">
        <f t="shared" si="170"/>
        <v>1.5845475960023945</v>
      </c>
      <c r="P616" s="101">
        <f t="shared" si="171"/>
        <v>1.5845475960023945</v>
      </c>
      <c r="Q616" s="101">
        <f t="shared" si="172"/>
        <v>0.40354372859578913</v>
      </c>
      <c r="R616" s="101">
        <f t="shared" si="173"/>
        <v>1.8461337958221736E-2</v>
      </c>
      <c r="S616" s="101">
        <f t="shared" si="175"/>
        <v>619.34276099736928</v>
      </c>
      <c r="T616" s="101">
        <f t="shared" si="176"/>
        <v>148.66525806391942</v>
      </c>
      <c r="U616" s="101">
        <f t="shared" si="177"/>
        <v>31.785162316948036</v>
      </c>
      <c r="V616" s="33">
        <f t="shared" si="178"/>
        <v>1000</v>
      </c>
      <c r="W616" s="105">
        <f>IF(A616=1,((cPH1_+cPHr+(cNES*L616+(cNES+cOSEX)*G616+(cNES+cEREX)*H616+(cNES+cHOEX)*I616 + (cNES+cNES)*S616 +(cNES+ cOSEX)*N616 + (cNES+cEREX)*O616 + (cNES+cHOEX)*P616)))/(1+cDR)^A$5:A$65536,(cPHr+(cNES*L616+(cNES+cOSEX)*G616+(cNES+cEREX)*H616+(cNES+cHOEX)*I616 + (cNES+cNES)*S616 +(cNES+ cOSEX)*N616 + (cNES+cEREX)*O616 + (cNES+cHOEX)*P616))/(1+cDR)^A$5:A$65536)</f>
        <v>79741.917488157531</v>
      </c>
      <c r="X616" s="112">
        <f t="shared" si="179"/>
        <v>819.5495796191326</v>
      </c>
      <c r="Y616" s="32">
        <f>(uNES*L616+ uOCEX*G616+uEREX*'PH + UC'!H616+uHOEX*I616+uNES*S616+ uOCEX*N616+uEREX*O616+uHOEX*P616)/(1+oDR)^A$5:A$65536</f>
        <v>452.68496129129983</v>
      </c>
    </row>
    <row r="617" spans="1:25" x14ac:dyDescent="0.25">
      <c r="A617" s="4">
        <v>611</v>
      </c>
      <c r="C617" s="110">
        <f>IF(male=0,VLOOKUP(((A615:A1449/'Life tables'!$I$2)*2)+age,lifetable,13,1),IF(male=1,VLOOKUP(((A615:A1449/'Life tables'!$I$2)*2)+age,lifetable,10,1),"error"))</f>
        <v>5.3177043245611344E-4</v>
      </c>
      <c r="F617" s="101">
        <f t="shared" si="162"/>
        <v>130.67213692864402</v>
      </c>
      <c r="G617" s="101">
        <f t="shared" si="163"/>
        <v>13.126289636197317</v>
      </c>
      <c r="H617" s="101">
        <f t="shared" si="164"/>
        <v>0.30037901201253731</v>
      </c>
      <c r="I617" s="101">
        <f t="shared" si="165"/>
        <v>0.30037901201253731</v>
      </c>
      <c r="J617" s="101">
        <f t="shared" si="166"/>
        <v>7.678721683513165E-2</v>
      </c>
      <c r="K617" s="101">
        <f t="shared" si="167"/>
        <v>2.3546446517708642E-2</v>
      </c>
      <c r="L617" s="101">
        <f t="shared" si="174"/>
        <v>116.84475560506878</v>
      </c>
      <c r="M617" s="101">
        <f t="shared" si="168"/>
        <v>688.87744269048858</v>
      </c>
      <c r="N617" s="101">
        <f t="shared" si="169"/>
        <v>66.340390271897192</v>
      </c>
      <c r="O617" s="101">
        <f t="shared" si="170"/>
        <v>1.5835382392658595</v>
      </c>
      <c r="P617" s="101">
        <f t="shared" si="171"/>
        <v>1.5835382392658595</v>
      </c>
      <c r="Q617" s="101">
        <f t="shared" si="172"/>
        <v>0.40328667126158713</v>
      </c>
      <c r="R617" s="101">
        <f t="shared" si="173"/>
        <v>1.84495780868991E-2</v>
      </c>
      <c r="S617" s="101">
        <f t="shared" si="175"/>
        <v>618.94823969071115</v>
      </c>
      <c r="T617" s="101">
        <f t="shared" si="176"/>
        <v>149.14533195201614</v>
      </c>
      <c r="U617" s="101">
        <f t="shared" si="177"/>
        <v>31.827158341552643</v>
      </c>
      <c r="V617" s="33">
        <f t="shared" si="178"/>
        <v>1000</v>
      </c>
      <c r="W617" s="105">
        <f>IF(A617=1,((cPH1_+cPHr+(cNES*L617+(cNES+cOSEX)*G617+(cNES+cEREX)*H617+(cNES+cHOEX)*I617 + (cNES+cNES)*S617 +(cNES+ cOSEX)*N617 + (cNES+cEREX)*O617 + (cNES+cHOEX)*P617)))/(1+cDR)^A$5:A$65536,(cPHr+(cNES*L617+(cNES+cOSEX)*G617+(cNES+cEREX)*H617+(cNES+cHOEX)*I617 + (cNES+cNES)*S617 +(cNES+ cOSEX)*N617 + (cNES+cEREX)*O617 + (cNES+cHOEX)*P617))/(1+cDR)^A$5:A$65536)</f>
        <v>79599.53481643727</v>
      </c>
      <c r="X617" s="112">
        <f t="shared" si="179"/>
        <v>819.02750970643126</v>
      </c>
      <c r="Y617" s="32">
        <f>(uNES*L617+ uOCEX*G617+uEREX*'PH + UC'!H617+uHOEX*I617+uNES*S617+ uOCEX*N617+uEREX*O617+uHOEX*P617)/(1+oDR)^A$5:A$65536</f>
        <v>452.26648772813598</v>
      </c>
    </row>
    <row r="618" spans="1:25" x14ac:dyDescent="0.25">
      <c r="A618" s="4">
        <v>612</v>
      </c>
      <c r="C618" s="110">
        <f>IF(male=0,VLOOKUP(((A616:A1450/'Life tables'!$I$2)*2)+age,lifetable,13,1),IF(male=1,VLOOKUP(((A616:A1450/'Life tables'!$I$2)*2)+age,lifetable,10,1),"error"))</f>
        <v>5.3177043245611344E-4</v>
      </c>
      <c r="F618" s="101">
        <f t="shared" si="162"/>
        <v>130.58888254258227</v>
      </c>
      <c r="G618" s="101">
        <f t="shared" si="163"/>
        <v>13.117926558875583</v>
      </c>
      <c r="H618" s="101">
        <f t="shared" si="164"/>
        <v>0.30018763326249365</v>
      </c>
      <c r="I618" s="101">
        <f t="shared" si="165"/>
        <v>0.30018763326249365</v>
      </c>
      <c r="J618" s="101">
        <f t="shared" si="166"/>
        <v>7.6738293837886315E-2</v>
      </c>
      <c r="K618" s="101">
        <f t="shared" si="167"/>
        <v>2.3531444505842575E-2</v>
      </c>
      <c r="L618" s="101">
        <f t="shared" si="174"/>
        <v>116.77031097883797</v>
      </c>
      <c r="M618" s="101">
        <f t="shared" si="168"/>
        <v>688.43862716384888</v>
      </c>
      <c r="N618" s="101">
        <f t="shared" si="169"/>
        <v>66.29813138593201</v>
      </c>
      <c r="O618" s="101">
        <f t="shared" si="170"/>
        <v>1.5825295240382224</v>
      </c>
      <c r="P618" s="101">
        <f t="shared" si="171"/>
        <v>1.5825295240382224</v>
      </c>
      <c r="Q618" s="101">
        <f t="shared" si="172"/>
        <v>0.40302977730328704</v>
      </c>
      <c r="R618" s="101">
        <f t="shared" si="173"/>
        <v>1.8437825689705107E-2</v>
      </c>
      <c r="S618" s="101">
        <f t="shared" si="175"/>
        <v>618.55396912684739</v>
      </c>
      <c r="T618" s="101">
        <f t="shared" si="176"/>
        <v>149.6251000231573</v>
      </c>
      <c r="U618" s="101">
        <f t="shared" si="177"/>
        <v>31.869127611748191</v>
      </c>
      <c r="V618" s="33">
        <f t="shared" si="178"/>
        <v>999.99999999999989</v>
      </c>
      <c r="W618" s="105">
        <f>IF(A618=1,((cPH1_+cPHr+(cNES*L618+(cNES+cOSEX)*G618+(cNES+cEREX)*H618+(cNES+cHOEX)*I618 + (cNES+cNES)*S618 +(cNES+ cOSEX)*N618 + (cNES+cEREX)*O618 + (cNES+cHOEX)*P618)))/(1+cDR)^A$5:A$65536,(cPHr+(cNES*L618+(cNES+cOSEX)*G618+(cNES+cEREX)*H618+(cNES+cHOEX)*I618 + (cNES+cNES)*S618 +(cNES+ cOSEX)*N618 + (cNES+cEREX)*O618 + (cNES+cHOEX)*P618))/(1+cDR)^A$5:A$65536)</f>
        <v>79457.406354554783</v>
      </c>
      <c r="X618" s="112">
        <f t="shared" si="179"/>
        <v>818.50577236509434</v>
      </c>
      <c r="Y618" s="32">
        <f>(uNES*L618+ uOCEX*G618+uEREX*'PH + UC'!H618+uHOEX*I618+uNES*S618+ uOCEX*N618+uEREX*O618+uHOEX*P618)/(1+oDR)^A$5:A$65536</f>
        <v>451.84840101359265</v>
      </c>
    </row>
    <row r="619" spans="1:25" x14ac:dyDescent="0.25">
      <c r="A619" s="4">
        <v>613</v>
      </c>
      <c r="C619" s="110">
        <f>IF(male=0,VLOOKUP(((A617:A1451/'Life tables'!$I$2)*2)+age,lifetable,13,1),IF(male=1,VLOOKUP(((A617:A1451/'Life tables'!$I$2)*2)+age,lifetable,10,1),"error"))</f>
        <v>5.3177043245611344E-4</v>
      </c>
      <c r="F619" s="101">
        <f t="shared" si="162"/>
        <v>130.50568180479405</v>
      </c>
      <c r="G619" s="101">
        <f t="shared" si="163"/>
        <v>13.109568870635206</v>
      </c>
      <c r="H619" s="101">
        <f t="shared" si="164"/>
        <v>0.29999637783495603</v>
      </c>
      <c r="I619" s="101">
        <f t="shared" si="165"/>
        <v>0.29999637783495603</v>
      </c>
      <c r="J619" s="101">
        <f t="shared" si="166"/>
        <v>7.6689402366119278E-2</v>
      </c>
      <c r="K619" s="101">
        <f t="shared" si="167"/>
        <v>2.3516452161119278E-2</v>
      </c>
      <c r="L619" s="101">
        <f t="shared" si="174"/>
        <v>116.69591432396169</v>
      </c>
      <c r="M619" s="101">
        <f t="shared" si="168"/>
        <v>688.00009056030046</v>
      </c>
      <c r="N619" s="101">
        <f t="shared" si="169"/>
        <v>66.255899360864831</v>
      </c>
      <c r="O619" s="101">
        <f t="shared" si="170"/>
        <v>1.5815214499774366</v>
      </c>
      <c r="P619" s="101">
        <f t="shared" si="171"/>
        <v>1.5815214499774366</v>
      </c>
      <c r="Q619" s="101">
        <f t="shared" si="172"/>
        <v>0.40277304663377828</v>
      </c>
      <c r="R619" s="101">
        <f t="shared" si="173"/>
        <v>1.8426080762654611E-2</v>
      </c>
      <c r="S619" s="101">
        <f t="shared" si="175"/>
        <v>618.15994917208434</v>
      </c>
      <c r="T619" s="101">
        <f t="shared" si="176"/>
        <v>150.1045624721572</v>
      </c>
      <c r="U619" s="101">
        <f t="shared" si="177"/>
        <v>31.911070144671964</v>
      </c>
      <c r="V619" s="33">
        <f t="shared" si="178"/>
        <v>1000</v>
      </c>
      <c r="W619" s="105">
        <f>IF(A619=1,((cPH1_+cPHr+(cNES*L619+(cNES+cOSEX)*G619+(cNES+cEREX)*H619+(cNES+cHOEX)*I619 + (cNES+cNES)*S619 +(cNES+ cOSEX)*N619 + (cNES+cEREX)*O619 + (cNES+cHOEX)*P619)))/(1+cDR)^A$5:A$65536,(cPHr+(cNES*L619+(cNES+cOSEX)*G619+(cNES+cEREX)*H619+(cNES+cHOEX)*I619 + (cNES+cNES)*S619 +(cNES+ cOSEX)*N619 + (cNES+cEREX)*O619 + (cNES+cHOEX)*P619))/(1+cDR)^A$5:A$65536)</f>
        <v>79315.531649827215</v>
      </c>
      <c r="X619" s="112">
        <f t="shared" si="179"/>
        <v>817.98436738317082</v>
      </c>
      <c r="Y619" s="32">
        <f>(uNES*L619+ uOCEX*G619+uEREX*'PH + UC'!H619+uHOEX*I619+uNES*S619+ uOCEX*N619+uEREX*O619+uHOEX*P619)/(1+oDR)^A$5:A$65536</f>
        <v>451.43070079001342</v>
      </c>
    </row>
    <row r="620" spans="1:25" x14ac:dyDescent="0.25">
      <c r="A620" s="4">
        <v>614</v>
      </c>
      <c r="C620" s="110">
        <f>IF(male=0,VLOOKUP(((A618:A1452/'Life tables'!$I$2)*2)+age,lifetable,13,1),IF(male=1,VLOOKUP(((A618:A1452/'Life tables'!$I$2)*2)+age,lifetable,10,1),"error"))</f>
        <v>5.3177043245611344E-4</v>
      </c>
      <c r="F620" s="101">
        <f t="shared" si="162"/>
        <v>130.42253465334292</v>
      </c>
      <c r="G620" s="101">
        <f t="shared" si="163"/>
        <v>13.101216565254539</v>
      </c>
      <c r="H620" s="101">
        <f t="shared" si="164"/>
        <v>0.29980524558754978</v>
      </c>
      <c r="I620" s="101">
        <f t="shared" si="165"/>
        <v>0.29980524558754978</v>
      </c>
      <c r="J620" s="101">
        <f t="shared" si="166"/>
        <v>7.6640542383434623E-2</v>
      </c>
      <c r="K620" s="101">
        <f t="shared" si="167"/>
        <v>2.350146947237812E-2</v>
      </c>
      <c r="L620" s="101">
        <f t="shared" si="174"/>
        <v>116.62156558505747</v>
      </c>
      <c r="M620" s="101">
        <f t="shared" si="168"/>
        <v>687.56183272982798</v>
      </c>
      <c r="N620" s="101">
        <f t="shared" si="169"/>
        <v>66.213694182248872</v>
      </c>
      <c r="O620" s="101">
        <f t="shared" si="170"/>
        <v>1.5805140167386587</v>
      </c>
      <c r="P620" s="101">
        <f t="shared" si="171"/>
        <v>1.5805140167386587</v>
      </c>
      <c r="Q620" s="101">
        <f t="shared" si="172"/>
        <v>0.40251647916523803</v>
      </c>
      <c r="R620" s="101">
        <f t="shared" si="173"/>
        <v>1.8414343301729898E-2</v>
      </c>
      <c r="S620" s="101">
        <f t="shared" si="175"/>
        <v>617.76617969163476</v>
      </c>
      <c r="T620" s="101">
        <f t="shared" si="176"/>
        <v>150.58371949370587</v>
      </c>
      <c r="U620" s="101">
        <f t="shared" si="177"/>
        <v>31.952985957446071</v>
      </c>
      <c r="V620" s="33">
        <f t="shared" si="178"/>
        <v>1000</v>
      </c>
      <c r="W620" s="105">
        <f>IF(A620=1,((cPH1_+cPHr+(cNES*L620+(cNES+cOSEX)*G620+(cNES+cEREX)*H620+(cNES+cHOEX)*I620 + (cNES+cNES)*S620 +(cNES+ cOSEX)*N620 + (cNES+cEREX)*O620 + (cNES+cHOEX)*P620)))/(1+cDR)^A$5:A$65536,(cPHr+(cNES*L620+(cNES+cOSEX)*G620+(cNES+cEREX)*H620+(cNES+cHOEX)*I620 + (cNES+cNES)*S620 +(cNES+ cOSEX)*N620 + (cNES+cEREX)*O620 + (cNES+cHOEX)*P620))/(1+cDR)^A$5:A$65536)</f>
        <v>79173.91025032269</v>
      </c>
      <c r="X620" s="112">
        <f t="shared" si="179"/>
        <v>817.46329454884801</v>
      </c>
      <c r="Y620" s="32">
        <f>(uNES*L620+ uOCEX*G620+uEREX*'PH + UC'!H620+uHOEX*I620+uNES*S620+ uOCEX*N620+uEREX*O620+uHOEX*P620)/(1+oDR)^A$5:A$65536</f>
        <v>451.01338670007368</v>
      </c>
    </row>
    <row r="621" spans="1:25" x14ac:dyDescent="0.25">
      <c r="A621" s="4">
        <v>615</v>
      </c>
      <c r="C621" s="110">
        <f>IF(male=0,VLOOKUP(((A619:A1453/'Life tables'!$I$2)*2)+age,lifetable,13,1),IF(male=1,VLOOKUP(((A619:A1453/'Life tables'!$I$2)*2)+age,lifetable,10,1),"error"))</f>
        <v>5.3177043245611344E-4</v>
      </c>
      <c r="F621" s="101">
        <f t="shared" si="162"/>
        <v>130.33944102758812</v>
      </c>
      <c r="G621" s="101">
        <f t="shared" si="163"/>
        <v>13.092869636642092</v>
      </c>
      <c r="H621" s="101">
        <f t="shared" si="164"/>
        <v>0.29961423638087864</v>
      </c>
      <c r="I621" s="101">
        <f t="shared" si="165"/>
        <v>0.29961423638087864</v>
      </c>
      <c r="J621" s="101">
        <f t="shared" si="166"/>
        <v>7.6591713854197843E-2</v>
      </c>
      <c r="K621" s="101">
        <f t="shared" si="167"/>
        <v>2.3486496428691949E-2</v>
      </c>
      <c r="L621" s="101">
        <f t="shared" si="174"/>
        <v>116.54726470790138</v>
      </c>
      <c r="M621" s="101">
        <f t="shared" si="168"/>
        <v>687.12385352126</v>
      </c>
      <c r="N621" s="101">
        <f t="shared" si="169"/>
        <v>66.17151583552598</v>
      </c>
      <c r="O621" s="101">
        <f t="shared" si="170"/>
        <v>1.5795072239743868</v>
      </c>
      <c r="P621" s="101">
        <f t="shared" si="171"/>
        <v>1.5795072239743868</v>
      </c>
      <c r="Q621" s="101">
        <f t="shared" si="172"/>
        <v>0.4022600748091667</v>
      </c>
      <c r="R621" s="101">
        <f t="shared" si="173"/>
        <v>1.8402613302882273E-2</v>
      </c>
      <c r="S621" s="101">
        <f t="shared" si="175"/>
        <v>617.37266054967324</v>
      </c>
      <c r="T621" s="101">
        <f t="shared" si="176"/>
        <v>151.06257128236925</v>
      </c>
      <c r="U621" s="101">
        <f t="shared" si="177"/>
        <v>31.994875067177645</v>
      </c>
      <c r="V621" s="33">
        <f t="shared" si="178"/>
        <v>1000.0000000000001</v>
      </c>
      <c r="W621" s="105">
        <f>IF(A621=1,((cPH1_+cPHr+(cNES*L621+(cNES+cOSEX)*G621+(cNES+cEREX)*H621+(cNES+cHOEX)*I621 + (cNES+cNES)*S621 +(cNES+ cOSEX)*N621 + (cNES+cEREX)*O621 + (cNES+cHOEX)*P621)))/(1+cDR)^A$5:A$65536,(cPHr+(cNES*L621+(cNES+cOSEX)*G621+(cNES+cEREX)*H621+(cNES+cHOEX)*I621 + (cNES+cNES)*S621 +(cNES+ cOSEX)*N621 + (cNES+cEREX)*O621 + (cNES+cHOEX)*P621))/(1+cDR)^A$5:A$65536)</f>
        <v>79032.541704861709</v>
      </c>
      <c r="X621" s="112">
        <f t="shared" si="179"/>
        <v>816.94255365045319</v>
      </c>
      <c r="Y621" s="32">
        <f>(uNES*L621+ uOCEX*G621+uEREX*'PH + UC'!H621+uHOEX*I621+uNES*S621+ uOCEX*N621+uEREX*O621+uHOEX*P621)/(1+oDR)^A$5:A$65536</f>
        <v>450.59645838678182</v>
      </c>
    </row>
    <row r="622" spans="1:25" x14ac:dyDescent="0.25">
      <c r="A622" s="4">
        <v>616</v>
      </c>
      <c r="C622" s="110">
        <f>IF(male=0,VLOOKUP(((A620:A1454/'Life tables'!$I$2)*2)+age,lifetable,13,1),IF(male=1,VLOOKUP(((A620:A1454/'Life tables'!$I$2)*2)+age,lifetable,10,1),"error"))</f>
        <v>5.3177043245611344E-4</v>
      </c>
      <c r="F622" s="101">
        <f t="shared" si="162"/>
        <v>130.25640086812678</v>
      </c>
      <c r="G622" s="101">
        <f t="shared" si="163"/>
        <v>13.084528078830722</v>
      </c>
      <c r="H622" s="101">
        <f t="shared" si="164"/>
        <v>0.29942335007839177</v>
      </c>
      <c r="I622" s="101">
        <f t="shared" si="165"/>
        <v>0.29942335007839177</v>
      </c>
      <c r="J622" s="101">
        <f t="shared" si="166"/>
        <v>7.6542916743501915E-2</v>
      </c>
      <c r="K622" s="101">
        <f t="shared" si="167"/>
        <v>2.3471533019356672E-2</v>
      </c>
      <c r="L622" s="101">
        <f t="shared" si="174"/>
        <v>116.47301163937641</v>
      </c>
      <c r="M622" s="101">
        <f t="shared" si="168"/>
        <v>686.6861527823263</v>
      </c>
      <c r="N622" s="101">
        <f t="shared" si="169"/>
        <v>66.129364306032215</v>
      </c>
      <c r="O622" s="101">
        <f t="shared" si="170"/>
        <v>1.5785010713345946</v>
      </c>
      <c r="P622" s="101">
        <f t="shared" si="171"/>
        <v>1.5785010713345946</v>
      </c>
      <c r="Q622" s="101">
        <f t="shared" si="172"/>
        <v>0.4020038334764211</v>
      </c>
      <c r="R622" s="101">
        <f t="shared" si="173"/>
        <v>1.8390890762033627E-2</v>
      </c>
      <c r="S622" s="101">
        <f t="shared" si="175"/>
        <v>616.97939160938643</v>
      </c>
      <c r="T622" s="101">
        <f t="shared" si="176"/>
        <v>151.54111803258917</v>
      </c>
      <c r="U622" s="101">
        <f t="shared" si="177"/>
        <v>32.036737490959034</v>
      </c>
      <c r="V622" s="33">
        <f t="shared" si="178"/>
        <v>1000</v>
      </c>
      <c r="W622" s="105">
        <f>IF(A622=1,((cPH1_+cPHr+(cNES*L622+(cNES+cOSEX)*G622+(cNES+cEREX)*H622+(cNES+cHOEX)*I622 + (cNES+cNES)*S622 +(cNES+ cOSEX)*N622 + (cNES+cEREX)*O622 + (cNES+cHOEX)*P622)))/(1+cDR)^A$5:A$65536,(cPHr+(cNES*L622+(cNES+cOSEX)*G622+(cNES+cEREX)*H622+(cNES+cHOEX)*I622 + (cNES+cNES)*S622 +(cNES+ cOSEX)*N622 + (cNES+cEREX)*O622 + (cNES+cHOEX)*P622))/(1+cDR)^A$5:A$65536)</f>
        <v>78891.425563018231</v>
      </c>
      <c r="X622" s="112">
        <f t="shared" si="179"/>
        <v>816.42214447645176</v>
      </c>
      <c r="Y622" s="32">
        <f>(uNES*L622+ uOCEX*G622+uEREX*'PH + UC'!H622+uHOEX*I622+uNES*S622+ uOCEX*N622+uEREX*O622+uHOEX*P622)/(1+oDR)^A$5:A$65536</f>
        <v>450.17991549347698</v>
      </c>
    </row>
    <row r="623" spans="1:25" x14ac:dyDescent="0.25">
      <c r="A623" s="4">
        <v>617</v>
      </c>
      <c r="C623" s="110">
        <f>IF(male=0,VLOOKUP(((A621:A1455/'Life tables'!$I$2)*2)+age,lifetable,13,1),IF(male=1,VLOOKUP(((A621:A1455/'Life tables'!$I$2)*2)+age,lifetable,10,1),"error"))</f>
        <v>5.3177043245611344E-4</v>
      </c>
      <c r="F623" s="101">
        <f t="shared" si="162"/>
        <v>130.173414116739</v>
      </c>
      <c r="G623" s="101">
        <f t="shared" si="163"/>
        <v>13.076191885972118</v>
      </c>
      <c r="H623" s="101">
        <f t="shared" si="164"/>
        <v>0.29923258654625789</v>
      </c>
      <c r="I623" s="101">
        <f t="shared" si="165"/>
        <v>0.29923258654625789</v>
      </c>
      <c r="J623" s="101">
        <f t="shared" si="166"/>
        <v>7.6494151017134873E-2</v>
      </c>
      <c r="K623" s="101">
        <f t="shared" si="167"/>
        <v>2.3456579233881367E-2</v>
      </c>
      <c r="L623" s="101">
        <f t="shared" si="174"/>
        <v>116.39880632742334</v>
      </c>
      <c r="M623" s="101">
        <f t="shared" si="168"/>
        <v>686.24873035971279</v>
      </c>
      <c r="N623" s="101">
        <f t="shared" si="169"/>
        <v>66.087239579003082</v>
      </c>
      <c r="O623" s="101">
        <f t="shared" si="170"/>
        <v>1.5774955584668549</v>
      </c>
      <c r="P623" s="101">
        <f t="shared" si="171"/>
        <v>1.5774955584668549</v>
      </c>
      <c r="Q623" s="101">
        <f t="shared" si="172"/>
        <v>0.40174775507724758</v>
      </c>
      <c r="R623" s="101">
        <f t="shared" si="173"/>
        <v>1.8379175675077884E-2</v>
      </c>
      <c r="S623" s="101">
        <f t="shared" si="175"/>
        <v>616.58637273302372</v>
      </c>
      <c r="T623" s="101">
        <f t="shared" si="176"/>
        <v>152.01935993868355</v>
      </c>
      <c r="U623" s="101">
        <f t="shared" si="177"/>
        <v>32.078573245867993</v>
      </c>
      <c r="V623" s="33">
        <f t="shared" si="178"/>
        <v>1000.0000000000001</v>
      </c>
      <c r="W623" s="105">
        <f>IF(A623=1,((cPH1_+cPHr+(cNES*L623+(cNES+cOSEX)*G623+(cNES+cEREX)*H623+(cNES+cHOEX)*I623 + (cNES+cNES)*S623 +(cNES+ cOSEX)*N623 + (cNES+cEREX)*O623 + (cNES+cHOEX)*P623)))/(1+cDR)^A$5:A$65536,(cPHr+(cNES*L623+(cNES+cOSEX)*G623+(cNES+cEREX)*H623+(cNES+cHOEX)*I623 + (cNES+cNES)*S623 +(cNES+ cOSEX)*N623 + (cNES+cEREX)*O623 + (cNES+cHOEX)*P623))/(1+cDR)^A$5:A$65536)</f>
        <v>78750.561375120917</v>
      </c>
      <c r="X623" s="112">
        <f t="shared" si="179"/>
        <v>815.90206681544851</v>
      </c>
      <c r="Y623" s="32">
        <f>(uNES*L623+ uOCEX*G623+uEREX*'PH + UC'!H623+uHOEX*I623+uNES*S623+ uOCEX*N623+uEREX*O623+uHOEX*P623)/(1+oDR)^A$5:A$65536</f>
        <v>449.7637576638316</v>
      </c>
    </row>
    <row r="624" spans="1:25" x14ac:dyDescent="0.25">
      <c r="A624" s="4">
        <v>618</v>
      </c>
      <c r="C624" s="110">
        <f>IF(male=0,VLOOKUP(((A622:A1456/'Life tables'!$I$2)*2)+age,lifetable,13,1),IF(male=1,VLOOKUP(((A622:A1456/'Life tables'!$I$2)*2)+age,lifetable,10,1),"error"))</f>
        <v>5.3177043245611344E-4</v>
      </c>
      <c r="F624" s="101">
        <f t="shared" si="162"/>
        <v>130.09048071633515</v>
      </c>
      <c r="G624" s="101">
        <f t="shared" si="163"/>
        <v>13.067861052331507</v>
      </c>
      <c r="H624" s="101">
        <f t="shared" si="164"/>
        <v>0.29904194565324371</v>
      </c>
      <c r="I624" s="101">
        <f t="shared" si="165"/>
        <v>0.29904194565324371</v>
      </c>
      <c r="J624" s="101">
        <f t="shared" si="166"/>
        <v>7.6445416641549052E-2</v>
      </c>
      <c r="K624" s="101">
        <f t="shared" si="167"/>
        <v>2.3441635061978772E-2</v>
      </c>
      <c r="L624" s="101">
        <f t="shared" si="174"/>
        <v>116.32464872099362</v>
      </c>
      <c r="M624" s="101">
        <f t="shared" si="168"/>
        <v>685.81158609911313</v>
      </c>
      <c r="N624" s="101">
        <f t="shared" si="169"/>
        <v>66.045141639578574</v>
      </c>
      <c r="O624" s="101">
        <f t="shared" si="170"/>
        <v>1.5764906850164606</v>
      </c>
      <c r="P624" s="101">
        <f t="shared" si="171"/>
        <v>1.5764906850164606</v>
      </c>
      <c r="Q624" s="101">
        <f t="shared" si="172"/>
        <v>0.40149183952131096</v>
      </c>
      <c r="R624" s="101">
        <f t="shared" si="173"/>
        <v>1.83674680378824E-2</v>
      </c>
      <c r="S624" s="101">
        <f t="shared" si="175"/>
        <v>616.19360378194244</v>
      </c>
      <c r="T624" s="101">
        <f t="shared" si="176"/>
        <v>152.4972971948464</v>
      </c>
      <c r="U624" s="101">
        <f t="shared" si="177"/>
        <v>32.120382348967851</v>
      </c>
      <c r="V624" s="33">
        <f t="shared" si="178"/>
        <v>999.99999999999977</v>
      </c>
      <c r="W624" s="105">
        <f>IF(A624=1,((cPH1_+cPHr+(cNES*L624+(cNES+cOSEX)*G624+(cNES+cEREX)*H624+(cNES+cHOEX)*I624 + (cNES+cNES)*S624 +(cNES+ cOSEX)*N624 + (cNES+cEREX)*O624 + (cNES+cHOEX)*P624)))/(1+cDR)^A$5:A$65536,(cPHr+(cNES*L624+(cNES+cOSEX)*G624+(cNES+cEREX)*H624+(cNES+cHOEX)*I624 + (cNES+cNES)*S624 +(cNES+ cOSEX)*N624 + (cNES+cEREX)*O624 + (cNES+cHOEX)*P624))/(1+cDR)^A$5:A$65536)</f>
        <v>78609.948692253805</v>
      </c>
      <c r="X624" s="112">
        <f t="shared" si="179"/>
        <v>815.38232045618554</v>
      </c>
      <c r="Y624" s="32">
        <f>(uNES*L624+ uOCEX*G624+uEREX*'PH + UC'!H624+uHOEX*I624+uNES*S624+ uOCEX*N624+uEREX*O624+uHOEX*P624)/(1+oDR)^A$5:A$65536</f>
        <v>449.34798454184687</v>
      </c>
    </row>
    <row r="625" spans="1:25" x14ac:dyDescent="0.25">
      <c r="A625" s="4">
        <v>619</v>
      </c>
      <c r="C625" s="110">
        <f>IF(male=0,VLOOKUP(((A623:A1457/'Life tables'!$I$2)*2)+age,lifetable,13,1),IF(male=1,VLOOKUP(((A623:A1457/'Life tables'!$I$2)*2)+age,lifetable,10,1),"error"))</f>
        <v>5.3177043245611344E-4</v>
      </c>
      <c r="F625" s="101">
        <f t="shared" si="162"/>
        <v>130.00760061090585</v>
      </c>
      <c r="G625" s="101">
        <f t="shared" si="163"/>
        <v>13.059535572282631</v>
      </c>
      <c r="H625" s="101">
        <f t="shared" si="164"/>
        <v>0.29885142727059921</v>
      </c>
      <c r="I625" s="101">
        <f t="shared" si="165"/>
        <v>0.29885142727059921</v>
      </c>
      <c r="J625" s="101">
        <f t="shared" si="166"/>
        <v>7.6396713583831447E-2</v>
      </c>
      <c r="K625" s="101">
        <f t="shared" si="167"/>
        <v>2.3426700493556288E-2</v>
      </c>
      <c r="L625" s="101">
        <f t="shared" si="174"/>
        <v>116.25053877000464</v>
      </c>
      <c r="M625" s="101">
        <f t="shared" si="168"/>
        <v>685.37471984527963</v>
      </c>
      <c r="N625" s="101">
        <f t="shared" si="169"/>
        <v>66.003070472807963</v>
      </c>
      <c r="O625" s="101">
        <f t="shared" si="170"/>
        <v>1.5754864506265402</v>
      </c>
      <c r="P625" s="101">
        <f t="shared" si="171"/>
        <v>1.5754864506265402</v>
      </c>
      <c r="Q625" s="101">
        <f t="shared" si="172"/>
        <v>0.4012360867177252</v>
      </c>
      <c r="R625" s="101">
        <f t="shared" si="173"/>
        <v>1.8355767846289315E-2</v>
      </c>
      <c r="S625" s="101">
        <f t="shared" si="175"/>
        <v>615.80108461665452</v>
      </c>
      <c r="T625" s="101">
        <f t="shared" si="176"/>
        <v>152.97492999514796</v>
      </c>
      <c r="U625" s="101">
        <f t="shared" si="177"/>
        <v>32.162164817307698</v>
      </c>
      <c r="V625" s="33">
        <f t="shared" si="178"/>
        <v>999.99999999999966</v>
      </c>
      <c r="W625" s="105">
        <f>IF(A625=1,((cPH1_+cPHr+(cNES*L625+(cNES+cOSEX)*G625+(cNES+cEREX)*H625+(cNES+cHOEX)*I625 + (cNES+cNES)*S625 +(cNES+ cOSEX)*N625 + (cNES+cEREX)*O625 + (cNES+cHOEX)*P625)))/(1+cDR)^A$5:A$65536,(cPHr+(cNES*L625+(cNES+cOSEX)*G625+(cNES+cEREX)*H625+(cNES+cHOEX)*I625 + (cNES+cNES)*S625 +(cNES+ cOSEX)*N625 + (cNES+cEREX)*O625 + (cNES+cHOEX)*P625))/(1+cDR)^A$5:A$65536)</f>
        <v>78469.587066257489</v>
      </c>
      <c r="X625" s="112">
        <f t="shared" si="179"/>
        <v>814.86290518754402</v>
      </c>
      <c r="Y625" s="32">
        <f>(uNES*L625+ uOCEX*G625+uEREX*'PH + UC'!H625+uHOEX*I625+uNES*S625+ uOCEX*N625+uEREX*O625+uHOEX*P625)/(1+oDR)^A$5:A$65536</f>
        <v>448.93259577185637</v>
      </c>
    </row>
    <row r="626" spans="1:25" x14ac:dyDescent="0.25">
      <c r="A626" s="4">
        <v>620</v>
      </c>
      <c r="C626" s="110">
        <f>IF(male=0,VLOOKUP(((A624:A1458/'Life tables'!$I$2)*2)+age,lifetable,13,1),IF(male=1,VLOOKUP(((A624:A1458/'Life tables'!$I$2)*2)+age,lifetable,10,1),"error"))</f>
        <v>5.3177043245611344E-4</v>
      </c>
      <c r="F626" s="101">
        <f t="shared" si="162"/>
        <v>129.92477374547389</v>
      </c>
      <c r="G626" s="101">
        <f t="shared" si="163"/>
        <v>13.051215440302911</v>
      </c>
      <c r="H626" s="101">
        <f t="shared" si="164"/>
        <v>0.29866103127194699</v>
      </c>
      <c r="I626" s="101">
        <f t="shared" si="165"/>
        <v>0.29866103127194699</v>
      </c>
      <c r="J626" s="101">
        <f t="shared" si="166"/>
        <v>7.6348041811675663E-2</v>
      </c>
      <c r="K626" s="101">
        <f t="shared" si="167"/>
        <v>2.3411775518707302E-2</v>
      </c>
      <c r="L626" s="101">
        <f t="shared" si="174"/>
        <v>116.1764764252967</v>
      </c>
      <c r="M626" s="101">
        <f t="shared" si="168"/>
        <v>684.93813144207002</v>
      </c>
      <c r="N626" s="101">
        <f t="shared" si="169"/>
        <v>65.961026063654444</v>
      </c>
      <c r="O626" s="101">
        <f t="shared" si="170"/>
        <v>1.5744828549381662</v>
      </c>
      <c r="P626" s="101">
        <f t="shared" si="171"/>
        <v>1.5744828549381662</v>
      </c>
      <c r="Q626" s="101">
        <f t="shared" si="172"/>
        <v>0.40098049657508072</v>
      </c>
      <c r="R626" s="101">
        <f t="shared" si="173"/>
        <v>1.8344075096116817E-2</v>
      </c>
      <c r="S626" s="101">
        <f t="shared" si="175"/>
        <v>615.40881509686801</v>
      </c>
      <c r="T626" s="101">
        <f t="shared" si="176"/>
        <v>153.45225853353472</v>
      </c>
      <c r="U626" s="101">
        <f t="shared" si="177"/>
        <v>32.203920667922525</v>
      </c>
      <c r="V626" s="33">
        <f t="shared" si="178"/>
        <v>999.99999999999955</v>
      </c>
      <c r="W626" s="105">
        <f>IF(A626=1,((cPH1_+cPHr+(cNES*L626+(cNES+cOSEX)*G626+(cNES+cEREX)*H626+(cNES+cHOEX)*I626 + (cNES+cNES)*S626 +(cNES+ cOSEX)*N626 + (cNES+cEREX)*O626 + (cNES+cHOEX)*P626)))/(1+cDR)^A$5:A$65536,(cPHr+(cNES*L626+(cNES+cOSEX)*G626+(cNES+cEREX)*H626+(cNES+cHOEX)*I626 + (cNES+cNES)*S626 +(cNES+ cOSEX)*N626 + (cNES+cEREX)*O626 + (cNES+cHOEX)*P626))/(1+cDR)^A$5:A$65536)</f>
        <v>78329.476049729667</v>
      </c>
      <c r="X626" s="112">
        <f t="shared" si="179"/>
        <v>814.34382079854231</v>
      </c>
      <c r="Y626" s="32">
        <f>(uNES*L626+ uOCEX*G626+uEREX*'PH + UC'!H626+uHOEX*I626+uNES*S626+ uOCEX*N626+uEREX*O626+uHOEX*P626)/(1+oDR)^A$5:A$65536</f>
        <v>448.51759099852353</v>
      </c>
    </row>
    <row r="627" spans="1:25" x14ac:dyDescent="0.25">
      <c r="A627" s="4">
        <v>621</v>
      </c>
      <c r="C627" s="110">
        <f>IF(male=0,VLOOKUP(((A625:A1459/'Life tables'!$I$2)*2)+age,lifetable,13,1),IF(male=1,VLOOKUP(((A625:A1459/'Life tables'!$I$2)*2)+age,lifetable,10,1),"error"))</f>
        <v>5.3177043245611344E-4</v>
      </c>
      <c r="F627" s="101">
        <f t="shared" si="162"/>
        <v>129.84200006604854</v>
      </c>
      <c r="G627" s="101">
        <f t="shared" si="163"/>
        <v>13.042900650968869</v>
      </c>
      <c r="H627" s="101">
        <f t="shared" si="164"/>
        <v>0.29847075753317737</v>
      </c>
      <c r="I627" s="101">
        <f t="shared" si="165"/>
        <v>0.29847075753317737</v>
      </c>
      <c r="J627" s="101">
        <f t="shared" si="166"/>
        <v>7.6299401293355024E-2</v>
      </c>
      <c r="K627" s="101">
        <f t="shared" si="167"/>
        <v>2.3396860127702965E-2</v>
      </c>
      <c r="L627" s="101">
        <f t="shared" si="174"/>
        <v>116.10246163859226</v>
      </c>
      <c r="M627" s="101">
        <f t="shared" si="168"/>
        <v>684.5018207324938</v>
      </c>
      <c r="N627" s="101">
        <f t="shared" si="169"/>
        <v>65.919008396999487</v>
      </c>
      <c r="O627" s="101">
        <f t="shared" si="170"/>
        <v>1.5734798975904603</v>
      </c>
      <c r="P627" s="101">
        <f t="shared" si="171"/>
        <v>1.5734798975904603</v>
      </c>
      <c r="Q627" s="101">
        <f t="shared" si="172"/>
        <v>0.4007250690014712</v>
      </c>
      <c r="R627" s="101">
        <f t="shared" si="173"/>
        <v>1.8332389783160367E-2</v>
      </c>
      <c r="S627" s="101">
        <f t="shared" si="175"/>
        <v>615.01679508152881</v>
      </c>
      <c r="T627" s="101">
        <f t="shared" si="176"/>
        <v>153.92928300382954</v>
      </c>
      <c r="U627" s="101">
        <f t="shared" si="177"/>
        <v>32.24564991783339</v>
      </c>
      <c r="V627" s="33">
        <f t="shared" si="178"/>
        <v>999.99999999999955</v>
      </c>
      <c r="W627" s="105">
        <f>IF(A627=1,((cPH1_+cPHr+(cNES*L627+(cNES+cOSEX)*G627+(cNES+cEREX)*H627+(cNES+cHOEX)*I627 + (cNES+cNES)*S627 +(cNES+ cOSEX)*N627 + (cNES+cEREX)*O627 + (cNES+cHOEX)*P627)))/(1+cDR)^A$5:A$65536,(cPHr+(cNES*L627+(cNES+cOSEX)*G627+(cNES+cEREX)*H627+(cNES+cHOEX)*I627 + (cNES+cNES)*S627 +(cNES+ cOSEX)*N627 + (cNES+cEREX)*O627 + (cNES+cHOEX)*P627))/(1+cDR)^A$5:A$65536)</f>
        <v>78189.615196025727</v>
      </c>
      <c r="X627" s="112">
        <f t="shared" si="179"/>
        <v>813.8250670783367</v>
      </c>
      <c r="Y627" s="32">
        <f>(uNES*L627+ uOCEX*G627+uEREX*'PH + UC'!H627+uHOEX*I627+uNES*S627+ uOCEX*N627+uEREX*O627+uHOEX*P627)/(1+oDR)^A$5:A$65536</f>
        <v>448.10296986684131</v>
      </c>
    </row>
    <row r="628" spans="1:25" x14ac:dyDescent="0.25">
      <c r="A628" s="4">
        <v>622</v>
      </c>
      <c r="C628" s="110">
        <f>IF(male=0,VLOOKUP(((A626:A1460/'Life tables'!$I$2)*2)+age,lifetable,13,1),IF(male=1,VLOOKUP(((A626:A1460/'Life tables'!$I$2)*2)+age,lifetable,10,1),"error"))</f>
        <v>5.3177043245611344E-4</v>
      </c>
      <c r="F628" s="101">
        <f t="shared" si="162"/>
        <v>129.75927951958192</v>
      </c>
      <c r="G628" s="101">
        <f t="shared" si="163"/>
        <v>13.034591198951732</v>
      </c>
      <c r="H628" s="101">
        <f t="shared" si="164"/>
        <v>0.29828060593234801</v>
      </c>
      <c r="I628" s="101">
        <f t="shared" si="165"/>
        <v>0.29828060593234801</v>
      </c>
      <c r="J628" s="101">
        <f t="shared" si="166"/>
        <v>7.6250791997696826E-2</v>
      </c>
      <c r="K628" s="101">
        <f t="shared" si="167"/>
        <v>2.3381954310984325E-2</v>
      </c>
      <c r="L628" s="101">
        <f t="shared" si="174"/>
        <v>116.02849436245681</v>
      </c>
      <c r="M628" s="101">
        <f t="shared" si="168"/>
        <v>684.06578755875489</v>
      </c>
      <c r="N628" s="101">
        <f t="shared" si="169"/>
        <v>65.877017457646971</v>
      </c>
      <c r="O628" s="101">
        <f t="shared" si="170"/>
        <v>1.5724775782206937</v>
      </c>
      <c r="P628" s="101">
        <f t="shared" si="171"/>
        <v>1.5724775782206937</v>
      </c>
      <c r="Q628" s="101">
        <f t="shared" si="172"/>
        <v>0.40046980390451864</v>
      </c>
      <c r="R628" s="101">
        <f t="shared" si="173"/>
        <v>1.832071190319386E-2</v>
      </c>
      <c r="S628" s="101">
        <f t="shared" si="175"/>
        <v>614.62502442885875</v>
      </c>
      <c r="T628" s="101">
        <f t="shared" si="176"/>
        <v>154.40600359973175</v>
      </c>
      <c r="U628" s="101">
        <f t="shared" si="177"/>
        <v>32.287352584047568</v>
      </c>
      <c r="V628" s="33">
        <f t="shared" si="178"/>
        <v>999.99999999999966</v>
      </c>
      <c r="W628" s="105">
        <f>IF(A628=1,((cPH1_+cPHr+(cNES*L628+(cNES+cOSEX)*G628+(cNES+cEREX)*H628+(cNES+cHOEX)*I628 + (cNES+cNES)*S628 +(cNES+ cOSEX)*N628 + (cNES+cEREX)*O628 + (cNES+cHOEX)*P628)))/(1+cDR)^A$5:A$65536,(cPHr+(cNES*L628+(cNES+cOSEX)*G628+(cNES+cEREX)*H628+(cNES+cHOEX)*I628 + (cNES+cNES)*S628 +(cNES+ cOSEX)*N628 + (cNES+cEREX)*O628 + (cNES+cHOEX)*P628))/(1+cDR)^A$5:A$65536)</f>
        <v>78050.004059259532</v>
      </c>
      <c r="X628" s="112">
        <f t="shared" si="179"/>
        <v>813.30664381622034</v>
      </c>
      <c r="Y628" s="32">
        <f>(uNES*L628+ uOCEX*G628+uEREX*'PH + UC'!H628+uHOEX*I628+uNES*S628+ uOCEX*N628+uEREX*O628+uHOEX*P628)/(1+oDR)^A$5:A$65536</f>
        <v>447.68873202213314</v>
      </c>
    </row>
    <row r="629" spans="1:25" x14ac:dyDescent="0.25">
      <c r="A629" s="4">
        <v>623</v>
      </c>
      <c r="C629" s="110">
        <f>IF(male=0,VLOOKUP(((A627:A1461/'Life tables'!$I$2)*2)+age,lifetable,13,1),IF(male=1,VLOOKUP(((A627:A1461/'Life tables'!$I$2)*2)+age,lifetable,10,1),"error"))</f>
        <v>5.3177043245611344E-4</v>
      </c>
      <c r="F629" s="101">
        <f t="shared" si="162"/>
        <v>129.67661205392716</v>
      </c>
      <c r="G629" s="101">
        <f t="shared" si="163"/>
        <v>13.026287079013237</v>
      </c>
      <c r="H629" s="101">
        <f t="shared" si="164"/>
        <v>0.29809057634958758</v>
      </c>
      <c r="I629" s="101">
        <f t="shared" si="165"/>
        <v>0.29809057634958758</v>
      </c>
      <c r="J629" s="101">
        <f t="shared" si="166"/>
        <v>7.6202213894057874E-2</v>
      </c>
      <c r="K629" s="101">
        <f t="shared" si="167"/>
        <v>2.3367058059154774E-2</v>
      </c>
      <c r="L629" s="101">
        <f t="shared" si="174"/>
        <v>115.95457455026154</v>
      </c>
      <c r="M629" s="101">
        <f t="shared" si="168"/>
        <v>683.63003176229324</v>
      </c>
      <c r="N629" s="101">
        <f t="shared" si="169"/>
        <v>65.835053230327219</v>
      </c>
      <c r="O629" s="101">
        <f t="shared" si="170"/>
        <v>1.5714758964643805</v>
      </c>
      <c r="P629" s="101">
        <f t="shared" si="171"/>
        <v>1.5714758964643805</v>
      </c>
      <c r="Q629" s="101">
        <f t="shared" si="172"/>
        <v>0.40021470119139807</v>
      </c>
      <c r="R629" s="101">
        <f t="shared" si="173"/>
        <v>1.8309041451970723E-2</v>
      </c>
      <c r="S629" s="101">
        <f t="shared" si="175"/>
        <v>614.2335029963939</v>
      </c>
      <c r="T629" s="101">
        <f t="shared" si="176"/>
        <v>154.8824205148172</v>
      </c>
      <c r="U629" s="101">
        <f t="shared" si="177"/>
        <v>32.329028683558697</v>
      </c>
      <c r="V629" s="33">
        <f t="shared" si="178"/>
        <v>999.99999999999977</v>
      </c>
      <c r="W629" s="105">
        <f>IF(A629=1,((cPH1_+cPHr+(cNES*L629+(cNES+cOSEX)*G629+(cNES+cEREX)*H629+(cNES+cHOEX)*I629 + (cNES+cNES)*S629 +(cNES+ cOSEX)*N629 + (cNES+cEREX)*O629 + (cNES+cHOEX)*P629)))/(1+cDR)^A$5:A$65536,(cPHr+(cNES*L629+(cNES+cOSEX)*G629+(cNES+cEREX)*H629+(cNES+cHOEX)*I629 + (cNES+cNES)*S629 +(cNES+ cOSEX)*N629 + (cNES+cEREX)*O629 + (cNES+cHOEX)*P629))/(1+cDR)^A$5:A$65536)</f>
        <v>77910.64219430364</v>
      </c>
      <c r="X629" s="112">
        <f t="shared" si="179"/>
        <v>812.78855080162384</v>
      </c>
      <c r="Y629" s="32">
        <f>(uNES*L629+ uOCEX*G629+uEREX*'PH + UC'!H629+uHOEX*I629+uNES*S629+ uOCEX*N629+uEREX*O629+uHOEX*P629)/(1+oDR)^A$5:A$65536</f>
        <v>447.27487711005091</v>
      </c>
    </row>
    <row r="630" spans="1:25" x14ac:dyDescent="0.25">
      <c r="A630" s="4">
        <v>624</v>
      </c>
      <c r="C630" s="110">
        <f>IF(male=0,VLOOKUP(((A628:A1462/'Life tables'!$I$2)*2)+age,lifetable,13,1),IF(male=1,VLOOKUP(((A628:A1462/'Life tables'!$I$2)*2)+age,lifetable,10,1),"error"))</f>
        <v>5.3177043245611344E-4</v>
      </c>
      <c r="F630" s="101">
        <f t="shared" si="162"/>
        <v>129.59399761779872</v>
      </c>
      <c r="G630" s="101">
        <f t="shared" si="163"/>
        <v>13.017988286001646</v>
      </c>
      <c r="H630" s="101">
        <f t="shared" si="164"/>
        <v>0.29790066866700499</v>
      </c>
      <c r="I630" s="101">
        <f t="shared" si="165"/>
        <v>0.29790066866700499</v>
      </c>
      <c r="J630" s="101">
        <f t="shared" si="166"/>
        <v>7.6153666952301122E-2</v>
      </c>
      <c r="K630" s="101">
        <f t="shared" si="167"/>
        <v>2.3352171362972934E-2</v>
      </c>
      <c r="L630" s="101">
        <f t="shared" si="174"/>
        <v>115.88070215614779</v>
      </c>
      <c r="M630" s="101">
        <f t="shared" si="168"/>
        <v>683.19455318382495</v>
      </c>
      <c r="N630" s="101">
        <f t="shared" si="169"/>
        <v>65.793115699700863</v>
      </c>
      <c r="O630" s="101">
        <f t="shared" si="170"/>
        <v>1.5704748519553711</v>
      </c>
      <c r="P630" s="101">
        <f t="shared" si="171"/>
        <v>1.5704748519553711</v>
      </c>
      <c r="Q630" s="101">
        <f t="shared" si="172"/>
        <v>0.39995976076886031</v>
      </c>
      <c r="R630" s="101">
        <f t="shared" si="173"/>
        <v>1.8297378425225001E-2</v>
      </c>
      <c r="S630" s="101">
        <f t="shared" si="175"/>
        <v>613.84223064101923</v>
      </c>
      <c r="T630" s="101">
        <f t="shared" si="176"/>
        <v>155.35853394253837</v>
      </c>
      <c r="U630" s="101">
        <f t="shared" si="177"/>
        <v>32.370678233346894</v>
      </c>
      <c r="V630" s="33">
        <f t="shared" si="178"/>
        <v>999.99999999999943</v>
      </c>
      <c r="W630" s="105">
        <f>IF(A630=1,((cPH1_+cPHr+(cNES*L630+(cNES+cOSEX)*G630+(cNES+cEREX)*H630+(cNES+cHOEX)*I630 + (cNES+cNES)*S630 +(cNES+ cOSEX)*N630 + (cNES+cEREX)*O630 + (cNES+cHOEX)*P630)))/(1+cDR)^A$5:A$65536,(cPHr+(cNES*L630+(cNES+cOSEX)*G630+(cNES+cEREX)*H630+(cNES+cHOEX)*I630 + (cNES+cNES)*S630 +(cNES+ cOSEX)*N630 + (cNES+cEREX)*O630 + (cNES+cHOEX)*P630))/(1+cDR)^A$5:A$65536)</f>
        <v>77771.529156789795</v>
      </c>
      <c r="X630" s="112">
        <f t="shared" si="179"/>
        <v>812.27078782411422</v>
      </c>
      <c r="Y630" s="32">
        <f>(uNES*L630+ uOCEX*G630+uEREX*'PH + UC'!H630+uHOEX*I630+uNES*S630+ uOCEX*N630+uEREX*O630+uHOEX*P630)/(1+oDR)^A$5:A$65536</f>
        <v>446.8614047765746</v>
      </c>
    </row>
    <row r="631" spans="1:25" x14ac:dyDescent="0.25">
      <c r="A631" s="4">
        <v>625</v>
      </c>
      <c r="C631" s="110">
        <f>IF(male=0,VLOOKUP(((A629:A1463/'Life tables'!$I$2)*2)+age,lifetable,13,1),IF(male=1,VLOOKUP(((A629:A1463/'Life tables'!$I$2)*2)+age,lifetable,10,1),"error"))</f>
        <v>5.3177043245611344E-4</v>
      </c>
      <c r="F631" s="101">
        <f t="shared" si="162"/>
        <v>129.51143616073432</v>
      </c>
      <c r="G631" s="101">
        <f t="shared" si="163"/>
        <v>13.009694814847919</v>
      </c>
      <c r="H631" s="101">
        <f t="shared" si="164"/>
        <v>0.29771088276860141</v>
      </c>
      <c r="I631" s="101">
        <f t="shared" si="165"/>
        <v>0.29771088276860141</v>
      </c>
      <c r="J631" s="101">
        <f t="shared" si="166"/>
        <v>7.6105151142773247E-2</v>
      </c>
      <c r="K631" s="101">
        <f t="shared" si="167"/>
        <v>2.3337294213345749E-2</v>
      </c>
      <c r="L631" s="101">
        <f t="shared" si="174"/>
        <v>115.80687713499307</v>
      </c>
      <c r="M631" s="101">
        <f t="shared" si="168"/>
        <v>682.7593516633799</v>
      </c>
      <c r="N631" s="101">
        <f t="shared" si="169"/>
        <v>65.751204850362427</v>
      </c>
      <c r="O631" s="101">
        <f t="shared" si="170"/>
        <v>1.569474444325939</v>
      </c>
      <c r="P631" s="101">
        <f t="shared" si="171"/>
        <v>1.569474444325939</v>
      </c>
      <c r="Q631" s="101">
        <f t="shared" si="172"/>
        <v>0.39970498254325493</v>
      </c>
      <c r="R631" s="101">
        <f t="shared" si="173"/>
        <v>1.8285722818672367E-2</v>
      </c>
      <c r="S631" s="101">
        <f t="shared" si="175"/>
        <v>613.45120721900366</v>
      </c>
      <c r="T631" s="101">
        <f t="shared" si="176"/>
        <v>155.8343440762244</v>
      </c>
      <c r="U631" s="101">
        <f t="shared" si="177"/>
        <v>32.41230125037891</v>
      </c>
      <c r="V631" s="33">
        <f t="shared" si="178"/>
        <v>999.99999999999955</v>
      </c>
      <c r="W631" s="105">
        <f>IF(A631=1,((cPH1_+cPHr+(cNES*L631+(cNES+cOSEX)*G631+(cNES+cEREX)*H631+(cNES+cHOEX)*I631 + (cNES+cNES)*S631 +(cNES+ cOSEX)*N631 + (cNES+cEREX)*O631 + (cNES+cHOEX)*P631)))/(1+cDR)^A$5:A$65536,(cPHr+(cNES*L631+(cNES+cOSEX)*G631+(cNES+cEREX)*H631+(cNES+cHOEX)*I631 + (cNES+cNES)*S631 +(cNES+ cOSEX)*N631 + (cNES+cEREX)*O631 + (cNES+cHOEX)*P631))/(1+cDR)^A$5:A$65536)</f>
        <v>77632.664503109219</v>
      </c>
      <c r="X631" s="112">
        <f t="shared" si="179"/>
        <v>811.75335467339619</v>
      </c>
      <c r="Y631" s="32">
        <f>(uNES*L631+ uOCEX*G631+uEREX*'PH + UC'!H631+uHOEX*I631+uNES*S631+ uOCEX*N631+uEREX*O631+uHOEX*P631)/(1+oDR)^A$5:A$65536</f>
        <v>446.44831466801463</v>
      </c>
    </row>
    <row r="632" spans="1:25" x14ac:dyDescent="0.25">
      <c r="A632" s="4">
        <v>626</v>
      </c>
      <c r="C632" s="110">
        <f>IF(male=0,VLOOKUP(((A630:A1464/'Life tables'!$I$2)*2)+age,lifetable,13,1),IF(male=1,VLOOKUP(((A630:A1464/'Life tables'!$I$2)*2)+age,lifetable,10,1),"error"))</f>
        <v>5.6976556749510632E-4</v>
      </c>
      <c r="F632" s="101">
        <f t="shared" si="162"/>
        <v>129.42892763305858</v>
      </c>
      <c r="G632" s="101">
        <f t="shared" si="163"/>
        <v>13.001406660562056</v>
      </c>
      <c r="H632" s="101">
        <f t="shared" si="164"/>
        <v>0.29752121854018687</v>
      </c>
      <c r="I632" s="101">
        <f t="shared" si="165"/>
        <v>0.29752121854018687</v>
      </c>
      <c r="J632" s="101">
        <f t="shared" si="166"/>
        <v>8.1490934939169216E-2</v>
      </c>
      <c r="K632" s="101">
        <f t="shared" si="167"/>
        <v>2.3322426601321982E-2</v>
      </c>
      <c r="L632" s="101">
        <f t="shared" si="174"/>
        <v>115.72766517387566</v>
      </c>
      <c r="M632" s="101">
        <f t="shared" si="168"/>
        <v>682.32442704033747</v>
      </c>
      <c r="N632" s="101">
        <f t="shared" si="169"/>
        <v>65.709320666843794</v>
      </c>
      <c r="O632" s="101">
        <f t="shared" si="170"/>
        <v>1.5684746732068613</v>
      </c>
      <c r="P632" s="101">
        <f t="shared" si="171"/>
        <v>1.5684746732068613</v>
      </c>
      <c r="Q632" s="101">
        <f t="shared" si="172"/>
        <v>0.42799119849243616</v>
      </c>
      <c r="R632" s="101">
        <f t="shared" si="173"/>
        <v>1.8274074628011051E-2</v>
      </c>
      <c r="S632" s="101">
        <f t="shared" si="175"/>
        <v>613.03189175395948</v>
      </c>
      <c r="T632" s="101">
        <f t="shared" si="176"/>
        <v>156.34382620965602</v>
      </c>
      <c r="U632" s="101">
        <f t="shared" si="177"/>
        <v>32.453897751608245</v>
      </c>
      <c r="V632" s="33">
        <f t="shared" si="178"/>
        <v>999.99999999999943</v>
      </c>
      <c r="W632" s="105">
        <f>IF(A632=1,((cPH1_+cPHr+(cNES*L632+(cNES+cOSEX)*G632+(cNES+cEREX)*H632+(cNES+cHOEX)*I632 + (cNES+cNES)*S632 +(cNES+ cOSEX)*N632 + (cNES+cEREX)*O632 + (cNES+cHOEX)*P632)))/(1+cDR)^A$5:A$65536,(cPHr+(cNES*L632+(cNES+cOSEX)*G632+(cNES+cEREX)*H632+(cNES+cHOEX)*I632 + (cNES+cNES)*S632 +(cNES+ cOSEX)*N632 + (cNES+cEREX)*O632 + (cNES+cHOEX)*P632))/(1+cDR)^A$5:A$65536)</f>
        <v>77491.234672936655</v>
      </c>
      <c r="X632" s="112">
        <f t="shared" si="179"/>
        <v>811.20227603873514</v>
      </c>
      <c r="Y632" s="32">
        <f>(uNES*L632+ uOCEX*G632+uEREX*'PH + UC'!H632+uHOEX*I632+uNES*S632+ uOCEX*N632+uEREX*O632+uHOEX*P632)/(1+oDR)^A$5:A$65536</f>
        <v>446.01662235439306</v>
      </c>
    </row>
    <row r="633" spans="1:25" x14ac:dyDescent="0.25">
      <c r="A633" s="4">
        <v>627</v>
      </c>
      <c r="C633" s="110">
        <f>IF(male=0,VLOOKUP(((A631:A1465/'Life tables'!$I$2)*2)+age,lifetable,13,1),IF(male=1,VLOOKUP(((A631:A1465/'Life tables'!$I$2)*2)+age,lifetable,10,1),"error"))</f>
        <v>5.6976556749510632E-4</v>
      </c>
      <c r="F633" s="101">
        <f t="shared" si="162"/>
        <v>129.34103780418633</v>
      </c>
      <c r="G633" s="101">
        <f t="shared" si="163"/>
        <v>12.992577943308561</v>
      </c>
      <c r="H633" s="101">
        <f t="shared" si="164"/>
        <v>0.29731918419236708</v>
      </c>
      <c r="I633" s="101">
        <f t="shared" si="165"/>
        <v>0.29731918419236708</v>
      </c>
      <c r="J633" s="101">
        <f t="shared" si="166"/>
        <v>8.1435597817418937E-2</v>
      </c>
      <c r="K633" s="101">
        <f t="shared" si="167"/>
        <v>2.3306589306519639E-2</v>
      </c>
      <c r="L633" s="101">
        <f t="shared" si="174"/>
        <v>115.6490793053691</v>
      </c>
      <c r="M633" s="101">
        <f t="shared" si="168"/>
        <v>681.86123823454886</v>
      </c>
      <c r="N633" s="101">
        <f t="shared" si="169"/>
        <v>65.664714581288763</v>
      </c>
      <c r="O633" s="101">
        <f t="shared" si="170"/>
        <v>1.5674099305683138</v>
      </c>
      <c r="P633" s="101">
        <f t="shared" si="171"/>
        <v>1.5674099305683138</v>
      </c>
      <c r="Q633" s="101">
        <f t="shared" si="172"/>
        <v>0.42770066114061123</v>
      </c>
      <c r="R633" s="101">
        <f t="shared" si="173"/>
        <v>1.8261669463446512E-2</v>
      </c>
      <c r="S633" s="101">
        <f t="shared" si="175"/>
        <v>612.61574146151941</v>
      </c>
      <c r="T633" s="101">
        <f t="shared" si="176"/>
        <v>156.85296246861404</v>
      </c>
      <c r="U633" s="101">
        <f t="shared" si="177"/>
        <v>32.495466010378209</v>
      </c>
      <c r="V633" s="33">
        <f t="shared" si="178"/>
        <v>999.99999999999943</v>
      </c>
      <c r="W633" s="105">
        <f>IF(A633=1,((cPH1_+cPHr+(cNES*L633+(cNES+cOSEX)*G633+(cNES+cEREX)*H633+(cNES+cHOEX)*I633 + (cNES+cNES)*S633 +(cNES+ cOSEX)*N633 + (cNES+cEREX)*O633 + (cNES+cHOEX)*P633)))/(1+cDR)^A$5:A$65536,(cPHr+(cNES*L633+(cNES+cOSEX)*G633+(cNES+cEREX)*H633+(cNES+cHOEX)*I633 + (cNES+cNES)*S633 +(cNES+ cOSEX)*N633 + (cNES+cEREX)*O633 + (cNES+cHOEX)*P633))/(1+cDR)^A$5:A$65536)</f>
        <v>77349.632088263243</v>
      </c>
      <c r="X633" s="112">
        <f t="shared" si="179"/>
        <v>810.65157152100721</v>
      </c>
      <c r="Y633" s="32">
        <f>(uNES*L633+ uOCEX*G633+uEREX*'PH + UC'!H633+uHOEX*I633+uNES*S633+ uOCEX*N633+uEREX*O633+uHOEX*P633)/(1+oDR)^A$5:A$65536</f>
        <v>445.58565099472344</v>
      </c>
    </row>
    <row r="634" spans="1:25" x14ac:dyDescent="0.25">
      <c r="A634" s="4">
        <v>628</v>
      </c>
      <c r="C634" s="110">
        <f>IF(male=0,VLOOKUP(((A632:A1466/'Life tables'!$I$2)*2)+age,lifetable,13,1),IF(male=1,VLOOKUP(((A632:A1466/'Life tables'!$I$2)*2)+age,lifetable,10,1),"error"))</f>
        <v>5.6976556749510632E-4</v>
      </c>
      <c r="F634" s="101">
        <f t="shared" si="162"/>
        <v>129.25320872145278</v>
      </c>
      <c r="G634" s="101">
        <f t="shared" si="163"/>
        <v>12.983755328131833</v>
      </c>
      <c r="H634" s="101">
        <f t="shared" si="164"/>
        <v>0.29711728948307742</v>
      </c>
      <c r="I634" s="101">
        <f t="shared" si="165"/>
        <v>0.29711728948307742</v>
      </c>
      <c r="J634" s="101">
        <f t="shared" si="166"/>
        <v>8.1380298942602472E-2</v>
      </c>
      <c r="K634" s="101">
        <f t="shared" si="167"/>
        <v>2.3290762957858837E-2</v>
      </c>
      <c r="L634" s="101">
        <f t="shared" si="174"/>
        <v>115.57054775245433</v>
      </c>
      <c r="M634" s="101">
        <f t="shared" si="168"/>
        <v>681.39836279955421</v>
      </c>
      <c r="N634" s="101">
        <f t="shared" si="169"/>
        <v>65.62013867402014</v>
      </c>
      <c r="O634" s="101">
        <f t="shared" si="170"/>
        <v>1.5663459082823348</v>
      </c>
      <c r="P634" s="101">
        <f t="shared" si="171"/>
        <v>1.5663459082823348</v>
      </c>
      <c r="Q634" s="101">
        <f t="shared" si="172"/>
        <v>0.4274103203520872</v>
      </c>
      <c r="R634" s="101">
        <f t="shared" si="173"/>
        <v>1.824927269160697E-2</v>
      </c>
      <c r="S634" s="101">
        <f t="shared" si="175"/>
        <v>612.19987271592572</v>
      </c>
      <c r="T634" s="101">
        <f t="shared" si="176"/>
        <v>157.36175308790874</v>
      </c>
      <c r="U634" s="101">
        <f t="shared" si="177"/>
        <v>32.537006046027678</v>
      </c>
      <c r="V634" s="33">
        <f t="shared" si="178"/>
        <v>999.99999999999932</v>
      </c>
      <c r="W634" s="105">
        <f>IF(A634=1,((cPH1_+cPHr+(cNES*L634+(cNES+cOSEX)*G634+(cNES+cEREX)*H634+(cNES+cHOEX)*I634 + (cNES+cNES)*S634 +(cNES+ cOSEX)*N634 + (cNES+cEREX)*O634 + (cNES+cHOEX)*P634)))/(1+cDR)^A$5:A$65536,(cPHr+(cNES*L634+(cNES+cOSEX)*G634+(cNES+cEREX)*H634+(cNES+cHOEX)*I634 + (cNES+cNES)*S634 +(cNES+ cOSEX)*N634 + (cNES+cEREX)*O634 + (cNES+cHOEX)*P634))/(1+cDR)^A$5:A$65536)</f>
        <v>77208.288222516305</v>
      </c>
      <c r="X634" s="112">
        <f t="shared" si="179"/>
        <v>810.10124086606288</v>
      </c>
      <c r="Y634" s="32">
        <f>(uNES*L634+ uOCEX*G634+uEREX*'PH + UC'!H634+uHOEX*I634+uNES*S634+ uOCEX*N634+uEREX*O634+uHOEX*P634)/(1+oDR)^A$5:A$65536</f>
        <v>445.15509607025416</v>
      </c>
    </row>
    <row r="635" spans="1:25" x14ac:dyDescent="0.25">
      <c r="A635" s="4">
        <v>629</v>
      </c>
      <c r="C635" s="110">
        <f>IF(male=0,VLOOKUP(((A633:A1467/'Life tables'!$I$2)*2)+age,lifetable,13,1),IF(male=1,VLOOKUP(((A633:A1467/'Life tables'!$I$2)*2)+age,lifetable,10,1),"error"))</f>
        <v>5.6976556749510632E-4</v>
      </c>
      <c r="F635" s="101">
        <f t="shared" si="162"/>
        <v>129.16544029470739</v>
      </c>
      <c r="G635" s="101">
        <f t="shared" si="163"/>
        <v>12.974938805976063</v>
      </c>
      <c r="H635" s="101">
        <f t="shared" si="164"/>
        <v>0.29691553420508676</v>
      </c>
      <c r="I635" s="101">
        <f t="shared" si="165"/>
        <v>0.29691553420508676</v>
      </c>
      <c r="J635" s="101">
        <f t="shared" si="166"/>
        <v>8.1325038257959406E-2</v>
      </c>
      <c r="K635" s="101">
        <f t="shared" si="167"/>
        <v>2.3274947539094912E-2</v>
      </c>
      <c r="L635" s="101">
        <f t="shared" si="174"/>
        <v>115.49207043452409</v>
      </c>
      <c r="M635" s="101">
        <f t="shared" si="168"/>
        <v>680.93580057135534</v>
      </c>
      <c r="N635" s="101">
        <f t="shared" si="169"/>
        <v>65.57559292924455</v>
      </c>
      <c r="O635" s="101">
        <f t="shared" si="170"/>
        <v>1.5652826059719382</v>
      </c>
      <c r="P635" s="101">
        <f t="shared" si="171"/>
        <v>1.5652826059719382</v>
      </c>
      <c r="Q635" s="101">
        <f t="shared" si="172"/>
        <v>0.4271201760239956</v>
      </c>
      <c r="R635" s="101">
        <f t="shared" si="173"/>
        <v>1.8236884308100214E-2</v>
      </c>
      <c r="S635" s="101">
        <f t="shared" si="175"/>
        <v>611.78428536983483</v>
      </c>
      <c r="T635" s="101">
        <f t="shared" si="176"/>
        <v>157.87019830219069</v>
      </c>
      <c r="U635" s="101">
        <f t="shared" si="177"/>
        <v>32.578517877874873</v>
      </c>
      <c r="V635" s="33">
        <f t="shared" si="178"/>
        <v>999.9999999999992</v>
      </c>
      <c r="W635" s="105">
        <f>IF(A635=1,((cPH1_+cPHr+(cNES*L635+(cNES+cOSEX)*G635+(cNES+cEREX)*H635+(cNES+cHOEX)*I635 + (cNES+cNES)*S635 +(cNES+ cOSEX)*N635 + (cNES+cEREX)*O635 + (cNES+cHOEX)*P635)))/(1+cDR)^A$5:A$65536,(cPHr+(cNES*L635+(cNES+cOSEX)*G635+(cNES+cEREX)*H635+(cNES+cHOEX)*I635 + (cNES+cNES)*S635 +(cNES+ cOSEX)*N635 + (cNES+cEREX)*O635 + (cNES+cHOEX)*P635))/(1+cDR)^A$5:A$65536)</f>
        <v>77067.20260495125</v>
      </c>
      <c r="X635" s="112">
        <f t="shared" si="179"/>
        <v>809.55128381993359</v>
      </c>
      <c r="Y635" s="32">
        <f>(uNES*L635+ uOCEX*G635+uEREX*'PH + UC'!H635+uHOEX*I635+uNES*S635+ uOCEX*N635+uEREX*O635+uHOEX*P635)/(1+oDR)^A$5:A$65536</f>
        <v>444.7249571785236</v>
      </c>
    </row>
    <row r="636" spans="1:25" x14ac:dyDescent="0.25">
      <c r="A636" s="4">
        <v>630</v>
      </c>
      <c r="C636" s="110">
        <f>IF(male=0,VLOOKUP(((A634:A1468/'Life tables'!$I$2)*2)+age,lifetable,13,1),IF(male=1,VLOOKUP(((A634:A1468/'Life tables'!$I$2)*2)+age,lifetable,10,1),"error"))</f>
        <v>5.6976556749510632E-4</v>
      </c>
      <c r="F636" s="101">
        <f t="shared" si="162"/>
        <v>129.07773243607593</v>
      </c>
      <c r="G636" s="101">
        <f t="shared" si="163"/>
        <v>12.966128368014097</v>
      </c>
      <c r="H636" s="101">
        <f t="shared" si="164"/>
        <v>0.29671391815639658</v>
      </c>
      <c r="I636" s="101">
        <f t="shared" si="165"/>
        <v>0.29671391815639658</v>
      </c>
      <c r="J636" s="101">
        <f t="shared" si="166"/>
        <v>8.1269815708162385E-2</v>
      </c>
      <c r="K636" s="101">
        <f t="shared" si="167"/>
        <v>2.3259143034393373E-2</v>
      </c>
      <c r="L636" s="101">
        <f t="shared" si="174"/>
        <v>115.41364727300649</v>
      </c>
      <c r="M636" s="101">
        <f t="shared" si="168"/>
        <v>680.47355138385751</v>
      </c>
      <c r="N636" s="101">
        <f t="shared" si="169"/>
        <v>65.53107733096671</v>
      </c>
      <c r="O636" s="101">
        <f t="shared" si="170"/>
        <v>1.5642200232553181</v>
      </c>
      <c r="P636" s="101">
        <f t="shared" si="171"/>
        <v>1.5642200232553181</v>
      </c>
      <c r="Q636" s="101">
        <f t="shared" si="172"/>
        <v>0.42683022805215248</v>
      </c>
      <c r="R636" s="101">
        <f t="shared" si="173"/>
        <v>1.8224504308477871E-2</v>
      </c>
      <c r="S636" s="101">
        <f t="shared" si="175"/>
        <v>611.36897927401958</v>
      </c>
      <c r="T636" s="101">
        <f t="shared" si="176"/>
        <v>158.37829834595101</v>
      </c>
      <c r="U636" s="101">
        <f t="shared" si="177"/>
        <v>32.620001525217745</v>
      </c>
      <c r="V636" s="33">
        <f t="shared" si="178"/>
        <v>999.99999999999909</v>
      </c>
      <c r="W636" s="105">
        <f>IF(A636=1,((cPH1_+cPHr+(cNES*L636+(cNES+cOSEX)*G636+(cNES+cEREX)*H636+(cNES+cHOEX)*I636 + (cNES+cNES)*S636 +(cNES+ cOSEX)*N636 + (cNES+cEREX)*O636 + (cNES+cHOEX)*P636)))/(1+cDR)^A$5:A$65536,(cPHr+(cNES*L636+(cNES+cOSEX)*G636+(cNES+cEREX)*H636+(cNES+cHOEX)*I636 + (cNES+cNES)*S636 +(cNES+ cOSEX)*N636 + (cNES+cEREX)*O636 + (cNES+cHOEX)*P636))/(1+cDR)^A$5:A$65536)</f>
        <v>76926.374765588887</v>
      </c>
      <c r="X636" s="112">
        <f t="shared" si="179"/>
        <v>809.00170012883041</v>
      </c>
      <c r="Y636" s="32">
        <f>(uNES*L636+ uOCEX*G636+uEREX*'PH + UC'!H636+uHOEX*I636+uNES*S636+ uOCEX*N636+uEREX*O636+uHOEX*P636)/(1+oDR)^A$5:A$65536</f>
        <v>444.29523391746261</v>
      </c>
    </row>
    <row r="637" spans="1:25" x14ac:dyDescent="0.25">
      <c r="A637" s="4">
        <v>631</v>
      </c>
      <c r="C637" s="110">
        <f>IF(male=0,VLOOKUP(((A635:A1469/'Life tables'!$I$2)*2)+age,lifetable,13,1),IF(male=1,VLOOKUP(((A635:A1469/'Life tables'!$I$2)*2)+age,lifetable,10,1),"error"))</f>
        <v>5.6976556749510632E-4</v>
      </c>
      <c r="F637" s="101">
        <f t="shared" si="162"/>
        <v>128.99008505985873</v>
      </c>
      <c r="G637" s="101">
        <f t="shared" si="163"/>
        <v>12.957324005637227</v>
      </c>
      <c r="H637" s="101">
        <f t="shared" si="164"/>
        <v>0.29651244114000713</v>
      </c>
      <c r="I637" s="101">
        <f t="shared" si="165"/>
        <v>0.29651244114000713</v>
      </c>
      <c r="J637" s="101">
        <f t="shared" si="166"/>
        <v>8.1214631239253279E-2</v>
      </c>
      <c r="K637" s="101">
        <f t="shared" si="167"/>
        <v>2.3243349428311591E-2</v>
      </c>
      <c r="L637" s="101">
        <f t="shared" si="174"/>
        <v>115.33527819127391</v>
      </c>
      <c r="M637" s="101">
        <f t="shared" si="168"/>
        <v>680.01161506897165</v>
      </c>
      <c r="N637" s="101">
        <f t="shared" si="169"/>
        <v>65.486591862999276</v>
      </c>
      <c r="O637" s="101">
        <f t="shared" si="170"/>
        <v>1.5631581597460842</v>
      </c>
      <c r="P637" s="101">
        <f t="shared" si="171"/>
        <v>1.5631581597460842</v>
      </c>
      <c r="Q637" s="101">
        <f t="shared" si="172"/>
        <v>0.42654047633112324</v>
      </c>
      <c r="R637" s="101">
        <f t="shared" si="173"/>
        <v>1.8212132688238174E-2</v>
      </c>
      <c r="S637" s="101">
        <f t="shared" si="175"/>
        <v>610.95395427746087</v>
      </c>
      <c r="T637" s="101">
        <f t="shared" si="176"/>
        <v>158.88605345352138</v>
      </c>
      <c r="U637" s="101">
        <f t="shared" si="177"/>
        <v>32.661457007334292</v>
      </c>
      <c r="V637" s="33">
        <f t="shared" si="178"/>
        <v>999.9999999999992</v>
      </c>
      <c r="W637" s="105">
        <f>IF(A637=1,((cPH1_+cPHr+(cNES*L637+(cNES+cOSEX)*G637+(cNES+cEREX)*H637+(cNES+cHOEX)*I637 + (cNES+cNES)*S637 +(cNES+ cOSEX)*N637 + (cNES+cEREX)*O637 + (cNES+cHOEX)*P637)))/(1+cDR)^A$5:A$65536,(cPHr+(cNES*L637+(cNES+cOSEX)*G637+(cNES+cEREX)*H637+(cNES+cHOEX)*I637 + (cNES+cNES)*S637 +(cNES+ cOSEX)*N637 + (cNES+cEREX)*O637 + (cNES+cHOEX)*P637))/(1+cDR)^A$5:A$65536)</f>
        <v>76785.804235218573</v>
      </c>
      <c r="X637" s="112">
        <f t="shared" si="179"/>
        <v>808.45248953914347</v>
      </c>
      <c r="Y637" s="32">
        <f>(uNES*L637+ uOCEX*G637+uEREX*'PH + UC'!H637+uHOEX*I637+uNES*S637+ uOCEX*N637+uEREX*O637+uHOEX*P637)/(1+oDR)^A$5:A$65536</f>
        <v>443.86592588539327</v>
      </c>
    </row>
    <row r="638" spans="1:25" x14ac:dyDescent="0.25">
      <c r="A638" s="4">
        <v>632</v>
      </c>
      <c r="C638" s="110">
        <f>IF(male=0,VLOOKUP(((A636:A1470/'Life tables'!$I$2)*2)+age,lifetable,13,1),IF(male=1,VLOOKUP(((A636:A1470/'Life tables'!$I$2)*2)+age,lifetable,10,1),"error"))</f>
        <v>5.6976556749510632E-4</v>
      </c>
      <c r="F638" s="101">
        <f t="shared" si="162"/>
        <v>128.90249808243323</v>
      </c>
      <c r="G638" s="101">
        <f t="shared" si="163"/>
        <v>12.948525710445391</v>
      </c>
      <c r="H638" s="101">
        <f t="shared" si="164"/>
        <v>0.29631110296369334</v>
      </c>
      <c r="I638" s="101">
        <f t="shared" si="165"/>
        <v>0.29631110296369334</v>
      </c>
      <c r="J638" s="101">
        <f t="shared" si="166"/>
        <v>8.1159484798581732E-2</v>
      </c>
      <c r="K638" s="101">
        <f t="shared" si="167"/>
        <v>2.3227566705781206E-2</v>
      </c>
      <c r="L638" s="101">
        <f t="shared" si="174"/>
        <v>115.25696311455609</v>
      </c>
      <c r="M638" s="101">
        <f t="shared" si="168"/>
        <v>679.54999145671025</v>
      </c>
      <c r="N638" s="101">
        <f t="shared" si="169"/>
        <v>65.442136508972098</v>
      </c>
      <c r="O638" s="101">
        <f t="shared" si="170"/>
        <v>1.5620970150534828</v>
      </c>
      <c r="P638" s="101">
        <f t="shared" si="171"/>
        <v>1.5620970150534828</v>
      </c>
      <c r="Q638" s="101">
        <f t="shared" si="172"/>
        <v>0.42625092075428261</v>
      </c>
      <c r="R638" s="101">
        <f t="shared" si="173"/>
        <v>1.8199769442828497E-2</v>
      </c>
      <c r="S638" s="101">
        <f t="shared" si="175"/>
        <v>610.53921022743407</v>
      </c>
      <c r="T638" s="101">
        <f t="shared" si="176"/>
        <v>159.39346385907425</v>
      </c>
      <c r="U638" s="101">
        <f t="shared" si="177"/>
        <v>32.7028843434829</v>
      </c>
      <c r="V638" s="33">
        <f t="shared" si="178"/>
        <v>999.9999999999992</v>
      </c>
      <c r="W638" s="105">
        <f>IF(A638=1,((cPH1_+cPHr+(cNES*L638+(cNES+cOSEX)*G638+(cNES+cEREX)*H638+(cNES+cHOEX)*I638 + (cNES+cNES)*S638 +(cNES+ cOSEX)*N638 + (cNES+cEREX)*O638 + (cNES+cHOEX)*P638)))/(1+cDR)^A$5:A$65536,(cPHr+(cNES*L638+(cNES+cOSEX)*G638+(cNES+cEREX)*H638+(cNES+cHOEX)*I638 + (cNES+cNES)*S638 +(cNES+ cOSEX)*N638 + (cNES+cEREX)*O638 + (cNES+cHOEX)*P638))/(1+cDR)^A$5:A$65536)</f>
        <v>76645.490545401117</v>
      </c>
      <c r="X638" s="112">
        <f t="shared" si="179"/>
        <v>807.90365179744208</v>
      </c>
      <c r="Y638" s="32">
        <f>(uNES*L638+ uOCEX*G638+uEREX*'PH + UC'!H638+uHOEX*I638+uNES*S638+ uOCEX*N638+uEREX*O638+uHOEX*P638)/(1+oDR)^A$5:A$65536</f>
        <v>443.43703268102865</v>
      </c>
    </row>
    <row r="639" spans="1:25" x14ac:dyDescent="0.25">
      <c r="A639" s="4">
        <v>633</v>
      </c>
      <c r="C639" s="110">
        <f>IF(male=0,VLOOKUP(((A637:A1471/'Life tables'!$I$2)*2)+age,lifetable,13,1),IF(male=1,VLOOKUP(((A637:A1471/'Life tables'!$I$2)*2)+age,lifetable,10,1),"error"))</f>
        <v>5.6976556749510632E-4</v>
      </c>
      <c r="F639" s="101">
        <f t="shared" si="162"/>
        <v>128.81497142216139</v>
      </c>
      <c r="G639" s="101">
        <f t="shared" si="163"/>
        <v>12.939733474237878</v>
      </c>
      <c r="H639" s="101">
        <f t="shared" si="164"/>
        <v>0.29610990343979204</v>
      </c>
      <c r="I639" s="101">
        <f t="shared" si="165"/>
        <v>0.29610990343979204</v>
      </c>
      <c r="J639" s="101">
        <f t="shared" si="166"/>
        <v>8.1104376334746847E-2</v>
      </c>
      <c r="K639" s="101">
        <f t="shared" si="167"/>
        <v>2.3211794852091464E-2</v>
      </c>
      <c r="L639" s="101">
        <f t="shared" si="174"/>
        <v>115.17870196985709</v>
      </c>
      <c r="M639" s="101">
        <f t="shared" si="168"/>
        <v>679.08868037528066</v>
      </c>
      <c r="N639" s="101">
        <f t="shared" si="169"/>
        <v>65.397711252341168</v>
      </c>
      <c r="O639" s="101">
        <f t="shared" si="170"/>
        <v>1.5610365887826096</v>
      </c>
      <c r="P639" s="101">
        <f t="shared" si="171"/>
        <v>1.5610365887826096</v>
      </c>
      <c r="Q639" s="101">
        <f t="shared" si="172"/>
        <v>0.42596156121387263</v>
      </c>
      <c r="R639" s="101">
        <f t="shared" si="173"/>
        <v>1.8187414567647876E-2</v>
      </c>
      <c r="S639" s="101">
        <f t="shared" si="175"/>
        <v>610.12474696959271</v>
      </c>
      <c r="T639" s="101">
        <f t="shared" si="176"/>
        <v>159.90052979662286</v>
      </c>
      <c r="U639" s="101">
        <f t="shared" si="177"/>
        <v>32.744283552902637</v>
      </c>
      <c r="V639" s="33">
        <f t="shared" si="178"/>
        <v>999.99999999999909</v>
      </c>
      <c r="W639" s="105">
        <f>IF(A639=1,((cPH1_+cPHr+(cNES*L639+(cNES+cOSEX)*G639+(cNES+cEREX)*H639+(cNES+cHOEX)*I639 + (cNES+cNES)*S639 +(cNES+ cOSEX)*N639 + (cNES+cEREX)*O639 + (cNES+cHOEX)*P639)))/(1+cDR)^A$5:A$65536,(cPHr+(cNES*L639+(cNES+cOSEX)*G639+(cNES+cEREX)*H639+(cNES+cHOEX)*I639 + (cNES+cNES)*S639 +(cNES+ cOSEX)*N639 + (cNES+cEREX)*O639 + (cNES+cHOEX)*P639))/(1+cDR)^A$5:A$65536)</f>
        <v>76505.433228471025</v>
      </c>
      <c r="X639" s="112">
        <f t="shared" si="179"/>
        <v>807.35518665047357</v>
      </c>
      <c r="Y639" s="32">
        <f>(uNES*L639+ uOCEX*G639+uEREX*'PH + UC'!H639+uHOEX*I639+uNES*S639+ uOCEX*N639+uEREX*O639+uHOEX*P639)/(1+oDR)^A$5:A$65536</f>
        <v>443.00855390347363</v>
      </c>
    </row>
    <row r="640" spans="1:25" x14ac:dyDescent="0.25">
      <c r="A640" s="4">
        <v>634</v>
      </c>
      <c r="C640" s="110">
        <f>IF(male=0,VLOOKUP(((A638:A1472/'Life tables'!$I$2)*2)+age,lifetable,13,1),IF(male=1,VLOOKUP(((A638:A1472/'Life tables'!$I$2)*2)+age,lifetable,10,1),"error"))</f>
        <v>5.6976556749510632E-4</v>
      </c>
      <c r="F640" s="101">
        <f t="shared" si="162"/>
        <v>128.72750499930081</v>
      </c>
      <c r="G640" s="101">
        <f t="shared" si="163"/>
        <v>12.930947289004393</v>
      </c>
      <c r="H640" s="101">
        <f t="shared" si="164"/>
        <v>0.29590884238499748</v>
      </c>
      <c r="I640" s="101">
        <f t="shared" si="165"/>
        <v>0.29590884238499748</v>
      </c>
      <c r="J640" s="101">
        <f t="shared" si="166"/>
        <v>8.1049305797541257E-2</v>
      </c>
      <c r="K640" s="101">
        <f t="shared" si="167"/>
        <v>2.3196033852873194E-2</v>
      </c>
      <c r="L640" s="101">
        <f t="shared" si="174"/>
        <v>115.100494685876</v>
      </c>
      <c r="M640" s="101">
        <f t="shared" si="168"/>
        <v>678.62768165117291</v>
      </c>
      <c r="N640" s="101">
        <f t="shared" si="169"/>
        <v>65.353316076397078</v>
      </c>
      <c r="O640" s="101">
        <f t="shared" si="170"/>
        <v>1.5599768805346137</v>
      </c>
      <c r="P640" s="101">
        <f t="shared" si="171"/>
        <v>1.5599768805346137</v>
      </c>
      <c r="Q640" s="101">
        <f t="shared" si="172"/>
        <v>0.42567239760105846</v>
      </c>
      <c r="R640" s="101">
        <f t="shared" si="173"/>
        <v>1.8175068058049346E-2</v>
      </c>
      <c r="S640" s="101">
        <f t="shared" si="175"/>
        <v>609.71056434804746</v>
      </c>
      <c r="T640" s="101">
        <f t="shared" si="176"/>
        <v>160.40725150002146</v>
      </c>
      <c r="U640" s="101">
        <f t="shared" si="177"/>
        <v>32.785654654813563</v>
      </c>
      <c r="V640" s="33">
        <f t="shared" si="178"/>
        <v>999.9999999999992</v>
      </c>
      <c r="W640" s="105">
        <f>IF(A640=1,((cPH1_+cPHr+(cNES*L640+(cNES+cOSEX)*G640+(cNES+cEREX)*H640+(cNES+cHOEX)*I640 + (cNES+cNES)*S640 +(cNES+ cOSEX)*N640 + (cNES+cEREX)*O640 + (cNES+cHOEX)*P640)))/(1+cDR)^A$5:A$65536,(cPHr+(cNES*L640+(cNES+cOSEX)*G640+(cNES+cEREX)*H640+(cNES+cHOEX)*I640 + (cNES+cNES)*S640 +(cNES+ cOSEX)*N640 + (cNES+cEREX)*O640 + (cNES+cHOEX)*P640))/(1+cDR)^A$5:A$65536)</f>
        <v>76365.631817539281</v>
      </c>
      <c r="X640" s="112">
        <f t="shared" si="179"/>
        <v>806.8070938451641</v>
      </c>
      <c r="Y640" s="32">
        <f>(uNES*L640+ uOCEX*G640+uEREX*'PH + UC'!H640+uHOEX*I640+uNES*S640+ uOCEX*N640+uEREX*O640+uHOEX*P640)/(1+oDR)^A$5:A$65536</f>
        <v>442.58048915222179</v>
      </c>
    </row>
    <row r="641" spans="1:25" x14ac:dyDescent="0.25">
      <c r="A641" s="4">
        <v>635</v>
      </c>
      <c r="C641" s="110">
        <f>IF(male=0,VLOOKUP(((A639:A1473/'Life tables'!$I$2)*2)+age,lifetable,13,1),IF(male=1,VLOOKUP(((A639:A1473/'Life tables'!$I$2)*2)+age,lifetable,10,1),"error"))</f>
        <v>5.6976556749510632E-4</v>
      </c>
      <c r="F641" s="101">
        <f t="shared" si="162"/>
        <v>128.64009873592025</v>
      </c>
      <c r="G641" s="101">
        <f t="shared" si="163"/>
        <v>12.922167146916587</v>
      </c>
      <c r="H641" s="101">
        <f t="shared" si="164"/>
        <v>0.2957079196201674</v>
      </c>
      <c r="I641" s="101">
        <f t="shared" si="165"/>
        <v>0.2957079196201674</v>
      </c>
      <c r="J641" s="101">
        <f t="shared" si="166"/>
        <v>8.0994273137898032E-2</v>
      </c>
      <c r="K641" s="101">
        <f t="shared" si="167"/>
        <v>2.3180283694083592E-2</v>
      </c>
      <c r="L641" s="101">
        <f t="shared" si="174"/>
        <v>115.02234119293135</v>
      </c>
      <c r="M641" s="101">
        <f t="shared" si="168"/>
        <v>678.16699510924389</v>
      </c>
      <c r="N641" s="101">
        <f t="shared" si="169"/>
        <v>65.308950964273194</v>
      </c>
      <c r="O641" s="101">
        <f t="shared" si="170"/>
        <v>1.5589178899068896</v>
      </c>
      <c r="P641" s="101">
        <f t="shared" si="171"/>
        <v>1.5589178899068896</v>
      </c>
      <c r="Q641" s="101">
        <f t="shared" si="172"/>
        <v>0.4253834298059806</v>
      </c>
      <c r="R641" s="101">
        <f t="shared" si="173"/>
        <v>1.8162729909342215E-2</v>
      </c>
      <c r="S641" s="101">
        <f t="shared" si="175"/>
        <v>609.29666220544163</v>
      </c>
      <c r="T641" s="101">
        <f t="shared" si="176"/>
        <v>160.91362920296532</v>
      </c>
      <c r="U641" s="101">
        <f t="shared" si="177"/>
        <v>32.826997668416986</v>
      </c>
      <c r="V641" s="33">
        <f t="shared" si="178"/>
        <v>999.99999999999932</v>
      </c>
      <c r="W641" s="105">
        <f>IF(A641=1,((cPH1_+cPHr+(cNES*L641+(cNES+cOSEX)*G641+(cNES+cEREX)*H641+(cNES+cHOEX)*I641 + (cNES+cNES)*S641 +(cNES+ cOSEX)*N641 + (cNES+cEREX)*O641 + (cNES+cHOEX)*P641)))/(1+cDR)^A$5:A$65536,(cPHr+(cNES*L641+(cNES+cOSEX)*G641+(cNES+cEREX)*H641+(cNES+cHOEX)*I641 + (cNES+cNES)*S641 +(cNES+ cOSEX)*N641 + (cNES+cEREX)*O641 + (cNES+cHOEX)*P641))/(1+cDR)^A$5:A$65536)</f>
        <v>76226.08584649532</v>
      </c>
      <c r="X641" s="112">
        <f t="shared" si="179"/>
        <v>806.25937312861686</v>
      </c>
      <c r="Y641" s="32">
        <f>(uNES*L641+ uOCEX*G641+uEREX*'PH + UC'!H641+uHOEX*I641+uNES*S641+ uOCEX*N641+uEREX*O641+uHOEX*P641)/(1+oDR)^A$5:A$65536</f>
        <v>442.15283802715754</v>
      </c>
    </row>
    <row r="642" spans="1:25" x14ac:dyDescent="0.25">
      <c r="A642" s="4">
        <v>636</v>
      </c>
      <c r="C642" s="110">
        <f>IF(male=0,VLOOKUP(((A640:A1474/'Life tables'!$I$2)*2)+age,lifetable,13,1),IF(male=1,VLOOKUP(((A640:A1474/'Life tables'!$I$2)*2)+age,lifetable,10,1),"error"))</f>
        <v>5.6976556749510632E-4</v>
      </c>
      <c r="F642" s="101">
        <f t="shared" si="162"/>
        <v>128.55275255581876</v>
      </c>
      <c r="G642" s="101">
        <f t="shared" si="163"/>
        <v>12.913393040319908</v>
      </c>
      <c r="H642" s="101">
        <f t="shared" si="164"/>
        <v>0.29550713497013686</v>
      </c>
      <c r="I642" s="101">
        <f t="shared" si="165"/>
        <v>0.29550713497013686</v>
      </c>
      <c r="J642" s="101">
        <f t="shared" si="166"/>
        <v>8.0939278307839521E-2</v>
      </c>
      <c r="K642" s="101">
        <f t="shared" si="167"/>
        <v>2.3164544361991633E-2</v>
      </c>
      <c r="L642" s="101">
        <f t="shared" si="174"/>
        <v>114.94424142288874</v>
      </c>
      <c r="M642" s="101">
        <f t="shared" si="168"/>
        <v>677.7066205727981</v>
      </c>
      <c r="N642" s="101">
        <f t="shared" si="169"/>
        <v>65.264615898953338</v>
      </c>
      <c r="O642" s="101">
        <f t="shared" si="170"/>
        <v>1.5578596164932634</v>
      </c>
      <c r="P642" s="101">
        <f t="shared" si="171"/>
        <v>1.5578596164932634</v>
      </c>
      <c r="Q642" s="101">
        <f t="shared" si="172"/>
        <v>0.4250946577178063</v>
      </c>
      <c r="R642" s="101">
        <f t="shared" si="173"/>
        <v>1.8150400116794207E-2</v>
      </c>
      <c r="S642" s="101">
        <f t="shared" si="175"/>
        <v>608.88304038302363</v>
      </c>
      <c r="T642" s="101">
        <f t="shared" si="176"/>
        <v>161.41966313899098</v>
      </c>
      <c r="U642" s="101">
        <f t="shared" si="177"/>
        <v>32.868312612895771</v>
      </c>
      <c r="V642" s="33">
        <f t="shared" si="178"/>
        <v>999.99999999999909</v>
      </c>
      <c r="W642" s="105">
        <f>IF(A642=1,((cPH1_+cPHr+(cNES*L642+(cNES+cOSEX)*G642+(cNES+cEREX)*H642+(cNES+cHOEX)*I642 + (cNES+cNES)*S642 +(cNES+ cOSEX)*N642 + (cNES+cEREX)*O642 + (cNES+cHOEX)*P642)))/(1+cDR)^A$5:A$65536,(cPHr+(cNES*L642+(cNES+cOSEX)*G642+(cNES+cEREX)*H642+(cNES+cHOEX)*I642 + (cNES+cNES)*S642 +(cNES+ cOSEX)*N642 + (cNES+cEREX)*O642 + (cNES+cHOEX)*P642))/(1+cDR)^A$5:A$65536)</f>
        <v>76086.794850009173</v>
      </c>
      <c r="X642" s="112">
        <f t="shared" si="179"/>
        <v>805.71202424811236</v>
      </c>
      <c r="Y642" s="32">
        <f>(uNES*L642+ uOCEX*G642+uEREX*'PH + UC'!H642+uHOEX*I642+uNES*S642+ uOCEX*N642+uEREX*O642+uHOEX*P642)/(1+oDR)^A$5:A$65536</f>
        <v>441.72560012855359</v>
      </c>
    </row>
    <row r="643" spans="1:25" x14ac:dyDescent="0.25">
      <c r="A643" s="4">
        <v>637</v>
      </c>
      <c r="C643" s="110">
        <f>IF(male=0,VLOOKUP(((A641:A1475/'Life tables'!$I$2)*2)+age,lifetable,13,1),IF(male=1,VLOOKUP(((A641:A1475/'Life tables'!$I$2)*2)+age,lifetable,10,1),"error"))</f>
        <v>5.6976556749510632E-4</v>
      </c>
      <c r="F643" s="101">
        <f t="shared" si="162"/>
        <v>128.46546638444855</v>
      </c>
      <c r="G643" s="101">
        <f t="shared" si="163"/>
        <v>12.904624961725879</v>
      </c>
      <c r="H643" s="101">
        <f t="shared" si="164"/>
        <v>0.29530648826354128</v>
      </c>
      <c r="I643" s="101">
        <f t="shared" si="165"/>
        <v>0.29530648826354128</v>
      </c>
      <c r="J643" s="101">
        <f t="shared" si="166"/>
        <v>8.0884321260429021E-2</v>
      </c>
      <c r="K643" s="101">
        <f t="shared" si="167"/>
        <v>2.3148815843164191E-2</v>
      </c>
      <c r="L643" s="101">
        <f t="shared" si="174"/>
        <v>114.86619530909199</v>
      </c>
      <c r="M643" s="101">
        <f t="shared" si="168"/>
        <v>677.24655786366384</v>
      </c>
      <c r="N643" s="101">
        <f t="shared" si="169"/>
        <v>65.220310863279195</v>
      </c>
      <c r="O643" s="101">
        <f t="shared" si="170"/>
        <v>1.5568020598841676</v>
      </c>
      <c r="P643" s="101">
        <f t="shared" si="171"/>
        <v>1.5568020598841676</v>
      </c>
      <c r="Q643" s="101">
        <f t="shared" si="172"/>
        <v>0.4248060812247762</v>
      </c>
      <c r="R643" s="101">
        <f t="shared" si="173"/>
        <v>1.8138078675633509E-2</v>
      </c>
      <c r="S643" s="101">
        <f t="shared" si="175"/>
        <v>608.46969872071588</v>
      </c>
      <c r="T643" s="101">
        <f t="shared" si="176"/>
        <v>161.9253535414762</v>
      </c>
      <c r="U643" s="101">
        <f t="shared" si="177"/>
        <v>32.909599507414569</v>
      </c>
      <c r="V643" s="33">
        <f t="shared" si="178"/>
        <v>999.99999999999909</v>
      </c>
      <c r="W643" s="105">
        <f>IF(A643=1,((cPH1_+cPHr+(cNES*L643+(cNES+cOSEX)*G643+(cNES+cEREX)*H643+(cNES+cHOEX)*I643 + (cNES+cNES)*S643 +(cNES+ cOSEX)*N643 + (cNES+cEREX)*O643 + (cNES+cHOEX)*P643)))/(1+cDR)^A$5:A$65536,(cPHr+(cNES*L643+(cNES+cOSEX)*G643+(cNES+cEREX)*H643+(cNES+cHOEX)*I643 + (cNES+cNES)*S643 +(cNES+ cOSEX)*N643 + (cNES+cEREX)*O643 + (cNES+cHOEX)*P643))/(1+cDR)^A$5:A$65536)</f>
        <v>75947.75836353327</v>
      </c>
      <c r="X643" s="112">
        <f t="shared" si="179"/>
        <v>805.16504695110837</v>
      </c>
      <c r="Y643" s="32">
        <f>(uNES*L643+ uOCEX*G643+uEREX*'PH + UC'!H643+uHOEX*I643+uNES*S643+ uOCEX*N643+uEREX*O643+uHOEX*P643)/(1+oDR)^A$5:A$65536</f>
        <v>441.29877505707208</v>
      </c>
    </row>
    <row r="644" spans="1:25" x14ac:dyDescent="0.25">
      <c r="A644" s="4">
        <v>638</v>
      </c>
      <c r="C644" s="110">
        <f>IF(male=0,VLOOKUP(((A642:A1476/'Life tables'!$I$2)*2)+age,lifetable,13,1),IF(male=1,VLOOKUP(((A642:A1476/'Life tables'!$I$2)*2)+age,lifetable,10,1),"error"))</f>
        <v>5.6976556749510632E-4</v>
      </c>
      <c r="F644" s="101">
        <f t="shared" si="162"/>
        <v>128.3782401488414</v>
      </c>
      <c r="G644" s="101">
        <f t="shared" si="163"/>
        <v>12.895862903804687</v>
      </c>
      <c r="H644" s="101">
        <f t="shared" si="164"/>
        <v>0.29510597933264693</v>
      </c>
      <c r="I644" s="101">
        <f t="shared" si="165"/>
        <v>0.29510597933264693</v>
      </c>
      <c r="J644" s="101">
        <f t="shared" si="166"/>
        <v>8.082940194972435E-2</v>
      </c>
      <c r="K644" s="101">
        <f t="shared" si="167"/>
        <v>2.3133098124452769E-2</v>
      </c>
      <c r="L644" s="101">
        <f t="shared" si="174"/>
        <v>114.78820278629725</v>
      </c>
      <c r="M644" s="101">
        <f t="shared" si="168"/>
        <v>676.78680680226694</v>
      </c>
      <c r="N644" s="101">
        <f t="shared" si="169"/>
        <v>65.176035839957379</v>
      </c>
      <c r="O644" s="101">
        <f t="shared" si="170"/>
        <v>1.5557452196668111</v>
      </c>
      <c r="P644" s="101">
        <f t="shared" si="171"/>
        <v>1.5557452196668111</v>
      </c>
      <c r="Q644" s="101">
        <f t="shared" si="172"/>
        <v>0.42451770021425167</v>
      </c>
      <c r="R644" s="101">
        <f t="shared" si="173"/>
        <v>1.8125765581050751E-2</v>
      </c>
      <c r="S644" s="101">
        <f t="shared" si="175"/>
        <v>608.05663705718064</v>
      </c>
      <c r="T644" s="101">
        <f t="shared" si="176"/>
        <v>162.43070064364017</v>
      </c>
      <c r="U644" s="101">
        <f t="shared" si="177"/>
        <v>32.95085837112007</v>
      </c>
      <c r="V644" s="33">
        <f t="shared" si="178"/>
        <v>999.99999999999909</v>
      </c>
      <c r="W644" s="105">
        <f>IF(A644=1,((cPH1_+cPHr+(cNES*L644+(cNES+cOSEX)*G644+(cNES+cEREX)*H644+(cNES+cHOEX)*I644 + (cNES+cNES)*S644 +(cNES+ cOSEX)*N644 + (cNES+cEREX)*O644 + (cNES+cHOEX)*P644)))/(1+cDR)^A$5:A$65536,(cPHr+(cNES*L644+(cNES+cOSEX)*G644+(cNES+cEREX)*H644+(cNES+cHOEX)*I644 + (cNES+cNES)*S644 +(cNES+ cOSEX)*N644 + (cNES+cEREX)*O644 + (cNES+cHOEX)*P644))/(1+cDR)^A$5:A$65536)</f>
        <v>75808.975923304199</v>
      </c>
      <c r="X644" s="112">
        <f t="shared" si="179"/>
        <v>804.61844098523886</v>
      </c>
      <c r="Y644" s="32">
        <f>(uNES*L644+ uOCEX*G644+uEREX*'PH + UC'!H644+uHOEX*I644+uNES*S644+ uOCEX*N644+uEREX*O644+uHOEX*P644)/(1+oDR)^A$5:A$65536</f>
        <v>440.87236241376303</v>
      </c>
    </row>
    <row r="645" spans="1:25" x14ac:dyDescent="0.25">
      <c r="A645" s="4">
        <v>639</v>
      </c>
      <c r="C645" s="110">
        <f>IF(male=0,VLOOKUP(((A643:A1477/'Life tables'!$I$2)*2)+age,lifetable,13,1),IF(male=1,VLOOKUP(((A643:A1477/'Life tables'!$I$2)*2)+age,lifetable,10,1),"error"))</f>
        <v>5.6976556749510632E-4</v>
      </c>
      <c r="F645" s="101">
        <f t="shared" si="162"/>
        <v>128.2910737775382</v>
      </c>
      <c r="G645" s="101">
        <f t="shared" si="163"/>
        <v>12.887106859378118</v>
      </c>
      <c r="H645" s="101">
        <f t="shared" si="164"/>
        <v>0.29490560801318905</v>
      </c>
      <c r="I645" s="101">
        <f t="shared" si="165"/>
        <v>0.29490560801318905</v>
      </c>
      <c r="J645" s="101">
        <f t="shared" si="166"/>
        <v>8.0774520330733499E-2</v>
      </c>
      <c r="K645" s="101">
        <f t="shared" si="167"/>
        <v>2.3117391192980803E-2</v>
      </c>
      <c r="L645" s="101">
        <f t="shared" si="174"/>
        <v>114.71026379060999</v>
      </c>
      <c r="M645" s="101">
        <f t="shared" si="168"/>
        <v>676.32736720770072</v>
      </c>
      <c r="N645" s="101">
        <f t="shared" si="169"/>
        <v>65.131790811566205</v>
      </c>
      <c r="O645" s="101">
        <f t="shared" si="170"/>
        <v>1.5546890954253394</v>
      </c>
      <c r="P645" s="101">
        <f t="shared" si="171"/>
        <v>1.5546890954253394</v>
      </c>
      <c r="Q645" s="101">
        <f t="shared" si="172"/>
        <v>0.4242295145727582</v>
      </c>
      <c r="R645" s="101">
        <f t="shared" si="173"/>
        <v>1.8113460828200874E-2</v>
      </c>
      <c r="S645" s="101">
        <f t="shared" si="175"/>
        <v>607.64385522988289</v>
      </c>
      <c r="T645" s="101">
        <f t="shared" si="176"/>
        <v>162.93570467854366</v>
      </c>
      <c r="U645" s="101">
        <f t="shared" si="177"/>
        <v>32.992089223141249</v>
      </c>
      <c r="V645" s="33">
        <f t="shared" si="178"/>
        <v>999.99999999999909</v>
      </c>
      <c r="W645" s="105">
        <f>IF(A645=1,((cPH1_+cPHr+(cNES*L645+(cNES+cOSEX)*G645+(cNES+cEREX)*H645+(cNES+cHOEX)*I645 + (cNES+cNES)*S645 +(cNES+ cOSEX)*N645 + (cNES+cEREX)*O645 + (cNES+cHOEX)*P645)))/(1+cDR)^A$5:A$65536,(cPHr+(cNES*L645+(cNES+cOSEX)*G645+(cNES+cEREX)*H645+(cNES+cHOEX)*I645 + (cNES+cNES)*S645 +(cNES+ cOSEX)*N645 + (cNES+cEREX)*O645 + (cNES+cHOEX)*P645))/(1+cDR)^A$5:A$65536)</f>
        <v>75670.447066344233</v>
      </c>
      <c r="X645" s="112">
        <f t="shared" si="179"/>
        <v>804.07220609831427</v>
      </c>
      <c r="Y645" s="32">
        <f>(uNES*L645+ uOCEX*G645+uEREX*'PH + UC'!H645+uHOEX*I645+uNES*S645+ uOCEX*N645+uEREX*O645+uHOEX*P645)/(1+oDR)^A$5:A$65536</f>
        <v>440.4463618000641</v>
      </c>
    </row>
    <row r="646" spans="1:25" x14ac:dyDescent="0.25">
      <c r="A646" s="4">
        <v>640</v>
      </c>
      <c r="C646" s="110">
        <f>IF(male=0,VLOOKUP(((A644:A1478/'Life tables'!$I$2)*2)+age,lifetable,13,1),IF(male=1,VLOOKUP(((A644:A1478/'Life tables'!$I$2)*2)+age,lifetable,10,1),"error"))</f>
        <v>5.6976556749510632E-4</v>
      </c>
      <c r="F646" s="101">
        <f t="shared" si="162"/>
        <v>128.20396720052196</v>
      </c>
      <c r="G646" s="101">
        <f t="shared" si="163"/>
        <v>12.878356821412815</v>
      </c>
      <c r="H646" s="101">
        <f t="shared" si="164"/>
        <v>0.29470537414421799</v>
      </c>
      <c r="I646" s="101">
        <f t="shared" si="165"/>
        <v>0.29470537414421799</v>
      </c>
      <c r="J646" s="101">
        <f t="shared" si="166"/>
        <v>8.0719676359372411E-2</v>
      </c>
      <c r="K646" s="101">
        <f t="shared" si="167"/>
        <v>2.3101695036131593E-2</v>
      </c>
      <c r="L646" s="101">
        <f t="shared" si="174"/>
        <v>114.6323782594252</v>
      </c>
      <c r="M646" s="101">
        <f t="shared" si="168"/>
        <v>675.86823889779248</v>
      </c>
      <c r="N646" s="101">
        <f t="shared" si="169"/>
        <v>65.087575760562018</v>
      </c>
      <c r="O646" s="101">
        <f t="shared" si="170"/>
        <v>1.5536336867409881</v>
      </c>
      <c r="P646" s="101">
        <f t="shared" si="171"/>
        <v>1.5536336867409881</v>
      </c>
      <c r="Q646" s="101">
        <f t="shared" si="172"/>
        <v>0.42394152418602715</v>
      </c>
      <c r="R646" s="101">
        <f t="shared" si="173"/>
        <v>1.8101164412204909E-2</v>
      </c>
      <c r="S646" s="101">
        <f t="shared" si="175"/>
        <v>607.23135307515031</v>
      </c>
      <c r="T646" s="101">
        <f t="shared" si="176"/>
        <v>163.44036587908906</v>
      </c>
      <c r="U646" s="101">
        <f t="shared" si="177"/>
        <v>33.033292082589583</v>
      </c>
      <c r="V646" s="33">
        <f t="shared" si="178"/>
        <v>999.99999999999943</v>
      </c>
      <c r="W646" s="105">
        <f>IF(A646=1,((cPH1_+cPHr+(cNES*L646+(cNES+cOSEX)*G646+(cNES+cEREX)*H646+(cNES+cHOEX)*I646 + (cNES+cNES)*S646 +(cNES+ cOSEX)*N646 + (cNES+cEREX)*O646 + (cNES+cHOEX)*P646)))/(1+cDR)^A$5:A$65536,(cPHr+(cNES*L646+(cNES+cOSEX)*G646+(cNES+cEREX)*H646+(cNES+cHOEX)*I646 + (cNES+cNES)*S646 +(cNES+ cOSEX)*N646 + (cNES+cEREX)*O646 + (cNES+cHOEX)*P646))/(1+cDR)^A$5:A$65536)</f>
        <v>75532.171330462996</v>
      </c>
      <c r="X646" s="112">
        <f t="shared" si="179"/>
        <v>803.52634203832076</v>
      </c>
      <c r="Y646" s="32">
        <f>(uNES*L646+ uOCEX*G646+uEREX*'PH + UC'!H646+uHOEX*I646+uNES*S646+ uOCEX*N646+uEREX*O646+uHOEX*P646)/(1+oDR)^A$5:A$65536</f>
        <v>440.02077281780015</v>
      </c>
    </row>
    <row r="647" spans="1:25" x14ac:dyDescent="0.25">
      <c r="A647" s="4">
        <v>641</v>
      </c>
      <c r="C647" s="110">
        <f>IF(male=0,VLOOKUP(((A645:A1479/'Life tables'!$I$2)*2)+age,lifetable,13,1),IF(male=1,VLOOKUP(((A645:A1479/'Life tables'!$I$2)*2)+age,lifetable,10,1),"error"))</f>
        <v>5.6976556749510632E-4</v>
      </c>
      <c r="F647" s="101">
        <f t="shared" ref="F647:F710" si="180">E646*(1-pCAPH)+(L646+G646+H646+I646)*(1-pCAPH)+(S646+N646+O646+P646)*(pUAPH)</f>
        <v>128.11692034915362</v>
      </c>
      <c r="G647" s="101">
        <f t="shared" ref="G647:G710" si="181">F647*(rrOSEX)</f>
        <v>12.869612783013842</v>
      </c>
      <c r="H647" s="101">
        <f t="shared" ref="H647:H710" si="182">F647*rrEREX</f>
        <v>0.2945052775679517</v>
      </c>
      <c r="I647" s="101">
        <f t="shared" ref="I647:I710" si="183">F647*rrHOEX</f>
        <v>0.2945052775679517</v>
      </c>
      <c r="J647" s="101">
        <f t="shared" ref="J647:J710" si="184">F647*mr + G647*mr + H647*mr+I647*mr</f>
        <v>8.0664869992424615E-2</v>
      </c>
      <c r="K647" s="101">
        <f t="shared" ref="K647:K710" si="185">F647*amr + I647*amrHOEX</f>
        <v>2.3086009641536728E-2</v>
      </c>
      <c r="L647" s="101">
        <f t="shared" si="174"/>
        <v>114.5545461313699</v>
      </c>
      <c r="M647" s="101">
        <f t="shared" ref="M647:M710" si="186">E646*pCAPH+(L646+G646+H646+I646)*pCAPH+(S646+N646+O646+P646)*(1-pUAPH)</f>
        <v>675.40942168916717</v>
      </c>
      <c r="N647" s="101">
        <f t="shared" ref="N647:N710" si="187">M647*rrOSEXc</f>
        <v>65.043390669285429</v>
      </c>
      <c r="O647" s="101">
        <f t="shared" ref="O647:O710" si="188">M647*rrEREXc</f>
        <v>1.5525789931922289</v>
      </c>
      <c r="P647" s="101">
        <f t="shared" ref="P647:P710" si="189">M647*rrHOEXc</f>
        <v>1.5525789931922289</v>
      </c>
      <c r="Q647" s="101">
        <f t="shared" ref="Q647:Q710" si="190">M647*mr + N647*mr + O647*mr+P647*mr</f>
        <v>0.42365372893903552</v>
      </c>
      <c r="R647" s="101">
        <f t="shared" ref="R647:R710" si="191">M647*amrc + P647*amrHOEX</f>
        <v>1.8088876328151694E-2</v>
      </c>
      <c r="S647" s="101">
        <f t="shared" si="175"/>
        <v>606.8191304282301</v>
      </c>
      <c r="T647" s="101">
        <f t="shared" si="176"/>
        <v>163.94468447802052</v>
      </c>
      <c r="U647" s="101">
        <f t="shared" si="177"/>
        <v>33.074466968559271</v>
      </c>
      <c r="V647" s="33">
        <f t="shared" si="178"/>
        <v>999.99999999999943</v>
      </c>
      <c r="W647" s="105">
        <f>IF(A647=1,((cPH1_+cPHr+(cNES*L647+(cNES+cOSEX)*G647+(cNES+cEREX)*H647+(cNES+cHOEX)*I647 + (cNES+cNES)*S647 +(cNES+ cOSEX)*N647 + (cNES+cEREX)*O647 + (cNES+cHOEX)*P647)))/(1+cDR)^A$5:A$65536,(cPHr+(cNES*L647+(cNES+cOSEX)*G647+(cNES+cEREX)*H647+(cNES+cHOEX)*I647 + (cNES+cNES)*S647 +(cNES+ cOSEX)*N647 + (cNES+cEREX)*O647 + (cNES+cHOEX)*P647))/(1+cDR)^A$5:A$65536)</f>
        <v>75394.148254258325</v>
      </c>
      <c r="X647" s="112">
        <f t="shared" si="179"/>
        <v>802.98084855341972</v>
      </c>
      <c r="Y647" s="32">
        <f>(uNES*L647+ uOCEX*G647+uEREX*'PH + UC'!H647+uHOEX*I647+uNES*S647+ uOCEX*N647+uEREX*O647+uHOEX*P647)/(1+oDR)^A$5:A$65536</f>
        <v>439.59559506918288</v>
      </c>
    </row>
    <row r="648" spans="1:25" x14ac:dyDescent="0.25">
      <c r="A648" s="4">
        <v>642</v>
      </c>
      <c r="C648" s="110">
        <f>IF(male=0,VLOOKUP(((A646:A1480/'Life tables'!$I$2)*2)+age,lifetable,13,1),IF(male=1,VLOOKUP(((A646:A1480/'Life tables'!$I$2)*2)+age,lifetable,10,1),"error"))</f>
        <v>5.6976556749510632E-4</v>
      </c>
      <c r="F648" s="101">
        <f t="shared" si="180"/>
        <v>128.02993315611096</v>
      </c>
      <c r="G648" s="101">
        <f t="shared" si="181"/>
        <v>12.860874737418541</v>
      </c>
      <c r="H648" s="101">
        <f t="shared" si="182"/>
        <v>0.29430531812963495</v>
      </c>
      <c r="I648" s="101">
        <f t="shared" si="183"/>
        <v>0.29430531812963495</v>
      </c>
      <c r="J648" s="101">
        <f t="shared" si="184"/>
        <v>8.0610101187502767E-2</v>
      </c>
      <c r="K648" s="101">
        <f t="shared" si="185"/>
        <v>2.3070334997065099E-2</v>
      </c>
      <c r="L648" s="101">
        <f t="shared" ref="L648:L711" si="192">F648-SUM(G648:K648)</f>
        <v>114.47676734624858</v>
      </c>
      <c r="M648" s="101">
        <f t="shared" si="186"/>
        <v>674.95091539730879</v>
      </c>
      <c r="N648" s="101">
        <f t="shared" si="187"/>
        <v>64.999235519967129</v>
      </c>
      <c r="O648" s="101">
        <f t="shared" si="188"/>
        <v>1.5515250143549106</v>
      </c>
      <c r="P648" s="101">
        <f t="shared" si="189"/>
        <v>1.5515250143549106</v>
      </c>
      <c r="Q648" s="101">
        <f t="shared" si="190"/>
        <v>0.42336612871604484</v>
      </c>
      <c r="R648" s="101">
        <f t="shared" si="191"/>
        <v>1.8076596571099498E-2</v>
      </c>
      <c r="S648" s="101">
        <f t="shared" ref="S648:S711" si="193">M648-SUM(N648:R648)</f>
        <v>606.40718712334467</v>
      </c>
      <c r="T648" s="101">
        <f t="shared" ref="T648:T711" si="194">J648+Q648+T647</f>
        <v>164.44866070792406</v>
      </c>
      <c r="U648" s="101">
        <f t="shared" ref="U648:U711" si="195">K648+R648+U647</f>
        <v>33.115613900127435</v>
      </c>
      <c r="V648" s="33">
        <f t="shared" ref="V648:V711" si="196">SUM(G648:I648,L648,N648,O648,P648,S648,T648,U648)</f>
        <v>999.99999999999955</v>
      </c>
      <c r="W648" s="105">
        <f>IF(A648=1,((cPH1_+cPHr+(cNES*L648+(cNES+cOSEX)*G648+(cNES+cEREX)*H648+(cNES+cHOEX)*I648 + (cNES+cNES)*S648 +(cNES+ cOSEX)*N648 + (cNES+cEREX)*O648 + (cNES+cHOEX)*P648)))/(1+cDR)^A$5:A$65536,(cPHr+(cNES*L648+(cNES+cOSEX)*G648+(cNES+cEREX)*H648+(cNES+cHOEX)*I648 + (cNES+cNES)*S648 +(cNES+ cOSEX)*N648 + (cNES+cEREX)*O648 + (cNES+cHOEX)*P648))/(1+cDR)^A$5:A$65536)</f>
        <v>75256.377377117795</v>
      </c>
      <c r="X648" s="112">
        <f t="shared" ref="X648:X711" si="197">(L648+G648+H648+I648+N648+O648+P648+S648)</f>
        <v>802.43572539194804</v>
      </c>
      <c r="Y648" s="32">
        <f>(uNES*L648+ uOCEX*G648+uEREX*'PH + UC'!H648+uHOEX*I648+uNES*S648+ uOCEX*N648+uEREX*O648+uHOEX*P648)/(1+oDR)^A$5:A$65536</f>
        <v>439.17082815681033</v>
      </c>
    </row>
    <row r="649" spans="1:25" x14ac:dyDescent="0.25">
      <c r="A649" s="4">
        <v>643</v>
      </c>
      <c r="C649" s="110">
        <f>IF(male=0,VLOOKUP(((A647:A1481/'Life tables'!$I$2)*2)+age,lifetable,13,1),IF(male=1,VLOOKUP(((A647:A1481/'Life tables'!$I$2)*2)+age,lifetable,10,1),"error"))</f>
        <v>5.6976556749510632E-4</v>
      </c>
      <c r="F649" s="101">
        <f t="shared" si="180"/>
        <v>127.94300555533009</v>
      </c>
      <c r="G649" s="101">
        <f t="shared" si="181"/>
        <v>12.852142677990658</v>
      </c>
      <c r="H649" s="101">
        <f t="shared" si="182"/>
        <v>0.29410549567740529</v>
      </c>
      <c r="I649" s="101">
        <f t="shared" si="183"/>
        <v>0.29410549567740529</v>
      </c>
      <c r="J649" s="101">
        <f t="shared" si="184"/>
        <v>8.0555369903011736E-2</v>
      </c>
      <c r="K649" s="101">
        <f t="shared" si="185"/>
        <v>2.3054671090812329E-2</v>
      </c>
      <c r="L649" s="101">
        <f t="shared" si="192"/>
        <v>114.39904184499079</v>
      </c>
      <c r="M649" s="101">
        <f t="shared" si="186"/>
        <v>674.49271983661777</v>
      </c>
      <c r="N649" s="101">
        <f t="shared" si="187"/>
        <v>64.955110294733487</v>
      </c>
      <c r="O649" s="101">
        <f t="shared" si="188"/>
        <v>1.5504717498023912</v>
      </c>
      <c r="P649" s="101">
        <f t="shared" si="189"/>
        <v>1.5504717498023912</v>
      </c>
      <c r="Q649" s="101">
        <f t="shared" si="190"/>
        <v>0.4230787234006369</v>
      </c>
      <c r="R649" s="101">
        <f t="shared" si="191"/>
        <v>1.8064325136077582E-2</v>
      </c>
      <c r="S649" s="101">
        <f t="shared" si="193"/>
        <v>605.99552299374272</v>
      </c>
      <c r="T649" s="101">
        <f t="shared" si="194"/>
        <v>164.95229480122771</v>
      </c>
      <c r="U649" s="101">
        <f t="shared" si="195"/>
        <v>33.156732896354328</v>
      </c>
      <c r="V649" s="33">
        <f t="shared" si="196"/>
        <v>999.99999999999932</v>
      </c>
      <c r="W649" s="105">
        <f>IF(A649=1,((cPH1_+cPHr+(cNES*L649+(cNES+cOSEX)*G649+(cNES+cEREX)*H649+(cNES+cHOEX)*I649 + (cNES+cNES)*S649 +(cNES+ cOSEX)*N649 + (cNES+cEREX)*O649 + (cNES+cHOEX)*P649)))/(1+cDR)^A$5:A$65536,(cPHr+(cNES*L649+(cNES+cOSEX)*G649+(cNES+cEREX)*H649+(cNES+cHOEX)*I649 + (cNES+cNES)*S649 +(cNES+ cOSEX)*N649 + (cNES+cEREX)*O649 + (cNES+cHOEX)*P649))/(1+cDR)^A$5:A$65536)</f>
        <v>75118.858239219553</v>
      </c>
      <c r="X649" s="112">
        <f t="shared" si="197"/>
        <v>801.89097230241725</v>
      </c>
      <c r="Y649" s="32">
        <f>(uNES*L649+ uOCEX*G649+uEREX*'PH + UC'!H649+uHOEX*I649+uNES*S649+ uOCEX*N649+uEREX*O649+uHOEX*P649)/(1+oDR)^A$5:A$65536</f>
        <v>438.74647168366602</v>
      </c>
    </row>
    <row r="650" spans="1:25" x14ac:dyDescent="0.25">
      <c r="A650" s="4">
        <v>644</v>
      </c>
      <c r="C650" s="110">
        <f>IF(male=0,VLOOKUP(((A648:A1482/'Life tables'!$I$2)*2)+age,lifetable,13,1),IF(male=1,VLOOKUP(((A648:A1482/'Life tables'!$I$2)*2)+age,lifetable,10,1),"error"))</f>
        <v>5.6976556749510632E-4</v>
      </c>
      <c r="F650" s="101">
        <f t="shared" si="180"/>
        <v>127.8561374819497</v>
      </c>
      <c r="G650" s="101">
        <f t="shared" si="181"/>
        <v>12.843416598214738</v>
      </c>
      <c r="H650" s="101">
        <f t="shared" si="182"/>
        <v>0.29390581006216443</v>
      </c>
      <c r="I650" s="101">
        <f t="shared" si="183"/>
        <v>0.29390581006216443</v>
      </c>
      <c r="J650" s="101">
        <f t="shared" si="184"/>
        <v>8.0500676098113663E-2</v>
      </c>
      <c r="K650" s="101">
        <f t="shared" si="185"/>
        <v>2.3039017911090743E-2</v>
      </c>
      <c r="L650" s="101">
        <f t="shared" si="192"/>
        <v>114.32136956960143</v>
      </c>
      <c r="M650" s="101">
        <f t="shared" si="186"/>
        <v>674.03483482046749</v>
      </c>
      <c r="N650" s="101">
        <f t="shared" si="187"/>
        <v>64.911014975611963</v>
      </c>
      <c r="O650" s="101">
        <f t="shared" si="188"/>
        <v>1.5494191991056681</v>
      </c>
      <c r="P650" s="101">
        <f t="shared" si="189"/>
        <v>1.5494191991056681</v>
      </c>
      <c r="Q650" s="101">
        <f t="shared" si="190"/>
        <v>0.42279151287574929</v>
      </c>
      <c r="R650" s="101">
        <f t="shared" si="191"/>
        <v>1.8052062018087695E-2</v>
      </c>
      <c r="S650" s="101">
        <f t="shared" si="193"/>
        <v>605.58413787175039</v>
      </c>
      <c r="T650" s="101">
        <f t="shared" si="194"/>
        <v>165.45558699020157</v>
      </c>
      <c r="U650" s="101">
        <f t="shared" si="195"/>
        <v>33.197823976283509</v>
      </c>
      <c r="V650" s="33">
        <f t="shared" si="196"/>
        <v>999.99999999999932</v>
      </c>
      <c r="W650" s="105">
        <f>IF(A650=1,((cPH1_+cPHr+(cNES*L650+(cNES+cOSEX)*G650+(cNES+cEREX)*H650+(cNES+cHOEX)*I650 + (cNES+cNES)*S650 +(cNES+ cOSEX)*N650 + (cNES+cEREX)*O650 + (cNES+cHOEX)*P650)))/(1+cDR)^A$5:A$65536,(cPHr+(cNES*L650+(cNES+cOSEX)*G650+(cNES+cEREX)*H650+(cNES+cHOEX)*I650 + (cNES+cNES)*S650 +(cNES+ cOSEX)*N650 + (cNES+cEREX)*O650 + (cNES+cHOEX)*P650))/(1+cDR)^A$5:A$65536)</f>
        <v>74981.590381533533</v>
      </c>
      <c r="X650" s="112">
        <f t="shared" si="197"/>
        <v>801.34658903351419</v>
      </c>
      <c r="Y650" s="32">
        <f>(uNES*L650+ uOCEX*G650+uEREX*'PH + UC'!H650+uHOEX*I650+uNES*S650+ uOCEX*N650+uEREX*O650+uHOEX*P650)/(1+oDR)^A$5:A$65536</f>
        <v>438.32252525311947</v>
      </c>
    </row>
    <row r="651" spans="1:25" x14ac:dyDescent="0.25">
      <c r="A651" s="4">
        <v>645</v>
      </c>
      <c r="C651" s="110">
        <f>IF(male=0,VLOOKUP(((A649:A1483/'Life tables'!$I$2)*2)+age,lifetable,13,1),IF(male=1,VLOOKUP(((A649:A1483/'Life tables'!$I$2)*2)+age,lifetable,10,1),"error"))</f>
        <v>5.6976556749510632E-4</v>
      </c>
      <c r="F651" s="101">
        <f t="shared" si="180"/>
        <v>127.76932887225792</v>
      </c>
      <c r="G651" s="101">
        <f t="shared" si="181"/>
        <v>12.834696491690787</v>
      </c>
      <c r="H651" s="101">
        <f t="shared" si="182"/>
        <v>0.29370626113745646</v>
      </c>
      <c r="I651" s="101">
        <f t="shared" si="183"/>
        <v>0.29370626113745646</v>
      </c>
      <c r="J651" s="101">
        <f t="shared" si="184"/>
        <v>8.0446019732694246E-2</v>
      </c>
      <c r="K651" s="101">
        <f t="shared" si="185"/>
        <v>2.3023375446419792E-2</v>
      </c>
      <c r="L651" s="101">
        <f t="shared" si="192"/>
        <v>114.2437504631131</v>
      </c>
      <c r="M651" s="101">
        <f t="shared" si="186"/>
        <v>673.57726016125616</v>
      </c>
      <c r="N651" s="101">
        <f t="shared" si="187"/>
        <v>64.86694954453607</v>
      </c>
      <c r="O651" s="101">
        <f t="shared" si="188"/>
        <v>1.5483673618334963</v>
      </c>
      <c r="P651" s="101">
        <f t="shared" si="189"/>
        <v>1.5483673618334963</v>
      </c>
      <c r="Q651" s="101">
        <f t="shared" si="190"/>
        <v>0.42250449702370801</v>
      </c>
      <c r="R651" s="101">
        <f t="shared" si="191"/>
        <v>1.8039807212105467E-2</v>
      </c>
      <c r="S651" s="101">
        <f t="shared" si="193"/>
        <v>605.17303158881725</v>
      </c>
      <c r="T651" s="101">
        <f t="shared" si="194"/>
        <v>165.95853750695798</v>
      </c>
      <c r="U651" s="101">
        <f t="shared" si="195"/>
        <v>33.238887158942035</v>
      </c>
      <c r="V651" s="33">
        <f t="shared" si="196"/>
        <v>999.9999999999992</v>
      </c>
      <c r="W651" s="105">
        <f>IF(A651=1,((cPH1_+cPHr+(cNES*L651+(cNES+cOSEX)*G651+(cNES+cEREX)*H651+(cNES+cHOEX)*I651 + (cNES+cNES)*S651 +(cNES+ cOSEX)*N651 + (cNES+cEREX)*O651 + (cNES+cHOEX)*P651)))/(1+cDR)^A$5:A$65536,(cPHr+(cNES*L651+(cNES+cOSEX)*G651+(cNES+cEREX)*H651+(cNES+cHOEX)*I651 + (cNES+cNES)*S651 +(cNES+ cOSEX)*N651 + (cNES+cEREX)*O651 + (cNES+cHOEX)*P651))/(1+cDR)^A$5:A$65536)</f>
        <v>74844.57334582186</v>
      </c>
      <c r="X651" s="112">
        <f t="shared" si="197"/>
        <v>800.80257533409917</v>
      </c>
      <c r="Y651" s="32">
        <f>(uNES*L651+ uOCEX*G651+uEREX*'PH + UC'!H651+uHOEX*I651+uNES*S651+ uOCEX*N651+uEREX*O651+uHOEX*P651)/(1+oDR)^A$5:A$65536</f>
        <v>437.8989884689247</v>
      </c>
    </row>
    <row r="652" spans="1:25" x14ac:dyDescent="0.25">
      <c r="A652" s="4">
        <v>646</v>
      </c>
      <c r="C652" s="110">
        <f>IF(male=0,VLOOKUP(((A650:A1484/'Life tables'!$I$2)*2)+age,lifetable,13,1),IF(male=1,VLOOKUP(((A650:A1484/'Life tables'!$I$2)*2)+age,lifetable,10,1),"error"))</f>
        <v>5.6976556749510632E-4</v>
      </c>
      <c r="F652" s="101">
        <f t="shared" si="180"/>
        <v>127.68257966364123</v>
      </c>
      <c r="G652" s="101">
        <f t="shared" si="181"/>
        <v>12.82598235212915</v>
      </c>
      <c r="H652" s="101">
        <f t="shared" si="182"/>
        <v>0.29350684875935035</v>
      </c>
      <c r="I652" s="101">
        <f t="shared" si="183"/>
        <v>0.29350684875935035</v>
      </c>
      <c r="J652" s="101">
        <f t="shared" si="184"/>
        <v>8.0391400767330895E-2</v>
      </c>
      <c r="K652" s="101">
        <f t="shared" si="185"/>
        <v>2.3007743685516838E-2</v>
      </c>
      <c r="L652" s="101">
        <f t="shared" si="192"/>
        <v>114.16618446954054</v>
      </c>
      <c r="M652" s="101">
        <f t="shared" si="186"/>
        <v>673.11999567045791</v>
      </c>
      <c r="N652" s="101">
        <f t="shared" si="187"/>
        <v>64.822913983350389</v>
      </c>
      <c r="O652" s="101">
        <f t="shared" si="188"/>
        <v>1.5473162375525074</v>
      </c>
      <c r="P652" s="101">
        <f t="shared" si="189"/>
        <v>1.5473162375525074</v>
      </c>
      <c r="Q652" s="101">
        <f t="shared" si="190"/>
        <v>0.42221767572625901</v>
      </c>
      <c r="R652" s="101">
        <f t="shared" si="191"/>
        <v>1.8027560713081779E-2</v>
      </c>
      <c r="S652" s="101">
        <f t="shared" si="193"/>
        <v>604.76220397556312</v>
      </c>
      <c r="T652" s="101">
        <f t="shared" si="194"/>
        <v>166.46114658345158</v>
      </c>
      <c r="U652" s="101">
        <f t="shared" si="195"/>
        <v>33.279922463340633</v>
      </c>
      <c r="V652" s="33">
        <f t="shared" si="196"/>
        <v>999.99999999999909</v>
      </c>
      <c r="W652" s="105">
        <f>IF(A652=1,((cPH1_+cPHr+(cNES*L652+(cNES+cOSEX)*G652+(cNES+cEREX)*H652+(cNES+cHOEX)*I652 + (cNES+cNES)*S652 +(cNES+ cOSEX)*N652 + (cNES+cEREX)*O652 + (cNES+cHOEX)*P652)))/(1+cDR)^A$5:A$65536,(cPHr+(cNES*L652+(cNES+cOSEX)*G652+(cNES+cEREX)*H652+(cNES+cHOEX)*I652 + (cNES+cNES)*S652 +(cNES+ cOSEX)*N652 + (cNES+cEREX)*O652 + (cNES+cHOEX)*P652))/(1+cDR)^A$5:A$65536)</f>
        <v>74707.806674639796</v>
      </c>
      <c r="X652" s="112">
        <f t="shared" si="197"/>
        <v>800.25893095320691</v>
      </c>
      <c r="Y652" s="32">
        <f>(uNES*L652+ uOCEX*G652+uEREX*'PH + UC'!H652+uHOEX*I652+uNES*S652+ uOCEX*N652+uEREX*O652+uHOEX*P652)/(1+oDR)^A$5:A$65536</f>
        <v>437.47586093522045</v>
      </c>
    </row>
    <row r="653" spans="1:25" x14ac:dyDescent="0.25">
      <c r="A653" s="4">
        <v>647</v>
      </c>
      <c r="C653" s="110">
        <f>IF(male=0,VLOOKUP(((A651:A1485/'Life tables'!$I$2)*2)+age,lifetable,13,1),IF(male=1,VLOOKUP(((A651:A1485/'Life tables'!$I$2)*2)+age,lifetable,10,1),"error"))</f>
        <v>5.6976556749510632E-4</v>
      </c>
      <c r="F653" s="101">
        <f t="shared" si="180"/>
        <v>127.59588979453616</v>
      </c>
      <c r="G653" s="101">
        <f t="shared" si="181"/>
        <v>12.817274173345647</v>
      </c>
      <c r="H653" s="101">
        <f t="shared" si="182"/>
        <v>0.29330757278632869</v>
      </c>
      <c r="I653" s="101">
        <f t="shared" si="183"/>
        <v>0.29330757278632869</v>
      </c>
      <c r="J653" s="101">
        <f t="shared" si="184"/>
        <v>8.0336819163262005E-2</v>
      </c>
      <c r="K653" s="101">
        <f t="shared" si="185"/>
        <v>2.2992122617288467E-2</v>
      </c>
      <c r="L653" s="101">
        <f t="shared" si="192"/>
        <v>114.0886715338373</v>
      </c>
      <c r="M653" s="101">
        <f t="shared" si="186"/>
        <v>672.66304115867081</v>
      </c>
      <c r="N653" s="101">
        <f t="shared" si="187"/>
        <v>64.778908273815077</v>
      </c>
      <c r="O653" s="101">
        <f t="shared" si="188"/>
        <v>1.546265825827319</v>
      </c>
      <c r="P653" s="101">
        <f t="shared" si="189"/>
        <v>1.546265825827319</v>
      </c>
      <c r="Q653" s="101">
        <f t="shared" si="190"/>
        <v>0.42193104886459937</v>
      </c>
      <c r="R653" s="101">
        <f t="shared" si="191"/>
        <v>1.8015322515944059E-2</v>
      </c>
      <c r="S653" s="101">
        <f t="shared" si="193"/>
        <v>604.35165486182052</v>
      </c>
      <c r="T653" s="101">
        <f t="shared" si="194"/>
        <v>166.96341445147945</v>
      </c>
      <c r="U653" s="101">
        <f t="shared" si="195"/>
        <v>33.320929908473865</v>
      </c>
      <c r="V653" s="33">
        <f t="shared" si="196"/>
        <v>999.9999999999992</v>
      </c>
      <c r="W653" s="105">
        <f>IF(A653=1,((cPH1_+cPHr+(cNES*L653+(cNES+cOSEX)*G653+(cNES+cEREX)*H653+(cNES+cHOEX)*I653 + (cNES+cNES)*S653 +(cNES+ cOSEX)*N653 + (cNES+cEREX)*O653 + (cNES+cHOEX)*P653)))/(1+cDR)^A$5:A$65536,(cPHr+(cNES*L653+(cNES+cOSEX)*G653+(cNES+cEREX)*H653+(cNES+cHOEX)*I653 + (cNES+cNES)*S653 +(cNES+ cOSEX)*N653 + (cNES+cEREX)*O653 + (cNES+cHOEX)*P653))/(1+cDR)^A$5:A$65536)</f>
        <v>74571.289911336411</v>
      </c>
      <c r="X653" s="112">
        <f t="shared" si="197"/>
        <v>799.71565564004584</v>
      </c>
      <c r="Y653" s="32">
        <f>(uNES*L653+ uOCEX*G653+uEREX*'PH + UC'!H653+uHOEX*I653+uNES*S653+ uOCEX*N653+uEREX*O653+uHOEX*P653)/(1+oDR)^A$5:A$65536</f>
        <v>437.05314225652927</v>
      </c>
    </row>
    <row r="654" spans="1:25" x14ac:dyDescent="0.25">
      <c r="A654" s="4">
        <v>648</v>
      </c>
      <c r="C654" s="110">
        <f>IF(male=0,VLOOKUP(((A652:A1486/'Life tables'!$I$2)*2)+age,lifetable,13,1),IF(male=1,VLOOKUP(((A652:A1486/'Life tables'!$I$2)*2)+age,lifetable,10,1),"error"))</f>
        <v>5.6976556749510632E-4</v>
      </c>
      <c r="F654" s="101">
        <f t="shared" si="180"/>
        <v>127.50925920438289</v>
      </c>
      <c r="G654" s="101">
        <f t="shared" si="181"/>
        <v>12.808571949256914</v>
      </c>
      <c r="H654" s="101">
        <f t="shared" si="182"/>
        <v>0.29310843307918122</v>
      </c>
      <c r="I654" s="101">
        <f t="shared" si="183"/>
        <v>0.29310843307918122</v>
      </c>
      <c r="J654" s="101">
        <f t="shared" si="184"/>
        <v>8.0282274882358007E-2</v>
      </c>
      <c r="K654" s="101">
        <f t="shared" si="185"/>
        <v>2.2976512230822106E-2</v>
      </c>
      <c r="L654" s="101">
        <f t="shared" si="192"/>
        <v>114.01121160185443</v>
      </c>
      <c r="M654" s="101">
        <f t="shared" si="186"/>
        <v>672.2063964356629</v>
      </c>
      <c r="N654" s="101">
        <f t="shared" si="187"/>
        <v>64.734932397610407</v>
      </c>
      <c r="O654" s="101">
        <f t="shared" si="188"/>
        <v>1.5452161262206403</v>
      </c>
      <c r="P654" s="101">
        <f t="shared" si="189"/>
        <v>1.5452161262206403</v>
      </c>
      <c r="Q654" s="101">
        <f t="shared" si="190"/>
        <v>0.42164461631940509</v>
      </c>
      <c r="R654" s="101">
        <f t="shared" si="191"/>
        <v>1.8003092615597488E-2</v>
      </c>
      <c r="S654" s="101">
        <f t="shared" si="193"/>
        <v>603.94138407667617</v>
      </c>
      <c r="T654" s="101">
        <f t="shared" si="194"/>
        <v>167.46534134268123</v>
      </c>
      <c r="U654" s="101">
        <f t="shared" si="195"/>
        <v>33.361909513320285</v>
      </c>
      <c r="V654" s="33">
        <f t="shared" si="196"/>
        <v>999.99999999999909</v>
      </c>
      <c r="W654" s="105">
        <f>IF(A654=1,((cPH1_+cPHr+(cNES*L654+(cNES+cOSEX)*G654+(cNES+cEREX)*H654+(cNES+cHOEX)*I654 + (cNES+cNES)*S654 +(cNES+ cOSEX)*N654 + (cNES+cEREX)*O654 + (cNES+cHOEX)*P654)))/(1+cDR)^A$5:A$65536,(cPHr+(cNES*L654+(cNES+cOSEX)*G654+(cNES+cEREX)*H654+(cNES+cHOEX)*I654 + (cNES+cNES)*S654 +(cNES+ cOSEX)*N654 + (cNES+cEREX)*O654 + (cNES+cHOEX)*P654))/(1+cDR)^A$5:A$65536)</f>
        <v>74435.022600054886</v>
      </c>
      <c r="X654" s="112">
        <f t="shared" si="197"/>
        <v>799.17274914399763</v>
      </c>
      <c r="Y654" s="32">
        <f>(uNES*L654+ uOCEX*G654+uEREX*'PH + UC'!H654+uHOEX*I654+uNES*S654+ uOCEX*N654+uEREX*O654+uHOEX*P654)/(1+oDR)^A$5:A$65536</f>
        <v>436.63083203775733</v>
      </c>
    </row>
    <row r="655" spans="1:25" x14ac:dyDescent="0.25">
      <c r="A655" s="4">
        <v>649</v>
      </c>
      <c r="C655" s="110">
        <f>IF(male=0,VLOOKUP(((A653:A1487/'Life tables'!$I$2)*2)+age,lifetable,13,1),IF(male=1,VLOOKUP(((A653:A1487/'Life tables'!$I$2)*2)+age,lifetable,10,1),"error"))</f>
        <v>5.6976556749510632E-4</v>
      </c>
      <c r="F655" s="101">
        <f t="shared" si="180"/>
        <v>127.42268783358091</v>
      </c>
      <c r="G655" s="101">
        <f t="shared" si="181"/>
        <v>12.79987567387596</v>
      </c>
      <c r="H655" s="101">
        <f t="shared" si="182"/>
        <v>0.29290942950090293</v>
      </c>
      <c r="I655" s="101">
        <f t="shared" si="183"/>
        <v>0.29290942950090293</v>
      </c>
      <c r="J655" s="101">
        <f t="shared" si="184"/>
        <v>8.0227767887093238E-2</v>
      </c>
      <c r="K655" s="101">
        <f t="shared" si="185"/>
        <v>2.2960912515378046E-2</v>
      </c>
      <c r="L655" s="101">
        <f t="shared" si="192"/>
        <v>113.93380462030068</v>
      </c>
      <c r="M655" s="101">
        <f t="shared" si="186"/>
        <v>671.75006131041675</v>
      </c>
      <c r="N655" s="101">
        <f t="shared" si="187"/>
        <v>64.690986336340984</v>
      </c>
      <c r="O655" s="101">
        <f t="shared" si="188"/>
        <v>1.5441671382933755</v>
      </c>
      <c r="P655" s="101">
        <f t="shared" si="189"/>
        <v>1.5441671382933755</v>
      </c>
      <c r="Q655" s="101">
        <f t="shared" si="190"/>
        <v>0.42135837797085957</v>
      </c>
      <c r="R655" s="101">
        <f t="shared" si="191"/>
        <v>1.7990871006926226E-2</v>
      </c>
      <c r="S655" s="101">
        <f t="shared" si="193"/>
        <v>603.53139144851127</v>
      </c>
      <c r="T655" s="101">
        <f t="shared" si="194"/>
        <v>167.96692748853917</v>
      </c>
      <c r="U655" s="101">
        <f t="shared" si="195"/>
        <v>33.402861296842588</v>
      </c>
      <c r="V655" s="33">
        <f t="shared" si="196"/>
        <v>999.9999999999992</v>
      </c>
      <c r="W655" s="105">
        <f>IF(A655=1,((cPH1_+cPHr+(cNES*L655+(cNES+cOSEX)*G655+(cNES+cEREX)*H655+(cNES+cHOEX)*I655 + (cNES+cNES)*S655 +(cNES+ cOSEX)*N655 + (cNES+cEREX)*O655 + (cNES+cHOEX)*P655)))/(1+cDR)^A$5:A$65536,(cPHr+(cNES*L655+(cNES+cOSEX)*G655+(cNES+cEREX)*H655+(cNES+cHOEX)*I655 + (cNES+cNES)*S655 +(cNES+ cOSEX)*N655 + (cNES+cEREX)*O655 + (cNES+cHOEX)*P655))/(1+cDR)^A$5:A$65536)</f>
        <v>74299.004285733099</v>
      </c>
      <c r="X655" s="112">
        <f t="shared" si="197"/>
        <v>798.63021121461747</v>
      </c>
      <c r="Y655" s="32">
        <f>(uNES*L655+ uOCEX*G655+uEREX*'PH + UC'!H655+uHOEX*I655+uNES*S655+ uOCEX*N655+uEREX*O655+uHOEX*P655)/(1+oDR)^A$5:A$65536</f>
        <v>436.20892988419416</v>
      </c>
    </row>
    <row r="656" spans="1:25" x14ac:dyDescent="0.25">
      <c r="A656" s="4">
        <v>650</v>
      </c>
      <c r="C656" s="110">
        <f>IF(male=0,VLOOKUP(((A654:A1488/'Life tables'!$I$2)*2)+age,lifetable,13,1),IF(male=1,VLOOKUP(((A654:A1488/'Life tables'!$I$2)*2)+age,lifetable,10,1),"error"))</f>
        <v>5.6976556749510632E-4</v>
      </c>
      <c r="F656" s="101">
        <f t="shared" si="180"/>
        <v>127.33617562344693</v>
      </c>
      <c r="G656" s="101">
        <f t="shared" si="181"/>
        <v>12.791185341307921</v>
      </c>
      <c r="H656" s="101">
        <f t="shared" si="182"/>
        <v>0.29271056191659722</v>
      </c>
      <c r="I656" s="101">
        <f t="shared" si="183"/>
        <v>0.29271056191659722</v>
      </c>
      <c r="J656" s="101">
        <f t="shared" si="184"/>
        <v>8.0173298140519614E-2</v>
      </c>
      <c r="K656" s="101">
        <f t="shared" si="185"/>
        <v>2.2945323460381875E-2</v>
      </c>
      <c r="L656" s="101">
        <f t="shared" si="192"/>
        <v>113.85645053670493</v>
      </c>
      <c r="M656" s="101">
        <f t="shared" si="186"/>
        <v>671.29403559117054</v>
      </c>
      <c r="N656" s="101">
        <f t="shared" si="187"/>
        <v>64.647070071539716</v>
      </c>
      <c r="O656" s="101">
        <f t="shared" si="188"/>
        <v>1.5431188616047169</v>
      </c>
      <c r="P656" s="101">
        <f t="shared" si="189"/>
        <v>1.5431188616047169</v>
      </c>
      <c r="Q656" s="101">
        <f t="shared" si="190"/>
        <v>0.42107233369867936</v>
      </c>
      <c r="R656" s="101">
        <f t="shared" si="191"/>
        <v>1.7978657684794484E-2</v>
      </c>
      <c r="S656" s="101">
        <f t="shared" si="193"/>
        <v>603.12167680503796</v>
      </c>
      <c r="T656" s="101">
        <f t="shared" si="194"/>
        <v>168.46817312037837</v>
      </c>
      <c r="U656" s="101">
        <f t="shared" si="195"/>
        <v>33.443785277987764</v>
      </c>
      <c r="V656" s="33">
        <f t="shared" si="196"/>
        <v>999.9999999999992</v>
      </c>
      <c r="W656" s="105">
        <f>IF(A656=1,((cPH1_+cPHr+(cNES*L656+(cNES+cOSEX)*G656+(cNES+cEREX)*H656+(cNES+cHOEX)*I656 + (cNES+cNES)*S656 +(cNES+ cOSEX)*N656 + (cNES+cEREX)*O656 + (cNES+cHOEX)*P656)))/(1+cDR)^A$5:A$65536,(cPHr+(cNES*L656+(cNES+cOSEX)*G656+(cNES+cEREX)*H656+(cNES+cHOEX)*I656 + (cNES+cNES)*S656 +(cNES+ cOSEX)*N656 + (cNES+cEREX)*O656 + (cNES+cHOEX)*P656))/(1+cDR)^A$5:A$65536)</f>
        <v>74163.234514103839</v>
      </c>
      <c r="X656" s="112">
        <f t="shared" si="197"/>
        <v>798.08804160163311</v>
      </c>
      <c r="Y656" s="32">
        <f>(uNES*L656+ uOCEX*G656+uEREX*'PH + UC'!H656+uHOEX*I656+uNES*S656+ uOCEX*N656+uEREX*O656+uHOEX*P656)/(1+oDR)^A$5:A$65536</f>
        <v>435.7874354015118</v>
      </c>
    </row>
    <row r="657" spans="1:25" x14ac:dyDescent="0.25">
      <c r="A657" s="4">
        <v>651</v>
      </c>
      <c r="C657" s="110">
        <f>IF(male=0,VLOOKUP(((A655:A1489/'Life tables'!$I$2)*2)+age,lifetable,13,1),IF(male=1,VLOOKUP(((A655:A1489/'Life tables'!$I$2)*2)+age,lifetable,10,1),"error"))</f>
        <v>5.6976556749510632E-4</v>
      </c>
      <c r="F657" s="101">
        <f t="shared" si="180"/>
        <v>127.2497225161744</v>
      </c>
      <c r="G657" s="101">
        <f t="shared" si="181"/>
        <v>12.78250094574601</v>
      </c>
      <c r="H657" s="101">
        <f t="shared" si="182"/>
        <v>0.29251183019338284</v>
      </c>
      <c r="I657" s="101">
        <f t="shared" si="183"/>
        <v>0.29251183019338284</v>
      </c>
      <c r="J657" s="101">
        <f t="shared" si="184"/>
        <v>8.0118865606240944E-2</v>
      </c>
      <c r="K657" s="101">
        <f t="shared" si="185"/>
        <v>2.2929745055417134E-2</v>
      </c>
      <c r="L657" s="101">
        <f t="shared" si="192"/>
        <v>113.77914929937997</v>
      </c>
      <c r="M657" s="101">
        <f t="shared" si="186"/>
        <v>670.83831908545881</v>
      </c>
      <c r="N657" s="101">
        <f t="shared" si="187"/>
        <v>64.603183584671768</v>
      </c>
      <c r="O657" s="101">
        <f t="shared" si="188"/>
        <v>1.5420712957122402</v>
      </c>
      <c r="P657" s="101">
        <f t="shared" si="189"/>
        <v>1.5420712957122402</v>
      </c>
      <c r="Q657" s="101">
        <f t="shared" si="190"/>
        <v>0.42078648338213948</v>
      </c>
      <c r="R657" s="101">
        <f t="shared" si="191"/>
        <v>1.7966452644047642E-2</v>
      </c>
      <c r="S657" s="101">
        <f t="shared" si="193"/>
        <v>602.71223997333641</v>
      </c>
      <c r="T657" s="101">
        <f t="shared" si="194"/>
        <v>168.96907846936674</v>
      </c>
      <c r="U657" s="101">
        <f t="shared" si="195"/>
        <v>33.484681475687232</v>
      </c>
      <c r="V657" s="33">
        <f t="shared" si="196"/>
        <v>999.99999999999943</v>
      </c>
      <c r="W657" s="105">
        <f>IF(A657=1,((cPH1_+cPHr+(cNES*L657+(cNES+cOSEX)*G657+(cNES+cEREX)*H657+(cNES+cHOEX)*I657 + (cNES+cNES)*S657 +(cNES+ cOSEX)*N657 + (cNES+cEREX)*O657 + (cNES+cHOEX)*P657)))/(1+cDR)^A$5:A$65536,(cPHr+(cNES*L657+(cNES+cOSEX)*G657+(cNES+cEREX)*H657+(cNES+cHOEX)*I657 + (cNES+cNES)*S657 +(cNES+ cOSEX)*N657 + (cNES+cEREX)*O657 + (cNES+cHOEX)*P657))/(1+cDR)^A$5:A$65536)</f>
        <v>74027.712831695128</v>
      </c>
      <c r="X657" s="112">
        <f t="shared" si="197"/>
        <v>797.54624005494543</v>
      </c>
      <c r="Y657" s="32">
        <f>(uNES*L657+ uOCEX*G657+uEREX*'PH + UC'!H657+uHOEX*I657+uNES*S657+ uOCEX*N657+uEREX*O657+uHOEX*P657)/(1+oDR)^A$5:A$65536</f>
        <v>435.36634819576477</v>
      </c>
    </row>
    <row r="658" spans="1:25" x14ac:dyDescent="0.25">
      <c r="A658" s="4">
        <v>652</v>
      </c>
      <c r="C658" s="110">
        <f>IF(male=0,VLOOKUP(((A656:A1490/'Life tables'!$I$2)*2)+age,lifetable,13,1),IF(male=1,VLOOKUP(((A656:A1490/'Life tables'!$I$2)*2)+age,lifetable,10,1),"error"))</f>
        <v>6.1270435815030666E-4</v>
      </c>
      <c r="F658" s="101">
        <f t="shared" si="180"/>
        <v>127.16332845479515</v>
      </c>
      <c r="G658" s="101">
        <f t="shared" si="181"/>
        <v>12.773822481467656</v>
      </c>
      <c r="H658" s="101">
        <f t="shared" si="182"/>
        <v>0.29231323420030575</v>
      </c>
      <c r="I658" s="101">
        <f t="shared" si="183"/>
        <v>0.29231323420030575</v>
      </c>
      <c r="J658" s="101">
        <f t="shared" si="184"/>
        <v>8.6098305430864552E-2</v>
      </c>
      <c r="K658" s="101">
        <f t="shared" si="185"/>
        <v>2.2914177290218458E-2</v>
      </c>
      <c r="L658" s="101">
        <f t="shared" si="192"/>
        <v>113.6958670222058</v>
      </c>
      <c r="M658" s="101">
        <f t="shared" si="186"/>
        <v>670.38291160015035</v>
      </c>
      <c r="N658" s="101">
        <f t="shared" si="187"/>
        <v>64.559326857138188</v>
      </c>
      <c r="O658" s="101">
        <f t="shared" si="188"/>
        <v>1.5410244401719901</v>
      </c>
      <c r="P658" s="101">
        <f t="shared" si="189"/>
        <v>1.5410244401719901</v>
      </c>
      <c r="Q658" s="101">
        <f t="shared" si="190"/>
        <v>0.45219069727254163</v>
      </c>
      <c r="R658" s="101">
        <f t="shared" si="191"/>
        <v>1.7954255879513242E-2</v>
      </c>
      <c r="S658" s="101">
        <f t="shared" si="193"/>
        <v>602.27139090951607</v>
      </c>
      <c r="T658" s="101">
        <f t="shared" si="194"/>
        <v>169.50736747207014</v>
      </c>
      <c r="U658" s="101">
        <f t="shared" si="195"/>
        <v>33.525549908856966</v>
      </c>
      <c r="V658" s="33">
        <f t="shared" si="196"/>
        <v>999.99999999999943</v>
      </c>
      <c r="W658" s="105">
        <f>IF(A658=1,((cPH1_+cPHr+(cNES*L658+(cNES+cOSEX)*G658+(cNES+cEREX)*H658+(cNES+cHOEX)*I658 + (cNES+cNES)*S658 +(cNES+ cOSEX)*N658 + (cNES+cEREX)*O658 + (cNES+cHOEX)*P658)))/(1+cDR)^A$5:A$65536,(cPHr+(cNES*L658+(cNES+cOSEX)*G658+(cNES+cEREX)*H658+(cNES+cHOEX)*I658 + (cNES+cNES)*S658 +(cNES+ cOSEX)*N658 + (cNES+cEREX)*O658 + (cNES+cHOEX)*P658))/(1+cDR)^A$5:A$65536)</f>
        <v>73889.4072974093</v>
      </c>
      <c r="X658" s="112">
        <f t="shared" si="197"/>
        <v>796.96708261907224</v>
      </c>
      <c r="Y658" s="32">
        <f>(uNES*L658+ uOCEX*G658+uEREX*'PH + UC'!H658+uHOEX*I658+uNES*S658+ uOCEX*N658+uEREX*O658+uHOEX*P658)/(1+oDR)^A$5:A$65536</f>
        <v>434.92474625586505</v>
      </c>
    </row>
    <row r="659" spans="1:25" x14ac:dyDescent="0.25">
      <c r="A659" s="4">
        <v>653</v>
      </c>
      <c r="C659" s="110">
        <f>IF(male=0,VLOOKUP(((A657:A1491/'Life tables'!$I$2)*2)+age,lifetable,13,1),IF(male=1,VLOOKUP(((A657:A1491/'Life tables'!$I$2)*2)+age,lifetable,10,1),"error"))</f>
        <v>6.1270435815030666E-4</v>
      </c>
      <c r="F659" s="101">
        <f t="shared" si="180"/>
        <v>127.07095964361173</v>
      </c>
      <c r="G659" s="101">
        <f t="shared" si="181"/>
        <v>12.76454384106701</v>
      </c>
      <c r="H659" s="101">
        <f t="shared" si="182"/>
        <v>0.29210090391401677</v>
      </c>
      <c r="I659" s="101">
        <f t="shared" si="183"/>
        <v>0.29210090391401677</v>
      </c>
      <c r="J659" s="101">
        <f t="shared" si="184"/>
        <v>8.603576540290056E-2</v>
      </c>
      <c r="K659" s="101">
        <f t="shared" si="185"/>
        <v>2.289753290585653E-2</v>
      </c>
      <c r="L659" s="101">
        <f t="shared" si="192"/>
        <v>113.61328069640793</v>
      </c>
      <c r="M659" s="101">
        <f t="shared" si="186"/>
        <v>669.89612297546068</v>
      </c>
      <c r="N659" s="101">
        <f t="shared" si="187"/>
        <v>64.51244805789095</v>
      </c>
      <c r="O659" s="101">
        <f t="shared" si="188"/>
        <v>1.5399054480931886</v>
      </c>
      <c r="P659" s="101">
        <f t="shared" si="189"/>
        <v>1.5399054480931886</v>
      </c>
      <c r="Q659" s="101">
        <f t="shared" si="190"/>
        <v>0.45186234569344574</v>
      </c>
      <c r="R659" s="101">
        <f t="shared" si="191"/>
        <v>1.7941218662460599E-2</v>
      </c>
      <c r="S659" s="101">
        <f t="shared" si="193"/>
        <v>601.83406045702748</v>
      </c>
      <c r="T659" s="101">
        <f t="shared" si="194"/>
        <v>170.0452655831665</v>
      </c>
      <c r="U659" s="101">
        <f t="shared" si="195"/>
        <v>33.566388660425282</v>
      </c>
      <c r="V659" s="33">
        <f t="shared" si="196"/>
        <v>999.99999999999955</v>
      </c>
      <c r="W659" s="105">
        <f>IF(A659=1,((cPH1_+cPHr+(cNES*L659+(cNES+cOSEX)*G659+(cNES+cEREX)*H659+(cNES+cHOEX)*I659 + (cNES+cNES)*S659 +(cNES+ cOSEX)*N659 + (cNES+cEREX)*O659 + (cNES+cHOEX)*P659)))/(1+cDR)^A$5:A$65536,(cPHr+(cNES*L659+(cNES+cOSEX)*G659+(cNES+cEREX)*H659+(cNES+cHOEX)*I659 + (cNES+cNES)*S659 +(cNES+ cOSEX)*N659 + (cNES+cEREX)*O659 + (cNES+cHOEX)*P659))/(1+cDR)^A$5:A$65536)</f>
        <v>73750.896341960295</v>
      </c>
      <c r="X659" s="112">
        <f t="shared" si="197"/>
        <v>796.38834575640772</v>
      </c>
      <c r="Y659" s="32">
        <f>(uNES*L659+ uOCEX*G659+uEREX*'PH + UC'!H659+uHOEX*I659+uNES*S659+ uOCEX*N659+uEREX*O659+uHOEX*P659)/(1+oDR)^A$5:A$65536</f>
        <v>434.48392674953027</v>
      </c>
    </row>
    <row r="660" spans="1:25" x14ac:dyDescent="0.25">
      <c r="A660" s="4">
        <v>654</v>
      </c>
      <c r="C660" s="110">
        <f>IF(male=0,VLOOKUP(((A658:A1492/'Life tables'!$I$2)*2)+age,lifetable,13,1),IF(male=1,VLOOKUP(((A658:A1492/'Life tables'!$I$2)*2)+age,lifetable,10,1),"error"))</f>
        <v>6.1270435815030666E-4</v>
      </c>
      <c r="F660" s="101">
        <f t="shared" si="180"/>
        <v>126.97865909185222</v>
      </c>
      <c r="G660" s="101">
        <f t="shared" si="181"/>
        <v>12.755272057468355</v>
      </c>
      <c r="H660" s="101">
        <f t="shared" si="182"/>
        <v>0.29188873053721748</v>
      </c>
      <c r="I660" s="101">
        <f t="shared" si="183"/>
        <v>0.29188873053721748</v>
      </c>
      <c r="J660" s="101">
        <f t="shared" si="184"/>
        <v>8.5973271591253814E-2</v>
      </c>
      <c r="K660" s="101">
        <f t="shared" si="185"/>
        <v>2.2880900821491468E-2</v>
      </c>
      <c r="L660" s="101">
        <f t="shared" si="192"/>
        <v>113.53075540089669</v>
      </c>
      <c r="M660" s="101">
        <f t="shared" si="186"/>
        <v>669.40968666455569</v>
      </c>
      <c r="N660" s="101">
        <f t="shared" si="187"/>
        <v>64.465603187224517</v>
      </c>
      <c r="O660" s="101">
        <f t="shared" si="188"/>
        <v>1.5387872658860937</v>
      </c>
      <c r="P660" s="101">
        <f t="shared" si="189"/>
        <v>1.5387872658860937</v>
      </c>
      <c r="Q660" s="101">
        <f t="shared" si="190"/>
        <v>0.45153423175915447</v>
      </c>
      <c r="R660" s="101">
        <f t="shared" si="191"/>
        <v>1.7928190881107656E-2</v>
      </c>
      <c r="S660" s="101">
        <f t="shared" si="193"/>
        <v>601.39704652291869</v>
      </c>
      <c r="T660" s="101">
        <f t="shared" si="194"/>
        <v>170.58277308651691</v>
      </c>
      <c r="U660" s="101">
        <f t="shared" si="195"/>
        <v>33.607197752127881</v>
      </c>
      <c r="V660" s="33">
        <f t="shared" si="196"/>
        <v>999.99999999999966</v>
      </c>
      <c r="W660" s="105">
        <f>IF(A660=1,((cPH1_+cPHr+(cNES*L660+(cNES+cOSEX)*G660+(cNES+cEREX)*H660+(cNES+cHOEX)*I660 + (cNES+cNES)*S660 +(cNES+ cOSEX)*N660 + (cNES+cEREX)*O660 + (cNES+cHOEX)*P660)))/(1+cDR)^A$5:A$65536,(cPHr+(cNES*L660+(cNES+cOSEX)*G660+(cNES+cEREX)*H660+(cNES+cHOEX)*I660 + (cNES+cNES)*S660 +(cNES+ cOSEX)*N660 + (cNES+cEREX)*O660 + (cNES+cHOEX)*P660))/(1+cDR)^A$5:A$65536)</f>
        <v>73612.644996449773</v>
      </c>
      <c r="X660" s="112">
        <f t="shared" si="197"/>
        <v>795.81002916135492</v>
      </c>
      <c r="Y660" s="32">
        <f>(uNES*L660+ uOCEX*G660+uEREX*'PH + UC'!H660+uHOEX*I660+uNES*S660+ uOCEX*N660+uEREX*O660+uHOEX*P660)/(1+oDR)^A$5:A$65536</f>
        <v>434.04355403908585</v>
      </c>
    </row>
    <row r="661" spans="1:25" x14ac:dyDescent="0.25">
      <c r="A661" s="4">
        <v>655</v>
      </c>
      <c r="C661" s="110">
        <f>IF(male=0,VLOOKUP(((A659:A1493/'Life tables'!$I$2)*2)+age,lifetable,13,1),IF(male=1,VLOOKUP(((A659:A1493/'Life tables'!$I$2)*2)+age,lifetable,10,1),"error"))</f>
        <v>6.1270435815030666E-4</v>
      </c>
      <c r="F661" s="101">
        <f t="shared" si="180"/>
        <v>126.8864266962909</v>
      </c>
      <c r="G661" s="101">
        <f t="shared" si="181"/>
        <v>12.746007120302451</v>
      </c>
      <c r="H661" s="101">
        <f t="shared" si="182"/>
        <v>0.29167671383262045</v>
      </c>
      <c r="I661" s="101">
        <f t="shared" si="183"/>
        <v>0.29167671383262045</v>
      </c>
      <c r="J661" s="101">
        <f t="shared" si="184"/>
        <v>8.5910823926033414E-2</v>
      </c>
      <c r="K661" s="101">
        <f t="shared" si="185"/>
        <v>2.2864281018522524E-2</v>
      </c>
      <c r="L661" s="101">
        <f t="shared" si="192"/>
        <v>113.44829104337865</v>
      </c>
      <c r="M661" s="101">
        <f t="shared" si="186"/>
        <v>668.92360246506394</v>
      </c>
      <c r="N661" s="101">
        <f t="shared" si="187"/>
        <v>64.41879222565008</v>
      </c>
      <c r="O661" s="101">
        <f t="shared" si="188"/>
        <v>1.5376698930855099</v>
      </c>
      <c r="P661" s="101">
        <f t="shared" si="189"/>
        <v>1.5376698930855099</v>
      </c>
      <c r="Q661" s="101">
        <f t="shared" si="190"/>
        <v>0.45120635533316272</v>
      </c>
      <c r="R661" s="101">
        <f t="shared" si="191"/>
        <v>1.7915172530034489E-2</v>
      </c>
      <c r="S661" s="101">
        <f t="shared" si="193"/>
        <v>600.96034892537966</v>
      </c>
      <c r="T661" s="101">
        <f t="shared" si="194"/>
        <v>171.11989026577609</v>
      </c>
      <c r="U661" s="101">
        <f t="shared" si="195"/>
        <v>33.64797720567644</v>
      </c>
      <c r="V661" s="33">
        <f t="shared" si="196"/>
        <v>999.99999999999955</v>
      </c>
      <c r="W661" s="105">
        <f>IF(A661=1,((cPH1_+cPHr+(cNES*L661+(cNES+cOSEX)*G661+(cNES+cEREX)*H661+(cNES+cHOEX)*I661 + (cNES+cNES)*S661 +(cNES+ cOSEX)*N661 + (cNES+cEREX)*O661 + (cNES+cHOEX)*P661)))/(1+cDR)^A$5:A$65536,(cPHr+(cNES*L661+(cNES+cOSEX)*G661+(cNES+cEREX)*H661+(cNES+cHOEX)*I661 + (cNES+cNES)*S661 +(cNES+ cOSEX)*N661 + (cNES+cEREX)*O661 + (cNES+cHOEX)*P661))/(1+cDR)^A$5:A$65536)</f>
        <v>73474.652776371688</v>
      </c>
      <c r="X661" s="112">
        <f t="shared" si="197"/>
        <v>795.23213252854703</v>
      </c>
      <c r="Y661" s="32">
        <f>(uNES*L661+ uOCEX*G661+uEREX*'PH + UC'!H661+uHOEX*I661+uNES*S661+ uOCEX*N661+uEREX*O661+uHOEX*P661)/(1+oDR)^A$5:A$65536</f>
        <v>433.60362767159933</v>
      </c>
    </row>
    <row r="662" spans="1:25" x14ac:dyDescent="0.25">
      <c r="A662" s="4">
        <v>656</v>
      </c>
      <c r="C662" s="110">
        <f>IF(male=0,VLOOKUP(((A660:A1494/'Life tables'!$I$2)*2)+age,lifetable,13,1),IF(male=1,VLOOKUP(((A660:A1494/'Life tables'!$I$2)*2)+age,lifetable,10,1),"error"))</f>
        <v>6.1270435815030666E-4</v>
      </c>
      <c r="F662" s="101">
        <f t="shared" si="180"/>
        <v>126.79426235620943</v>
      </c>
      <c r="G662" s="101">
        <f t="shared" si="181"/>
        <v>12.736749019451933</v>
      </c>
      <c r="H662" s="101">
        <f t="shared" si="182"/>
        <v>0.29146485356870222</v>
      </c>
      <c r="I662" s="101">
        <f t="shared" si="183"/>
        <v>0.29146485356870222</v>
      </c>
      <c r="J662" s="101">
        <f t="shared" si="184"/>
        <v>8.5848422339046104E-2</v>
      </c>
      <c r="K662" s="101">
        <f t="shared" si="185"/>
        <v>2.2847673478800776E-2</v>
      </c>
      <c r="L662" s="101">
        <f t="shared" si="192"/>
        <v>113.36588753380225</v>
      </c>
      <c r="M662" s="101">
        <f t="shared" si="186"/>
        <v>668.43787017233774</v>
      </c>
      <c r="N662" s="101">
        <f t="shared" si="187"/>
        <v>64.3720151534596</v>
      </c>
      <c r="O662" s="101">
        <f t="shared" si="188"/>
        <v>1.5365533292210087</v>
      </c>
      <c r="P662" s="101">
        <f t="shared" si="189"/>
        <v>1.5365533292210087</v>
      </c>
      <c r="Q662" s="101">
        <f t="shared" si="190"/>
        <v>0.45087871627743065</v>
      </c>
      <c r="R662" s="101">
        <f t="shared" si="191"/>
        <v>1.79021636037602E-2</v>
      </c>
      <c r="S662" s="101">
        <f t="shared" si="193"/>
        <v>600.52396748055492</v>
      </c>
      <c r="T662" s="101">
        <f t="shared" si="194"/>
        <v>171.65661740439256</v>
      </c>
      <c r="U662" s="101">
        <f t="shared" si="195"/>
        <v>33.688727042758998</v>
      </c>
      <c r="V662" s="33">
        <f t="shared" si="196"/>
        <v>999.99999999999966</v>
      </c>
      <c r="W662" s="105">
        <f>IF(A662=1,((cPH1_+cPHr+(cNES*L662+(cNES+cOSEX)*G662+(cNES+cEREX)*H662+(cNES+cHOEX)*I662 + (cNES+cNES)*S662 +(cNES+ cOSEX)*N662 + (cNES+cEREX)*O662 + (cNES+cHOEX)*P662)))/(1+cDR)^A$5:A$65536,(cPHr+(cNES*L662+(cNES+cOSEX)*G662+(cNES+cEREX)*H662+(cNES+cHOEX)*I662 + (cNES+cNES)*S662 +(cNES+ cOSEX)*N662 + (cNES+cEREX)*O662 + (cNES+cHOEX)*P662))/(1+cDR)^A$5:A$65536)</f>
        <v>73336.919198027448</v>
      </c>
      <c r="X662" s="112">
        <f t="shared" si="197"/>
        <v>794.65465555284811</v>
      </c>
      <c r="Y662" s="32">
        <f>(uNES*L662+ uOCEX*G662+uEREX*'PH + UC'!H662+uHOEX*I662+uNES*S662+ uOCEX*N662+uEREX*O662+uHOEX*P662)/(1+oDR)^A$5:A$65536</f>
        <v>433.16414719460136</v>
      </c>
    </row>
    <row r="663" spans="1:25" x14ac:dyDescent="0.25">
      <c r="A663" s="4">
        <v>657</v>
      </c>
      <c r="C663" s="110">
        <f>IF(male=0,VLOOKUP(((A661:A1495/'Life tables'!$I$2)*2)+age,lifetable,13,1),IF(male=1,VLOOKUP(((A661:A1495/'Life tables'!$I$2)*2)+age,lifetable,10,1),"error"))</f>
        <v>6.1270435815030666E-4</v>
      </c>
      <c r="F663" s="101">
        <f t="shared" si="180"/>
        <v>126.70216597328498</v>
      </c>
      <c r="G663" s="101">
        <f t="shared" si="181"/>
        <v>12.727497745040061</v>
      </c>
      <c r="H663" s="101">
        <f t="shared" si="182"/>
        <v>0.29125314951944586</v>
      </c>
      <c r="I663" s="101">
        <f t="shared" si="183"/>
        <v>0.29125314951944586</v>
      </c>
      <c r="J663" s="101">
        <f t="shared" si="184"/>
        <v>8.5786066763720567E-2</v>
      </c>
      <c r="K663" s="101">
        <f t="shared" si="185"/>
        <v>2.2831078184608954E-2</v>
      </c>
      <c r="L663" s="101">
        <f t="shared" si="192"/>
        <v>113.2835447842577</v>
      </c>
      <c r="M663" s="101">
        <f t="shared" si="186"/>
        <v>667.95248957956312</v>
      </c>
      <c r="N663" s="101">
        <f t="shared" si="187"/>
        <v>64.325271950736479</v>
      </c>
      <c r="O663" s="101">
        <f t="shared" si="188"/>
        <v>1.5354375738171822</v>
      </c>
      <c r="P663" s="101">
        <f t="shared" si="189"/>
        <v>1.5354375738171822</v>
      </c>
      <c r="Q663" s="101">
        <f t="shared" si="190"/>
        <v>0.45055131445245661</v>
      </c>
      <c r="R663" s="101">
        <f t="shared" si="191"/>
        <v>1.7889164096745885E-2</v>
      </c>
      <c r="S663" s="101">
        <f t="shared" si="193"/>
        <v>600.08790200264309</v>
      </c>
      <c r="T663" s="101">
        <f t="shared" si="194"/>
        <v>172.19295478560875</v>
      </c>
      <c r="U663" s="101">
        <f t="shared" si="195"/>
        <v>33.729447285040351</v>
      </c>
      <c r="V663" s="33">
        <f t="shared" si="196"/>
        <v>999.99999999999966</v>
      </c>
      <c r="W663" s="105">
        <f>IF(A663=1,((cPH1_+cPHr+(cNES*L663+(cNES+cOSEX)*G663+(cNES+cEREX)*H663+(cNES+cHOEX)*I663 + (cNES+cNES)*S663 +(cNES+ cOSEX)*N663 + (cNES+cEREX)*O663 + (cNES+cHOEX)*P663)))/(1+cDR)^A$5:A$65536,(cPHr+(cNES*L663+(cNES+cOSEX)*G663+(cNES+cEREX)*H663+(cNES+cHOEX)*I663 + (cNES+cNES)*S663 +(cNES+ cOSEX)*N663 + (cNES+cEREX)*O663 + (cNES+cHOEX)*P663))/(1+cDR)^A$5:A$65536)</f>
        <v>73199.443778528846</v>
      </c>
      <c r="X663" s="112">
        <f t="shared" si="197"/>
        <v>794.07759792935053</v>
      </c>
      <c r="Y663" s="32">
        <f>(uNES*L663+ uOCEX*G663+uEREX*'PH + UC'!H663+uHOEX*I663+uNES*S663+ uOCEX*N663+uEREX*O663+uHOEX*P663)/(1+oDR)^A$5:A$65536</f>
        <v>432.72511215608489</v>
      </c>
    </row>
    <row r="664" spans="1:25" x14ac:dyDescent="0.25">
      <c r="A664" s="4">
        <v>658</v>
      </c>
      <c r="C664" s="110">
        <f>IF(male=0,VLOOKUP(((A662:A1496/'Life tables'!$I$2)*2)+age,lifetable,13,1),IF(male=1,VLOOKUP(((A662:A1496/'Life tables'!$I$2)*2)+age,lifetable,10,1),"error"))</f>
        <v>6.1270435815030666E-4</v>
      </c>
      <c r="F664" s="101">
        <f t="shared" si="180"/>
        <v>126.61013745148304</v>
      </c>
      <c r="G664" s="101">
        <f t="shared" si="181"/>
        <v>12.718253287419971</v>
      </c>
      <c r="H664" s="101">
        <f t="shared" si="182"/>
        <v>0.29104160146409469</v>
      </c>
      <c r="I664" s="101">
        <f t="shared" si="183"/>
        <v>0.29104160146409469</v>
      </c>
      <c r="J664" s="101">
        <f t="shared" si="184"/>
        <v>8.5723757135034884E-2</v>
      </c>
      <c r="K664" s="101">
        <f t="shared" si="185"/>
        <v>2.2814495118642131E-2</v>
      </c>
      <c r="L664" s="101">
        <f t="shared" si="192"/>
        <v>113.2012627088812</v>
      </c>
      <c r="M664" s="101">
        <f t="shared" si="186"/>
        <v>667.46746047786746</v>
      </c>
      <c r="N664" s="101">
        <f t="shared" si="187"/>
        <v>64.278562597365791</v>
      </c>
      <c r="O664" s="101">
        <f t="shared" si="188"/>
        <v>1.5343226263938901</v>
      </c>
      <c r="P664" s="101">
        <f t="shared" si="189"/>
        <v>1.5343226263938901</v>
      </c>
      <c r="Q664" s="101">
        <f t="shared" si="190"/>
        <v>0.45022414971735064</v>
      </c>
      <c r="R664" s="101">
        <f t="shared" si="191"/>
        <v>1.7876174003397489E-2</v>
      </c>
      <c r="S664" s="101">
        <f t="shared" si="193"/>
        <v>599.65215230399315</v>
      </c>
      <c r="T664" s="101">
        <f t="shared" si="194"/>
        <v>172.72890269246113</v>
      </c>
      <c r="U664" s="101">
        <f t="shared" si="195"/>
        <v>33.770137954162394</v>
      </c>
      <c r="V664" s="33">
        <f t="shared" si="196"/>
        <v>999.99999999999966</v>
      </c>
      <c r="W664" s="105">
        <f>IF(A664=1,((cPH1_+cPHr+(cNES*L664+(cNES+cOSEX)*G664+(cNES+cEREX)*H664+(cNES+cHOEX)*I664 + (cNES+cNES)*S664 +(cNES+ cOSEX)*N664 + (cNES+cEREX)*O664 + (cNES+cHOEX)*P664)))/(1+cDR)^A$5:A$65536,(cPHr+(cNES*L664+(cNES+cOSEX)*G664+(cNES+cEREX)*H664+(cNES+cHOEX)*I664 + (cNES+cNES)*S664 +(cNES+ cOSEX)*N664 + (cNES+cEREX)*O664 + (cNES+cHOEX)*P664))/(1+cDR)^A$5:A$65536)</f>
        <v>73062.226035801374</v>
      </c>
      <c r="X664" s="112">
        <f t="shared" si="197"/>
        <v>793.50095935337617</v>
      </c>
      <c r="Y664" s="32">
        <f>(uNES*L664+ uOCEX*G664+uEREX*'PH + UC'!H664+uHOEX*I664+uNES*S664+ uOCEX*N664+uEREX*O664+uHOEX*P664)/(1+oDR)^A$5:A$65536</f>
        <v>432.286522104504</v>
      </c>
    </row>
    <row r="665" spans="1:25" x14ac:dyDescent="0.25">
      <c r="A665" s="4">
        <v>659</v>
      </c>
      <c r="C665" s="110">
        <f>IF(male=0,VLOOKUP(((A663:A1497/'Life tables'!$I$2)*2)+age,lifetable,13,1),IF(male=1,VLOOKUP(((A663:A1497/'Life tables'!$I$2)*2)+age,lifetable,10,1),"error"))</f>
        <v>6.1270435815030666E-4</v>
      </c>
      <c r="F665" s="101">
        <f t="shared" si="180"/>
        <v>126.51817669695532</v>
      </c>
      <c r="G665" s="101">
        <f t="shared" si="181"/>
        <v>12.709015637164407</v>
      </c>
      <c r="H665" s="101">
        <f t="shared" si="182"/>
        <v>0.29083020918691743</v>
      </c>
      <c r="I665" s="101">
        <f t="shared" si="183"/>
        <v>0.29083020918691743</v>
      </c>
      <c r="J665" s="101">
        <f t="shared" si="184"/>
        <v>8.5661493389447299E-2</v>
      </c>
      <c r="K665" s="101">
        <f t="shared" si="185"/>
        <v>2.2797924263989335E-2</v>
      </c>
      <c r="L665" s="101">
        <f t="shared" si="192"/>
        <v>113.11904122376365</v>
      </c>
      <c r="M665" s="101">
        <f t="shared" si="186"/>
        <v>666.98278265642068</v>
      </c>
      <c r="N665" s="101">
        <f t="shared" si="187"/>
        <v>64.231887073044177</v>
      </c>
      <c r="O665" s="101">
        <f t="shared" si="188"/>
        <v>1.5332084864664923</v>
      </c>
      <c r="P665" s="101">
        <f t="shared" si="189"/>
        <v>1.5332084864664923</v>
      </c>
      <c r="Q665" s="101">
        <f t="shared" si="190"/>
        <v>0.44989722192990234</v>
      </c>
      <c r="R665" s="101">
        <f t="shared" si="191"/>
        <v>1.7863193318068547E-2</v>
      </c>
      <c r="S665" s="101">
        <f t="shared" si="193"/>
        <v>599.21671819519554</v>
      </c>
      <c r="T665" s="101">
        <f t="shared" si="194"/>
        <v>173.26446140778049</v>
      </c>
      <c r="U665" s="101">
        <f t="shared" si="195"/>
        <v>33.810799071744448</v>
      </c>
      <c r="V665" s="33">
        <f t="shared" si="196"/>
        <v>999.99999999999943</v>
      </c>
      <c r="W665" s="105">
        <f>IF(A665=1,((cPH1_+cPHr+(cNES*L665+(cNES+cOSEX)*G665+(cNES+cEREX)*H665+(cNES+cHOEX)*I665 + (cNES+cNES)*S665 +(cNES+ cOSEX)*N665 + (cNES+cEREX)*O665 + (cNES+cHOEX)*P665)))/(1+cDR)^A$5:A$65536,(cPHr+(cNES*L665+(cNES+cOSEX)*G665+(cNES+cEREX)*H665+(cNES+cHOEX)*I665 + (cNES+cNES)*S665 +(cNES+ cOSEX)*N665 + (cNES+cEREX)*O665 + (cNES+cHOEX)*P665))/(1+cDR)^A$5:A$65536)</f>
        <v>72925.265488586549</v>
      </c>
      <c r="X665" s="112">
        <f t="shared" si="197"/>
        <v>792.92473952047453</v>
      </c>
      <c r="Y665" s="32">
        <f>(uNES*L665+ uOCEX*G665+uEREX*'PH + UC'!H665+uHOEX*I665+uNES*S665+ uOCEX*N665+uEREX*O665+uHOEX*P665)/(1+oDR)^A$5:A$65536</f>
        <v>431.84837658877353</v>
      </c>
    </row>
    <row r="666" spans="1:25" x14ac:dyDescent="0.25">
      <c r="A666" s="4">
        <v>660</v>
      </c>
      <c r="C666" s="110">
        <f>IF(male=0,VLOOKUP(((A664:A1498/'Life tables'!$I$2)*2)+age,lifetable,13,1),IF(male=1,VLOOKUP(((A664:A1498/'Life tables'!$I$2)*2)+age,lifetable,10,1),"error"))</f>
        <v>6.1270435815030666E-4</v>
      </c>
      <c r="F666" s="101">
        <f t="shared" si="180"/>
        <v>126.4262836179422</v>
      </c>
      <c r="G666" s="101">
        <f t="shared" si="181"/>
        <v>12.699784785055922</v>
      </c>
      <c r="H666" s="101">
        <f t="shared" si="182"/>
        <v>0.29061897247698421</v>
      </c>
      <c r="I666" s="101">
        <f t="shared" si="183"/>
        <v>0.29061897247698421</v>
      </c>
      <c r="J666" s="101">
        <f t="shared" si="184"/>
        <v>8.5599275464830246E-2</v>
      </c>
      <c r="K666" s="101">
        <f t="shared" si="185"/>
        <v>2.278136560411595E-2</v>
      </c>
      <c r="L666" s="101">
        <f t="shared" si="192"/>
        <v>113.03688024686336</v>
      </c>
      <c r="M666" s="101">
        <f t="shared" si="186"/>
        <v>666.49845590253233</v>
      </c>
      <c r="N666" s="101">
        <f t="shared" si="187"/>
        <v>64.185245357289077</v>
      </c>
      <c r="O666" s="101">
        <f t="shared" si="188"/>
        <v>1.532095153546073</v>
      </c>
      <c r="P666" s="101">
        <f t="shared" si="189"/>
        <v>1.532095153546073</v>
      </c>
      <c r="Q666" s="101">
        <f t="shared" si="190"/>
        <v>0.44957053094664656</v>
      </c>
      <c r="R666" s="101">
        <f t="shared" si="191"/>
        <v>1.7850222035062768E-2</v>
      </c>
      <c r="S666" s="101">
        <f t="shared" si="193"/>
        <v>598.78159948516941</v>
      </c>
      <c r="T666" s="101">
        <f t="shared" si="194"/>
        <v>173.79963121419198</v>
      </c>
      <c r="U666" s="101">
        <f t="shared" si="195"/>
        <v>33.851430659383624</v>
      </c>
      <c r="V666" s="33">
        <f t="shared" si="196"/>
        <v>999.99999999999955</v>
      </c>
      <c r="W666" s="105">
        <f>IF(A666=1,((cPH1_+cPHr+(cNES*L666+(cNES+cOSEX)*G666+(cNES+cEREX)*H666+(cNES+cHOEX)*I666 + (cNES+cNES)*S666 +(cNES+ cOSEX)*N666 + (cNES+cEREX)*O666 + (cNES+cHOEX)*P666)))/(1+cDR)^A$5:A$65536,(cPHr+(cNES*L666+(cNES+cOSEX)*G666+(cNES+cEREX)*H666+(cNES+cHOEX)*I666 + (cNES+cNES)*S666 +(cNES+ cOSEX)*N666 + (cNES+cEREX)*O666 + (cNES+cHOEX)*P666))/(1+cDR)^A$5:A$65536)</f>
        <v>72788.561656444785</v>
      </c>
      <c r="X666" s="112">
        <f t="shared" si="197"/>
        <v>792.34893812642383</v>
      </c>
      <c r="Y666" s="32">
        <f>(uNES*L666+ uOCEX*G666+uEREX*'PH + UC'!H666+uHOEX*I666+uNES*S666+ uOCEX*N666+uEREX*O666+uHOEX*P666)/(1+oDR)^A$5:A$65536</f>
        <v>431.41067515826899</v>
      </c>
    </row>
    <row r="667" spans="1:25" x14ac:dyDescent="0.25">
      <c r="A667" s="4">
        <v>661</v>
      </c>
      <c r="C667" s="110">
        <f>IF(male=0,VLOOKUP(((A665:A1499/'Life tables'!$I$2)*2)+age,lifetable,13,1),IF(male=1,VLOOKUP(((A665:A1499/'Life tables'!$I$2)*2)+age,lifetable,10,1),"error"))</f>
        <v>6.1270435815030666E-4</v>
      </c>
      <c r="F667" s="101">
        <f t="shared" si="180"/>
        <v>126.33445812467957</v>
      </c>
      <c r="G667" s="101">
        <f t="shared" si="181"/>
        <v>12.690560722077521</v>
      </c>
      <c r="H667" s="101">
        <f t="shared" si="182"/>
        <v>0.29040789112795218</v>
      </c>
      <c r="I667" s="101">
        <f t="shared" si="183"/>
        <v>0.29040789112795218</v>
      </c>
      <c r="J667" s="101">
        <f t="shared" si="184"/>
        <v>8.5537103300407272E-2</v>
      </c>
      <c r="K667" s="101">
        <f t="shared" si="185"/>
        <v>2.2764819122846943E-2</v>
      </c>
      <c r="L667" s="101">
        <f t="shared" si="192"/>
        <v>112.95477969792289</v>
      </c>
      <c r="M667" s="101">
        <f t="shared" si="186"/>
        <v>666.01448000174423</v>
      </c>
      <c r="N667" s="101">
        <f t="shared" si="187"/>
        <v>64.138637429447698</v>
      </c>
      <c r="O667" s="101">
        <f t="shared" si="188"/>
        <v>1.5309826271396516</v>
      </c>
      <c r="P667" s="101">
        <f t="shared" si="189"/>
        <v>1.5309826271396516</v>
      </c>
      <c r="Q667" s="101">
        <f t="shared" si="190"/>
        <v>0.44924407662292565</v>
      </c>
      <c r="R667" s="101">
        <f t="shared" si="191"/>
        <v>1.7837260148636506E-2</v>
      </c>
      <c r="S667" s="101">
        <f t="shared" si="193"/>
        <v>598.34679598124569</v>
      </c>
      <c r="T667" s="101">
        <f t="shared" si="194"/>
        <v>174.3344123941153</v>
      </c>
      <c r="U667" s="101">
        <f t="shared" si="195"/>
        <v>33.892032738655111</v>
      </c>
      <c r="V667" s="33">
        <f t="shared" si="196"/>
        <v>999.99999999999943</v>
      </c>
      <c r="W667" s="105">
        <f>IF(A667=1,((cPH1_+cPHr+(cNES*L667+(cNES+cOSEX)*G667+(cNES+cEREX)*H667+(cNES+cHOEX)*I667 + (cNES+cNES)*S667 +(cNES+ cOSEX)*N667 + (cNES+cEREX)*O667 + (cNES+cHOEX)*P667)))/(1+cDR)^A$5:A$65536,(cPHr+(cNES*L667+(cNES+cOSEX)*G667+(cNES+cEREX)*H667+(cNES+cHOEX)*I667 + (cNES+cNES)*S667 +(cNES+ cOSEX)*N667 + (cNES+cEREX)*O667 + (cNES+cHOEX)*P667))/(1+cDR)^A$5:A$65536)</f>
        <v>72652.114059757529</v>
      </c>
      <c r="X667" s="112">
        <f t="shared" si="197"/>
        <v>791.773554867229</v>
      </c>
      <c r="Y667" s="32">
        <f>(uNES*L667+ uOCEX*G667+uEREX*'PH + UC'!H667+uHOEX*I667+uNES*S667+ uOCEX*N667+uEREX*O667+uHOEX*P667)/(1+oDR)^A$5:A$65536</f>
        <v>430.9734173628251</v>
      </c>
    </row>
    <row r="668" spans="1:25" x14ac:dyDescent="0.25">
      <c r="A668" s="4">
        <v>662</v>
      </c>
      <c r="C668" s="110">
        <f>IF(male=0,VLOOKUP(((A666:A1500/'Life tables'!$I$2)*2)+age,lifetable,13,1),IF(male=1,VLOOKUP(((A666:A1500/'Life tables'!$I$2)*2)+age,lifetable,10,1),"error"))</f>
        <v>6.1270435815030666E-4</v>
      </c>
      <c r="F668" s="101">
        <f t="shared" si="180"/>
        <v>126.24270012931007</v>
      </c>
      <c r="G668" s="101">
        <f t="shared" si="181"/>
        <v>12.681343439403749</v>
      </c>
      <c r="H668" s="101">
        <f t="shared" si="182"/>
        <v>0.29019696493786168</v>
      </c>
      <c r="I668" s="101">
        <f t="shared" si="183"/>
        <v>0.29019696493786168</v>
      </c>
      <c r="J668" s="101">
        <f t="shared" si="184"/>
        <v>8.5474976836692862E-2</v>
      </c>
      <c r="K668" s="101">
        <f t="shared" si="185"/>
        <v>2.2748284804350871E-2</v>
      </c>
      <c r="L668" s="101">
        <f t="shared" si="192"/>
        <v>112.87273949838955</v>
      </c>
      <c r="M668" s="101">
        <f t="shared" si="186"/>
        <v>665.53085473791896</v>
      </c>
      <c r="N668" s="101">
        <f t="shared" si="187"/>
        <v>64.09206326870553</v>
      </c>
      <c r="O668" s="101">
        <f t="shared" si="188"/>
        <v>1.5298709067503886</v>
      </c>
      <c r="P668" s="101">
        <f t="shared" si="189"/>
        <v>1.5298709067503886</v>
      </c>
      <c r="Q668" s="101">
        <f t="shared" si="190"/>
        <v>0.44891785881294927</v>
      </c>
      <c r="R668" s="101">
        <f t="shared" si="191"/>
        <v>1.7824307653001151E-2</v>
      </c>
      <c r="S668" s="101">
        <f t="shared" si="193"/>
        <v>597.9123074892467</v>
      </c>
      <c r="T668" s="101">
        <f t="shared" si="194"/>
        <v>174.86880522976494</v>
      </c>
      <c r="U668" s="101">
        <f t="shared" si="195"/>
        <v>33.932605331112462</v>
      </c>
      <c r="V668" s="33">
        <f t="shared" si="196"/>
        <v>999.99999999999932</v>
      </c>
      <c r="W668" s="105">
        <f>IF(A668=1,((cPH1_+cPHr+(cNES*L668+(cNES+cOSEX)*G668+(cNES+cEREX)*H668+(cNES+cHOEX)*I668 + (cNES+cNES)*S668 +(cNES+ cOSEX)*N668 + (cNES+cEREX)*O668 + (cNES+cHOEX)*P668)))/(1+cDR)^A$5:A$65536,(cPHr+(cNES*L668+(cNES+cOSEX)*G668+(cNES+cEREX)*H668+(cNES+cHOEX)*I668 + (cNES+cNES)*S668 +(cNES+ cOSEX)*N668 + (cNES+cEREX)*O668 + (cNES+cHOEX)*P668))/(1+cDR)^A$5:A$65536)</f>
        <v>72515.922219729473</v>
      </c>
      <c r="X668" s="112">
        <f t="shared" si="197"/>
        <v>791.19858943912197</v>
      </c>
      <c r="Y668" s="32">
        <f>(uNES*L668+ uOCEX*G668+uEREX*'PH + UC'!H668+uHOEX*I668+uNES*S668+ uOCEX*N668+uEREX*O668+uHOEX*P668)/(1+oDR)^A$5:A$65536</f>
        <v>430.5366027527362</v>
      </c>
    </row>
    <row r="669" spans="1:25" x14ac:dyDescent="0.25">
      <c r="A669" s="4">
        <v>663</v>
      </c>
      <c r="C669" s="110">
        <f>IF(male=0,VLOOKUP(((A667:A1501/'Life tables'!$I$2)*2)+age,lifetable,13,1),IF(male=1,VLOOKUP(((A667:A1501/'Life tables'!$I$2)*2)+age,lifetable,10,1),"error"))</f>
        <v>6.1270435815030666E-4</v>
      </c>
      <c r="F669" s="101">
        <f t="shared" si="180"/>
        <v>126.15100954579808</v>
      </c>
      <c r="G669" s="101">
        <f t="shared" si="181"/>
        <v>12.672132928392152</v>
      </c>
      <c r="H669" s="101">
        <f t="shared" si="182"/>
        <v>0.28998619370894069</v>
      </c>
      <c r="I669" s="101">
        <f t="shared" si="183"/>
        <v>0.28998619370894069</v>
      </c>
      <c r="J669" s="101">
        <f t="shared" si="184"/>
        <v>8.5412896015435072E-2</v>
      </c>
      <c r="K669" s="101">
        <f t="shared" si="185"/>
        <v>2.2731762633124562E-2</v>
      </c>
      <c r="L669" s="101">
        <f t="shared" si="192"/>
        <v>112.79075957133948</v>
      </c>
      <c r="M669" s="101">
        <f t="shared" si="186"/>
        <v>665.04757989332393</v>
      </c>
      <c r="N669" s="101">
        <f t="shared" si="187"/>
        <v>64.045522854094457</v>
      </c>
      <c r="O669" s="101">
        <f t="shared" si="188"/>
        <v>1.528759991877777</v>
      </c>
      <c r="P669" s="101">
        <f t="shared" si="189"/>
        <v>1.528759991877777</v>
      </c>
      <c r="Q669" s="101">
        <f t="shared" si="190"/>
        <v>0.44859187736985123</v>
      </c>
      <c r="R669" s="101">
        <f t="shared" si="191"/>
        <v>1.7811364542325372E-2</v>
      </c>
      <c r="S669" s="101">
        <f t="shared" si="193"/>
        <v>597.47813381356173</v>
      </c>
      <c r="T669" s="101">
        <f t="shared" si="194"/>
        <v>175.40281000315022</v>
      </c>
      <c r="U669" s="101">
        <f t="shared" si="195"/>
        <v>33.973148458287909</v>
      </c>
      <c r="V669" s="33">
        <f t="shared" si="196"/>
        <v>999.99999999999932</v>
      </c>
      <c r="W669" s="105">
        <f>IF(A669=1,((cPH1_+cPHr+(cNES*L669+(cNES+cOSEX)*G669+(cNES+cEREX)*H669+(cNES+cHOEX)*I669 + (cNES+cNES)*S669 +(cNES+ cOSEX)*N669 + (cNES+cEREX)*O669 + (cNES+cHOEX)*P669)))/(1+cDR)^A$5:A$65536,(cPHr+(cNES*L669+(cNES+cOSEX)*G669+(cNES+cEREX)*H669+(cNES+cHOEX)*I669 + (cNES+cNES)*S669 +(cNES+ cOSEX)*N669 + (cNES+cEREX)*O669 + (cNES+cHOEX)*P669))/(1+cDR)^A$5:A$65536)</f>
        <v>72379.985658390535</v>
      </c>
      <c r="X669" s="112">
        <f t="shared" si="197"/>
        <v>790.62404153856119</v>
      </c>
      <c r="Y669" s="32">
        <f>(uNES*L669+ uOCEX*G669+uEREX*'PH + UC'!H669+uHOEX*I669+uNES*S669+ uOCEX*N669+uEREX*O669+uHOEX*P669)/(1+oDR)^A$5:A$65536</f>
        <v>430.10023087875481</v>
      </c>
    </row>
    <row r="670" spans="1:25" x14ac:dyDescent="0.25">
      <c r="A670" s="4">
        <v>664</v>
      </c>
      <c r="C670" s="110">
        <f>IF(male=0,VLOOKUP(((A668:A1502/'Life tables'!$I$2)*2)+age,lifetable,13,1),IF(male=1,VLOOKUP(((A668:A1502/'Life tables'!$I$2)*2)+age,lifetable,10,1),"error"))</f>
        <v>6.1270435815030666E-4</v>
      </c>
      <c r="F670" s="101">
        <f t="shared" si="180"/>
        <v>126.05938628984876</v>
      </c>
      <c r="G670" s="101">
        <f t="shared" si="181"/>
        <v>12.662929180575134</v>
      </c>
      <c r="H670" s="101">
        <f t="shared" si="182"/>
        <v>0.2897755772474187</v>
      </c>
      <c r="I670" s="101">
        <f t="shared" si="183"/>
        <v>0.2897755772474187</v>
      </c>
      <c r="J670" s="101">
        <f t="shared" si="184"/>
        <v>8.5350860779560472E-2</v>
      </c>
      <c r="K670" s="101">
        <f t="shared" si="185"/>
        <v>2.2715252593978521E-2</v>
      </c>
      <c r="L670" s="101">
        <f t="shared" si="192"/>
        <v>112.70883984140525</v>
      </c>
      <c r="M670" s="101">
        <f t="shared" si="186"/>
        <v>664.56465524871248</v>
      </c>
      <c r="N670" s="101">
        <f t="shared" si="187"/>
        <v>63.999016164500574</v>
      </c>
      <c r="O670" s="101">
        <f t="shared" si="188"/>
        <v>1.5276498820178297</v>
      </c>
      <c r="P670" s="101">
        <f t="shared" si="189"/>
        <v>1.5276498820178297</v>
      </c>
      <c r="Q670" s="101">
        <f t="shared" si="190"/>
        <v>0.4482661321457439</v>
      </c>
      <c r="R670" s="101">
        <f t="shared" si="191"/>
        <v>1.7798430810737287E-2</v>
      </c>
      <c r="S670" s="101">
        <f t="shared" si="193"/>
        <v>597.0442747572198</v>
      </c>
      <c r="T670" s="101">
        <f t="shared" si="194"/>
        <v>175.93642699607554</v>
      </c>
      <c r="U670" s="101">
        <f t="shared" si="195"/>
        <v>34.013662141692627</v>
      </c>
      <c r="V670" s="33">
        <f t="shared" si="196"/>
        <v>999.99999999999943</v>
      </c>
      <c r="W670" s="105">
        <f>IF(A670=1,((cPH1_+cPHr+(cNES*L670+(cNES+cOSEX)*G670+(cNES+cEREX)*H670+(cNES+cHOEX)*I670 + (cNES+cNES)*S670 +(cNES+ cOSEX)*N670 + (cNES+cEREX)*O670 + (cNES+cHOEX)*P670)))/(1+cDR)^A$5:A$65536,(cPHr+(cNES*L670+(cNES+cOSEX)*G670+(cNES+cEREX)*H670+(cNES+cHOEX)*I670 + (cNES+cNES)*S670 +(cNES+ cOSEX)*N670 + (cNES+cEREX)*O670 + (cNES+cHOEX)*P670))/(1+cDR)^A$5:A$65536)</f>
        <v>72244.303898597791</v>
      </c>
      <c r="X670" s="112">
        <f t="shared" si="197"/>
        <v>790.04991086223129</v>
      </c>
      <c r="Y670" s="32">
        <f>(uNES*L670+ uOCEX*G670+uEREX*'PH + UC'!H670+uHOEX*I670+uNES*S670+ uOCEX*N670+uEREX*O670+uHOEX*P670)/(1+oDR)^A$5:A$65536</f>
        <v>429.66430129209084</v>
      </c>
    </row>
    <row r="671" spans="1:25" x14ac:dyDescent="0.25">
      <c r="A671" s="4">
        <v>665</v>
      </c>
      <c r="C671" s="110">
        <f>IF(male=0,VLOOKUP(((A669:A1503/'Life tables'!$I$2)*2)+age,lifetable,13,1),IF(male=1,VLOOKUP(((A669:A1503/'Life tables'!$I$2)*2)+age,lifetable,10,1),"error"))</f>
        <v>6.1270435815030666E-4</v>
      </c>
      <c r="F671" s="101">
        <f t="shared" si="180"/>
        <v>125.96783027883073</v>
      </c>
      <c r="G671" s="101">
        <f t="shared" si="181"/>
        <v>12.653732187652199</v>
      </c>
      <c r="H671" s="101">
        <f t="shared" si="182"/>
        <v>0.28956511536334911</v>
      </c>
      <c r="I671" s="101">
        <f t="shared" si="183"/>
        <v>0.28956511536334911</v>
      </c>
      <c r="J671" s="101">
        <f t="shared" si="184"/>
        <v>8.5288871073121914E-2</v>
      </c>
      <c r="K671" s="101">
        <f t="shared" si="185"/>
        <v>2.2698754672022994E-2</v>
      </c>
      <c r="L671" s="101">
        <f t="shared" si="192"/>
        <v>112.62698023470669</v>
      </c>
      <c r="M671" s="101">
        <f t="shared" si="186"/>
        <v>664.08208058340063</v>
      </c>
      <c r="N671" s="101">
        <f t="shared" si="187"/>
        <v>63.952543178671505</v>
      </c>
      <c r="O671" s="101">
        <f t="shared" si="188"/>
        <v>1.5265405766632549</v>
      </c>
      <c r="P671" s="101">
        <f t="shared" si="189"/>
        <v>1.5265405766632549</v>
      </c>
      <c r="Q671" s="101">
        <f t="shared" si="190"/>
        <v>0.44794062299177012</v>
      </c>
      <c r="R671" s="101">
        <f t="shared" si="191"/>
        <v>1.7785506452326513E-2</v>
      </c>
      <c r="S671" s="101">
        <f t="shared" si="193"/>
        <v>596.61073012195857</v>
      </c>
      <c r="T671" s="101">
        <f t="shared" si="194"/>
        <v>176.46965649014044</v>
      </c>
      <c r="U671" s="101">
        <f t="shared" si="195"/>
        <v>34.054146402816976</v>
      </c>
      <c r="V671" s="33">
        <f t="shared" si="196"/>
        <v>999.99999999999955</v>
      </c>
      <c r="W671" s="105">
        <f>IF(A671=1,((cPH1_+cPHr+(cNES*L671+(cNES+cOSEX)*G671+(cNES+cEREX)*H671+(cNES+cHOEX)*I671 + (cNES+cNES)*S671 +(cNES+ cOSEX)*N671 + (cNES+cEREX)*O671 + (cNES+cHOEX)*P671)))/(1+cDR)^A$5:A$65536,(cPHr+(cNES*L671+(cNES+cOSEX)*G671+(cNES+cEREX)*H671+(cNES+cHOEX)*I671 + (cNES+cNES)*S671 +(cNES+ cOSEX)*N671 + (cNES+cEREX)*O671 + (cNES+cHOEX)*P671))/(1+cDR)^A$5:A$65536)</f>
        <v>72108.876464036803</v>
      </c>
      <c r="X671" s="112">
        <f t="shared" si="197"/>
        <v>789.47619710704214</v>
      </c>
      <c r="Y671" s="32">
        <f>(uNES*L671+ uOCEX*G671+uEREX*'PH + UC'!H671+uHOEX*I671+uNES*S671+ uOCEX*N671+uEREX*O671+uHOEX*P671)/(1+oDR)^A$5:A$65536</f>
        <v>429.22881354441211</v>
      </c>
    </row>
    <row r="672" spans="1:25" x14ac:dyDescent="0.25">
      <c r="A672" s="4">
        <v>666</v>
      </c>
      <c r="C672" s="110">
        <f>IF(male=0,VLOOKUP(((A670:A1504/'Life tables'!$I$2)*2)+age,lifetable,13,1),IF(male=1,VLOOKUP(((A670:A1504/'Life tables'!$I$2)*2)+age,lifetable,10,1),"error"))</f>
        <v>6.1270435815030666E-4</v>
      </c>
      <c r="F672" s="101">
        <f t="shared" si="180"/>
        <v>125.87634143170213</v>
      </c>
      <c r="G672" s="101">
        <f t="shared" si="181"/>
        <v>12.644541941482522</v>
      </c>
      <c r="H672" s="101">
        <f t="shared" si="182"/>
        <v>0.2893548078704391</v>
      </c>
      <c r="I672" s="101">
        <f t="shared" si="183"/>
        <v>0.2893548078704391</v>
      </c>
      <c r="J672" s="101">
        <f t="shared" si="184"/>
        <v>8.5226926841248496E-2</v>
      </c>
      <c r="K672" s="101">
        <f t="shared" si="185"/>
        <v>2.2682268852654657E-2</v>
      </c>
      <c r="L672" s="101">
        <f t="shared" si="192"/>
        <v>112.54518067878483</v>
      </c>
      <c r="M672" s="101">
        <f t="shared" si="186"/>
        <v>663.59985567534</v>
      </c>
      <c r="N672" s="101">
        <f t="shared" si="187"/>
        <v>63.906103875223529</v>
      </c>
      <c r="O672" s="101">
        <f t="shared" si="188"/>
        <v>1.5254320753036255</v>
      </c>
      <c r="P672" s="101">
        <f t="shared" si="189"/>
        <v>1.5254320753036255</v>
      </c>
      <c r="Q672" s="101">
        <f t="shared" si="190"/>
        <v>0.44761534975815259</v>
      </c>
      <c r="R672" s="101">
        <f t="shared" si="191"/>
        <v>1.7772591461146129E-2</v>
      </c>
      <c r="S672" s="101">
        <f t="shared" si="193"/>
        <v>596.17749970828993</v>
      </c>
      <c r="T672" s="101">
        <f t="shared" si="194"/>
        <v>177.00249876673985</v>
      </c>
      <c r="U672" s="101">
        <f t="shared" si="195"/>
        <v>34.094601263130777</v>
      </c>
      <c r="V672" s="33">
        <f t="shared" si="196"/>
        <v>999.99999999999966</v>
      </c>
      <c r="W672" s="105">
        <f>IF(A672=1,((cPH1_+cPHr+(cNES*L672+(cNES+cOSEX)*G672+(cNES+cEREX)*H672+(cNES+cHOEX)*I672 + (cNES+cNES)*S672 +(cNES+ cOSEX)*N672 + (cNES+cEREX)*O672 + (cNES+cHOEX)*P672)))/(1+cDR)^A$5:A$65536,(cPHr+(cNES*L672+(cNES+cOSEX)*G672+(cNES+cEREX)*H672+(cNES+cHOEX)*I672 + (cNES+cNES)*S672 +(cNES+ cOSEX)*N672 + (cNES+cEREX)*O672 + (cNES+cHOEX)*P672))/(1+cDR)^A$5:A$65536)</f>
        <v>71973.702879223507</v>
      </c>
      <c r="X672" s="112">
        <f t="shared" si="197"/>
        <v>788.90289997012894</v>
      </c>
      <c r="Y672" s="32">
        <f>(uNES*L672+ uOCEX*G672+uEREX*'PH + UC'!H672+uHOEX*I672+uNES*S672+ uOCEX*N672+uEREX*O672+uHOEX*P672)/(1+oDR)^A$5:A$65536</f>
        <v>428.79376718784266</v>
      </c>
    </row>
    <row r="673" spans="1:25" x14ac:dyDescent="0.25">
      <c r="A673" s="4">
        <v>667</v>
      </c>
      <c r="C673" s="110">
        <f>IF(male=0,VLOOKUP(((A671:A1505/'Life tables'!$I$2)*2)+age,lifetable,13,1),IF(male=1,VLOOKUP(((A671:A1505/'Life tables'!$I$2)*2)+age,lifetable,10,1),"error"))</f>
        <v>6.1270435815030666E-4</v>
      </c>
      <c r="F673" s="101">
        <f t="shared" si="180"/>
        <v>125.78491966894023</v>
      </c>
      <c r="G673" s="101">
        <f t="shared" si="181"/>
        <v>12.635358434077883</v>
      </c>
      <c r="H673" s="101">
        <f t="shared" si="182"/>
        <v>0.28914465458588801</v>
      </c>
      <c r="I673" s="101">
        <f t="shared" si="183"/>
        <v>0.28914465458588801</v>
      </c>
      <c r="J673" s="101">
        <f t="shared" si="184"/>
        <v>8.5165028030097942E-2</v>
      </c>
      <c r="K673" s="101">
        <f t="shared" si="185"/>
        <v>2.266579512154392E-2</v>
      </c>
      <c r="L673" s="101">
        <f t="shared" si="192"/>
        <v>112.46344110253894</v>
      </c>
      <c r="M673" s="101">
        <f t="shared" si="186"/>
        <v>663.1179803011886</v>
      </c>
      <c r="N673" s="101">
        <f t="shared" si="187"/>
        <v>63.859698232648313</v>
      </c>
      <c r="O673" s="101">
        <f t="shared" si="188"/>
        <v>1.5243243774255399</v>
      </c>
      <c r="P673" s="101">
        <f t="shared" si="189"/>
        <v>1.5243243774255399</v>
      </c>
      <c r="Q673" s="101">
        <f t="shared" si="190"/>
        <v>0.44729031229424127</v>
      </c>
      <c r="R673" s="101">
        <f t="shared" si="191"/>
        <v>1.7759685831214574E-2</v>
      </c>
      <c r="S673" s="101">
        <f t="shared" si="193"/>
        <v>595.74458331556377</v>
      </c>
      <c r="T673" s="101">
        <f t="shared" si="194"/>
        <v>177.53495410706418</v>
      </c>
      <c r="U673" s="101">
        <f t="shared" si="195"/>
        <v>34.135026744083532</v>
      </c>
      <c r="V673" s="33">
        <f t="shared" si="196"/>
        <v>999.99999999999955</v>
      </c>
      <c r="W673" s="105">
        <f>IF(A673=1,((cPH1_+cPHr+(cNES*L673+(cNES+cOSEX)*G673+(cNES+cEREX)*H673+(cNES+cHOEX)*I673 + (cNES+cNES)*S673 +(cNES+ cOSEX)*N673 + (cNES+cEREX)*O673 + (cNES+cHOEX)*P673)))/(1+cDR)^A$5:A$65536,(cPHr+(cNES*L673+(cNES+cOSEX)*G673+(cNES+cEREX)*H673+(cNES+cHOEX)*I673 + (cNES+cNES)*S673 +(cNES+ cOSEX)*N673 + (cNES+cEREX)*O673 + (cNES+cHOEX)*P673))/(1+cDR)^A$5:A$65536)</f>
        <v>71838.782669505279</v>
      </c>
      <c r="X673" s="112">
        <f t="shared" si="197"/>
        <v>788.33001914885176</v>
      </c>
      <c r="Y673" s="32">
        <f>(uNES*L673+ uOCEX*G673+uEREX*'PH + UC'!H673+uHOEX*I673+uNES*S673+ uOCEX*N673+uEREX*O673+uHOEX*P673)/(1+oDR)^A$5:A$65536</f>
        <v>428.35916177496347</v>
      </c>
    </row>
    <row r="674" spans="1:25" x14ac:dyDescent="0.25">
      <c r="A674" s="4">
        <v>668</v>
      </c>
      <c r="C674" s="110">
        <f>IF(male=0,VLOOKUP(((A672:A1506/'Life tables'!$I$2)*2)+age,lifetable,13,1),IF(male=1,VLOOKUP(((A672:A1506/'Life tables'!$I$2)*2)+age,lifetable,10,1),"error"))</f>
        <v>6.1270435815030666E-4</v>
      </c>
      <c r="F674" s="101">
        <f t="shared" si="180"/>
        <v>125.69356491247406</v>
      </c>
      <c r="G674" s="101">
        <f t="shared" si="181"/>
        <v>12.626181657595884</v>
      </c>
      <c r="H674" s="101">
        <f t="shared" si="182"/>
        <v>0.28893465533023233</v>
      </c>
      <c r="I674" s="101">
        <f t="shared" si="183"/>
        <v>0.28893465533023233</v>
      </c>
      <c r="J674" s="101">
        <f t="shared" si="184"/>
        <v>8.510317458681077E-2</v>
      </c>
      <c r="K674" s="101">
        <f t="shared" si="185"/>
        <v>2.2649333464622803E-2</v>
      </c>
      <c r="L674" s="101">
        <f t="shared" si="192"/>
        <v>112.38176143616627</v>
      </c>
      <c r="M674" s="101">
        <f t="shared" si="186"/>
        <v>662.63645423637763</v>
      </c>
      <c r="N674" s="101">
        <f t="shared" si="187"/>
        <v>63.813326229319408</v>
      </c>
      <c r="O674" s="101">
        <f t="shared" si="188"/>
        <v>1.5232174825127769</v>
      </c>
      <c r="P674" s="101">
        <f t="shared" si="189"/>
        <v>1.5232174825127769</v>
      </c>
      <c r="Q674" s="101">
        <f t="shared" si="190"/>
        <v>0.4469655104485587</v>
      </c>
      <c r="R674" s="101">
        <f t="shared" si="191"/>
        <v>1.7746789556517425E-2</v>
      </c>
      <c r="S674" s="101">
        <f t="shared" si="193"/>
        <v>595.31198074202757</v>
      </c>
      <c r="T674" s="101">
        <f t="shared" si="194"/>
        <v>178.06702279209955</v>
      </c>
      <c r="U674" s="101">
        <f t="shared" si="195"/>
        <v>34.175422867104672</v>
      </c>
      <c r="V674" s="33">
        <f t="shared" si="196"/>
        <v>999.99999999999943</v>
      </c>
      <c r="W674" s="105">
        <f>IF(A674=1,((cPH1_+cPHr+(cNES*L674+(cNES+cOSEX)*G674+(cNES+cEREX)*H674+(cNES+cHOEX)*I674 + (cNES+cNES)*S674 +(cNES+ cOSEX)*N674 + (cNES+cEREX)*O674 + (cNES+cHOEX)*P674)))/(1+cDR)^A$5:A$65536,(cPHr+(cNES*L674+(cNES+cOSEX)*G674+(cNES+cEREX)*H674+(cNES+cHOEX)*I674 + (cNES+cNES)*S674 +(cNES+ cOSEX)*N674 + (cNES+cEREX)*O674 + (cNES+cHOEX)*P674))/(1+cDR)^A$5:A$65536)</f>
        <v>71704.115361062402</v>
      </c>
      <c r="X674" s="112">
        <f t="shared" si="197"/>
        <v>787.7575543407952</v>
      </c>
      <c r="Y674" s="32">
        <f>(uNES*L674+ uOCEX*G674+uEREX*'PH + UC'!H674+uHOEX*I674+uNES*S674+ uOCEX*N674+uEREX*O674+uHOEX*P674)/(1+oDR)^A$5:A$65536</f>
        <v>427.92499685881012</v>
      </c>
    </row>
    <row r="675" spans="1:25" x14ac:dyDescent="0.25">
      <c r="A675" s="4">
        <v>669</v>
      </c>
      <c r="C675" s="110">
        <f>IF(male=0,VLOOKUP(((A673:A1507/'Life tables'!$I$2)*2)+age,lifetable,13,1),IF(male=1,VLOOKUP(((A673:A1507/'Life tables'!$I$2)*2)+age,lifetable,10,1),"error"))</f>
        <v>6.1270435815030666E-4</v>
      </c>
      <c r="F675" s="101">
        <f t="shared" si="180"/>
        <v>125.6022770856202</v>
      </c>
      <c r="G675" s="101">
        <f t="shared" si="181"/>
        <v>12.617011604333518</v>
      </c>
      <c r="H675" s="101">
        <f t="shared" si="182"/>
        <v>0.28872480992719812</v>
      </c>
      <c r="I675" s="101">
        <f t="shared" si="183"/>
        <v>0.28872480992719812</v>
      </c>
      <c r="J675" s="101">
        <f t="shared" si="184"/>
        <v>8.5041366459467055E-2</v>
      </c>
      <c r="K675" s="101">
        <f t="shared" si="185"/>
        <v>2.2632883868073338E-2</v>
      </c>
      <c r="L675" s="101">
        <f t="shared" si="192"/>
        <v>112.30014161110475</v>
      </c>
      <c r="M675" s="101">
        <f t="shared" si="186"/>
        <v>662.15527725517495</v>
      </c>
      <c r="N675" s="101">
        <f t="shared" si="187"/>
        <v>63.76698784349832</v>
      </c>
      <c r="O675" s="101">
        <f t="shared" si="188"/>
        <v>1.5221113900464405</v>
      </c>
      <c r="P675" s="101">
        <f t="shared" si="189"/>
        <v>1.5221113900464405</v>
      </c>
      <c r="Q675" s="101">
        <f t="shared" si="190"/>
        <v>0.44664094406884269</v>
      </c>
      <c r="R675" s="101">
        <f t="shared" si="191"/>
        <v>1.7733902631009098E-2</v>
      </c>
      <c r="S675" s="101">
        <f t="shared" si="193"/>
        <v>594.8796917848839</v>
      </c>
      <c r="T675" s="101">
        <f t="shared" si="194"/>
        <v>178.59870510262786</v>
      </c>
      <c r="U675" s="101">
        <f t="shared" si="195"/>
        <v>34.215789653603757</v>
      </c>
      <c r="V675" s="33">
        <f t="shared" si="196"/>
        <v>999.99999999999932</v>
      </c>
      <c r="W675" s="105">
        <f>IF(A675=1,((cPH1_+cPHr+(cNES*L675+(cNES+cOSEX)*G675+(cNES+cEREX)*H675+(cNES+cHOEX)*I675 + (cNES+cNES)*S675 +(cNES+ cOSEX)*N675 + (cNES+cEREX)*O675 + (cNES+cHOEX)*P675)))/(1+cDR)^A$5:A$65536,(cPHr+(cNES*L675+(cNES+cOSEX)*G675+(cNES+cEREX)*H675+(cNES+cHOEX)*I675 + (cNES+cNES)*S675 +(cNES+ cOSEX)*N675 + (cNES+cEREX)*O675 + (cNES+cHOEX)*P675))/(1+cDR)^A$5:A$65536)</f>
        <v>71569.700480908883</v>
      </c>
      <c r="X675" s="112">
        <f t="shared" si="197"/>
        <v>787.18550524376769</v>
      </c>
      <c r="Y675" s="32">
        <f>(uNES*L675+ uOCEX*G675+uEREX*'PH + UC'!H675+uHOEX*I675+uNES*S675+ uOCEX*N675+uEREX*O675+uHOEX*P675)/(1+oDR)^A$5:A$65536</f>
        <v>427.49127199287392</v>
      </c>
    </row>
    <row r="676" spans="1:25" x14ac:dyDescent="0.25">
      <c r="A676" s="4">
        <v>670</v>
      </c>
      <c r="C676" s="110">
        <f>IF(male=0,VLOOKUP(((A674:A1508/'Life tables'!$I$2)*2)+age,lifetable,13,1),IF(male=1,VLOOKUP(((A674:A1508/'Life tables'!$I$2)*2)+age,lifetable,10,1),"error"))</f>
        <v>6.1270435815030666E-4</v>
      </c>
      <c r="F676" s="101">
        <f t="shared" si="180"/>
        <v>125.51105611302143</v>
      </c>
      <c r="G676" s="101">
        <f t="shared" si="181"/>
        <v>12.607848266720994</v>
      </c>
      <c r="H676" s="101">
        <f t="shared" si="182"/>
        <v>0.28851511820355996</v>
      </c>
      <c r="I676" s="101">
        <f t="shared" si="183"/>
        <v>0.28851511820355996</v>
      </c>
      <c r="J676" s="101">
        <f t="shared" si="184"/>
        <v>8.4979603597044789E-2</v>
      </c>
      <c r="K676" s="101">
        <f t="shared" si="185"/>
        <v>2.2616446318316549E-2</v>
      </c>
      <c r="L676" s="101">
        <f t="shared" si="192"/>
        <v>112.21858155997795</v>
      </c>
      <c r="M676" s="101">
        <f t="shared" si="186"/>
        <v>661.67444913074644</v>
      </c>
      <c r="N676" s="101">
        <f t="shared" si="187"/>
        <v>63.720683053340423</v>
      </c>
      <c r="O676" s="101">
        <f t="shared" si="188"/>
        <v>1.5210060995051022</v>
      </c>
      <c r="P676" s="101">
        <f t="shared" si="189"/>
        <v>1.5210060995051022</v>
      </c>
      <c r="Q676" s="101">
        <f t="shared" si="190"/>
        <v>0.44631661300208775</v>
      </c>
      <c r="R676" s="101">
        <f t="shared" si="191"/>
        <v>1.7721025048614506E-2</v>
      </c>
      <c r="S676" s="101">
        <f t="shared" si="193"/>
        <v>594.44771624034513</v>
      </c>
      <c r="T676" s="101">
        <f t="shared" si="194"/>
        <v>179.13000131922701</v>
      </c>
      <c r="U676" s="101">
        <f t="shared" si="195"/>
        <v>34.256127124970689</v>
      </c>
      <c r="V676" s="33">
        <f t="shared" si="196"/>
        <v>999.99999999999943</v>
      </c>
      <c r="W676" s="105">
        <f>IF(A676=1,((cPH1_+cPHr+(cNES*L676+(cNES+cOSEX)*G676+(cNES+cEREX)*H676+(cNES+cHOEX)*I676 + (cNES+cNES)*S676 +(cNES+ cOSEX)*N676 + (cNES+cEREX)*O676 + (cNES+cHOEX)*P676)))/(1+cDR)^A$5:A$65536,(cPHr+(cNES*L676+(cNES+cOSEX)*G676+(cNES+cEREX)*H676+(cNES+cHOEX)*I676 + (cNES+cNES)*S676 +(cNES+ cOSEX)*N676 + (cNES+cEREX)*O676 + (cNES+cHOEX)*P676))/(1+cDR)^A$5:A$65536)</f>
        <v>71435.537556893629</v>
      </c>
      <c r="X676" s="112">
        <f t="shared" si="197"/>
        <v>786.61387155580178</v>
      </c>
      <c r="Y676" s="32">
        <f>(uNES*L676+ uOCEX*G676+uEREX*'PH + UC'!H676+uHOEX*I676+uNES*S676+ uOCEX*N676+uEREX*O676+uHOEX*P676)/(1+oDR)^A$5:A$65536</f>
        <v>427.05798673110047</v>
      </c>
    </row>
    <row r="677" spans="1:25" x14ac:dyDescent="0.25">
      <c r="A677" s="4">
        <v>671</v>
      </c>
      <c r="C677" s="110">
        <f>IF(male=0,VLOOKUP(((A675:A1509/'Life tables'!$I$2)*2)+age,lifetable,13,1),IF(male=1,VLOOKUP(((A675:A1509/'Life tables'!$I$2)*2)+age,lifetable,10,1),"error"))</f>
        <v>6.1270435815030666E-4</v>
      </c>
      <c r="F677" s="101">
        <f t="shared" si="180"/>
        <v>125.4199019205881</v>
      </c>
      <c r="G677" s="101">
        <f t="shared" si="181"/>
        <v>12.598691637315854</v>
      </c>
      <c r="H677" s="101">
        <f t="shared" si="182"/>
        <v>0.28830557998900647</v>
      </c>
      <c r="I677" s="101">
        <f t="shared" si="183"/>
        <v>0.28830557998900647</v>
      </c>
      <c r="J677" s="101">
        <f t="shared" si="184"/>
        <v>8.491788594938024E-2</v>
      </c>
      <c r="K677" s="101">
        <f t="shared" si="185"/>
        <v>2.2600020802001866E-2</v>
      </c>
      <c r="L677" s="101">
        <f t="shared" si="192"/>
        <v>112.13708121654285</v>
      </c>
      <c r="M677" s="101">
        <f t="shared" si="186"/>
        <v>661.19396963521376</v>
      </c>
      <c r="N677" s="101">
        <f t="shared" si="187"/>
        <v>63.674411836900539</v>
      </c>
      <c r="O677" s="101">
        <f t="shared" si="188"/>
        <v>1.5199016103649332</v>
      </c>
      <c r="P677" s="101">
        <f t="shared" si="189"/>
        <v>1.5199016103649332</v>
      </c>
      <c r="Q677" s="101">
        <f t="shared" si="190"/>
        <v>0.44599251709458387</v>
      </c>
      <c r="R677" s="101">
        <f t="shared" si="191"/>
        <v>1.7708156803230596E-2</v>
      </c>
      <c r="S677" s="101">
        <f t="shared" si="193"/>
        <v>594.01605390368559</v>
      </c>
      <c r="T677" s="101">
        <f t="shared" si="194"/>
        <v>179.66091172227098</v>
      </c>
      <c r="U677" s="101">
        <f t="shared" si="195"/>
        <v>34.296435302575922</v>
      </c>
      <c r="V677" s="33">
        <f t="shared" si="196"/>
        <v>999.99999999999955</v>
      </c>
      <c r="W677" s="105">
        <f>IF(A677=1,((cPH1_+cPHr+(cNES*L677+(cNES+cOSEX)*G677+(cNES+cEREX)*H677+(cNES+cHOEX)*I677 + (cNES+cNES)*S677 +(cNES+ cOSEX)*N677 + (cNES+cEREX)*O677 + (cNES+cHOEX)*P677)))/(1+cDR)^A$5:A$65536,(cPHr+(cNES*L677+(cNES+cOSEX)*G677+(cNES+cEREX)*H677+(cNES+cHOEX)*I677 + (cNES+cNES)*S677 +(cNES+ cOSEX)*N677 + (cNES+cEREX)*O677 + (cNES+cHOEX)*P677))/(1+cDR)^A$5:A$65536)</f>
        <v>71301.626117701191</v>
      </c>
      <c r="X677" s="112">
        <f t="shared" si="197"/>
        <v>786.04265297515269</v>
      </c>
      <c r="Y677" s="32">
        <f>(uNES*L677+ uOCEX*G677+uEREX*'PH + UC'!H677+uHOEX*I677+uNES*S677+ uOCEX*N677+uEREX*O677+uHOEX*P677)/(1+oDR)^A$5:A$65536</f>
        <v>426.62514062788921</v>
      </c>
    </row>
    <row r="678" spans="1:25" x14ac:dyDescent="0.25">
      <c r="A678" s="4">
        <v>672</v>
      </c>
      <c r="C678" s="110">
        <f>IF(male=0,VLOOKUP(((A676:A1510/'Life tables'!$I$2)*2)+age,lifetable,13,1),IF(male=1,VLOOKUP(((A676:A1510/'Life tables'!$I$2)*2)+age,lifetable,10,1),"error"))</f>
        <v>6.1270435815030666E-4</v>
      </c>
      <c r="F678" s="101">
        <f t="shared" si="180"/>
        <v>125.32881443544234</v>
      </c>
      <c r="G678" s="101">
        <f t="shared" si="181"/>
        <v>12.589541708797357</v>
      </c>
      <c r="H678" s="101">
        <f t="shared" si="182"/>
        <v>0.28809619511601142</v>
      </c>
      <c r="I678" s="101">
        <f t="shared" si="183"/>
        <v>0.28809619511601142</v>
      </c>
      <c r="J678" s="101">
        <f t="shared" si="184"/>
        <v>8.4856213467129987E-2</v>
      </c>
      <c r="K678" s="101">
        <f t="shared" si="185"/>
        <v>2.2583607305997063E-2</v>
      </c>
      <c r="L678" s="101">
        <f t="shared" si="192"/>
        <v>112.05564051563984</v>
      </c>
      <c r="M678" s="101">
        <f t="shared" si="186"/>
        <v>660.71383853971031</v>
      </c>
      <c r="N678" s="101">
        <f t="shared" si="187"/>
        <v>63.62817417213833</v>
      </c>
      <c r="O678" s="101">
        <f t="shared" si="188"/>
        <v>1.518797922099832</v>
      </c>
      <c r="P678" s="101">
        <f t="shared" si="189"/>
        <v>1.518797922099832</v>
      </c>
      <c r="Q678" s="101">
        <f t="shared" si="190"/>
        <v>0.44566865619195489</v>
      </c>
      <c r="R678" s="101">
        <f t="shared" si="191"/>
        <v>1.769529788872783E-2</v>
      </c>
      <c r="S678" s="101">
        <f t="shared" si="193"/>
        <v>593.5847045692916</v>
      </c>
      <c r="T678" s="101">
        <f t="shared" si="194"/>
        <v>180.19143659193006</v>
      </c>
      <c r="U678" s="101">
        <f t="shared" si="195"/>
        <v>34.336714207770648</v>
      </c>
      <c r="V678" s="33">
        <f t="shared" si="196"/>
        <v>999.99999999999943</v>
      </c>
      <c r="W678" s="105">
        <f>IF(A678=1,((cPH1_+cPHr+(cNES*L678+(cNES+cOSEX)*G678+(cNES+cEREX)*H678+(cNES+cHOEX)*I678 + (cNES+cNES)*S678 +(cNES+ cOSEX)*N678 + (cNES+cEREX)*O678 + (cNES+cHOEX)*P678)))/(1+cDR)^A$5:A$65536,(cPHr+(cNES*L678+(cNES+cOSEX)*G678+(cNES+cEREX)*H678+(cNES+cHOEX)*I678 + (cNES+cNES)*S678 +(cNES+ cOSEX)*N678 + (cNES+cEREX)*O678 + (cNES+cHOEX)*P678))/(1+cDR)^A$5:A$65536)</f>
        <v>71167.965692852536</v>
      </c>
      <c r="X678" s="112">
        <f t="shared" si="197"/>
        <v>785.47184920029872</v>
      </c>
      <c r="Y678" s="32">
        <f>(uNES*L678+ uOCEX*G678+uEREX*'PH + UC'!H678+uHOEX*I678+uNES*S678+ uOCEX*N678+uEREX*O678+uHOEX*P678)/(1+oDR)^A$5:A$65536</f>
        <v>426.19273323809256</v>
      </c>
    </row>
    <row r="679" spans="1:25" x14ac:dyDescent="0.25">
      <c r="A679" s="4">
        <v>673</v>
      </c>
      <c r="C679" s="110">
        <f>IF(male=0,VLOOKUP(((A677:A1511/'Life tables'!$I$2)*2)+age,lifetable,13,1),IF(male=1,VLOOKUP(((A677:A1511/'Life tables'!$I$2)*2)+age,lifetable,10,1),"error"))</f>
        <v>6.1270435815030666E-4</v>
      </c>
      <c r="F679" s="101">
        <f t="shared" si="180"/>
        <v>125.23779358586464</v>
      </c>
      <c r="G679" s="101">
        <f t="shared" si="181"/>
        <v>12.580398473961136</v>
      </c>
      <c r="H679" s="101">
        <f t="shared" si="182"/>
        <v>0.28788696341971171</v>
      </c>
      <c r="I679" s="101">
        <f t="shared" si="183"/>
        <v>0.28788696341971171</v>
      </c>
      <c r="J679" s="101">
        <f t="shared" si="184"/>
        <v>8.479458610173507E-2</v>
      </c>
      <c r="K679" s="101">
        <f t="shared" si="185"/>
        <v>2.2567205817378658E-2</v>
      </c>
      <c r="L679" s="101">
        <f t="shared" si="192"/>
        <v>111.97425939314496</v>
      </c>
      <c r="M679" s="101">
        <f t="shared" si="186"/>
        <v>660.23405561443406</v>
      </c>
      <c r="N679" s="101">
        <f t="shared" si="187"/>
        <v>63.581970036923352</v>
      </c>
      <c r="O679" s="101">
        <f t="shared" si="188"/>
        <v>1.5176950341815481</v>
      </c>
      <c r="P679" s="101">
        <f t="shared" si="189"/>
        <v>1.5176950341815481</v>
      </c>
      <c r="Q679" s="101">
        <f t="shared" si="190"/>
        <v>0.44534503013919302</v>
      </c>
      <c r="R679" s="101">
        <f t="shared" si="191"/>
        <v>1.7682448298951641E-2</v>
      </c>
      <c r="S679" s="101">
        <f t="shared" si="193"/>
        <v>593.15366803070947</v>
      </c>
      <c r="T679" s="101">
        <f t="shared" si="194"/>
        <v>180.72157620817097</v>
      </c>
      <c r="U679" s="101">
        <f t="shared" si="195"/>
        <v>34.376963861886978</v>
      </c>
      <c r="V679" s="33">
        <f t="shared" si="196"/>
        <v>999.99999999999943</v>
      </c>
      <c r="W679" s="105">
        <f>IF(A679=1,((cPH1_+cPHr+(cNES*L679+(cNES+cOSEX)*G679+(cNES+cEREX)*H679+(cNES+cHOEX)*I679 + (cNES+cNES)*S679 +(cNES+ cOSEX)*N679 + (cNES+cEREX)*O679 + (cNES+cHOEX)*P679)))/(1+cDR)^A$5:A$65536,(cPHr+(cNES*L679+(cNES+cOSEX)*G679+(cNES+cEREX)*H679+(cNES+cHOEX)*I679 + (cNES+cNES)*S679 +(cNES+ cOSEX)*N679 + (cNES+cEREX)*O679 + (cNES+cHOEX)*P679))/(1+cDR)^A$5:A$65536)</f>
        <v>71034.555812705585</v>
      </c>
      <c r="X679" s="112">
        <f t="shared" si="197"/>
        <v>784.90145992994144</v>
      </c>
      <c r="Y679" s="32">
        <f>(uNES*L679+ uOCEX*G679+uEREX*'PH + UC'!H679+uHOEX*I679+uNES*S679+ uOCEX*N679+uEREX*O679+uHOEX*P679)/(1+oDR)^A$5:A$65536</f>
        <v>425.76076411701689</v>
      </c>
    </row>
    <row r="680" spans="1:25" x14ac:dyDescent="0.25">
      <c r="A680" s="4">
        <v>674</v>
      </c>
      <c r="C680" s="110">
        <f>IF(male=0,VLOOKUP(((A678:A1512/'Life tables'!$I$2)*2)+age,lifetable,13,1),IF(male=1,VLOOKUP(((A678:A1512/'Life tables'!$I$2)*2)+age,lifetable,10,1),"error"))</f>
        <v>6.1270435815030666E-4</v>
      </c>
      <c r="F680" s="101">
        <f t="shared" si="180"/>
        <v>125.14683930124285</v>
      </c>
      <c r="G680" s="101">
        <f t="shared" si="181"/>
        <v>12.571261925714046</v>
      </c>
      <c r="H680" s="101">
        <f t="shared" si="182"/>
        <v>0.28767788473778949</v>
      </c>
      <c r="I680" s="101">
        <f t="shared" si="183"/>
        <v>0.28767788473778949</v>
      </c>
      <c r="J680" s="101">
        <f t="shared" si="184"/>
        <v>8.4733003805386203E-2</v>
      </c>
      <c r="K680" s="101">
        <f t="shared" si="185"/>
        <v>2.2550816323422707E-2</v>
      </c>
      <c r="L680" s="101">
        <f t="shared" si="192"/>
        <v>111.89293778592442</v>
      </c>
      <c r="M680" s="101">
        <f t="shared" si="186"/>
        <v>659.7546206286986</v>
      </c>
      <c r="N680" s="101">
        <f t="shared" si="187"/>
        <v>63.53579940904001</v>
      </c>
      <c r="O680" s="101">
        <f t="shared" si="188"/>
        <v>1.5165929460797969</v>
      </c>
      <c r="P680" s="101">
        <f t="shared" si="189"/>
        <v>1.5165929460797969</v>
      </c>
      <c r="Q680" s="101">
        <f t="shared" si="190"/>
        <v>0.44502163878069456</v>
      </c>
      <c r="R680" s="101">
        <f t="shared" si="191"/>
        <v>1.7669608027723754E-2</v>
      </c>
      <c r="S680" s="101">
        <f t="shared" si="193"/>
        <v>592.72294408069058</v>
      </c>
      <c r="T680" s="101">
        <f t="shared" si="194"/>
        <v>181.25133085075706</v>
      </c>
      <c r="U680" s="101">
        <f t="shared" si="195"/>
        <v>34.417184286238125</v>
      </c>
      <c r="V680" s="33">
        <f t="shared" si="196"/>
        <v>999.99999999999943</v>
      </c>
      <c r="W680" s="105">
        <f>IF(A680=1,((cPH1_+cPHr+(cNES*L680+(cNES+cOSEX)*G680+(cNES+cEREX)*H680+(cNES+cHOEX)*I680 + (cNES+cNES)*S680 +(cNES+ cOSEX)*N680 + (cNES+cEREX)*O680 + (cNES+cHOEX)*P680)))/(1+cDR)^A$5:A$65536,(cPHr+(cNES*L680+(cNES+cOSEX)*G680+(cNES+cEREX)*H680+(cNES+cHOEX)*I680 + (cNES+cNES)*S680 +(cNES+ cOSEX)*N680 + (cNES+cEREX)*O680 + (cNES+cHOEX)*P680))/(1+cDR)^A$5:A$65536)</f>
        <v>70901.396008455893</v>
      </c>
      <c r="X680" s="112">
        <f t="shared" si="197"/>
        <v>784.33148486300422</v>
      </c>
      <c r="Y680" s="32">
        <f>(uNES*L680+ uOCEX*G680+uEREX*'PH + UC'!H680+uHOEX*I680+uNES*S680+ uOCEX*N680+uEREX*O680+uHOEX*P680)/(1+oDR)^A$5:A$65536</f>
        <v>425.32923282042009</v>
      </c>
    </row>
    <row r="681" spans="1:25" x14ac:dyDescent="0.25">
      <c r="A681" s="4">
        <v>675</v>
      </c>
      <c r="C681" s="110">
        <f>IF(male=0,VLOOKUP(((A679:A1513/'Life tables'!$I$2)*2)+age,lifetable,13,1),IF(male=1,VLOOKUP(((A679:A1513/'Life tables'!$I$2)*2)+age,lifetable,10,1),"error"))</f>
        <v>6.1270435815030666E-4</v>
      </c>
      <c r="F681" s="101">
        <f t="shared" si="180"/>
        <v>125.05595151202357</v>
      </c>
      <c r="G681" s="101">
        <f t="shared" si="181"/>
        <v>12.562132057069308</v>
      </c>
      <c r="H681" s="101">
        <f t="shared" si="182"/>
        <v>0.28746895891036084</v>
      </c>
      <c r="I681" s="101">
        <f t="shared" si="183"/>
        <v>0.28746895891036084</v>
      </c>
      <c r="J681" s="101">
        <f t="shared" si="184"/>
        <v>8.4671466530990946E-2</v>
      </c>
      <c r="K681" s="101">
        <f t="shared" si="185"/>
        <v>2.2534438811596041E-2</v>
      </c>
      <c r="L681" s="101">
        <f t="shared" si="192"/>
        <v>111.81167563179095</v>
      </c>
      <c r="M681" s="101">
        <f t="shared" si="186"/>
        <v>659.27553335098048</v>
      </c>
      <c r="N681" s="101">
        <f t="shared" si="187"/>
        <v>63.489662266192092</v>
      </c>
      <c r="O681" s="101">
        <f t="shared" si="188"/>
        <v>1.5154916572623702</v>
      </c>
      <c r="P681" s="101">
        <f t="shared" si="189"/>
        <v>1.5154916572623702</v>
      </c>
      <c r="Q681" s="101">
        <f t="shared" si="190"/>
        <v>0.44469848196029071</v>
      </c>
      <c r="R681" s="101">
        <f t="shared" si="191"/>
        <v>1.7656777068843495E-2</v>
      </c>
      <c r="S681" s="101">
        <f t="shared" si="193"/>
        <v>592.29253251123453</v>
      </c>
      <c r="T681" s="101">
        <f t="shared" si="194"/>
        <v>181.78070079924834</v>
      </c>
      <c r="U681" s="101">
        <f t="shared" si="195"/>
        <v>34.457375502118566</v>
      </c>
      <c r="V681" s="33">
        <f t="shared" si="196"/>
        <v>999.99999999999932</v>
      </c>
      <c r="W681" s="105">
        <f>IF(A681=1,((cPH1_+cPHr+(cNES*L681+(cNES+cOSEX)*G681+(cNES+cEREX)*H681+(cNES+cHOEX)*I681 + (cNES+cNES)*S681 +(cNES+ cOSEX)*N681 + (cNES+cEREX)*O681 + (cNES+cHOEX)*P681)))/(1+cDR)^A$5:A$65536,(cPHr+(cNES*L681+(cNES+cOSEX)*G681+(cNES+cEREX)*H681+(cNES+cHOEX)*I681 + (cNES+cNES)*S681 +(cNES+ cOSEX)*N681 + (cNES+cEREX)*O681 + (cNES+cHOEX)*P681))/(1+cDR)^A$5:A$65536)</f>
        <v>70768.48581213686</v>
      </c>
      <c r="X681" s="112">
        <f t="shared" si="197"/>
        <v>783.76192369863236</v>
      </c>
      <c r="Y681" s="32">
        <f>(uNES*L681+ uOCEX*G681+uEREX*'PH + UC'!H681+uHOEX*I681+uNES*S681+ uOCEX*N681+uEREX*O681+uHOEX*P681)/(1+oDR)^A$5:A$65536</f>
        <v>424.89813890451143</v>
      </c>
    </row>
    <row r="682" spans="1:25" x14ac:dyDescent="0.25">
      <c r="A682" s="4">
        <v>676</v>
      </c>
      <c r="C682" s="110">
        <f>IF(male=0,VLOOKUP(((A680:A1514/'Life tables'!$I$2)*2)+age,lifetable,13,1),IF(male=1,VLOOKUP(((A680:A1514/'Life tables'!$I$2)*2)+age,lifetable,10,1),"error"))</f>
        <v>6.1270435815030666E-4</v>
      </c>
      <c r="F682" s="101">
        <f t="shared" si="180"/>
        <v>124.96513014966575</v>
      </c>
      <c r="G682" s="101">
        <f t="shared" si="181"/>
        <v>12.553008861141826</v>
      </c>
      <c r="H682" s="101">
        <f t="shared" si="182"/>
        <v>0.28726018577986878</v>
      </c>
      <c r="I682" s="101">
        <f t="shared" si="183"/>
        <v>0.28726018577986878</v>
      </c>
      <c r="J682" s="101">
        <f t="shared" si="184"/>
        <v>8.4609974232142296E-2</v>
      </c>
      <c r="K682" s="101">
        <f t="shared" si="185"/>
        <v>2.2518073269547918E-2</v>
      </c>
      <c r="L682" s="101">
        <f t="shared" si="192"/>
        <v>111.7304728694625</v>
      </c>
      <c r="M682" s="101">
        <f t="shared" si="186"/>
        <v>658.79679354896666</v>
      </c>
      <c r="N682" s="101">
        <f t="shared" si="187"/>
        <v>63.443558586007342</v>
      </c>
      <c r="O682" s="101">
        <f t="shared" si="188"/>
        <v>1.514391167195245</v>
      </c>
      <c r="P682" s="101">
        <f t="shared" si="189"/>
        <v>1.514391167195245</v>
      </c>
      <c r="Q682" s="101">
        <f t="shared" si="190"/>
        <v>0.44437555952128044</v>
      </c>
      <c r="R682" s="101">
        <f t="shared" si="191"/>
        <v>1.7643955416089031E-2</v>
      </c>
      <c r="S682" s="101">
        <f t="shared" si="193"/>
        <v>591.86243311363148</v>
      </c>
      <c r="T682" s="101">
        <f t="shared" si="194"/>
        <v>182.30968633300176</v>
      </c>
      <c r="U682" s="101">
        <f t="shared" si="195"/>
        <v>34.497537530804202</v>
      </c>
      <c r="V682" s="33">
        <f t="shared" si="196"/>
        <v>999.99999999999932</v>
      </c>
      <c r="W682" s="105">
        <f>IF(A682=1,((cPH1_+cPHr+(cNES*L682+(cNES+cOSEX)*G682+(cNES+cEREX)*H682+(cNES+cHOEX)*I682 + (cNES+cNES)*S682 +(cNES+ cOSEX)*N682 + (cNES+cEREX)*O682 + (cNES+cHOEX)*P682)))/(1+cDR)^A$5:A$65536,(cPHr+(cNES*L682+(cNES+cOSEX)*G682+(cNES+cEREX)*H682+(cNES+cHOEX)*I682 + (cNES+cNES)*S682 +(cNES+ cOSEX)*N682 + (cNES+cEREX)*O682 + (cNES+cHOEX)*P682))/(1+cDR)^A$5:A$65536)</f>
        <v>70635.824756620364</v>
      </c>
      <c r="X682" s="112">
        <f t="shared" si="197"/>
        <v>783.1927761361934</v>
      </c>
      <c r="Y682" s="32">
        <f>(uNES*L682+ uOCEX*G682+uEREX*'PH + UC'!H682+uHOEX*I682+uNES*S682+ uOCEX*N682+uEREX*O682+uHOEX*P682)/(1+oDR)^A$5:A$65536</f>
        <v>424.46748192595248</v>
      </c>
    </row>
    <row r="683" spans="1:25" x14ac:dyDescent="0.25">
      <c r="A683" s="4">
        <v>677</v>
      </c>
      <c r="C683" s="110">
        <f>IF(male=0,VLOOKUP(((A681:A1515/'Life tables'!$I$2)*2)+age,lifetable,13,1),IF(male=1,VLOOKUP(((A681:A1515/'Life tables'!$I$2)*2)+age,lifetable,10,1),"error"))</f>
        <v>6.1270435815030666E-4</v>
      </c>
      <c r="F683" s="101">
        <f t="shared" si="180"/>
        <v>124.87437514659625</v>
      </c>
      <c r="G683" s="101">
        <f t="shared" si="181"/>
        <v>12.543892331143738</v>
      </c>
      <c r="H683" s="101">
        <f t="shared" si="182"/>
        <v>0.28705156519098152</v>
      </c>
      <c r="I683" s="101">
        <f t="shared" si="183"/>
        <v>0.28705156519098152</v>
      </c>
      <c r="J683" s="101">
        <f t="shared" si="184"/>
        <v>8.4548526863088599E-2</v>
      </c>
      <c r="K683" s="101">
        <f t="shared" si="185"/>
        <v>2.2501719685102006E-2</v>
      </c>
      <c r="L683" s="101">
        <f t="shared" si="192"/>
        <v>111.64932943852236</v>
      </c>
      <c r="M683" s="101">
        <f t="shared" si="186"/>
        <v>658.31840098959731</v>
      </c>
      <c r="N683" s="101">
        <f t="shared" si="187"/>
        <v>63.397488346041605</v>
      </c>
      <c r="O683" s="101">
        <f t="shared" si="188"/>
        <v>1.5132914753426814</v>
      </c>
      <c r="P683" s="101">
        <f t="shared" si="189"/>
        <v>1.5132914753426814</v>
      </c>
      <c r="Q683" s="101">
        <f t="shared" si="190"/>
        <v>0.44405287130645865</v>
      </c>
      <c r="R683" s="101">
        <f t="shared" si="191"/>
        <v>1.7631143063218533E-2</v>
      </c>
      <c r="S683" s="101">
        <f t="shared" si="193"/>
        <v>591.43264567850065</v>
      </c>
      <c r="T683" s="101">
        <f t="shared" si="194"/>
        <v>182.83828773117131</v>
      </c>
      <c r="U683" s="101">
        <f t="shared" si="195"/>
        <v>34.537670393552524</v>
      </c>
      <c r="V683" s="33">
        <f t="shared" si="196"/>
        <v>999.99999999999943</v>
      </c>
      <c r="W683" s="105">
        <f>IF(A683=1,((cPH1_+cPHr+(cNES*L683+(cNES+cOSEX)*G683+(cNES+cEREX)*H683+(cNES+cHOEX)*I683 + (cNES+cNES)*S683 +(cNES+ cOSEX)*N683 + (cNES+cEREX)*O683 + (cNES+cHOEX)*P683)))/(1+cDR)^A$5:A$65536,(cPHr+(cNES*L683+(cNES+cOSEX)*G683+(cNES+cEREX)*H683+(cNES+cHOEX)*I683 + (cNES+cNES)*S683 +(cNES+ cOSEX)*N683 + (cNES+cEREX)*O683 + (cNES+cHOEX)*P683))/(1+cDR)^A$5:A$65536)</f>
        <v>70503.412375616565</v>
      </c>
      <c r="X683" s="112">
        <f t="shared" si="197"/>
        <v>782.62404187527568</v>
      </c>
      <c r="Y683" s="32">
        <f>(uNES*L683+ uOCEX*G683+uEREX*'PH + UC'!H683+uHOEX*I683+uNES*S683+ uOCEX*N683+uEREX*O683+uHOEX*P683)/(1+oDR)^A$5:A$65536</f>
        <v>424.03726144185504</v>
      </c>
    </row>
    <row r="684" spans="1:25" x14ac:dyDescent="0.25">
      <c r="A684" s="4">
        <v>678</v>
      </c>
      <c r="C684" s="110">
        <f>IF(male=0,VLOOKUP(((A682:A1516/'Life tables'!$I$2)*2)+age,lifetable,13,1),IF(male=1,VLOOKUP(((A682:A1516/'Life tables'!$I$2)*2)+age,lifetable,10,1),"error"))</f>
        <v>6.6122671421597889E-4</v>
      </c>
      <c r="F684" s="101">
        <f t="shared" si="180"/>
        <v>124.78368643616757</v>
      </c>
      <c r="G684" s="101">
        <f t="shared" si="181"/>
        <v>12.534782460380162</v>
      </c>
      <c r="H684" s="101">
        <f t="shared" si="182"/>
        <v>0.28684309699049487</v>
      </c>
      <c r="I684" s="101">
        <f t="shared" si="183"/>
        <v>0.28684309699049487</v>
      </c>
      <c r="J684" s="101">
        <f t="shared" si="184"/>
        <v>9.1177976626670487E-2</v>
      </c>
      <c r="K684" s="101">
        <f t="shared" si="185"/>
        <v>2.2485378046248766E-2</v>
      </c>
      <c r="L684" s="101">
        <f t="shared" si="192"/>
        <v>111.5615544271335</v>
      </c>
      <c r="M684" s="101">
        <f t="shared" si="186"/>
        <v>657.84035543910818</v>
      </c>
      <c r="N684" s="101">
        <f t="shared" si="187"/>
        <v>63.35145152378287</v>
      </c>
      <c r="O684" s="101">
        <f t="shared" si="188"/>
        <v>1.51219258116732</v>
      </c>
      <c r="P684" s="101">
        <f t="shared" si="189"/>
        <v>1.51219258116732</v>
      </c>
      <c r="Q684" s="101">
        <f t="shared" si="190"/>
        <v>0.47887109310097103</v>
      </c>
      <c r="R684" s="101">
        <f t="shared" si="191"/>
        <v>1.7618340003971306E-2</v>
      </c>
      <c r="S684" s="101">
        <f t="shared" si="193"/>
        <v>590.96802931988566</v>
      </c>
      <c r="T684" s="101">
        <f t="shared" si="194"/>
        <v>183.40833680089895</v>
      </c>
      <c r="U684" s="101">
        <f t="shared" si="195"/>
        <v>34.577774111602743</v>
      </c>
      <c r="V684" s="33">
        <f t="shared" si="196"/>
        <v>999.99999999999943</v>
      </c>
      <c r="W684" s="105">
        <f>IF(A684=1,((cPH1_+cPHr+(cNES*L684+(cNES+cOSEX)*G684+(cNES+cEREX)*H684+(cNES+cHOEX)*I684 + (cNES+cNES)*S684 +(cNES+ cOSEX)*N684 + (cNES+cEREX)*O684 + (cNES+cHOEX)*P684)))/(1+cDR)^A$5:A$65536,(cPHr+(cNES*L684+(cNES+cOSEX)*G684+(cNES+cEREX)*H684+(cNES+cHOEX)*I684 + (cNES+cNES)*S684 +(cNES+ cOSEX)*N684 + (cNES+cEREX)*O684 + (cNES+cHOEX)*P684))/(1+cDR)^A$5:A$65536)</f>
        <v>70367.985634264158</v>
      </c>
      <c r="X684" s="112">
        <f t="shared" si="197"/>
        <v>782.01388908749777</v>
      </c>
      <c r="Y684" s="32">
        <f>(uNES*L684+ uOCEX*G684+uEREX*'PH + UC'!H684+uHOEX*I684+uNES*S684+ uOCEX*N684+uEREX*O684+uHOEX*P684)/(1+oDR)^A$5:A$65536</f>
        <v>423.58445003806537</v>
      </c>
    </row>
    <row r="685" spans="1:25" x14ac:dyDescent="0.25">
      <c r="A685" s="4">
        <v>679</v>
      </c>
      <c r="C685" s="110">
        <f>IF(male=0,VLOOKUP(((A683:A1517/'Life tables'!$I$2)*2)+age,lifetable,13,1),IF(male=1,VLOOKUP(((A683:A1517/'Life tables'!$I$2)*2)+age,lifetable,10,1),"error"))</f>
        <v>6.6122671421597889E-4</v>
      </c>
      <c r="F685" s="101">
        <f t="shared" si="180"/>
        <v>124.68637320548477</v>
      </c>
      <c r="G685" s="101">
        <f t="shared" si="181"/>
        <v>12.525007142692704</v>
      </c>
      <c r="H685" s="101">
        <f t="shared" si="182"/>
        <v>0.28661940085469045</v>
      </c>
      <c r="I685" s="101">
        <f t="shared" si="183"/>
        <v>0.28661940085469045</v>
      </c>
      <c r="J685" s="101">
        <f t="shared" si="184"/>
        <v>9.110687098997973E-2</v>
      </c>
      <c r="K685" s="101">
        <f t="shared" si="185"/>
        <v>2.2467842702941498E-2</v>
      </c>
      <c r="L685" s="101">
        <f t="shared" si="192"/>
        <v>111.47455254738976</v>
      </c>
      <c r="M685" s="101">
        <f t="shared" si="186"/>
        <v>657.32751588201324</v>
      </c>
      <c r="N685" s="101">
        <f t="shared" si="187"/>
        <v>63.302063963302352</v>
      </c>
      <c r="O685" s="101">
        <f t="shared" si="188"/>
        <v>1.5110137052179258</v>
      </c>
      <c r="P685" s="101">
        <f t="shared" si="189"/>
        <v>1.5110137052179258</v>
      </c>
      <c r="Q685" s="101">
        <f t="shared" si="190"/>
        <v>0.47849777450283254</v>
      </c>
      <c r="R685" s="101">
        <f t="shared" si="191"/>
        <v>1.7604605088486602E-2</v>
      </c>
      <c r="S685" s="101">
        <f t="shared" si="193"/>
        <v>590.50732212868377</v>
      </c>
      <c r="T685" s="101">
        <f t="shared" si="194"/>
        <v>183.97794144639175</v>
      </c>
      <c r="U685" s="101">
        <f t="shared" si="195"/>
        <v>34.617846559394174</v>
      </c>
      <c r="V685" s="33">
        <f t="shared" si="196"/>
        <v>999.99999999999977</v>
      </c>
      <c r="W685" s="105">
        <f>IF(A685=1,((cPH1_+cPHr+(cNES*L685+(cNES+cOSEX)*G685+(cNES+cEREX)*H685+(cNES+cHOEX)*I685 + (cNES+cNES)*S685 +(cNES+ cOSEX)*N685 + (cNES+cEREX)*O685 + (cNES+cHOEX)*P685)))/(1+cDR)^A$5:A$65536,(cPHr+(cNES*L685+(cNES+cOSEX)*G685+(cNES+cEREX)*H685+(cNES+cHOEX)*I685 + (cNES+cNES)*S685 +(cNES+ cOSEX)*N685 + (cNES+cEREX)*O685 + (cNES+cHOEX)*P685))/(1+cDR)^A$5:A$65536)</f>
        <v>70232.319859340001</v>
      </c>
      <c r="X685" s="112">
        <f t="shared" si="197"/>
        <v>781.40421199421382</v>
      </c>
      <c r="Y685" s="32">
        <f>(uNES*L685+ uOCEX*G685+uEREX*'PH + UC'!H685+uHOEX*I685+uNES*S685+ uOCEX*N685+uEREX*O685+uHOEX*P685)/(1+oDR)^A$5:A$65536</f>
        <v>423.13249033837451</v>
      </c>
    </row>
    <row r="686" spans="1:25" x14ac:dyDescent="0.25">
      <c r="A686" s="4">
        <v>680</v>
      </c>
      <c r="C686" s="110">
        <f>IF(male=0,VLOOKUP(((A684:A1518/'Life tables'!$I$2)*2)+age,lifetable,13,1),IF(male=1,VLOOKUP(((A684:A1518/'Life tables'!$I$2)*2)+age,lifetable,10,1),"error"))</f>
        <v>6.6122671421597889E-4</v>
      </c>
      <c r="F686" s="101">
        <f t="shared" si="180"/>
        <v>124.58913715156416</v>
      </c>
      <c r="G686" s="101">
        <f t="shared" si="181"/>
        <v>12.51523957757253</v>
      </c>
      <c r="H686" s="101">
        <f t="shared" si="182"/>
        <v>0.28639588212686384</v>
      </c>
      <c r="I686" s="101">
        <f t="shared" si="183"/>
        <v>0.28639588212686384</v>
      </c>
      <c r="J686" s="101">
        <f t="shared" si="184"/>
        <v>9.1035821745444223E-2</v>
      </c>
      <c r="K686" s="101">
        <f t="shared" si="185"/>
        <v>2.2450321266489555E-2</v>
      </c>
      <c r="L686" s="101">
        <f t="shared" si="192"/>
        <v>111.38761966672597</v>
      </c>
      <c r="M686" s="101">
        <f t="shared" si="186"/>
        <v>656.81507484264966</v>
      </c>
      <c r="N686" s="101">
        <f t="shared" si="187"/>
        <v>63.252714780942796</v>
      </c>
      <c r="O686" s="101">
        <f t="shared" si="188"/>
        <v>1.5098357453503011</v>
      </c>
      <c r="P686" s="101">
        <f t="shared" si="189"/>
        <v>1.5098357453503011</v>
      </c>
      <c r="Q686" s="101">
        <f t="shared" si="190"/>
        <v>0.47812474600337845</v>
      </c>
      <c r="R686" s="101">
        <f t="shared" si="191"/>
        <v>1.7590880846139887E-2</v>
      </c>
      <c r="S686" s="101">
        <f t="shared" si="193"/>
        <v>590.04697294415678</v>
      </c>
      <c r="T686" s="101">
        <f t="shared" si="194"/>
        <v>184.54710201414056</v>
      </c>
      <c r="U686" s="101">
        <f t="shared" si="195"/>
        <v>34.657887761506807</v>
      </c>
      <c r="V686" s="33">
        <f t="shared" si="196"/>
        <v>999.99999999999977</v>
      </c>
      <c r="W686" s="105">
        <f>IF(A686=1,((cPH1_+cPHr+(cNES*L686+(cNES+cOSEX)*G686+(cNES+cEREX)*H686+(cNES+cHOEX)*I686 + (cNES+cNES)*S686 +(cNES+ cOSEX)*N686 + (cNES+cEREX)*O686 + (cNES+cHOEX)*P686)))/(1+cDR)^A$5:A$65536,(cPHr+(cNES*L686+(cNES+cOSEX)*G686+(cNES+cEREX)*H686+(cNES+cHOEX)*I686 + (cNES+cNES)*S686 +(cNES+ cOSEX)*N686 + (cNES+cEREX)*O686 + (cNES+cHOEX)*P686))/(1+cDR)^A$5:A$65536)</f>
        <v>70096.915599684449</v>
      </c>
      <c r="X686" s="112">
        <f t="shared" si="197"/>
        <v>780.79501022435238</v>
      </c>
      <c r="Y686" s="32">
        <f>(uNES*L686+ uOCEX*G686+uEREX*'PH + UC'!H686+uHOEX*I686+uNES*S686+ uOCEX*N686+uEREX*O686+uHOEX*P686)/(1+oDR)^A$5:A$65536</f>
        <v>422.68101287634425</v>
      </c>
    </row>
    <row r="687" spans="1:25" x14ac:dyDescent="0.25">
      <c r="A687" s="4">
        <v>681</v>
      </c>
      <c r="C687" s="110">
        <f>IF(male=0,VLOOKUP(((A685:A1519/'Life tables'!$I$2)*2)+age,lifetable,13,1),IF(male=1,VLOOKUP(((A685:A1519/'Life tables'!$I$2)*2)+age,lifetable,10,1),"error"))</f>
        <v>6.6122671421597889E-4</v>
      </c>
      <c r="F687" s="101">
        <f t="shared" si="180"/>
        <v>124.49197815482681</v>
      </c>
      <c r="G687" s="101">
        <f t="shared" si="181"/>
        <v>12.505479753007688</v>
      </c>
      <c r="H687" s="101">
        <f t="shared" si="182"/>
        <v>0.28617254053213637</v>
      </c>
      <c r="I687" s="101">
        <f t="shared" si="183"/>
        <v>0.28617254053213637</v>
      </c>
      <c r="J687" s="101">
        <f t="shared" si="184"/>
        <v>9.0964828805689082E-2</v>
      </c>
      <c r="K687" s="101">
        <f t="shared" si="185"/>
        <v>2.2432813715345432E-2</v>
      </c>
      <c r="L687" s="101">
        <f t="shared" si="192"/>
        <v>111.30075567823381</v>
      </c>
      <c r="M687" s="101">
        <f t="shared" si="186"/>
        <v>656.30303206952556</v>
      </c>
      <c r="N687" s="101">
        <f t="shared" si="187"/>
        <v>63.203403952484997</v>
      </c>
      <c r="O687" s="101">
        <f t="shared" si="188"/>
        <v>1.5086587009863357</v>
      </c>
      <c r="P687" s="101">
        <f t="shared" si="189"/>
        <v>1.5086587009863357</v>
      </c>
      <c r="Q687" s="101">
        <f t="shared" si="190"/>
        <v>0.47775200741953655</v>
      </c>
      <c r="R687" s="101">
        <f t="shared" si="191"/>
        <v>1.7577167270195683E-2</v>
      </c>
      <c r="S687" s="101">
        <f t="shared" si="193"/>
        <v>589.58698154037813</v>
      </c>
      <c r="T687" s="101">
        <f t="shared" si="194"/>
        <v>185.1158188503658</v>
      </c>
      <c r="U687" s="101">
        <f t="shared" si="195"/>
        <v>34.697897742492344</v>
      </c>
      <c r="V687" s="33">
        <f t="shared" si="196"/>
        <v>999.99999999999977</v>
      </c>
      <c r="W687" s="105">
        <f>IF(A687=1,((cPH1_+cPHr+(cNES*L687+(cNES+cOSEX)*G687+(cNES+cEREX)*H687+(cNES+cHOEX)*I687 + (cNES+cNES)*S687 +(cNES+ cOSEX)*N687 + (cNES+cEREX)*O687 + (cNES+cHOEX)*P687)))/(1+cDR)^A$5:A$65536,(cPHr+(cNES*L687+(cNES+cOSEX)*G687+(cNES+cEREX)*H687+(cNES+cHOEX)*I687 + (cNES+cNES)*S687 +(cNES+ cOSEX)*N687 + (cNES+cEREX)*O687 + (cNES+cHOEX)*P687))/(1+cDR)^A$5:A$65536)</f>
        <v>69961.772353419816</v>
      </c>
      <c r="X687" s="112">
        <f t="shared" si="197"/>
        <v>780.18628340714156</v>
      </c>
      <c r="Y687" s="32">
        <f>(uNES*L687+ uOCEX*G687+uEREX*'PH + UC'!H687+uHOEX*I687+uNES*S687+ uOCEX*N687+uEREX*O687+uHOEX*P687)/(1+oDR)^A$5:A$65536</f>
        <v>422.23001713734442</v>
      </c>
    </row>
    <row r="688" spans="1:25" x14ac:dyDescent="0.25">
      <c r="A688" s="4">
        <v>682</v>
      </c>
      <c r="C688" s="110">
        <f>IF(male=0,VLOOKUP(((A686:A1520/'Life tables'!$I$2)*2)+age,lifetable,13,1),IF(male=1,VLOOKUP(((A686:A1520/'Life tables'!$I$2)*2)+age,lifetable,10,1),"error"))</f>
        <v>6.6122671421597889E-4</v>
      </c>
      <c r="F688" s="101">
        <f t="shared" si="180"/>
        <v>124.39489609848337</v>
      </c>
      <c r="G688" s="101">
        <f t="shared" si="181"/>
        <v>12.495727657266439</v>
      </c>
      <c r="H688" s="101">
        <f t="shared" si="182"/>
        <v>0.28594937580204161</v>
      </c>
      <c r="I688" s="101">
        <f t="shared" si="183"/>
        <v>0.28594937580204161</v>
      </c>
      <c r="J688" s="101">
        <f t="shared" si="184"/>
        <v>9.0893892085377653E-2</v>
      </c>
      <c r="K688" s="101">
        <f t="shared" si="185"/>
        <v>2.2415320028464289E-2</v>
      </c>
      <c r="L688" s="101">
        <f t="shared" si="192"/>
        <v>111.213960477499</v>
      </c>
      <c r="M688" s="101">
        <f t="shared" si="186"/>
        <v>655.79138730865816</v>
      </c>
      <c r="N688" s="101">
        <f t="shared" si="187"/>
        <v>63.154131453469866</v>
      </c>
      <c r="O688" s="101">
        <f t="shared" si="188"/>
        <v>1.5074825715421936</v>
      </c>
      <c r="P688" s="101">
        <f t="shared" si="189"/>
        <v>1.5074825715421936</v>
      </c>
      <c r="Q688" s="101">
        <f t="shared" si="190"/>
        <v>0.47737955856642178</v>
      </c>
      <c r="R688" s="101">
        <f t="shared" si="191"/>
        <v>1.7563464353851796E-2</v>
      </c>
      <c r="S688" s="101">
        <f t="shared" si="193"/>
        <v>589.12734768918358</v>
      </c>
      <c r="T688" s="101">
        <f t="shared" si="194"/>
        <v>185.68409230101759</v>
      </c>
      <c r="U688" s="101">
        <f t="shared" si="195"/>
        <v>34.737876526874658</v>
      </c>
      <c r="V688" s="33">
        <f t="shared" si="196"/>
        <v>999.99999999999955</v>
      </c>
      <c r="W688" s="105">
        <f>IF(A688=1,((cPH1_+cPHr+(cNES*L688+(cNES+cOSEX)*G688+(cNES+cEREX)*H688+(cNES+cHOEX)*I688 + (cNES+cNES)*S688 +(cNES+ cOSEX)*N688 + (cNES+cEREX)*O688 + (cNES+cHOEX)*P688)))/(1+cDR)^A$5:A$65536,(cPHr+(cNES*L688+(cNES+cOSEX)*G688+(cNES+cEREX)*H688+(cNES+cHOEX)*I688 + (cNES+cNES)*S688 +(cNES+ cOSEX)*N688 + (cNES+cEREX)*O688 + (cNES+cHOEX)*P688))/(1+cDR)^A$5:A$65536)</f>
        <v>69826.889619527588</v>
      </c>
      <c r="X688" s="112">
        <f t="shared" si="197"/>
        <v>779.57803117210733</v>
      </c>
      <c r="Y688" s="32">
        <f>(uNES*L688+ uOCEX*G688+uEREX*'PH + UC'!H688+uHOEX*I688+uNES*S688+ uOCEX*N688+uEREX*O688+uHOEX*P688)/(1+oDR)^A$5:A$65536</f>
        <v>421.77950260729739</v>
      </c>
    </row>
    <row r="689" spans="1:25" x14ac:dyDescent="0.25">
      <c r="A689" s="4">
        <v>683</v>
      </c>
      <c r="C689" s="110">
        <f>IF(male=0,VLOOKUP(((A687:A1521/'Life tables'!$I$2)*2)+age,lifetable,13,1),IF(male=1,VLOOKUP(((A687:A1521/'Life tables'!$I$2)*2)+age,lifetable,10,1),"error"))</f>
        <v>6.6122671421597889E-4</v>
      </c>
      <c r="F689" s="101">
        <f t="shared" si="180"/>
        <v>124.29789086840951</v>
      </c>
      <c r="G689" s="101">
        <f t="shared" si="181"/>
        <v>12.485983278884758</v>
      </c>
      <c r="H689" s="101">
        <f t="shared" si="182"/>
        <v>0.28572638767423936</v>
      </c>
      <c r="I689" s="101">
        <f t="shared" si="183"/>
        <v>0.28572638767423936</v>
      </c>
      <c r="J689" s="101">
        <f t="shared" si="184"/>
        <v>9.082301150112064E-2</v>
      </c>
      <c r="K689" s="101">
        <f t="shared" si="185"/>
        <v>2.2397840185281501E-2</v>
      </c>
      <c r="L689" s="101">
        <f t="shared" si="192"/>
        <v>111.12723396248987</v>
      </c>
      <c r="M689" s="101">
        <f t="shared" si="186"/>
        <v>655.28014030369775</v>
      </c>
      <c r="N689" s="101">
        <f t="shared" si="187"/>
        <v>63.104897259210361</v>
      </c>
      <c r="O689" s="101">
        <f t="shared" si="188"/>
        <v>1.506307356428598</v>
      </c>
      <c r="P689" s="101">
        <f t="shared" si="189"/>
        <v>1.506307356428598</v>
      </c>
      <c r="Q689" s="101">
        <f t="shared" si="190"/>
        <v>0.47700739925742563</v>
      </c>
      <c r="R689" s="101">
        <f t="shared" si="191"/>
        <v>1.7549772090242655E-2</v>
      </c>
      <c r="S689" s="101">
        <f t="shared" si="193"/>
        <v>588.66807116028258</v>
      </c>
      <c r="T689" s="101">
        <f t="shared" si="194"/>
        <v>186.25192271177613</v>
      </c>
      <c r="U689" s="101">
        <f t="shared" si="195"/>
        <v>34.777824139150184</v>
      </c>
      <c r="V689" s="33">
        <f t="shared" si="196"/>
        <v>999.99999999999955</v>
      </c>
      <c r="W689" s="105">
        <f>IF(A689=1,((cPH1_+cPHr+(cNES*L689+(cNES+cOSEX)*G689+(cNES+cEREX)*H689+(cNES+cHOEX)*I689 + (cNES+cNES)*S689 +(cNES+ cOSEX)*N689 + (cNES+cEREX)*O689 + (cNES+cHOEX)*P689)))/(1+cDR)^A$5:A$65536,(cPHr+(cNES*L689+(cNES+cOSEX)*G689+(cNES+cEREX)*H689+(cNES+cHOEX)*I689 + (cNES+cNES)*S689 +(cNES+ cOSEX)*N689 + (cNES+cEREX)*O689 + (cNES+cHOEX)*P689))/(1+cDR)^A$5:A$65536)</f>
        <v>69692.266897851732</v>
      </c>
      <c r="X689" s="112">
        <f t="shared" si="197"/>
        <v>778.9702531490733</v>
      </c>
      <c r="Y689" s="32">
        <f>(uNES*L689+ uOCEX*G689+uEREX*'PH + UC'!H689+uHOEX*I689+uNES*S689+ uOCEX*N689+uEREX*O689+uHOEX*P689)/(1+oDR)^A$5:A$65536</f>
        <v>421.32946877267784</v>
      </c>
    </row>
    <row r="690" spans="1:25" x14ac:dyDescent="0.25">
      <c r="A690" s="4">
        <v>684</v>
      </c>
      <c r="C690" s="110">
        <f>IF(male=0,VLOOKUP(((A688:A1522/'Life tables'!$I$2)*2)+age,lifetable,13,1),IF(male=1,VLOOKUP(((A688:A1522/'Life tables'!$I$2)*2)+age,lifetable,10,1),"error"))</f>
        <v>6.6122671421597889E-4</v>
      </c>
      <c r="F690" s="101">
        <f t="shared" si="180"/>
        <v>124.20096235302705</v>
      </c>
      <c r="G690" s="101">
        <f t="shared" si="181"/>
        <v>12.476246606654385</v>
      </c>
      <c r="H690" s="101">
        <f t="shared" si="182"/>
        <v>0.2855035758922424</v>
      </c>
      <c r="I690" s="101">
        <f t="shared" si="183"/>
        <v>0.2855035758922424</v>
      </c>
      <c r="J690" s="101">
        <f t="shared" si="184"/>
        <v>9.0752186971389176E-2</v>
      </c>
      <c r="K690" s="101">
        <f t="shared" si="185"/>
        <v>2.2380374165691264E-2</v>
      </c>
      <c r="L690" s="101">
        <f t="shared" si="192"/>
        <v>111.0405760334511</v>
      </c>
      <c r="M690" s="101">
        <f t="shared" si="186"/>
        <v>654.76929079604622</v>
      </c>
      <c r="N690" s="101">
        <f t="shared" si="187"/>
        <v>63.055701344802934</v>
      </c>
      <c r="O690" s="101">
        <f t="shared" si="188"/>
        <v>1.5051330550511035</v>
      </c>
      <c r="P690" s="101">
        <f t="shared" si="189"/>
        <v>1.5051330550511035</v>
      </c>
      <c r="Q690" s="101">
        <f t="shared" si="190"/>
        <v>0.47663552930430314</v>
      </c>
      <c r="R690" s="101">
        <f t="shared" si="191"/>
        <v>1.7536090472442454E-2</v>
      </c>
      <c r="S690" s="101">
        <f t="shared" si="193"/>
        <v>588.20915172136438</v>
      </c>
      <c r="T690" s="101">
        <f t="shared" si="194"/>
        <v>186.81931042805184</v>
      </c>
      <c r="U690" s="101">
        <f t="shared" si="195"/>
        <v>34.817740603788316</v>
      </c>
      <c r="V690" s="33">
        <f t="shared" si="196"/>
        <v>999.99999999999966</v>
      </c>
      <c r="W690" s="105">
        <f>IF(A690=1,((cPH1_+cPHr+(cNES*L690+(cNES+cOSEX)*G690+(cNES+cEREX)*H690+(cNES+cHOEX)*I690 + (cNES+cNES)*S690 +(cNES+ cOSEX)*N690 + (cNES+cEREX)*O690 + (cNES+cHOEX)*P690)))/(1+cDR)^A$5:A$65536,(cPHr+(cNES*L690+(cNES+cOSEX)*G690+(cNES+cEREX)*H690+(cNES+cHOEX)*I690 + (cNES+cNES)*S690 +(cNES+ cOSEX)*N690 + (cNES+cEREX)*O690 + (cNES+cHOEX)*P690))/(1+cDR)^A$5:A$65536)</f>
        <v>69557.903689101891</v>
      </c>
      <c r="X690" s="112">
        <f t="shared" si="197"/>
        <v>778.36294896815946</v>
      </c>
      <c r="Y690" s="32">
        <f>(uNES*L690+ uOCEX*G690+uEREX*'PH + UC'!H690+uHOEX*I690+uNES*S690+ uOCEX*N690+uEREX*O690+uHOEX*P690)/(1+oDR)^A$5:A$65536</f>
        <v>420.87991512051263</v>
      </c>
    </row>
    <row r="691" spans="1:25" x14ac:dyDescent="0.25">
      <c r="A691" s="4">
        <v>685</v>
      </c>
      <c r="C691" s="110">
        <f>IF(male=0,VLOOKUP(((A689:A1523/'Life tables'!$I$2)*2)+age,lifetable,13,1),IF(male=1,VLOOKUP(((A689:A1523/'Life tables'!$I$2)*2)+age,lifetable,10,1),"error"))</f>
        <v>6.6122671421597889E-4</v>
      </c>
      <c r="F691" s="101">
        <f t="shared" si="180"/>
        <v>124.10411044319045</v>
      </c>
      <c r="G691" s="101">
        <f t="shared" si="181"/>
        <v>12.466517629611419</v>
      </c>
      <c r="H691" s="101">
        <f t="shared" si="182"/>
        <v>0.28528094020515532</v>
      </c>
      <c r="I691" s="101">
        <f t="shared" si="183"/>
        <v>0.28528094020515532</v>
      </c>
      <c r="J691" s="101">
        <f t="shared" si="184"/>
        <v>9.0681418416431903E-2</v>
      </c>
      <c r="K691" s="101">
        <f t="shared" si="185"/>
        <v>2.2362921950026107E-2</v>
      </c>
      <c r="L691" s="101">
        <f t="shared" si="192"/>
        <v>110.95398659280227</v>
      </c>
      <c r="M691" s="101">
        <f t="shared" si="186"/>
        <v>654.25883852496918</v>
      </c>
      <c r="N691" s="101">
        <f t="shared" si="187"/>
        <v>63.00654368513829</v>
      </c>
      <c r="O691" s="101">
        <f t="shared" si="188"/>
        <v>1.5039596668103541</v>
      </c>
      <c r="P691" s="101">
        <f t="shared" si="189"/>
        <v>1.5039596668103541</v>
      </c>
      <c r="Q691" s="101">
        <f t="shared" si="190"/>
        <v>0.47626394851725434</v>
      </c>
      <c r="R691" s="101">
        <f t="shared" si="191"/>
        <v>1.7522419493468184E-2</v>
      </c>
      <c r="S691" s="101">
        <f t="shared" si="193"/>
        <v>587.75058913819942</v>
      </c>
      <c r="T691" s="101">
        <f t="shared" si="194"/>
        <v>187.38625579498552</v>
      </c>
      <c r="U691" s="101">
        <f t="shared" si="195"/>
        <v>34.85762594523181</v>
      </c>
      <c r="V691" s="33">
        <f t="shared" si="196"/>
        <v>999.99999999999977</v>
      </c>
      <c r="W691" s="105">
        <f>IF(A691=1,((cPH1_+cPHr+(cNES*L691+(cNES+cOSEX)*G691+(cNES+cEREX)*H691+(cNES+cHOEX)*I691 + (cNES+cNES)*S691 +(cNES+ cOSEX)*N691 + (cNES+cEREX)*O691 + (cNES+cHOEX)*P691)))/(1+cDR)^A$5:A$65536,(cPHr+(cNES*L691+(cNES+cOSEX)*G691+(cNES+cEREX)*H691+(cNES+cHOEX)*I691 + (cNES+cNES)*S691 +(cNES+ cOSEX)*N691 + (cNES+cEREX)*O691 + (cNES+cHOEX)*P691))/(1+cDR)^A$5:A$65536)</f>
        <v>69423.799494856139</v>
      </c>
      <c r="X691" s="112">
        <f t="shared" si="197"/>
        <v>777.7561182597824</v>
      </c>
      <c r="Y691" s="32">
        <f>(uNES*L691+ uOCEX*G691+uEREX*'PH + UC'!H691+uHOEX*I691+uNES*S691+ uOCEX*N691+uEREX*O691+uHOEX*P691)/(1+oDR)^A$5:A$65536</f>
        <v>420.43084113837841</v>
      </c>
    </row>
    <row r="692" spans="1:25" x14ac:dyDescent="0.25">
      <c r="A692" s="4">
        <v>686</v>
      </c>
      <c r="C692" s="110">
        <f>IF(male=0,VLOOKUP(((A690:A1524/'Life tables'!$I$2)*2)+age,lifetable,13,1),IF(male=1,VLOOKUP(((A690:A1524/'Life tables'!$I$2)*2)+age,lifetable,10,1),"error"))</f>
        <v>6.6122671421597889E-4</v>
      </c>
      <c r="F692" s="101">
        <f t="shared" si="180"/>
        <v>124.00733503207846</v>
      </c>
      <c r="G692" s="101">
        <f t="shared" si="181"/>
        <v>12.456796337025443</v>
      </c>
      <c r="H692" s="101">
        <f t="shared" si="182"/>
        <v>0.2850584803674257</v>
      </c>
      <c r="I692" s="101">
        <f t="shared" si="183"/>
        <v>0.2850584803674257</v>
      </c>
      <c r="J692" s="101">
        <f t="shared" si="184"/>
        <v>9.061070575819577E-2</v>
      </c>
      <c r="K692" s="101">
        <f t="shared" si="185"/>
        <v>2.2345483519037396E-2</v>
      </c>
      <c r="L692" s="101">
        <f t="shared" si="192"/>
        <v>110.86746554504093</v>
      </c>
      <c r="M692" s="101">
        <f t="shared" si="186"/>
        <v>653.74878322770394</v>
      </c>
      <c r="N692" s="101">
        <f t="shared" si="187"/>
        <v>62.957424254911821</v>
      </c>
      <c r="O692" s="101">
        <f t="shared" si="188"/>
        <v>1.5027871911023309</v>
      </c>
      <c r="P692" s="101">
        <f t="shared" si="189"/>
        <v>1.5027871911023309</v>
      </c>
      <c r="Q692" s="101">
        <f t="shared" si="190"/>
        <v>0.47589265670500258</v>
      </c>
      <c r="R692" s="101">
        <f t="shared" si="191"/>
        <v>1.7508759146282509E-2</v>
      </c>
      <c r="S692" s="101">
        <f t="shared" si="193"/>
        <v>587.29238317473619</v>
      </c>
      <c r="T692" s="101">
        <f t="shared" si="194"/>
        <v>187.95275915744872</v>
      </c>
      <c r="U692" s="101">
        <f t="shared" si="195"/>
        <v>34.897480187897131</v>
      </c>
      <c r="V692" s="33">
        <f t="shared" si="196"/>
        <v>999.99999999999977</v>
      </c>
      <c r="W692" s="105">
        <f>IF(A692=1,((cPH1_+cPHr+(cNES*L692+(cNES+cOSEX)*G692+(cNES+cEREX)*H692+(cNES+cHOEX)*I692 + (cNES+cNES)*S692 +(cNES+ cOSEX)*N692 + (cNES+cEREX)*O692 + (cNES+cHOEX)*P692)))/(1+cDR)^A$5:A$65536,(cPHr+(cNES*L692+(cNES+cOSEX)*G692+(cNES+cEREX)*H692+(cNES+cHOEX)*I692 + (cNES+cNES)*S692 +(cNES+ cOSEX)*N692 + (cNES+cEREX)*O692 + (cNES+cHOEX)*P692))/(1+cDR)^A$5:A$65536)</f>
        <v>69289.953817563932</v>
      </c>
      <c r="X692" s="112">
        <f t="shared" si="197"/>
        <v>777.14976065465385</v>
      </c>
      <c r="Y692" s="32">
        <f>(uNES*L692+ uOCEX*G692+uEREX*'PH + UC'!H692+uHOEX*I692+uNES*S692+ uOCEX*N692+uEREX*O692+uHOEX*P692)/(1+oDR)^A$5:A$65536</f>
        <v>419.98224631440314</v>
      </c>
    </row>
    <row r="693" spans="1:25" x14ac:dyDescent="0.25">
      <c r="A693" s="4">
        <v>687</v>
      </c>
      <c r="C693" s="110">
        <f>IF(male=0,VLOOKUP(((A691:A1525/'Life tables'!$I$2)*2)+age,lifetable,13,1),IF(male=1,VLOOKUP(((A691:A1525/'Life tables'!$I$2)*2)+age,lifetable,10,1),"error"))</f>
        <v>6.6122671421597889E-4</v>
      </c>
      <c r="F693" s="101">
        <f t="shared" si="180"/>
        <v>123.91063601509062</v>
      </c>
      <c r="G693" s="101">
        <f t="shared" si="181"/>
        <v>12.447082718389121</v>
      </c>
      <c r="H693" s="101">
        <f t="shared" si="182"/>
        <v>0.28483619613860611</v>
      </c>
      <c r="I693" s="101">
        <f t="shared" si="183"/>
        <v>0.28483619613860611</v>
      </c>
      <c r="J693" s="101">
        <f t="shared" si="184"/>
        <v>9.0540048920250457E-2</v>
      </c>
      <c r="K693" s="101">
        <f t="shared" si="185"/>
        <v>2.2328058853876662E-2</v>
      </c>
      <c r="L693" s="101">
        <f t="shared" si="192"/>
        <v>110.78101279665016</v>
      </c>
      <c r="M693" s="101">
        <f t="shared" si="186"/>
        <v>653.23912463956344</v>
      </c>
      <c r="N693" s="101">
        <f t="shared" si="187"/>
        <v>62.908343028633588</v>
      </c>
      <c r="O693" s="101">
        <f t="shared" si="188"/>
        <v>1.5016156273185923</v>
      </c>
      <c r="P693" s="101">
        <f t="shared" si="189"/>
        <v>1.5016156273185923</v>
      </c>
      <c r="Q693" s="101">
        <f t="shared" si="190"/>
        <v>0.47552165367487037</v>
      </c>
      <c r="R693" s="101">
        <f t="shared" si="191"/>
        <v>1.7495109423796559E-2</v>
      </c>
      <c r="S693" s="101">
        <f t="shared" si="193"/>
        <v>586.83453359319401</v>
      </c>
      <c r="T693" s="101">
        <f t="shared" si="194"/>
        <v>188.51882086004383</v>
      </c>
      <c r="U693" s="101">
        <f t="shared" si="195"/>
        <v>34.937303356174802</v>
      </c>
      <c r="V693" s="33">
        <f t="shared" si="196"/>
        <v>999.99999999999989</v>
      </c>
      <c r="W693" s="105">
        <f>IF(A693=1,((cPH1_+cPHr+(cNES*L693+(cNES+cOSEX)*G693+(cNES+cEREX)*H693+(cNES+cHOEX)*I693 + (cNES+cNES)*S693 +(cNES+ cOSEX)*N693 + (cNES+cEREX)*O693 + (cNES+cHOEX)*P693)))/(1+cDR)^A$5:A$65536,(cPHr+(cNES*L693+(cNES+cOSEX)*G693+(cNES+cEREX)*H693+(cNES+cHOEX)*I693 + (cNES+cNES)*S693 +(cNES+ cOSEX)*N693 + (cNES+cEREX)*O693 + (cNES+cHOEX)*P693))/(1+cDR)^A$5:A$65536)</f>
        <v>69156.36616054835</v>
      </c>
      <c r="X693" s="112">
        <f t="shared" si="197"/>
        <v>776.54387578378123</v>
      </c>
      <c r="Y693" s="32">
        <f>(uNES*L693+ uOCEX*G693+uEREX*'PH + UC'!H693+uHOEX*I693+uNES*S693+ uOCEX*N693+uEREX*O693+uHOEX*P693)/(1+oDR)^A$5:A$65536</f>
        <v>419.53413013726345</v>
      </c>
    </row>
    <row r="694" spans="1:25" x14ac:dyDescent="0.25">
      <c r="A694" s="4">
        <v>688</v>
      </c>
      <c r="C694" s="110">
        <f>IF(male=0,VLOOKUP(((A692:A1526/'Life tables'!$I$2)*2)+age,lifetable,13,1),IF(male=1,VLOOKUP(((A692:A1526/'Life tables'!$I$2)*2)+age,lifetable,10,1),"error"))</f>
        <v>6.6122671421597889E-4</v>
      </c>
      <c r="F694" s="101">
        <f t="shared" si="180"/>
        <v>123.81401328974862</v>
      </c>
      <c r="G694" s="101">
        <f t="shared" si="181"/>
        <v>12.437376763408295</v>
      </c>
      <c r="H694" s="101">
        <f t="shared" si="182"/>
        <v>0.28461408728312731</v>
      </c>
      <c r="I694" s="101">
        <f t="shared" si="183"/>
        <v>0.28461408728312731</v>
      </c>
      <c r="J694" s="101">
        <f t="shared" si="184"/>
        <v>9.0469447827716279E-2</v>
      </c>
      <c r="K694" s="101">
        <f t="shared" si="185"/>
        <v>2.231064793607784E-2</v>
      </c>
      <c r="L694" s="101">
        <f t="shared" si="192"/>
        <v>110.69462825601028</v>
      </c>
      <c r="M694" s="101">
        <f t="shared" si="186"/>
        <v>652.72986249403277</v>
      </c>
      <c r="N694" s="101">
        <f t="shared" si="187"/>
        <v>62.859299980637623</v>
      </c>
      <c r="O694" s="101">
        <f t="shared" si="188"/>
        <v>1.5004449748464939</v>
      </c>
      <c r="P694" s="101">
        <f t="shared" si="189"/>
        <v>1.5004449748464939</v>
      </c>
      <c r="Q694" s="101">
        <f t="shared" si="190"/>
        <v>0.47515093923284984</v>
      </c>
      <c r="R694" s="101">
        <f t="shared" si="191"/>
        <v>1.7481470318872504E-2</v>
      </c>
      <c r="S694" s="101">
        <f t="shared" si="193"/>
        <v>586.37704015415045</v>
      </c>
      <c r="T694" s="101">
        <f t="shared" si="194"/>
        <v>189.08444124710439</v>
      </c>
      <c r="U694" s="101">
        <f t="shared" si="195"/>
        <v>34.977095474429753</v>
      </c>
      <c r="V694" s="33">
        <f t="shared" si="196"/>
        <v>1000.0000000000001</v>
      </c>
      <c r="W694" s="105">
        <f>IF(A694=1,((cPH1_+cPHr+(cNES*L694+(cNES+cOSEX)*G694+(cNES+cEREX)*H694+(cNES+cHOEX)*I694 + (cNES+cNES)*S694 +(cNES+ cOSEX)*N694 + (cNES+cEREX)*O694 + (cNES+cHOEX)*P694)))/(1+cDR)^A$5:A$65536,(cPHr+(cNES*L694+(cNES+cOSEX)*G694+(cNES+cEREX)*H694+(cNES+cHOEX)*I694 + (cNES+cNES)*S694 +(cNES+ cOSEX)*N694 + (cNES+cEREX)*O694 + (cNES+cHOEX)*P694))/(1+cDR)^A$5:A$65536)</f>
        <v>69023.036028008588</v>
      </c>
      <c r="X694" s="112">
        <f t="shared" si="197"/>
        <v>775.93846327846586</v>
      </c>
      <c r="Y694" s="32">
        <f>(uNES*L694+ uOCEX*G694+uEREX*'PH + UC'!H694+uHOEX*I694+uNES*S694+ uOCEX*N694+uEREX*O694+uHOEX*P694)/(1+oDR)^A$5:A$65536</f>
        <v>419.08649209618437</v>
      </c>
    </row>
    <row r="695" spans="1:25" x14ac:dyDescent="0.25">
      <c r="A695" s="4">
        <v>689</v>
      </c>
      <c r="C695" s="110">
        <f>IF(male=0,VLOOKUP(((A693:A1527/'Life tables'!$I$2)*2)+age,lifetable,13,1),IF(male=1,VLOOKUP(((A693:A1527/'Life tables'!$I$2)*2)+age,lifetable,10,1),"error"))</f>
        <v>6.6122671421597889E-4</v>
      </c>
      <c r="F695" s="101">
        <f t="shared" si="180"/>
        <v>123.71746675560195</v>
      </c>
      <c r="G695" s="101">
        <f t="shared" si="181"/>
        <v>12.427678461992498</v>
      </c>
      <c r="H695" s="101">
        <f t="shared" si="182"/>
        <v>0.28439215357008146</v>
      </c>
      <c r="I695" s="101">
        <f t="shared" si="183"/>
        <v>0.28439215357008146</v>
      </c>
      <c r="J695" s="101">
        <f t="shared" si="184"/>
        <v>9.039890240719517E-2</v>
      </c>
      <c r="K695" s="101">
        <f t="shared" si="185"/>
        <v>2.2293250747540273E-2</v>
      </c>
      <c r="L695" s="101">
        <f t="shared" si="192"/>
        <v>110.60831183331456</v>
      </c>
      <c r="M695" s="101">
        <f t="shared" si="186"/>
        <v>652.22099652286386</v>
      </c>
      <c r="N695" s="101">
        <f t="shared" si="187"/>
        <v>62.810295085091056</v>
      </c>
      <c r="O695" s="101">
        <f t="shared" si="188"/>
        <v>1.4992752330694081</v>
      </c>
      <c r="P695" s="101">
        <f t="shared" si="189"/>
        <v>1.4992752330694081</v>
      </c>
      <c r="Q695" s="101">
        <f t="shared" si="190"/>
        <v>0.4747805131836712</v>
      </c>
      <c r="R695" s="101">
        <f t="shared" si="191"/>
        <v>1.7467841824326102E-2</v>
      </c>
      <c r="S695" s="101">
        <f t="shared" si="193"/>
        <v>585.91990261662602</v>
      </c>
      <c r="T695" s="101">
        <f t="shared" si="194"/>
        <v>189.64962066269527</v>
      </c>
      <c r="U695" s="101">
        <f t="shared" si="195"/>
        <v>35.016856567001618</v>
      </c>
      <c r="V695" s="33">
        <f t="shared" si="196"/>
        <v>999.99999999999989</v>
      </c>
      <c r="W695" s="105">
        <f>IF(A695=1,((cPH1_+cPHr+(cNES*L695+(cNES+cOSEX)*G695+(cNES+cEREX)*H695+(cNES+cHOEX)*I695 + (cNES+cNES)*S695 +(cNES+ cOSEX)*N695 + (cNES+cEREX)*O695 + (cNES+cHOEX)*P695)))/(1+cDR)^A$5:A$65536,(cPHr+(cNES*L695+(cNES+cOSEX)*G695+(cNES+cEREX)*H695+(cNES+cHOEX)*I695 + (cNES+cNES)*S695 +(cNES+ cOSEX)*N695 + (cNES+cEREX)*O695 + (cNES+cHOEX)*P695))/(1+cDR)^A$5:A$65536)</f>
        <v>68889.962925021886</v>
      </c>
      <c r="X695" s="112">
        <f t="shared" si="197"/>
        <v>775.33352277030303</v>
      </c>
      <c r="Y695" s="32">
        <f>(uNES*L695+ uOCEX*G695+uEREX*'PH + UC'!H695+uHOEX*I695+uNES*S695+ uOCEX*N695+uEREX*O695+uHOEX*P695)/(1+oDR)^A$5:A$65536</f>
        <v>418.63933168093962</v>
      </c>
    </row>
    <row r="696" spans="1:25" x14ac:dyDescent="0.25">
      <c r="A696" s="4">
        <v>690</v>
      </c>
      <c r="C696" s="110">
        <f>IF(male=0,VLOOKUP(((A694:A1528/'Life tables'!$I$2)*2)+age,lifetable,13,1),IF(male=1,VLOOKUP(((A694:A1528/'Life tables'!$I$2)*2)+age,lifetable,10,1),"error"))</f>
        <v>6.6122671421597889E-4</v>
      </c>
      <c r="F696" s="101">
        <f t="shared" si="180"/>
        <v>123.62099631413793</v>
      </c>
      <c r="G696" s="101">
        <f t="shared" si="181"/>
        <v>12.417987804245927</v>
      </c>
      <c r="H696" s="101">
        <f t="shared" si="182"/>
        <v>0.28417039477301514</v>
      </c>
      <c r="I696" s="101">
        <f t="shared" si="183"/>
        <v>0.28417039477301514</v>
      </c>
      <c r="J696" s="101">
        <f t="shared" si="184"/>
        <v>9.0328412586705126E-2</v>
      </c>
      <c r="K696" s="101">
        <f t="shared" si="185"/>
        <v>2.2275867270512475E-2</v>
      </c>
      <c r="L696" s="101">
        <f t="shared" si="192"/>
        <v>110.52206344048875</v>
      </c>
      <c r="M696" s="101">
        <f t="shared" si="186"/>
        <v>651.71252645616516</v>
      </c>
      <c r="N696" s="101">
        <f t="shared" si="187"/>
        <v>62.761328316002746</v>
      </c>
      <c r="O696" s="101">
        <f t="shared" si="188"/>
        <v>1.498106401366929</v>
      </c>
      <c r="P696" s="101">
        <f t="shared" si="189"/>
        <v>1.498106401366929</v>
      </c>
      <c r="Q696" s="101">
        <f t="shared" si="190"/>
        <v>0.47441037533086872</v>
      </c>
      <c r="R696" s="101">
        <f t="shared" si="191"/>
        <v>1.7454223932929093E-2</v>
      </c>
      <c r="S696" s="101">
        <f t="shared" si="193"/>
        <v>585.46312073816478</v>
      </c>
      <c r="T696" s="101">
        <f t="shared" si="194"/>
        <v>190.21435945061285</v>
      </c>
      <c r="U696" s="101">
        <f t="shared" si="195"/>
        <v>35.056586658205056</v>
      </c>
      <c r="V696" s="33">
        <f t="shared" si="196"/>
        <v>1000</v>
      </c>
      <c r="W696" s="105">
        <f>IF(A696=1,((cPH1_+cPHr+(cNES*L696+(cNES+cOSEX)*G696+(cNES+cEREX)*H696+(cNES+cHOEX)*I696 + (cNES+cNES)*S696 +(cNES+ cOSEX)*N696 + (cNES+cEREX)*O696 + (cNES+cHOEX)*P696)))/(1+cDR)^A$5:A$65536,(cPHr+(cNES*L696+(cNES+cOSEX)*G696+(cNES+cEREX)*H696+(cNES+cHOEX)*I696 + (cNES+cNES)*S696 +(cNES+ cOSEX)*N696 + (cNES+cEREX)*O696 + (cNES+cHOEX)*P696))/(1+cDR)^A$5:A$65536)</f>
        <v>68757.146357545687</v>
      </c>
      <c r="X696" s="112">
        <f t="shared" si="197"/>
        <v>774.72905389118205</v>
      </c>
      <c r="Y696" s="32">
        <f>(uNES*L696+ uOCEX*G696+uEREX*'PH + UC'!H696+uHOEX*I696+uNES*S696+ uOCEX*N696+uEREX*O696+uHOEX*P696)/(1+oDR)^A$5:A$65536</f>
        <v>418.19264838184978</v>
      </c>
    </row>
    <row r="697" spans="1:25" x14ac:dyDescent="0.25">
      <c r="A697" s="4">
        <v>691</v>
      </c>
      <c r="C697" s="110">
        <f>IF(male=0,VLOOKUP(((A695:A1529/'Life tables'!$I$2)*2)+age,lifetable,13,1),IF(male=1,VLOOKUP(((A695:A1529/'Life tables'!$I$2)*2)+age,lifetable,10,1),"error"))</f>
        <v>6.6122671421597889E-4</v>
      </c>
      <c r="F697" s="101">
        <f t="shared" si="180"/>
        <v>123.5246018686958</v>
      </c>
      <c r="G697" s="101">
        <f t="shared" si="181"/>
        <v>12.408304780458806</v>
      </c>
      <c r="H697" s="101">
        <f t="shared" si="182"/>
        <v>0.28394881066973221</v>
      </c>
      <c r="I697" s="101">
        <f t="shared" si="183"/>
        <v>0.28394881066973221</v>
      </c>
      <c r="J697" s="101">
        <f t="shared" si="184"/>
        <v>9.0257978295617242E-2</v>
      </c>
      <c r="K697" s="101">
        <f t="shared" si="185"/>
        <v>2.2258497487576679E-2</v>
      </c>
      <c r="L697" s="101">
        <f t="shared" si="192"/>
        <v>110.43588299111433</v>
      </c>
      <c r="M697" s="101">
        <f t="shared" si="186"/>
        <v>651.20445202248629</v>
      </c>
      <c r="N697" s="101">
        <f t="shared" si="187"/>
        <v>62.712399647231436</v>
      </c>
      <c r="O697" s="101">
        <f t="shared" si="188"/>
        <v>1.4969384791150671</v>
      </c>
      <c r="P697" s="101">
        <f t="shared" si="189"/>
        <v>1.4969384791150671</v>
      </c>
      <c r="Q697" s="101">
        <f t="shared" si="190"/>
        <v>0.47404052547684133</v>
      </c>
      <c r="R697" s="101">
        <f t="shared" si="191"/>
        <v>1.7440616637411466E-2</v>
      </c>
      <c r="S697" s="101">
        <f t="shared" si="193"/>
        <v>585.0066942749105</v>
      </c>
      <c r="T697" s="101">
        <f t="shared" si="194"/>
        <v>190.7786579543853</v>
      </c>
      <c r="U697" s="101">
        <f t="shared" si="195"/>
        <v>35.096285772330042</v>
      </c>
      <c r="V697" s="33">
        <f t="shared" si="196"/>
        <v>1000</v>
      </c>
      <c r="W697" s="105">
        <f>IF(A697=1,((cPH1_+cPHr+(cNES*L697+(cNES+cOSEX)*G697+(cNES+cEREX)*H697+(cNES+cHOEX)*I697 + (cNES+cNES)*S697 +(cNES+ cOSEX)*N697 + (cNES+cEREX)*O697 + (cNES+cHOEX)*P697)))/(1+cDR)^A$5:A$65536,(cPHr+(cNES*L697+(cNES+cOSEX)*G697+(cNES+cEREX)*H697+(cNES+cHOEX)*I697 + (cNES+cNES)*S697 +(cNES+ cOSEX)*N697 + (cNES+cEREX)*O697 + (cNES+cHOEX)*P697))/(1+cDR)^A$5:A$65536)</f>
        <v>68624.585832419136</v>
      </c>
      <c r="X697" s="112">
        <f t="shared" si="197"/>
        <v>774.1250562732846</v>
      </c>
      <c r="Y697" s="32">
        <f>(uNES*L697+ uOCEX*G697+uEREX*'PH + UC'!H697+uHOEX*I697+uNES*S697+ uOCEX*N697+uEREX*O697+uHOEX*P697)/(1+oDR)^A$5:A$65536</f>
        <v>417.74644168978182</v>
      </c>
    </row>
    <row r="698" spans="1:25" x14ac:dyDescent="0.25">
      <c r="A698" s="4">
        <v>692</v>
      </c>
      <c r="C698" s="110">
        <f>IF(male=0,VLOOKUP(((A696:A1530/'Life tables'!$I$2)*2)+age,lifetable,13,1),IF(male=1,VLOOKUP(((A696:A1530/'Life tables'!$I$2)*2)+age,lifetable,10,1),"error"))</f>
        <v>6.6122671421597889E-4</v>
      </c>
      <c r="F698" s="101">
        <f t="shared" si="180"/>
        <v>123.42828332438475</v>
      </c>
      <c r="G698" s="101">
        <f t="shared" si="181"/>
        <v>12.398629381099154</v>
      </c>
      <c r="H698" s="101">
        <f t="shared" si="182"/>
        <v>0.28372740104210487</v>
      </c>
      <c r="I698" s="101">
        <f t="shared" si="183"/>
        <v>0.28372740104210487</v>
      </c>
      <c r="J698" s="101">
        <f t="shared" si="184"/>
        <v>9.0187599464595938E-2</v>
      </c>
      <c r="K698" s="101">
        <f t="shared" si="185"/>
        <v>2.2241141381634046E-2</v>
      </c>
      <c r="L698" s="101">
        <f t="shared" si="192"/>
        <v>110.34977040035515</v>
      </c>
      <c r="M698" s="101">
        <f t="shared" si="186"/>
        <v>650.69677294890005</v>
      </c>
      <c r="N698" s="101">
        <f t="shared" si="187"/>
        <v>62.663509052493644</v>
      </c>
      <c r="O698" s="101">
        <f t="shared" si="188"/>
        <v>1.4957714656864389</v>
      </c>
      <c r="P698" s="101">
        <f t="shared" si="189"/>
        <v>1.4957714656864389</v>
      </c>
      <c r="Q698" s="101">
        <f t="shared" si="190"/>
        <v>0.47367096342291343</v>
      </c>
      <c r="R698" s="101">
        <f t="shared" si="191"/>
        <v>1.7427019930463666E-2</v>
      </c>
      <c r="S698" s="101">
        <f t="shared" si="193"/>
        <v>584.55062298168014</v>
      </c>
      <c r="T698" s="101">
        <f t="shared" si="194"/>
        <v>191.3425165172728</v>
      </c>
      <c r="U698" s="101">
        <f t="shared" si="195"/>
        <v>35.135953933642142</v>
      </c>
      <c r="V698" s="33">
        <f t="shared" si="196"/>
        <v>1000</v>
      </c>
      <c r="W698" s="105">
        <f>IF(A698=1,((cPH1_+cPHr+(cNES*L698+(cNES+cOSEX)*G698+(cNES+cEREX)*H698+(cNES+cHOEX)*I698 + (cNES+cNES)*S698 +(cNES+ cOSEX)*N698 + (cNES+cEREX)*O698 + (cNES+cHOEX)*P698)))/(1+cDR)^A$5:A$65536,(cPHr+(cNES*L698+(cNES+cOSEX)*G698+(cNES+cEREX)*H698+(cNES+cHOEX)*I698 + (cNES+cNES)*S698 +(cNES+ cOSEX)*N698 + (cNES+cEREX)*O698 + (cNES+cHOEX)*P698))/(1+cDR)^A$5:A$65536)</f>
        <v>68492.280857364807</v>
      </c>
      <c r="X698" s="112">
        <f t="shared" si="197"/>
        <v>773.52152954908513</v>
      </c>
      <c r="Y698" s="32">
        <f>(uNES*L698+ uOCEX*G698+uEREX*'PH + UC'!H698+uHOEX*I698+uNES*S698+ uOCEX*N698+uEREX*O698+uHOEX*P698)/(1+oDR)^A$5:A$65536</f>
        <v>417.30071109614823</v>
      </c>
    </row>
    <row r="699" spans="1:25" x14ac:dyDescent="0.25">
      <c r="A699" s="4">
        <v>693</v>
      </c>
      <c r="C699" s="110">
        <f>IF(male=0,VLOOKUP(((A697:A1531/'Life tables'!$I$2)*2)+age,lifetable,13,1),IF(male=1,VLOOKUP(((A697:A1531/'Life tables'!$I$2)*2)+age,lifetable,10,1),"error"))</f>
        <v>6.6122671421597889E-4</v>
      </c>
      <c r="F699" s="101">
        <f t="shared" si="180"/>
        <v>123.33204058800563</v>
      </c>
      <c r="G699" s="101">
        <f t="shared" si="181"/>
        <v>12.388961596804922</v>
      </c>
      <c r="H699" s="101">
        <f t="shared" si="182"/>
        <v>0.28350616567589415</v>
      </c>
      <c r="I699" s="101">
        <f t="shared" si="183"/>
        <v>0.28350616567589415</v>
      </c>
      <c r="J699" s="101">
        <f t="shared" si="184"/>
        <v>9.0117276025541648E-2</v>
      </c>
      <c r="K699" s="101">
        <f t="shared" si="185"/>
        <v>2.2223798935890573E-2</v>
      </c>
      <c r="L699" s="101">
        <f t="shared" si="192"/>
        <v>110.26372558488748</v>
      </c>
      <c r="M699" s="101">
        <f t="shared" si="186"/>
        <v>650.18948896107952</v>
      </c>
      <c r="N699" s="101">
        <f t="shared" si="187"/>
        <v>62.614656505371094</v>
      </c>
      <c r="O699" s="101">
        <f t="shared" si="188"/>
        <v>1.4946053604504426</v>
      </c>
      <c r="P699" s="101">
        <f t="shared" si="189"/>
        <v>1.4946053604504426</v>
      </c>
      <c r="Q699" s="101">
        <f t="shared" si="190"/>
        <v>0.47330168896939029</v>
      </c>
      <c r="R699" s="101">
        <f t="shared" si="191"/>
        <v>1.7413433804738636E-2</v>
      </c>
      <c r="S699" s="101">
        <f t="shared" si="193"/>
        <v>584.09490661203347</v>
      </c>
      <c r="T699" s="101">
        <f t="shared" si="194"/>
        <v>191.90593548226772</v>
      </c>
      <c r="U699" s="101">
        <f t="shared" si="195"/>
        <v>35.175591166382773</v>
      </c>
      <c r="V699" s="33">
        <f t="shared" si="196"/>
        <v>1000.0000000000001</v>
      </c>
      <c r="W699" s="105">
        <f>IF(A699=1,((cPH1_+cPHr+(cNES*L699+(cNES+cOSEX)*G699+(cNES+cEREX)*H699+(cNES+cHOEX)*I699 + (cNES+cNES)*S699 +(cNES+ cOSEX)*N699 + (cNES+cEREX)*O699 + (cNES+cHOEX)*P699)))/(1+cDR)^A$5:A$65536,(cPHr+(cNES*L699+(cNES+cOSEX)*G699+(cNES+cEREX)*H699+(cNES+cHOEX)*I699 + (cNES+cNES)*S699 +(cNES+ cOSEX)*N699 + (cNES+cEREX)*O699 + (cNES+cHOEX)*P699))/(1+cDR)^A$5:A$65536)</f>
        <v>68360.230940990092</v>
      </c>
      <c r="X699" s="112">
        <f t="shared" si="197"/>
        <v>772.91847335134958</v>
      </c>
      <c r="Y699" s="32">
        <f>(uNES*L699+ uOCEX*G699+uEREX*'PH + UC'!H699+uHOEX*I699+uNES*S699+ uOCEX*N699+uEREX*O699+uHOEX*P699)/(1+oDR)^A$5:A$65536</f>
        <v>416.85545609290705</v>
      </c>
    </row>
    <row r="700" spans="1:25" x14ac:dyDescent="0.25">
      <c r="A700" s="4">
        <v>694</v>
      </c>
      <c r="C700" s="110">
        <f>IF(male=0,VLOOKUP(((A698:A1532/'Life tables'!$I$2)*2)+age,lifetable,13,1),IF(male=1,VLOOKUP(((A698:A1532/'Life tables'!$I$2)*2)+age,lifetable,10,1),"error"))</f>
        <v>6.6122671421597889E-4</v>
      </c>
      <c r="F700" s="101">
        <f t="shared" si="180"/>
        <v>123.23587356797611</v>
      </c>
      <c r="G700" s="101">
        <f t="shared" si="181"/>
        <v>12.379301418376473</v>
      </c>
      <c r="H700" s="101">
        <f t="shared" si="182"/>
        <v>0.28328510436057774</v>
      </c>
      <c r="I700" s="101">
        <f t="shared" si="183"/>
        <v>0.28328510436057774</v>
      </c>
      <c r="J700" s="101">
        <f t="shared" si="184"/>
        <v>9.0047007911536303E-2</v>
      </c>
      <c r="K700" s="101">
        <f t="shared" si="185"/>
        <v>2.2206470133843588E-2</v>
      </c>
      <c r="L700" s="101">
        <f t="shared" si="192"/>
        <v>110.17774846283311</v>
      </c>
      <c r="M700" s="101">
        <f t="shared" si="186"/>
        <v>649.68259978337358</v>
      </c>
      <c r="N700" s="101">
        <f t="shared" si="187"/>
        <v>62.565841979317987</v>
      </c>
      <c r="O700" s="101">
        <f t="shared" si="188"/>
        <v>1.4934401627734328</v>
      </c>
      <c r="P700" s="101">
        <f t="shared" si="189"/>
        <v>1.4934401627734328</v>
      </c>
      <c r="Q700" s="101">
        <f t="shared" si="190"/>
        <v>0.47293270191561332</v>
      </c>
      <c r="R700" s="101">
        <f t="shared" si="191"/>
        <v>1.739985825285387E-2</v>
      </c>
      <c r="S700" s="101">
        <f t="shared" si="193"/>
        <v>583.63954491834022</v>
      </c>
      <c r="T700" s="101">
        <f t="shared" si="194"/>
        <v>192.46891519209487</v>
      </c>
      <c r="U700" s="101">
        <f t="shared" si="195"/>
        <v>35.21519749476947</v>
      </c>
      <c r="V700" s="33">
        <f t="shared" si="196"/>
        <v>1000.0000000000001</v>
      </c>
      <c r="W700" s="105">
        <f>IF(A700=1,((cPH1_+cPHr+(cNES*L700+(cNES+cOSEX)*G700+(cNES+cEREX)*H700+(cNES+cHOEX)*I700 + (cNES+cNES)*S700 +(cNES+ cOSEX)*N700 + (cNES+cEREX)*O700 + (cNES+cHOEX)*P700)))/(1+cDR)^A$5:A$65536,(cPHr+(cNES*L700+(cNES+cOSEX)*G700+(cNES+cEREX)*H700+(cNES+cHOEX)*I700 + (cNES+cNES)*S700 +(cNES+ cOSEX)*N700 + (cNES+cEREX)*O700 + (cNES+cHOEX)*P700))/(1+cDR)^A$5:A$65536)</f>
        <v>68228.435592788534</v>
      </c>
      <c r="X700" s="112">
        <f t="shared" si="197"/>
        <v>772.31588731313582</v>
      </c>
      <c r="Y700" s="32">
        <f>(uNES*L700+ uOCEX*G700+uEREX*'PH + UC'!H700+uHOEX*I700+uNES*S700+ uOCEX*N700+uEREX*O700+uHOEX*P700)/(1+oDR)^A$5:A$65536</f>
        <v>416.41067617256061</v>
      </c>
    </row>
    <row r="701" spans="1:25" x14ac:dyDescent="0.25">
      <c r="A701" s="4">
        <v>695</v>
      </c>
      <c r="C701" s="110">
        <f>IF(male=0,VLOOKUP(((A699:A1533/'Life tables'!$I$2)*2)+age,lifetable,13,1),IF(male=1,VLOOKUP(((A699:A1533/'Life tables'!$I$2)*2)+age,lifetable,10,1),"error"))</f>
        <v>6.6122671421597889E-4</v>
      </c>
      <c r="F701" s="101">
        <f t="shared" si="180"/>
        <v>123.13978217425951</v>
      </c>
      <c r="G701" s="101">
        <f t="shared" si="181"/>
        <v>12.369648836769434</v>
      </c>
      <c r="H701" s="101">
        <f t="shared" si="182"/>
        <v>0.28306421688918615</v>
      </c>
      <c r="I701" s="101">
        <f t="shared" si="183"/>
        <v>0.28306421688918615</v>
      </c>
      <c r="J701" s="101">
        <f t="shared" si="184"/>
        <v>8.9976795056791042E-2</v>
      </c>
      <c r="K701" s="101">
        <f t="shared" si="185"/>
        <v>2.2189154959268955E-2</v>
      </c>
      <c r="L701" s="101">
        <f t="shared" si="192"/>
        <v>110.09183895369564</v>
      </c>
      <c r="M701" s="101">
        <f t="shared" si="186"/>
        <v>649.17610513887632</v>
      </c>
      <c r="N701" s="101">
        <f t="shared" si="187"/>
        <v>62.517065447667683</v>
      </c>
      <c r="O701" s="101">
        <f t="shared" si="188"/>
        <v>1.4922758720188798</v>
      </c>
      <c r="P701" s="101">
        <f t="shared" si="189"/>
        <v>1.4922758720188798</v>
      </c>
      <c r="Q701" s="101">
        <f t="shared" si="190"/>
        <v>0.47256400206001037</v>
      </c>
      <c r="R701" s="101">
        <f t="shared" si="191"/>
        <v>1.738629326739325E-2</v>
      </c>
      <c r="S701" s="101">
        <f t="shared" si="193"/>
        <v>583.18453765184347</v>
      </c>
      <c r="T701" s="101">
        <f t="shared" si="194"/>
        <v>193.03145598921168</v>
      </c>
      <c r="U701" s="101">
        <f t="shared" si="195"/>
        <v>35.254772942996134</v>
      </c>
      <c r="V701" s="33">
        <f t="shared" si="196"/>
        <v>1000.0000000000002</v>
      </c>
      <c r="W701" s="105">
        <f>IF(A701=1,((cPH1_+cPHr+(cNES*L701+(cNES+cOSEX)*G701+(cNES+cEREX)*H701+(cNES+cHOEX)*I701 + (cNES+cNES)*S701 +(cNES+ cOSEX)*N701 + (cNES+cEREX)*O701 + (cNES+cHOEX)*P701)))/(1+cDR)^A$5:A$65536,(cPHr+(cNES*L701+(cNES+cOSEX)*G701+(cNES+cEREX)*H701+(cNES+cHOEX)*I701 + (cNES+cNES)*S701 +(cNES+ cOSEX)*N701 + (cNES+cEREX)*O701 + (cNES+cHOEX)*P701))/(1+cDR)^A$5:A$65536)</f>
        <v>68096.894323140878</v>
      </c>
      <c r="X701" s="112">
        <f t="shared" si="197"/>
        <v>771.71377106779232</v>
      </c>
      <c r="Y701" s="32">
        <f>(uNES*L701+ uOCEX*G701+uEREX*'PH + UC'!H701+uHOEX*I701+uNES*S701+ uOCEX*N701+uEREX*O701+uHOEX*P701)/(1+oDR)^A$5:A$65536</f>
        <v>415.96637082815505</v>
      </c>
    </row>
    <row r="702" spans="1:25" x14ac:dyDescent="0.25">
      <c r="A702" s="4">
        <v>696</v>
      </c>
      <c r="C702" s="110">
        <f>IF(male=0,VLOOKUP(((A700:A1534/'Life tables'!$I$2)*2)+age,lifetable,13,1),IF(male=1,VLOOKUP(((A700:A1534/'Life tables'!$I$2)*2)+age,lifetable,10,1),"error"))</f>
        <v>6.6122671421597889E-4</v>
      </c>
      <c r="F702" s="101">
        <f t="shared" si="180"/>
        <v>123.04376631829651</v>
      </c>
      <c r="G702" s="101">
        <f t="shared" si="181"/>
        <v>12.360003843087835</v>
      </c>
      <c r="H702" s="101">
        <f t="shared" si="182"/>
        <v>0.28284350305814615</v>
      </c>
      <c r="I702" s="101">
        <f t="shared" si="183"/>
        <v>0.28284350305814615</v>
      </c>
      <c r="J702" s="101">
        <f t="shared" si="184"/>
        <v>8.9906637396596725E-2</v>
      </c>
      <c r="K702" s="101">
        <f t="shared" si="185"/>
        <v>2.2171853396208734E-2</v>
      </c>
      <c r="L702" s="101">
        <f t="shared" si="192"/>
        <v>110.00599697829958</v>
      </c>
      <c r="M702" s="101">
        <f t="shared" si="186"/>
        <v>648.670004749496</v>
      </c>
      <c r="N702" s="101">
        <f t="shared" si="187"/>
        <v>62.468326883639342</v>
      </c>
      <c r="O702" s="101">
        <f t="shared" si="188"/>
        <v>1.4911124875475272</v>
      </c>
      <c r="P702" s="101">
        <f t="shared" si="189"/>
        <v>1.4911124875475272</v>
      </c>
      <c r="Q702" s="101">
        <f t="shared" si="190"/>
        <v>0.47219558920014615</v>
      </c>
      <c r="R702" s="101">
        <f t="shared" si="191"/>
        <v>1.7372738840908886E-2</v>
      </c>
      <c r="S702" s="101">
        <f t="shared" si="193"/>
        <v>582.7298845627206</v>
      </c>
      <c r="T702" s="101">
        <f t="shared" si="194"/>
        <v>193.59355821580843</v>
      </c>
      <c r="U702" s="101">
        <f t="shared" si="195"/>
        <v>35.294317535233255</v>
      </c>
      <c r="V702" s="33">
        <f t="shared" si="196"/>
        <v>1000.0000000000005</v>
      </c>
      <c r="W702" s="105">
        <f>IF(A702=1,((cPH1_+cPHr+(cNES*L702+(cNES+cOSEX)*G702+(cNES+cEREX)*H702+(cNES+cHOEX)*I702 + (cNES+cNES)*S702 +(cNES+ cOSEX)*N702 + (cNES+cEREX)*O702 + (cNES+cHOEX)*P702)))/(1+cDR)^A$5:A$65536,(cPHr+(cNES*L702+(cNES+cOSEX)*G702+(cNES+cEREX)*H702+(cNES+cHOEX)*I702 + (cNES+cNES)*S702 +(cNES+ cOSEX)*N702 + (cNES+cEREX)*O702 + (cNES+cHOEX)*P702))/(1+cDR)^A$5:A$65536)</f>
        <v>67965.606643316249</v>
      </c>
      <c r="X702" s="112">
        <f t="shared" si="197"/>
        <v>771.11212424895871</v>
      </c>
      <c r="Y702" s="32">
        <f>(uNES*L702+ uOCEX*G702+uEREX*'PH + UC'!H702+uHOEX*I702+uNES*S702+ uOCEX*N702+uEREX*O702+uHOEX*P702)/(1+oDR)^A$5:A$65536</f>
        <v>415.52253955327899</v>
      </c>
    </row>
    <row r="703" spans="1:25" x14ac:dyDescent="0.25">
      <c r="A703" s="4">
        <v>697</v>
      </c>
      <c r="C703" s="110">
        <f>IF(male=0,VLOOKUP(((A701:A1535/'Life tables'!$I$2)*2)+age,lifetable,13,1),IF(male=1,VLOOKUP(((A701:A1535/'Life tables'!$I$2)*2)+age,lifetable,10,1),"error"))</f>
        <v>6.6122671421597889E-4</v>
      </c>
      <c r="F703" s="101">
        <f t="shared" si="180"/>
        <v>122.94782591294023</v>
      </c>
      <c r="G703" s="101">
        <f t="shared" si="181"/>
        <v>12.35036642857759</v>
      </c>
      <c r="H703" s="101">
        <f t="shared" si="182"/>
        <v>0.28262296266713122</v>
      </c>
      <c r="I703" s="101">
        <f t="shared" si="183"/>
        <v>0.28262296266713122</v>
      </c>
      <c r="J703" s="101">
        <f t="shared" si="184"/>
        <v>8.983653486727608E-2</v>
      </c>
      <c r="K703" s="101">
        <f t="shared" si="185"/>
        <v>2.2154565428959508E-2</v>
      </c>
      <c r="L703" s="101">
        <f t="shared" si="192"/>
        <v>109.92022245873214</v>
      </c>
      <c r="M703" s="101">
        <f t="shared" si="186"/>
        <v>648.16429833601842</v>
      </c>
      <c r="N703" s="101">
        <f t="shared" si="187"/>
        <v>62.419626260344032</v>
      </c>
      <c r="O703" s="101">
        <f t="shared" si="188"/>
        <v>1.4899500087175397</v>
      </c>
      <c r="P703" s="101">
        <f t="shared" si="189"/>
        <v>1.4899500087175397</v>
      </c>
      <c r="Q703" s="101">
        <f t="shared" si="190"/>
        <v>0.47182746313276835</v>
      </c>
      <c r="R703" s="101">
        <f t="shared" si="191"/>
        <v>1.7359194965922854E-2</v>
      </c>
      <c r="S703" s="101">
        <f t="shared" si="193"/>
        <v>582.27558540014059</v>
      </c>
      <c r="T703" s="101">
        <f t="shared" si="194"/>
        <v>194.15522221380849</v>
      </c>
      <c r="U703" s="101">
        <f t="shared" si="195"/>
        <v>35.333831295628137</v>
      </c>
      <c r="V703" s="33">
        <f t="shared" si="196"/>
        <v>1000.0000000000003</v>
      </c>
      <c r="W703" s="105">
        <f>IF(A703=1,((cPH1_+cPHr+(cNES*L703+(cNES+cOSEX)*G703+(cNES+cEREX)*H703+(cNES+cHOEX)*I703 + (cNES+cNES)*S703 +(cNES+ cOSEX)*N703 + (cNES+cEREX)*O703 + (cNES+cHOEX)*P703)))/(1+cDR)^A$5:A$65536,(cPHr+(cNES*L703+(cNES+cOSEX)*G703+(cNES+cEREX)*H703+(cNES+cHOEX)*I703 + (cNES+cNES)*S703 +(cNES+ cOSEX)*N703 + (cNES+cEREX)*O703 + (cNES+cHOEX)*P703))/(1+cDR)^A$5:A$65536)</f>
        <v>67834.572065472734</v>
      </c>
      <c r="X703" s="112">
        <f t="shared" si="197"/>
        <v>770.5109464905637</v>
      </c>
      <c r="Y703" s="32">
        <f>(uNES*L703+ uOCEX*G703+uEREX*'PH + UC'!H703+uHOEX*I703+uNES*S703+ uOCEX*N703+uEREX*O703+uHOEX*P703)/(1+oDR)^A$5:A$65536</f>
        <v>415.07918184206386</v>
      </c>
    </row>
    <row r="704" spans="1:25" x14ac:dyDescent="0.25">
      <c r="A704" s="4">
        <v>698</v>
      </c>
      <c r="C704" s="110">
        <f>IF(male=0,VLOOKUP(((A702:A1536/'Life tables'!$I$2)*2)+age,lifetable,13,1),IF(male=1,VLOOKUP(((A702:A1536/'Life tables'!$I$2)*2)+age,lifetable,10,1),"error"))</f>
        <v>6.6122671421597889E-4</v>
      </c>
      <c r="F704" s="101">
        <f t="shared" si="180"/>
        <v>122.85196087239416</v>
      </c>
      <c r="G704" s="101">
        <f t="shared" si="181"/>
        <v>12.340736584620263</v>
      </c>
      <c r="H704" s="101">
        <f t="shared" si="182"/>
        <v>0.28240259551891894</v>
      </c>
      <c r="I704" s="101">
        <f t="shared" si="183"/>
        <v>0.28240259551891894</v>
      </c>
      <c r="J704" s="101">
        <f t="shared" si="184"/>
        <v>8.9766487406138656E-2</v>
      </c>
      <c r="K704" s="101">
        <f t="shared" si="185"/>
        <v>2.2137291042061184E-2</v>
      </c>
      <c r="L704" s="101">
        <f t="shared" si="192"/>
        <v>109.83451531828786</v>
      </c>
      <c r="M704" s="101">
        <f t="shared" si="186"/>
        <v>647.65898561816948</v>
      </c>
      <c r="N704" s="101">
        <f t="shared" si="187"/>
        <v>62.370963550790755</v>
      </c>
      <c r="O704" s="101">
        <f t="shared" si="188"/>
        <v>1.4887884348846443</v>
      </c>
      <c r="P704" s="101">
        <f t="shared" si="189"/>
        <v>1.4887884348846443</v>
      </c>
      <c r="Q704" s="101">
        <f t="shared" si="190"/>
        <v>0.47145962365385313</v>
      </c>
      <c r="R704" s="101">
        <f t="shared" si="191"/>
        <v>1.7345661634928813E-2</v>
      </c>
      <c r="S704" s="101">
        <f t="shared" si="193"/>
        <v>581.82163991232062</v>
      </c>
      <c r="T704" s="101">
        <f t="shared" si="194"/>
        <v>194.71644832486848</v>
      </c>
      <c r="U704" s="101">
        <f t="shared" si="195"/>
        <v>35.373314248305128</v>
      </c>
      <c r="V704" s="33">
        <f t="shared" si="196"/>
        <v>1000.0000000000002</v>
      </c>
      <c r="W704" s="105">
        <f>IF(A704=1,((cPH1_+cPHr+(cNES*L704+(cNES+cOSEX)*G704+(cNES+cEREX)*H704+(cNES+cHOEX)*I704 + (cNES+cNES)*S704 +(cNES+ cOSEX)*N704 + (cNES+cEREX)*O704 + (cNES+cHOEX)*P704)))/(1+cDR)^A$5:A$65536,(cPHr+(cNES*L704+(cNES+cOSEX)*G704+(cNES+cEREX)*H704+(cNES+cHOEX)*I704 + (cNES+cNES)*S704 +(cNES+ cOSEX)*N704 + (cNES+cEREX)*O704 + (cNES+cHOEX)*P704))/(1+cDR)^A$5:A$65536)</f>
        <v>67703.790102658444</v>
      </c>
      <c r="X704" s="112">
        <f t="shared" si="197"/>
        <v>769.9102374268266</v>
      </c>
      <c r="Y704" s="32">
        <f>(uNES*L704+ uOCEX*G704+uEREX*'PH + UC'!H704+uHOEX*I704+uNES*S704+ uOCEX*N704+uEREX*O704+uHOEX*P704)/(1+oDR)^A$5:A$65536</f>
        <v>414.63629718918253</v>
      </c>
    </row>
    <row r="705" spans="1:25" x14ac:dyDescent="0.25">
      <c r="A705" s="4">
        <v>699</v>
      </c>
      <c r="C705" s="110">
        <f>IF(male=0,VLOOKUP(((A703:A1537/'Life tables'!$I$2)*2)+age,lifetable,13,1),IF(male=1,VLOOKUP(((A703:A1537/'Life tables'!$I$2)*2)+age,lifetable,10,1),"error"))</f>
        <v>6.6122671421597889E-4</v>
      </c>
      <c r="F705" s="101">
        <f t="shared" si="180"/>
        <v>122.75617111215284</v>
      </c>
      <c r="G705" s="101">
        <f t="shared" si="181"/>
        <v>12.3311143027271</v>
      </c>
      <c r="H705" s="101">
        <f t="shared" si="182"/>
        <v>0.28218240141925471</v>
      </c>
      <c r="I705" s="101">
        <f t="shared" si="183"/>
        <v>0.28218240141925471</v>
      </c>
      <c r="J705" s="101">
        <f t="shared" si="184"/>
        <v>8.9696494951437264E-2</v>
      </c>
      <c r="K705" s="101">
        <f t="shared" si="185"/>
        <v>2.2120030220286316E-2</v>
      </c>
      <c r="L705" s="101">
        <f t="shared" si="192"/>
        <v>109.74887548141551</v>
      </c>
      <c r="M705" s="101">
        <f t="shared" si="186"/>
        <v>647.15406631467374</v>
      </c>
      <c r="N705" s="101">
        <f t="shared" si="187"/>
        <v>62.322338727892074</v>
      </c>
      <c r="O705" s="101">
        <f t="shared" si="188"/>
        <v>1.4876277654022669</v>
      </c>
      <c r="P705" s="101">
        <f t="shared" si="189"/>
        <v>1.4876277654022669</v>
      </c>
      <c r="Q705" s="101">
        <f t="shared" si="190"/>
        <v>0.47109207055864755</v>
      </c>
      <c r="R705" s="101">
        <f t="shared" si="191"/>
        <v>1.7332138840393627E-2</v>
      </c>
      <c r="S705" s="101">
        <f t="shared" si="193"/>
        <v>581.36804784657807</v>
      </c>
      <c r="T705" s="101">
        <f t="shared" si="194"/>
        <v>195.27723689037856</v>
      </c>
      <c r="U705" s="101">
        <f t="shared" si="195"/>
        <v>35.412766417365809</v>
      </c>
      <c r="V705" s="33">
        <f t="shared" si="196"/>
        <v>1000.0000000000001</v>
      </c>
      <c r="W705" s="105">
        <f>IF(A705=1,((cPH1_+cPHr+(cNES*L705+(cNES+cOSEX)*G705+(cNES+cEREX)*H705+(cNES+cHOEX)*I705 + (cNES+cNES)*S705 +(cNES+ cOSEX)*N705 + (cNES+cEREX)*O705 + (cNES+cHOEX)*P705)))/(1+cDR)^A$5:A$65536,(cPHr+(cNES*L705+(cNES+cOSEX)*G705+(cNES+cEREX)*H705+(cNES+cHOEX)*I705 + (cNES+cNES)*S705 +(cNES+ cOSEX)*N705 + (cNES+cEREX)*O705 + (cNES+cHOEX)*P705))/(1+cDR)^A$5:A$65536)</f>
        <v>67573.26026881201</v>
      </c>
      <c r="X705" s="112">
        <f t="shared" si="197"/>
        <v>769.30999669225571</v>
      </c>
      <c r="Y705" s="32">
        <f>(uNES*L705+ uOCEX*G705+uEREX*'PH + UC'!H705+uHOEX*I705+uNES*S705+ uOCEX*N705+uEREX*O705+uHOEX*P705)/(1+oDR)^A$5:A$65536</f>
        <v>414.19388508984923</v>
      </c>
    </row>
    <row r="706" spans="1:25" x14ac:dyDescent="0.25">
      <c r="A706" s="4">
        <v>700</v>
      </c>
      <c r="C706" s="110">
        <f>IF(male=0,VLOOKUP(((A704:A1538/'Life tables'!$I$2)*2)+age,lifetable,13,1),IF(male=1,VLOOKUP(((A704:A1538/'Life tables'!$I$2)*2)+age,lifetable,10,1),"error"))</f>
        <v>6.6122671421597889E-4</v>
      </c>
      <c r="F706" s="101">
        <f t="shared" si="180"/>
        <v>122.66045654894538</v>
      </c>
      <c r="G706" s="101">
        <f t="shared" si="181"/>
        <v>12.321499574533364</v>
      </c>
      <c r="H706" s="101">
        <f t="shared" si="182"/>
        <v>0.28196238017672182</v>
      </c>
      <c r="I706" s="101">
        <f t="shared" si="183"/>
        <v>0.28196238017672182</v>
      </c>
      <c r="J706" s="101">
        <f t="shared" si="184"/>
        <v>8.962655744232681E-2</v>
      </c>
      <c r="K706" s="101">
        <f t="shared" si="185"/>
        <v>2.2102782948629919E-2</v>
      </c>
      <c r="L706" s="101">
        <f t="shared" si="192"/>
        <v>109.66330287366762</v>
      </c>
      <c r="M706" s="101">
        <f t="shared" si="186"/>
        <v>646.64954014331056</v>
      </c>
      <c r="N706" s="101">
        <f t="shared" si="187"/>
        <v>62.27375176446953</v>
      </c>
      <c r="O706" s="101">
        <f t="shared" si="188"/>
        <v>1.4864679996216605</v>
      </c>
      <c r="P706" s="101">
        <f t="shared" si="189"/>
        <v>1.4864679996216605</v>
      </c>
      <c r="Q706" s="101">
        <f t="shared" si="190"/>
        <v>0.47072480364171077</v>
      </c>
      <c r="R706" s="101">
        <f t="shared" si="191"/>
        <v>1.7318626574758834E-2</v>
      </c>
      <c r="S706" s="101">
        <f t="shared" si="193"/>
        <v>580.91480894938127</v>
      </c>
      <c r="T706" s="101">
        <f t="shared" si="194"/>
        <v>195.83758825146259</v>
      </c>
      <c r="U706" s="101">
        <f t="shared" si="195"/>
        <v>35.452187826889201</v>
      </c>
      <c r="V706" s="33">
        <f t="shared" si="196"/>
        <v>1000.0000000000005</v>
      </c>
      <c r="W706" s="105">
        <f>IF(A706=1,((cPH1_+cPHr+(cNES*L706+(cNES+cOSEX)*G706+(cNES+cEREX)*H706+(cNES+cHOEX)*I706 + (cNES+cNES)*S706 +(cNES+ cOSEX)*N706 + (cNES+cEREX)*O706 + (cNES+cHOEX)*P706)))/(1+cDR)^A$5:A$65536,(cPHr+(cNES*L706+(cNES+cOSEX)*G706+(cNES+cEREX)*H706+(cNES+cHOEX)*I706 + (cNES+cNES)*S706 +(cNES+ cOSEX)*N706 + (cNES+cEREX)*O706 + (cNES+cHOEX)*P706))/(1+cDR)^A$5:A$65536)</f>
        <v>67442.982078763205</v>
      </c>
      <c r="X706" s="112">
        <f t="shared" si="197"/>
        <v>768.71022392164855</v>
      </c>
      <c r="Y706" s="32">
        <f>(uNES*L706+ uOCEX*G706+uEREX*'PH + UC'!H706+uHOEX*I706+uNES*S706+ uOCEX*N706+uEREX*O706+uHOEX*P706)/(1+oDR)^A$5:A$65536</f>
        <v>413.75194503981851</v>
      </c>
    </row>
    <row r="707" spans="1:25" x14ac:dyDescent="0.25">
      <c r="A707" s="4">
        <v>701</v>
      </c>
      <c r="C707" s="110">
        <f>IF(male=0,VLOOKUP(((A705:A1539/'Life tables'!$I$2)*2)+age,lifetable,13,1),IF(male=1,VLOOKUP(((A705:A1539/'Life tables'!$I$2)*2)+age,lifetable,10,1),"error"))</f>
        <v>6.6122671421597889E-4</v>
      </c>
      <c r="F707" s="101">
        <f t="shared" si="180"/>
        <v>122.5648171006814</v>
      </c>
      <c r="G707" s="101">
        <f t="shared" si="181"/>
        <v>12.311892391792911</v>
      </c>
      <c r="H707" s="101">
        <f t="shared" si="182"/>
        <v>0.28174253160261725</v>
      </c>
      <c r="I707" s="101">
        <f t="shared" si="183"/>
        <v>0.28174253160261725</v>
      </c>
      <c r="J707" s="101">
        <f t="shared" si="184"/>
        <v>8.95566748188249E-2</v>
      </c>
      <c r="K707" s="101">
        <f t="shared" si="185"/>
        <v>2.2085549212299729E-2</v>
      </c>
      <c r="L707" s="101">
        <f t="shared" si="192"/>
        <v>109.57779742165212</v>
      </c>
      <c r="M707" s="101">
        <f t="shared" si="186"/>
        <v>646.1454068209672</v>
      </c>
      <c r="N707" s="101">
        <f t="shared" si="187"/>
        <v>62.225202633258753</v>
      </c>
      <c r="O707" s="101">
        <f t="shared" si="188"/>
        <v>1.4853091368920277</v>
      </c>
      <c r="P707" s="101">
        <f t="shared" si="189"/>
        <v>1.4853091368920277</v>
      </c>
      <c r="Q707" s="101">
        <f t="shared" si="190"/>
        <v>0.47035782269695248</v>
      </c>
      <c r="R707" s="101">
        <f t="shared" si="191"/>
        <v>1.7305124830442088E-2</v>
      </c>
      <c r="S707" s="101">
        <f t="shared" si="193"/>
        <v>580.46192296639697</v>
      </c>
      <c r="T707" s="101">
        <f t="shared" si="194"/>
        <v>196.39750274897838</v>
      </c>
      <c r="U707" s="101">
        <f t="shared" si="195"/>
        <v>35.491578500931944</v>
      </c>
      <c r="V707" s="33">
        <f t="shared" si="196"/>
        <v>1000.0000000000003</v>
      </c>
      <c r="W707" s="105">
        <f>IF(A707=1,((cPH1_+cPHr+(cNES*L707+(cNES+cOSEX)*G707+(cNES+cEREX)*H707+(cNES+cHOEX)*I707 + (cNES+cNES)*S707 +(cNES+ cOSEX)*N707 + (cNES+cEREX)*O707 + (cNES+cHOEX)*P707)))/(1+cDR)^A$5:A$65536,(cPHr+(cNES*L707+(cNES+cOSEX)*G707+(cNES+cEREX)*H707+(cNES+cHOEX)*I707 + (cNES+cNES)*S707 +(cNES+ cOSEX)*N707 + (cNES+cEREX)*O707 + (cNES+cHOEX)*P707))/(1+cDR)^A$5:A$65536)</f>
        <v>67312.955048233067</v>
      </c>
      <c r="X707" s="112">
        <f t="shared" si="197"/>
        <v>768.11091875009004</v>
      </c>
      <c r="Y707" s="32">
        <f>(uNES*L707+ uOCEX*G707+uEREX*'PH + UC'!H707+uHOEX*I707+uNES*S707+ uOCEX*N707+uEREX*O707+uHOEX*P707)/(1+oDR)^A$5:A$65536</f>
        <v>413.310476535384</v>
      </c>
    </row>
    <row r="708" spans="1:25" x14ac:dyDescent="0.25">
      <c r="A708" s="4">
        <v>702</v>
      </c>
      <c r="C708" s="110">
        <f>IF(male=0,VLOOKUP(((A706:A1540/'Life tables'!$I$2)*2)+age,lifetable,13,1),IF(male=1,VLOOKUP(((A706:A1540/'Life tables'!$I$2)*2)+age,lifetable,10,1),"error"))</f>
        <v>6.6122671421597889E-4</v>
      </c>
      <c r="F708" s="101">
        <f t="shared" si="180"/>
        <v>122.46925268639947</v>
      </c>
      <c r="G708" s="101">
        <f t="shared" si="181"/>
        <v>12.302292746372991</v>
      </c>
      <c r="H708" s="101">
        <f t="shared" si="182"/>
        <v>0.28152285551083311</v>
      </c>
      <c r="I708" s="101">
        <f t="shared" si="183"/>
        <v>0.28152285551083311</v>
      </c>
      <c r="J708" s="101">
        <f t="shared" si="184"/>
        <v>8.948684702177391E-2</v>
      </c>
      <c r="K708" s="101">
        <f t="shared" si="185"/>
        <v>2.206832899670691E-2</v>
      </c>
      <c r="L708" s="101">
        <f t="shared" si="192"/>
        <v>109.49235905298633</v>
      </c>
      <c r="M708" s="101">
        <f t="shared" si="186"/>
        <v>645.64166606369065</v>
      </c>
      <c r="N708" s="101">
        <f t="shared" si="187"/>
        <v>62.176691306914449</v>
      </c>
      <c r="O708" s="101">
        <f t="shared" si="188"/>
        <v>1.4841511765606388</v>
      </c>
      <c r="P708" s="101">
        <f t="shared" si="189"/>
        <v>1.4841511765606388</v>
      </c>
      <c r="Q708" s="101">
        <f t="shared" si="190"/>
        <v>0.46999112751767069</v>
      </c>
      <c r="R708" s="101">
        <f t="shared" si="191"/>
        <v>1.729163359983853E-2</v>
      </c>
      <c r="S708" s="101">
        <f t="shared" si="193"/>
        <v>580.00938964253737</v>
      </c>
      <c r="T708" s="101">
        <f t="shared" si="194"/>
        <v>196.95698072351783</v>
      </c>
      <c r="U708" s="101">
        <f t="shared" si="195"/>
        <v>35.530938463528486</v>
      </c>
      <c r="V708" s="33">
        <f t="shared" si="196"/>
        <v>1000.0000000000005</v>
      </c>
      <c r="W708" s="105">
        <f>IF(A708=1,((cPH1_+cPHr+(cNES*L708+(cNES+cOSEX)*G708+(cNES+cEREX)*H708+(cNES+cHOEX)*I708 + (cNES+cNES)*S708 +(cNES+ cOSEX)*N708 + (cNES+cEREX)*O708 + (cNES+cHOEX)*P708)))/(1+cDR)^A$5:A$65536,(cPHr+(cNES*L708+(cNES+cOSEX)*G708+(cNES+cEREX)*H708+(cNES+cHOEX)*I708 + (cNES+cNES)*S708 +(cNES+ cOSEX)*N708 + (cNES+cEREX)*O708 + (cNES+cHOEX)*P708))/(1+cDR)^A$5:A$65536)</f>
        <v>67183.178693834707</v>
      </c>
      <c r="X708" s="112">
        <f t="shared" si="197"/>
        <v>767.51208081295408</v>
      </c>
      <c r="Y708" s="32">
        <f>(uNES*L708+ uOCEX*G708+uEREX*'PH + UC'!H708+uHOEX*I708+uNES*S708+ uOCEX*N708+uEREX*O708+uHOEX*P708)/(1+oDR)^A$5:A$65536</f>
        <v>412.86947907337907</v>
      </c>
    </row>
    <row r="709" spans="1:25" x14ac:dyDescent="0.25">
      <c r="A709" s="4">
        <v>703</v>
      </c>
      <c r="C709" s="110">
        <f>IF(male=0,VLOOKUP(((A707:A1541/'Life tables'!$I$2)*2)+age,lifetable,13,1),IF(male=1,VLOOKUP(((A707:A1541/'Life tables'!$I$2)*2)+age,lifetable,10,1),"error"))</f>
        <v>6.6122671421597889E-4</v>
      </c>
      <c r="F709" s="101">
        <f t="shared" si="180"/>
        <v>122.37376322621792</v>
      </c>
      <c r="G709" s="101">
        <f t="shared" si="181"/>
        <v>12.292700630249325</v>
      </c>
      <c r="H709" s="101">
        <f t="shared" si="182"/>
        <v>0.28130335171774362</v>
      </c>
      <c r="I709" s="101">
        <f t="shared" si="183"/>
        <v>0.28130335171774362</v>
      </c>
      <c r="J709" s="101">
        <f t="shared" si="184"/>
        <v>8.9417073992805254E-2</v>
      </c>
      <c r="K709" s="101">
        <f t="shared" si="185"/>
        <v>2.2051122287457196E-2</v>
      </c>
      <c r="L709" s="101">
        <f t="shared" si="192"/>
        <v>109.40698769625284</v>
      </c>
      <c r="M709" s="101">
        <f t="shared" si="186"/>
        <v>645.13831758673609</v>
      </c>
      <c r="N709" s="101">
        <f t="shared" si="187"/>
        <v>62.128217758015076</v>
      </c>
      <c r="O709" s="101">
        <f t="shared" si="188"/>
        <v>1.4829941179729447</v>
      </c>
      <c r="P709" s="101">
        <f t="shared" si="189"/>
        <v>1.4829941179729447</v>
      </c>
      <c r="Q709" s="101">
        <f t="shared" si="190"/>
        <v>0.469624717896587</v>
      </c>
      <c r="R709" s="101">
        <f t="shared" si="191"/>
        <v>1.7278152875322098E-2</v>
      </c>
      <c r="S709" s="101">
        <f t="shared" si="193"/>
        <v>579.55720872200322</v>
      </c>
      <c r="T709" s="101">
        <f t="shared" si="194"/>
        <v>197.51602251540723</v>
      </c>
      <c r="U709" s="101">
        <f t="shared" si="195"/>
        <v>35.570267738691264</v>
      </c>
      <c r="V709" s="33">
        <f t="shared" si="196"/>
        <v>1000.0000000000003</v>
      </c>
      <c r="W709" s="105">
        <f>IF(A709=1,((cPH1_+cPHr+(cNES*L709+(cNES+cOSEX)*G709+(cNES+cEREX)*H709+(cNES+cHOEX)*I709 + (cNES+cNES)*S709 +(cNES+ cOSEX)*N709 + (cNES+cEREX)*O709 + (cNES+cHOEX)*P709)))/(1+cDR)^A$5:A$65536,(cPHr+(cNES*L709+(cNES+cOSEX)*G709+(cNES+cEREX)*H709+(cNES+cHOEX)*I709 + (cNES+cNES)*S709 +(cNES+ cOSEX)*N709 + (cNES+cEREX)*O709 + (cNES+cHOEX)*P709))/(1+cDR)^A$5:A$65536)</f>
        <v>67053.652533073109</v>
      </c>
      <c r="X709" s="112">
        <f t="shared" si="197"/>
        <v>766.91370974590177</v>
      </c>
      <c r="Y709" s="32">
        <f>(uNES*L709+ uOCEX*G709+uEREX*'PH + UC'!H709+uHOEX*I709+uNES*S709+ uOCEX*N709+uEREX*O709+uHOEX*P709)/(1+oDR)^A$5:A$65536</f>
        <v>412.42895215117517</v>
      </c>
    </row>
    <row r="710" spans="1:25" x14ac:dyDescent="0.25">
      <c r="A710" s="4">
        <v>704</v>
      </c>
      <c r="C710" s="110">
        <f>IF(male=0,VLOOKUP(((A708:A1542/'Life tables'!$I$2)*2)+age,lifetable,13,1),IF(male=1,VLOOKUP(((A708:A1542/'Life tables'!$I$2)*2)+age,lifetable,10,1),"error"))</f>
        <v>7.1453294378398535E-4</v>
      </c>
      <c r="F710" s="101">
        <f t="shared" si="180"/>
        <v>122.27834864128789</v>
      </c>
      <c r="G710" s="101">
        <f t="shared" si="181"/>
        <v>12.283116035501379</v>
      </c>
      <c r="H710" s="101">
        <f t="shared" si="182"/>
        <v>0.28108402004209715</v>
      </c>
      <c r="I710" s="101">
        <f t="shared" si="183"/>
        <v>0.28108402004209715</v>
      </c>
      <c r="J710" s="101">
        <f t="shared" si="184"/>
        <v>9.655028705997365E-2</v>
      </c>
      <c r="K710" s="101">
        <f t="shared" si="185"/>
        <v>2.2033929070342434E-2</v>
      </c>
      <c r="L710" s="101">
        <f t="shared" si="192"/>
        <v>109.31448034957199</v>
      </c>
      <c r="M710" s="101">
        <f t="shared" si="186"/>
        <v>644.63536110461393</v>
      </c>
      <c r="N710" s="101">
        <f t="shared" si="187"/>
        <v>62.079781959067375</v>
      </c>
      <c r="O710" s="101">
        <f t="shared" si="188"/>
        <v>1.4818379604726839</v>
      </c>
      <c r="P710" s="101">
        <f t="shared" si="189"/>
        <v>1.4818379604726839</v>
      </c>
      <c r="Q710" s="101">
        <f t="shared" si="190"/>
        <v>0.50708889567022741</v>
      </c>
      <c r="R710" s="101">
        <f t="shared" si="191"/>
        <v>1.7264682649246785E-2</v>
      </c>
      <c r="S710" s="101">
        <f t="shared" si="193"/>
        <v>579.06754964628169</v>
      </c>
      <c r="T710" s="101">
        <f t="shared" si="194"/>
        <v>198.11966169813743</v>
      </c>
      <c r="U710" s="101">
        <f t="shared" si="195"/>
        <v>35.609566350410851</v>
      </c>
      <c r="V710" s="33">
        <f t="shared" si="196"/>
        <v>1000.0000000000002</v>
      </c>
      <c r="W710" s="105">
        <f>IF(A710=1,((cPH1_+cPHr+(cNES*L710+(cNES+cOSEX)*G710+(cNES+cEREX)*H710+(cNES+cHOEX)*I710 + (cNES+cNES)*S710 +(cNES+ cOSEX)*N710 + (cNES+cEREX)*O710 + (cNES+cHOEX)*P710)))/(1+cDR)^A$5:A$65536,(cPHr+(cNES*L710+(cNES+cOSEX)*G710+(cNES+cEREX)*H710+(cNES+cHOEX)*I710 + (cNES+cNES)*S710 +(cNES+ cOSEX)*N710 + (cNES+cEREX)*O710 + (cNES+cHOEX)*P710))/(1+cDR)^A$5:A$65536)</f>
        <v>66920.967267734683</v>
      </c>
      <c r="X710" s="112">
        <f t="shared" si="197"/>
        <v>766.27077195145205</v>
      </c>
      <c r="Y710" s="32">
        <f>(uNES*L710+ uOCEX*G710+uEREX*'PH + UC'!H710+uHOEX*I710+uNES*S710+ uOCEX*N710+uEREX*O710+uHOEX*P710)/(1+oDR)^A$5:A$65536</f>
        <v>411.96429054749052</v>
      </c>
    </row>
    <row r="711" spans="1:25" x14ac:dyDescent="0.25">
      <c r="A711" s="4">
        <v>705</v>
      </c>
      <c r="C711" s="110">
        <f>IF(male=0,VLOOKUP(((A709:A1543/'Life tables'!$I$2)*2)+age,lifetable,13,1),IF(male=1,VLOOKUP(((A709:A1543/'Life tables'!$I$2)*2)+age,lifetable,10,1),"error"))</f>
        <v>7.1453294378398535E-4</v>
      </c>
      <c r="F711" s="101">
        <f t="shared" ref="F711:F774" si="198">E710*(1-pCAPH)+(L710+G710+H710+I710)*(1-pCAPH)+(S710+N710+O710+P710)*(pUAPH)</f>
        <v>122.17580603436936</v>
      </c>
      <c r="G711" s="101">
        <f t="shared" ref="G711:G774" si="199">F711*(rrOSEX)</f>
        <v>12.272815416026562</v>
      </c>
      <c r="H711" s="101">
        <f t="shared" ref="H711:H774" si="200">F711*rrEREX</f>
        <v>0.28084830302024882</v>
      </c>
      <c r="I711" s="101">
        <f t="shared" ref="I711:I774" si="201">F711*rrHOEX</f>
        <v>0.28084830302024882</v>
      </c>
      <c r="J711" s="101">
        <f t="shared" ref="J711:J774" si="202">F711*mr + G711*mr + H711*mr+I711*mr</f>
        <v>9.6469320002077669E-2</v>
      </c>
      <c r="K711" s="101">
        <f t="shared" ref="K711:K774" si="203">F711*amr + I711*amrHOEX</f>
        <v>2.2015451420352581E-2</v>
      </c>
      <c r="L711" s="101">
        <f t="shared" si="192"/>
        <v>109.22280924087987</v>
      </c>
      <c r="M711" s="101">
        <f t="shared" ref="M711:M774" si="204">E710*pCAPH+(L710+G710+H710+I710)*pCAPH+(S710+N710+O710+P710)*(1-pUAPH)</f>
        <v>644.09496591708273</v>
      </c>
      <c r="N711" s="101">
        <f t="shared" ref="N711:N774" si="205">M711*rrOSEXc</f>
        <v>62.027740731673049</v>
      </c>
      <c r="O711" s="101">
        <f t="shared" ref="O711:O774" si="206">M711*rrEREXc</f>
        <v>1.4805957417691238</v>
      </c>
      <c r="P711" s="101">
        <f t="shared" ref="P711:P774" si="207">M711*rrHOEXc</f>
        <v>1.4805957417691238</v>
      </c>
      <c r="Q711" s="101">
        <f t="shared" ref="Q711:Q774" si="208">M711*mr + N711*mr + O711*mr+P711*mr</f>
        <v>0.50666380512229159</v>
      </c>
      <c r="R711" s="101">
        <f t="shared" ref="R711:R774" si="209">M711*amrc + P711*amrHOEX</f>
        <v>1.7250209736371019E-2</v>
      </c>
      <c r="S711" s="101">
        <f t="shared" si="193"/>
        <v>578.58211968701278</v>
      </c>
      <c r="T711" s="101">
        <f t="shared" si="194"/>
        <v>198.72279482326181</v>
      </c>
      <c r="U711" s="101">
        <f t="shared" si="195"/>
        <v>35.648832011567578</v>
      </c>
      <c r="V711" s="33">
        <f t="shared" si="196"/>
        <v>1000.0000000000005</v>
      </c>
      <c r="W711" s="105">
        <f>IF(A711=1,((cPH1_+cPHr+(cNES*L711+(cNES+cOSEX)*G711+(cNES+cEREX)*H711+(cNES+cHOEX)*I711 + (cNES+cNES)*S711 +(cNES+ cOSEX)*N711 + (cNES+cEREX)*O711 + (cNES+cHOEX)*P711)))/(1+cDR)^A$5:A$65536,(cPHr+(cNES*L711+(cNES+cOSEX)*G711+(cNES+cEREX)*H711+(cNES+cHOEX)*I711 + (cNES+cNES)*S711 +(cNES+ cOSEX)*N711 + (cNES+cEREX)*O711 + (cNES+cHOEX)*P711))/(1+cDR)^A$5:A$65536)</f>
        <v>66788.023017687199</v>
      </c>
      <c r="X711" s="112">
        <f t="shared" si="197"/>
        <v>765.62837316517107</v>
      </c>
      <c r="Y711" s="32">
        <f>(uNES*L711+ uOCEX*G711+uEREX*'PH + UC'!H711+uHOEX*I711+uNES*S711+ uOCEX*N711+uEREX*O711+uHOEX*P711)/(1+oDR)^A$5:A$65536</f>
        <v>411.50054584281457</v>
      </c>
    </row>
    <row r="712" spans="1:25" x14ac:dyDescent="0.25">
      <c r="A712" s="4">
        <v>706</v>
      </c>
      <c r="C712" s="110">
        <f>IF(male=0,VLOOKUP(((A710:A1544/'Life tables'!$I$2)*2)+age,lifetable,13,1),IF(male=1,VLOOKUP(((A710:A1544/'Life tables'!$I$2)*2)+age,lifetable,10,1),"error"))</f>
        <v>7.1453294378398535E-4</v>
      </c>
      <c r="F712" s="101">
        <f t="shared" si="198"/>
        <v>122.07335081390457</v>
      </c>
      <c r="G712" s="101">
        <f t="shared" si="199"/>
        <v>12.262523574703911</v>
      </c>
      <c r="H712" s="101">
        <f t="shared" si="200"/>
        <v>0.28061278687562841</v>
      </c>
      <c r="I712" s="101">
        <f t="shared" si="201"/>
        <v>0.28061278687562841</v>
      </c>
      <c r="J712" s="101">
        <f t="shared" si="202"/>
        <v>9.6388421944027441E-2</v>
      </c>
      <c r="K712" s="101">
        <f t="shared" si="203"/>
        <v>2.199698951695192E-2</v>
      </c>
      <c r="L712" s="101">
        <f t="shared" ref="L712:L775" si="210">F712-SUM(G712:K712)</f>
        <v>109.13121625398841</v>
      </c>
      <c r="M712" s="101">
        <f t="shared" si="204"/>
        <v>643.5550223512663</v>
      </c>
      <c r="N712" s="101">
        <f t="shared" si="205"/>
        <v>61.975742996428359</v>
      </c>
      <c r="O712" s="101">
        <f t="shared" si="206"/>
        <v>1.4793545612186669</v>
      </c>
      <c r="P712" s="101">
        <f t="shared" si="207"/>
        <v>1.4793545612186669</v>
      </c>
      <c r="Q712" s="101">
        <f t="shared" si="208"/>
        <v>0.50623906983311218</v>
      </c>
      <c r="R712" s="101">
        <f t="shared" si="209"/>
        <v>1.7235748918868934E-2</v>
      </c>
      <c r="S712" s="101">
        <f t="shared" ref="S712:S775" si="211">M712-SUM(N712:R712)</f>
        <v>578.09709541364862</v>
      </c>
      <c r="T712" s="101">
        <f t="shared" ref="T712:T775" si="212">J712+Q712+T711</f>
        <v>199.32542231503894</v>
      </c>
      <c r="U712" s="101">
        <f t="shared" ref="U712:U775" si="213">K712+R712+U711</f>
        <v>35.688064750003399</v>
      </c>
      <c r="V712" s="33">
        <f t="shared" ref="V712:V775" si="214">SUM(G712:I712,L712,N712,O712,P712,S712,T712,U712)</f>
        <v>1000.0000000000002</v>
      </c>
      <c r="W712" s="105">
        <f>IF(A712=1,((cPH1_+cPHr+(cNES*L712+(cNES+cOSEX)*G712+(cNES+cEREX)*H712+(cNES+cHOEX)*I712 + (cNES+cNES)*S712 +(cNES+ cOSEX)*N712 + (cNES+cEREX)*O712 + (cNES+cHOEX)*P712)))/(1+cDR)^A$5:A$65536,(cPHr+(cNES*L712+(cNES+cOSEX)*G712+(cNES+cEREX)*H712+(cNES+cHOEX)*I712 + (cNES+cNES)*S712 +(cNES+ cOSEX)*N712 + (cNES+cEREX)*O712 + (cNES+cHOEX)*P712))/(1+cDR)^A$5:A$65536)</f>
        <v>66655.342829961548</v>
      </c>
      <c r="X712" s="112">
        <f t="shared" ref="X712:X775" si="215">(L712+G712+H712+I712+N712+O712+P712+S712)</f>
        <v>764.98651293495789</v>
      </c>
      <c r="Y712" s="32">
        <f>(uNES*L712+ uOCEX*G712+uEREX*'PH + UC'!H712+uHOEX*I712+uNES*S712+ uOCEX*N712+uEREX*O712+uHOEX*P712)/(1+oDR)^A$5:A$65536</f>
        <v>411.03732317366172</v>
      </c>
    </row>
    <row r="713" spans="1:25" x14ac:dyDescent="0.25">
      <c r="A713" s="4">
        <v>707</v>
      </c>
      <c r="C713" s="110">
        <f>IF(male=0,VLOOKUP(((A711:A1545/'Life tables'!$I$2)*2)+age,lifetable,13,1),IF(male=1,VLOOKUP(((A711:A1545/'Life tables'!$I$2)*2)+age,lifetable,10,1),"error"))</f>
        <v>7.1453294378398535E-4</v>
      </c>
      <c r="F713" s="101">
        <f t="shared" si="198"/>
        <v>121.97098284208568</v>
      </c>
      <c r="G713" s="101">
        <f t="shared" si="199"/>
        <v>12.252240497690341</v>
      </c>
      <c r="H713" s="101">
        <f t="shared" si="200"/>
        <v>0.28037747129145402</v>
      </c>
      <c r="I713" s="101">
        <f t="shared" si="201"/>
        <v>0.28037747129145402</v>
      </c>
      <c r="J713" s="101">
        <f t="shared" si="202"/>
        <v>9.6307592777010675E-2</v>
      </c>
      <c r="K713" s="101">
        <f t="shared" si="203"/>
        <v>2.1978543335308194E-2</v>
      </c>
      <c r="L713" s="101">
        <f t="shared" si="210"/>
        <v>109.0397012657001</v>
      </c>
      <c r="M713" s="101">
        <f t="shared" si="204"/>
        <v>643.01553009287215</v>
      </c>
      <c r="N713" s="101">
        <f t="shared" si="205"/>
        <v>61.923788723066245</v>
      </c>
      <c r="O713" s="101">
        <f t="shared" si="206"/>
        <v>1.4781144180988421</v>
      </c>
      <c r="P713" s="101">
        <f t="shared" si="207"/>
        <v>1.4781144180988421</v>
      </c>
      <c r="Q713" s="101">
        <f t="shared" si="208"/>
        <v>0.50581468955545728</v>
      </c>
      <c r="R713" s="101">
        <f t="shared" si="209"/>
        <v>1.7221300188323123E-2</v>
      </c>
      <c r="S713" s="101">
        <f t="shared" si="211"/>
        <v>577.61247654386443</v>
      </c>
      <c r="T713" s="101">
        <f t="shared" si="212"/>
        <v>199.92754459737139</v>
      </c>
      <c r="U713" s="101">
        <f t="shared" si="213"/>
        <v>35.727264593527032</v>
      </c>
      <c r="V713" s="33">
        <f t="shared" si="214"/>
        <v>1000.0000000000001</v>
      </c>
      <c r="W713" s="105">
        <f>IF(A713=1,((cPH1_+cPHr+(cNES*L713+(cNES+cOSEX)*G713+(cNES+cEREX)*H713+(cNES+cHOEX)*I713 + (cNES+cNES)*S713 +(cNES+ cOSEX)*N713 + (cNES+cEREX)*O713 + (cNES+cHOEX)*P713)))/(1+cDR)^A$5:A$65536,(cPHr+(cNES*L713+(cNES+cOSEX)*G713+(cNES+cEREX)*H713+(cNES+cHOEX)*I713 + (cNES+cNES)*S713 +(cNES+ cOSEX)*N713 + (cNES+cEREX)*O713 + (cNES+cHOEX)*P713))/(1+cDR)^A$5:A$65536)</f>
        <v>66522.926182408613</v>
      </c>
      <c r="X713" s="112">
        <f t="shared" si="215"/>
        <v>764.34519080910172</v>
      </c>
      <c r="Y713" s="32">
        <f>(uNES*L713+ uOCEX*G713+uEREX*'PH + UC'!H713+uHOEX*I713+uNES*S713+ uOCEX*N713+uEREX*O713+uHOEX*P713)/(1+oDR)^A$5:A$65536</f>
        <v>410.57462195228533</v>
      </c>
    </row>
    <row r="714" spans="1:25" x14ac:dyDescent="0.25">
      <c r="A714" s="4">
        <v>708</v>
      </c>
      <c r="C714" s="110">
        <f>IF(male=0,VLOOKUP(((A712:A1546/'Life tables'!$I$2)*2)+age,lifetable,13,1),IF(male=1,VLOOKUP(((A712:A1546/'Life tables'!$I$2)*2)+age,lifetable,10,1),"error"))</f>
        <v>7.1453294378398535E-4</v>
      </c>
      <c r="F714" s="101">
        <f t="shared" si="198"/>
        <v>121.8687019841536</v>
      </c>
      <c r="G714" s="101">
        <f t="shared" si="199"/>
        <v>12.241966171449024</v>
      </c>
      <c r="H714" s="101">
        <f t="shared" si="200"/>
        <v>0.28014235595795173</v>
      </c>
      <c r="I714" s="101">
        <f t="shared" si="201"/>
        <v>0.28014235595795173</v>
      </c>
      <c r="J714" s="101">
        <f t="shared" si="202"/>
        <v>9.6226832394622347E-2</v>
      </c>
      <c r="K714" s="101">
        <f t="shared" si="203"/>
        <v>2.1960112851138504E-2</v>
      </c>
      <c r="L714" s="101">
        <f t="shared" si="210"/>
        <v>108.94826415554292</v>
      </c>
      <c r="M714" s="101">
        <f t="shared" si="204"/>
        <v>642.47648882494798</v>
      </c>
      <c r="N714" s="101">
        <f t="shared" si="205"/>
        <v>61.871877881063519</v>
      </c>
      <c r="O714" s="101">
        <f t="shared" si="206"/>
        <v>1.4768753116810642</v>
      </c>
      <c r="P714" s="101">
        <f t="shared" si="207"/>
        <v>1.4768753116810642</v>
      </c>
      <c r="Q714" s="101">
        <f t="shared" si="208"/>
        <v>0.50539066404000299</v>
      </c>
      <c r="R714" s="101">
        <f t="shared" si="209"/>
        <v>1.7206863536244947E-2</v>
      </c>
      <c r="S714" s="101">
        <f t="shared" si="211"/>
        <v>577.12826279294609</v>
      </c>
      <c r="T714" s="101">
        <f t="shared" si="212"/>
        <v>200.52916209380601</v>
      </c>
      <c r="U714" s="101">
        <f t="shared" si="213"/>
        <v>35.766431569914417</v>
      </c>
      <c r="V714" s="33">
        <f t="shared" si="214"/>
        <v>1000</v>
      </c>
      <c r="W714" s="105">
        <f>IF(A714=1,((cPH1_+cPHr+(cNES*L714+(cNES+cOSEX)*G714+(cNES+cEREX)*H714+(cNES+cHOEX)*I714 + (cNES+cNES)*S714 +(cNES+ cOSEX)*N714 + (cNES+cEREX)*O714 + (cNES+cHOEX)*P714)))/(1+cDR)^A$5:A$65536,(cPHr+(cNES*L714+(cNES+cOSEX)*G714+(cNES+cEREX)*H714+(cNES+cHOEX)*I714 + (cNES+cNES)*S714 +(cNES+ cOSEX)*N714 + (cNES+cEREX)*O714 + (cNES+cHOEX)*P714))/(1+cDR)^A$5:A$65536)</f>
        <v>66390.772553802221</v>
      </c>
      <c r="X714" s="112">
        <f t="shared" si="215"/>
        <v>763.70440633627959</v>
      </c>
      <c r="Y714" s="32">
        <f>(uNES*L714+ uOCEX*G714+uEREX*'PH + UC'!H714+uHOEX*I714+uNES*S714+ uOCEX*N714+uEREX*O714+uHOEX*P714)/(1+oDR)^A$5:A$65536</f>
        <v>410.11244159160452</v>
      </c>
    </row>
    <row r="715" spans="1:25" x14ac:dyDescent="0.25">
      <c r="A715" s="4">
        <v>709</v>
      </c>
      <c r="C715" s="110">
        <f>IF(male=0,VLOOKUP(((A713:A1547/'Life tables'!$I$2)*2)+age,lifetable,13,1),IF(male=1,VLOOKUP(((A713:A1547/'Life tables'!$I$2)*2)+age,lifetable,10,1),"error"))</f>
        <v>7.1453294378398535E-4</v>
      </c>
      <c r="F715" s="101">
        <f t="shared" si="198"/>
        <v>121.76650810826206</v>
      </c>
      <c r="G715" s="101">
        <f t="shared" si="199"/>
        <v>12.231700582735719</v>
      </c>
      <c r="H715" s="101">
        <f t="shared" si="200"/>
        <v>0.27990744057204359</v>
      </c>
      <c r="I715" s="101">
        <f t="shared" si="201"/>
        <v>0.27990744057204359</v>
      </c>
      <c r="J715" s="101">
        <f t="shared" si="202"/>
        <v>9.6146140692757412E-2</v>
      </c>
      <c r="K715" s="101">
        <f t="shared" si="203"/>
        <v>2.194169804068483E-2</v>
      </c>
      <c r="L715" s="101">
        <f t="shared" si="210"/>
        <v>108.85690480564881</v>
      </c>
      <c r="M715" s="101">
        <f t="shared" si="204"/>
        <v>641.9378982280175</v>
      </c>
      <c r="N715" s="101">
        <f t="shared" si="205"/>
        <v>61.82001043965392</v>
      </c>
      <c r="O715" s="101">
        <f t="shared" si="206"/>
        <v>1.4756372412309455</v>
      </c>
      <c r="P715" s="101">
        <f t="shared" si="207"/>
        <v>1.4756372412309455</v>
      </c>
      <c r="Q715" s="101">
        <f t="shared" si="208"/>
        <v>0.50496699303544035</v>
      </c>
      <c r="R715" s="101">
        <f t="shared" si="209"/>
        <v>1.7192438954078154E-2</v>
      </c>
      <c r="S715" s="101">
        <f t="shared" si="211"/>
        <v>576.6444538739122</v>
      </c>
      <c r="T715" s="101">
        <f t="shared" si="212"/>
        <v>201.13027522753421</v>
      </c>
      <c r="U715" s="101">
        <f t="shared" si="213"/>
        <v>35.805565706909178</v>
      </c>
      <c r="V715" s="33">
        <f t="shared" si="214"/>
        <v>1000</v>
      </c>
      <c r="W715" s="105">
        <f>IF(A715=1,((cPH1_+cPHr+(cNES*L715+(cNES+cOSEX)*G715+(cNES+cEREX)*H715+(cNES+cHOEX)*I715 + (cNES+cNES)*S715 +(cNES+ cOSEX)*N715 + (cNES+cEREX)*O715 + (cNES+cHOEX)*P715)))/(1+cDR)^A$5:A$65536,(cPHr+(cNES*L715+(cNES+cOSEX)*G715+(cNES+cEREX)*H715+(cNES+cHOEX)*I715 + (cNES+cNES)*S715 +(cNES+ cOSEX)*N715 + (cNES+cEREX)*O715 + (cNES+cHOEX)*P715))/(1+cDR)^A$5:A$65536)</f>
        <v>66258.881423842206</v>
      </c>
      <c r="X715" s="112">
        <f t="shared" si="215"/>
        <v>763.06415906555662</v>
      </c>
      <c r="Y715" s="32">
        <f>(uNES*L715+ uOCEX*G715+uEREX*'PH + UC'!H715+uHOEX*I715+uNES*S715+ uOCEX*N715+uEREX*O715+uHOEX*P715)/(1+oDR)^A$5:A$65536</f>
        <v>409.65078150520378</v>
      </c>
    </row>
    <row r="716" spans="1:25" x14ac:dyDescent="0.25">
      <c r="A716" s="4">
        <v>710</v>
      </c>
      <c r="C716" s="110">
        <f>IF(male=0,VLOOKUP(((A714:A1548/'Life tables'!$I$2)*2)+age,lifetable,13,1),IF(male=1,VLOOKUP(((A714:A1548/'Life tables'!$I$2)*2)+age,lifetable,10,1),"error"))</f>
        <v>7.1453294378398535E-4</v>
      </c>
      <c r="F716" s="101">
        <f t="shared" si="198"/>
        <v>121.664401085348</v>
      </c>
      <c r="G716" s="101">
        <f t="shared" si="199"/>
        <v>12.221443718585776</v>
      </c>
      <c r="H716" s="101">
        <f t="shared" si="200"/>
        <v>0.27967272483704941</v>
      </c>
      <c r="I716" s="101">
        <f t="shared" si="201"/>
        <v>0.27967272483704941</v>
      </c>
      <c r="J716" s="101">
        <f t="shared" si="202"/>
        <v>9.606551756950843E-2</v>
      </c>
      <c r="K716" s="101">
        <f t="shared" si="203"/>
        <v>2.1923298880690674E-2</v>
      </c>
      <c r="L716" s="101">
        <f t="shared" si="210"/>
        <v>108.76562310063792</v>
      </c>
      <c r="M716" s="101">
        <f t="shared" si="204"/>
        <v>641.39975798020873</v>
      </c>
      <c r="N716" s="101">
        <f t="shared" si="205"/>
        <v>61.768186367840485</v>
      </c>
      <c r="O716" s="101">
        <f t="shared" si="206"/>
        <v>1.4744002060085917</v>
      </c>
      <c r="P716" s="101">
        <f t="shared" si="207"/>
        <v>1.4744002060085917</v>
      </c>
      <c r="Q716" s="101">
        <f t="shared" si="208"/>
        <v>0.50454367628857533</v>
      </c>
      <c r="R716" s="101">
        <f t="shared" si="209"/>
        <v>1.7178026433202345E-2</v>
      </c>
      <c r="S716" s="101">
        <f t="shared" si="211"/>
        <v>576.16104949762928</v>
      </c>
      <c r="T716" s="101">
        <f t="shared" si="212"/>
        <v>201.73088442139229</v>
      </c>
      <c r="U716" s="101">
        <f t="shared" si="213"/>
        <v>35.844667032223072</v>
      </c>
      <c r="V716" s="33">
        <f t="shared" si="214"/>
        <v>1000</v>
      </c>
      <c r="W716" s="105">
        <f>IF(A716=1,((cPH1_+cPHr+(cNES*L716+(cNES+cOSEX)*G716+(cNES+cEREX)*H716+(cNES+cHOEX)*I716 + (cNES+cNES)*S716 +(cNES+ cOSEX)*N716 + (cNES+cEREX)*O716 + (cNES+cHOEX)*P716)))/(1+cDR)^A$5:A$65536,(cPHr+(cNES*L716+(cNES+cOSEX)*G716+(cNES+cEREX)*H716+(cNES+cHOEX)*I716 + (cNES+cNES)*S716 +(cNES+ cOSEX)*N716 + (cNES+cEREX)*O716 + (cNES+cHOEX)*P716))/(1+cDR)^A$5:A$65536)</f>
        <v>66127.252273158068</v>
      </c>
      <c r="X716" s="112">
        <f t="shared" si="215"/>
        <v>762.42444854638484</v>
      </c>
      <c r="Y716" s="32">
        <f>(uNES*L716+ uOCEX*G716+uEREX*'PH + UC'!H716+uHOEX*I716+uNES*S716+ uOCEX*N716+uEREX*O716+uHOEX*P716)/(1+oDR)^A$5:A$65536</f>
        <v>409.18964110733145</v>
      </c>
    </row>
    <row r="717" spans="1:25" x14ac:dyDescent="0.25">
      <c r="A717" s="4">
        <v>711</v>
      </c>
      <c r="C717" s="110">
        <f>IF(male=0,VLOOKUP(((A715:A1549/'Life tables'!$I$2)*2)+age,lifetable,13,1),IF(male=1,VLOOKUP(((A715:A1549/'Life tables'!$I$2)*2)+age,lifetable,10,1),"error"))</f>
        <v>7.1453294378398535E-4</v>
      </c>
      <c r="F717" s="101">
        <f t="shared" si="198"/>
        <v>121.56238078900773</v>
      </c>
      <c r="G717" s="101">
        <f t="shared" si="199"/>
        <v>12.211195566301681</v>
      </c>
      <c r="H717" s="101">
        <f t="shared" si="200"/>
        <v>0.27943820846240214</v>
      </c>
      <c r="I717" s="101">
        <f t="shared" si="201"/>
        <v>0.27943820846240214</v>
      </c>
      <c r="J717" s="101">
        <f t="shared" si="202"/>
        <v>9.598496292506771E-2</v>
      </c>
      <c r="K717" s="101">
        <f t="shared" si="203"/>
        <v>2.190491534837874E-2</v>
      </c>
      <c r="L717" s="101">
        <f t="shared" si="210"/>
        <v>108.6744189275078</v>
      </c>
      <c r="M717" s="101">
        <f t="shared" si="204"/>
        <v>640.86206775737708</v>
      </c>
      <c r="N717" s="101">
        <f t="shared" si="205"/>
        <v>61.71640563440738</v>
      </c>
      <c r="O717" s="101">
        <f t="shared" si="206"/>
        <v>1.473164205268884</v>
      </c>
      <c r="P717" s="101">
        <f t="shared" si="207"/>
        <v>1.473164205268884</v>
      </c>
      <c r="Q717" s="101">
        <f t="shared" si="208"/>
        <v>0.50412071354442611</v>
      </c>
      <c r="R717" s="101">
        <f t="shared" si="209"/>
        <v>1.7163625964936247E-2</v>
      </c>
      <c r="S717" s="101">
        <f t="shared" si="211"/>
        <v>575.6780493729226</v>
      </c>
      <c r="T717" s="101">
        <f t="shared" si="212"/>
        <v>202.33099009786179</v>
      </c>
      <c r="U717" s="101">
        <f t="shared" si="213"/>
        <v>35.883735573536384</v>
      </c>
      <c r="V717" s="33">
        <f t="shared" si="214"/>
        <v>1000.0000000000002</v>
      </c>
      <c r="W717" s="105">
        <f>IF(A717=1,((cPH1_+cPHr+(cNES*L717+(cNES+cOSEX)*G717+(cNES+cEREX)*H717+(cNES+cHOEX)*I717 + (cNES+cNES)*S717 +(cNES+ cOSEX)*N717 + (cNES+cEREX)*O717 + (cNES+cHOEX)*P717)))/(1+cDR)^A$5:A$65536,(cPHr+(cNES*L717+(cNES+cOSEX)*G717+(cNES+cEREX)*H717+(cNES+cHOEX)*I717 + (cNES+cNES)*S717 +(cNES+ cOSEX)*N717 + (cNES+cEREX)*O717 + (cNES+cHOEX)*P717))/(1+cDR)^A$5:A$65536)</f>
        <v>65995.884583311796</v>
      </c>
      <c r="X717" s="112">
        <f t="shared" si="215"/>
        <v>761.7852743286021</v>
      </c>
      <c r="Y717" s="32">
        <f>(uNES*L717+ uOCEX*G717+uEREX*'PH + UC'!H717+uHOEX*I717+uNES*S717+ uOCEX*N717+uEREX*O717+uHOEX*P717)/(1+oDR)^A$5:A$65536</f>
        <v>408.72901981289914</v>
      </c>
    </row>
    <row r="718" spans="1:25" x14ac:dyDescent="0.25">
      <c r="A718" s="4">
        <v>712</v>
      </c>
      <c r="C718" s="110">
        <f>IF(male=0,VLOOKUP(((A716:A1550/'Life tables'!$I$2)*2)+age,lifetable,13,1),IF(male=1,VLOOKUP(((A716:A1550/'Life tables'!$I$2)*2)+age,lifetable,10,1),"error"))</f>
        <v>7.1453294378398535E-4</v>
      </c>
      <c r="F718" s="101">
        <f t="shared" si="198"/>
        <v>121.46044709537883</v>
      </c>
      <c r="G718" s="101">
        <f t="shared" si="199"/>
        <v>12.20095611344119</v>
      </c>
      <c r="H718" s="101">
        <f t="shared" si="200"/>
        <v>0.27920389116337641</v>
      </c>
      <c r="I718" s="101">
        <f t="shared" si="201"/>
        <v>0.27920389116337641</v>
      </c>
      <c r="J718" s="101">
        <f t="shared" si="202"/>
        <v>9.5904476661634208E-2</v>
      </c>
      <c r="K718" s="101">
        <f t="shared" si="203"/>
        <v>2.1886547421429661E-2</v>
      </c>
      <c r="L718" s="101">
        <f t="shared" si="210"/>
        <v>108.58329217552782</v>
      </c>
      <c r="M718" s="101">
        <f t="shared" si="204"/>
        <v>640.32482723322312</v>
      </c>
      <c r="N718" s="101">
        <f t="shared" si="205"/>
        <v>61.664668207931264</v>
      </c>
      <c r="O718" s="101">
        <f t="shared" si="206"/>
        <v>1.4719292382617508</v>
      </c>
      <c r="P718" s="101">
        <f t="shared" si="207"/>
        <v>1.4719292382617508</v>
      </c>
      <c r="Q718" s="101">
        <f t="shared" si="208"/>
        <v>0.50369810454631636</v>
      </c>
      <c r="R718" s="101">
        <f t="shared" si="209"/>
        <v>1.7149237540540881E-2</v>
      </c>
      <c r="S718" s="101">
        <f t="shared" si="211"/>
        <v>575.19545320668146</v>
      </c>
      <c r="T718" s="101">
        <f t="shared" si="212"/>
        <v>202.93059267906975</v>
      </c>
      <c r="U718" s="101">
        <f t="shared" si="213"/>
        <v>35.922771358498352</v>
      </c>
      <c r="V718" s="33">
        <f t="shared" si="214"/>
        <v>1000</v>
      </c>
      <c r="W718" s="105">
        <f>IF(A718=1,((cPH1_+cPHr+(cNES*L718+(cNES+cOSEX)*G718+(cNES+cEREX)*H718+(cNES+cHOEX)*I718 + (cNES+cNES)*S718 +(cNES+ cOSEX)*N718 + (cNES+cEREX)*O718 + (cNES+cHOEX)*P718)))/(1+cDR)^A$5:A$65536,(cPHr+(cNES*L718+(cNES+cOSEX)*G718+(cNES+cEREX)*H718+(cNES+cHOEX)*I718 + (cNES+cNES)*S718 +(cNES+ cOSEX)*N718 + (cNES+cEREX)*O718 + (cNES+cHOEX)*P718))/(1+cDR)^A$5:A$65536)</f>
        <v>65864.77783680064</v>
      </c>
      <c r="X718" s="112">
        <f t="shared" si="215"/>
        <v>761.1466359624319</v>
      </c>
      <c r="Y718" s="32">
        <f>(uNES*L718+ uOCEX*G718+uEREX*'PH + UC'!H718+uHOEX*I718+uNES*S718+ uOCEX*N718+uEREX*O718+uHOEX*P718)/(1+oDR)^A$5:A$65536</f>
        <v>408.26891703748026</v>
      </c>
    </row>
    <row r="719" spans="1:25" x14ac:dyDescent="0.25">
      <c r="A719" s="4">
        <v>713</v>
      </c>
      <c r="C719" s="110">
        <f>IF(male=0,VLOOKUP(((A717:A1551/'Life tables'!$I$2)*2)+age,lifetable,13,1),IF(male=1,VLOOKUP(((A717:A1551/'Life tables'!$I$2)*2)+age,lifetable,10,1),"error"))</f>
        <v>7.1453294378398535E-4</v>
      </c>
      <c r="F719" s="101">
        <f t="shared" si="198"/>
        <v>121.35859988302728</v>
      </c>
      <c r="G719" s="101">
        <f t="shared" si="199"/>
        <v>12.190725347806005</v>
      </c>
      <c r="H719" s="101">
        <f t="shared" si="200"/>
        <v>0.27896977266082917</v>
      </c>
      <c r="I719" s="101">
        <f t="shared" si="201"/>
        <v>0.27896977266082917</v>
      </c>
      <c r="J719" s="101">
        <f t="shared" si="202"/>
        <v>9.5824058683324373E-2</v>
      </c>
      <c r="K719" s="101">
        <f t="shared" si="203"/>
        <v>2.1868195077961651E-2</v>
      </c>
      <c r="L719" s="101">
        <f t="shared" si="210"/>
        <v>108.49224273613834</v>
      </c>
      <c r="M719" s="101">
        <f t="shared" si="204"/>
        <v>639.78803607940472</v>
      </c>
      <c r="N719" s="101">
        <f t="shared" si="205"/>
        <v>61.612974056792083</v>
      </c>
      <c r="O719" s="101">
        <f t="shared" si="206"/>
        <v>1.4706953042324244</v>
      </c>
      <c r="P719" s="101">
        <f t="shared" si="207"/>
        <v>1.4706953042324244</v>
      </c>
      <c r="Q719" s="101">
        <f t="shared" si="208"/>
        <v>0.50327584903596256</v>
      </c>
      <c r="R719" s="101">
        <f t="shared" si="209"/>
        <v>1.7134861151222557E-2</v>
      </c>
      <c r="S719" s="101">
        <f t="shared" si="211"/>
        <v>574.7132607039606</v>
      </c>
      <c r="T719" s="101">
        <f t="shared" si="212"/>
        <v>203.52969258678903</v>
      </c>
      <c r="U719" s="101">
        <f t="shared" si="213"/>
        <v>35.961774414727536</v>
      </c>
      <c r="V719" s="33">
        <f t="shared" si="214"/>
        <v>1000.0000000000001</v>
      </c>
      <c r="W719" s="105">
        <f>IF(A719=1,((cPH1_+cPHr+(cNES*L719+(cNES+cOSEX)*G719+(cNES+cEREX)*H719+(cNES+cHOEX)*I719 + (cNES+cNES)*S719 +(cNES+ cOSEX)*N719 + (cNES+cEREX)*O719 + (cNES+cHOEX)*P719)))/(1+cDR)^A$5:A$65536,(cPHr+(cNES*L719+(cNES+cOSEX)*G719+(cNES+cEREX)*H719+(cNES+cHOEX)*I719 + (cNES+cNES)*S719 +(cNES+ cOSEX)*N719 + (cNES+cEREX)*O719 + (cNES+cHOEX)*P719))/(1+cDR)^A$5:A$65536)</f>
        <v>65733.931517059711</v>
      </c>
      <c r="X719" s="112">
        <f t="shared" si="215"/>
        <v>760.50853299848359</v>
      </c>
      <c r="Y719" s="32">
        <f>(uNES*L719+ uOCEX*G719+uEREX*'PH + UC'!H719+uHOEX*I719+uNES*S719+ uOCEX*N719+uEREX*O719+uHOEX*P719)/(1+oDR)^A$5:A$65536</f>
        <v>407.80933219731043</v>
      </c>
    </row>
    <row r="720" spans="1:25" x14ac:dyDescent="0.25">
      <c r="A720" s="4">
        <v>714</v>
      </c>
      <c r="C720" s="110">
        <f>IF(male=0,VLOOKUP(((A718:A1552/'Life tables'!$I$2)*2)+age,lifetable,13,1),IF(male=1,VLOOKUP(((A718:A1552/'Life tables'!$I$2)*2)+age,lifetable,10,1),"error"))</f>
        <v>7.1453294378398535E-4</v>
      </c>
      <c r="F720" s="101">
        <f t="shared" si="198"/>
        <v>121.25683903283993</v>
      </c>
      <c r="G720" s="101">
        <f t="shared" si="199"/>
        <v>12.18050325743096</v>
      </c>
      <c r="H720" s="101">
        <f t="shared" si="200"/>
        <v>0.27873585268095213</v>
      </c>
      <c r="I720" s="101">
        <f t="shared" si="201"/>
        <v>0.27873585268095213</v>
      </c>
      <c r="J720" s="101">
        <f t="shared" si="202"/>
        <v>9.5743708896087062E-2</v>
      </c>
      <c r="K720" s="101">
        <f t="shared" si="203"/>
        <v>2.1849858296511128E-2</v>
      </c>
      <c r="L720" s="101">
        <f t="shared" si="210"/>
        <v>108.40127050285447</v>
      </c>
      <c r="M720" s="101">
        <f t="shared" si="204"/>
        <v>639.25169396564365</v>
      </c>
      <c r="N720" s="101">
        <f t="shared" si="205"/>
        <v>61.56132314918333</v>
      </c>
      <c r="O720" s="101">
        <f t="shared" si="206"/>
        <v>1.4694624024216871</v>
      </c>
      <c r="P720" s="101">
        <f t="shared" si="207"/>
        <v>1.4694624024216871</v>
      </c>
      <c r="Q720" s="101">
        <f t="shared" si="208"/>
        <v>0.50285394675355821</v>
      </c>
      <c r="R720" s="101">
        <f t="shared" si="209"/>
        <v>1.7120496788135736E-2</v>
      </c>
      <c r="S720" s="101">
        <f t="shared" si="211"/>
        <v>574.23147156807522</v>
      </c>
      <c r="T720" s="101">
        <f t="shared" si="212"/>
        <v>204.12829024243868</v>
      </c>
      <c r="U720" s="101">
        <f t="shared" si="213"/>
        <v>36.000744769812179</v>
      </c>
      <c r="V720" s="33">
        <f t="shared" si="214"/>
        <v>1000.0000000000001</v>
      </c>
      <c r="W720" s="105">
        <f>IF(A720=1,((cPH1_+cPHr+(cNES*L720+(cNES+cOSEX)*G720+(cNES+cEREX)*H720+(cNES+cHOEX)*I720 + (cNES+cNES)*S720 +(cNES+ cOSEX)*N720 + (cNES+cEREX)*O720 + (cNES+cHOEX)*P720)))/(1+cDR)^A$5:A$65536,(cPHr+(cNES*L720+(cNES+cOSEX)*G720+(cNES+cEREX)*H720+(cNES+cHOEX)*I720 + (cNES+cNES)*S720 +(cNES+ cOSEX)*N720 + (cNES+cEREX)*O720 + (cNES+cHOEX)*P720))/(1+cDR)^A$5:A$65536)</f>
        <v>65603.345108464258</v>
      </c>
      <c r="X720" s="112">
        <f t="shared" si="215"/>
        <v>759.87096498774929</v>
      </c>
      <c r="Y720" s="32">
        <f>(uNES*L720+ uOCEX*G720+uEREX*'PH + UC'!H720+uHOEX*I720+uNES*S720+ uOCEX*N720+uEREX*O720+uHOEX*P720)/(1+oDR)^A$5:A$65536</f>
        <v>407.35026470928523</v>
      </c>
    </row>
    <row r="721" spans="1:25" x14ac:dyDescent="0.25">
      <c r="A721" s="4">
        <v>715</v>
      </c>
      <c r="C721" s="110">
        <f>IF(male=0,VLOOKUP(((A719:A1553/'Life tables'!$I$2)*2)+age,lifetable,13,1),IF(male=1,VLOOKUP(((A719:A1553/'Life tables'!$I$2)*2)+age,lifetable,10,1),"error"))</f>
        <v>7.1453294378398535E-4</v>
      </c>
      <c r="F721" s="101">
        <f t="shared" si="198"/>
        <v>121.15516442792155</v>
      </c>
      <c r="G721" s="101">
        <f t="shared" si="199"/>
        <v>12.170289830573685</v>
      </c>
      <c r="H721" s="101">
        <f t="shared" si="200"/>
        <v>0.27850213095503573</v>
      </c>
      <c r="I721" s="101">
        <f t="shared" si="201"/>
        <v>0.27850213095503573</v>
      </c>
      <c r="J721" s="101">
        <f t="shared" si="202"/>
        <v>9.5663427207622526E-2</v>
      </c>
      <c r="K721" s="101">
        <f t="shared" si="203"/>
        <v>2.1831537056014184E-2</v>
      </c>
      <c r="L721" s="101">
        <f t="shared" si="210"/>
        <v>108.31037537117416</v>
      </c>
      <c r="M721" s="101">
        <f t="shared" si="204"/>
        <v>638.71580055982758</v>
      </c>
      <c r="N721" s="101">
        <f t="shared" si="205"/>
        <v>61.509715453121856</v>
      </c>
      <c r="O721" s="101">
        <f t="shared" si="206"/>
        <v>1.4682305320661042</v>
      </c>
      <c r="P721" s="101">
        <f t="shared" si="207"/>
        <v>1.4682305320661042</v>
      </c>
      <c r="Q721" s="101">
        <f t="shared" si="208"/>
        <v>0.50243239743785428</v>
      </c>
      <c r="R721" s="101">
        <f t="shared" si="209"/>
        <v>1.7106144442385753E-2</v>
      </c>
      <c r="S721" s="101">
        <f t="shared" si="211"/>
        <v>573.75008550069333</v>
      </c>
      <c r="T721" s="101">
        <f t="shared" si="212"/>
        <v>204.72638606708415</v>
      </c>
      <c r="U721" s="101">
        <f t="shared" si="213"/>
        <v>36.039682451310583</v>
      </c>
      <c r="V721" s="33">
        <f t="shared" si="214"/>
        <v>1000.0000000000001</v>
      </c>
      <c r="W721" s="105">
        <f>IF(A721=1,((cPH1_+cPHr+(cNES*L721+(cNES+cOSEX)*G721+(cNES+cEREX)*H721+(cNES+cHOEX)*I721 + (cNES+cNES)*S721 +(cNES+ cOSEX)*N721 + (cNES+cEREX)*O721 + (cNES+cHOEX)*P721)))/(1+cDR)^A$5:A$65536,(cPHr+(cNES*L721+(cNES+cOSEX)*G721+(cNES+cEREX)*H721+(cNES+cHOEX)*I721 + (cNES+cNES)*S721 +(cNES+ cOSEX)*N721 + (cNES+cEREX)*O721 + (cNES+cHOEX)*P721))/(1+cDR)^A$5:A$65536)</f>
        <v>65473.018096331805</v>
      </c>
      <c r="X721" s="112">
        <f t="shared" si="215"/>
        <v>759.2339314816054</v>
      </c>
      <c r="Y721" s="32">
        <f>(uNES*L721+ uOCEX*G721+uEREX*'PH + UC'!H721+uHOEX*I721+uNES*S721+ uOCEX*N721+uEREX*O721+uHOEX*P721)/(1+oDR)^A$5:A$65536</f>
        <v>406.8917139909596</v>
      </c>
    </row>
    <row r="722" spans="1:25" x14ac:dyDescent="0.25">
      <c r="A722" s="4">
        <v>716</v>
      </c>
      <c r="C722" s="110">
        <f>IF(male=0,VLOOKUP(((A720:A1554/'Life tables'!$I$2)*2)+age,lifetable,13,1),IF(male=1,VLOOKUP(((A720:A1554/'Life tables'!$I$2)*2)+age,lifetable,10,1),"error"))</f>
        <v>7.1453294378398535E-4</v>
      </c>
      <c r="F722" s="101">
        <f t="shared" si="198"/>
        <v>121.05357595349682</v>
      </c>
      <c r="G722" s="101">
        <f t="shared" si="199"/>
        <v>12.160085055704757</v>
      </c>
      <c r="H722" s="101">
        <f t="shared" si="200"/>
        <v>0.27826860721924329</v>
      </c>
      <c r="I722" s="101">
        <f t="shared" si="201"/>
        <v>0.27826860721924329</v>
      </c>
      <c r="J722" s="101">
        <f t="shared" si="202"/>
        <v>9.5583213527304783E-2</v>
      </c>
      <c r="K722" s="101">
        <f t="shared" si="203"/>
        <v>2.1813231335788885E-2</v>
      </c>
      <c r="L722" s="101">
        <f t="shared" si="210"/>
        <v>108.21955723849048</v>
      </c>
      <c r="M722" s="101">
        <f t="shared" si="204"/>
        <v>638.18035552810841</v>
      </c>
      <c r="N722" s="101">
        <f t="shared" si="205"/>
        <v>61.458150936457379</v>
      </c>
      <c r="O722" s="101">
        <f t="shared" si="206"/>
        <v>1.4669996923982516</v>
      </c>
      <c r="P722" s="101">
        <f t="shared" si="207"/>
        <v>1.4669996923982516</v>
      </c>
      <c r="Q722" s="101">
        <f t="shared" si="208"/>
        <v>0.50201120082623618</v>
      </c>
      <c r="R722" s="101">
        <f t="shared" si="209"/>
        <v>1.7091804105031458E-2</v>
      </c>
      <c r="S722" s="101">
        <f t="shared" si="211"/>
        <v>573.26910220192326</v>
      </c>
      <c r="T722" s="101">
        <f t="shared" si="212"/>
        <v>205.3239804814377</v>
      </c>
      <c r="U722" s="101">
        <f t="shared" si="213"/>
        <v>36.078587486751402</v>
      </c>
      <c r="V722" s="33">
        <f t="shared" si="214"/>
        <v>1000</v>
      </c>
      <c r="W722" s="105">
        <f>IF(A722=1,((cPH1_+cPHr+(cNES*L722+(cNES+cOSEX)*G722+(cNES+cEREX)*H722+(cNES+cHOEX)*I722 + (cNES+cNES)*S722 +(cNES+ cOSEX)*N722 + (cNES+cEREX)*O722 + (cNES+cHOEX)*P722)))/(1+cDR)^A$5:A$65536,(cPHr+(cNES*L722+(cNES+cOSEX)*G722+(cNES+cEREX)*H722+(cNES+cHOEX)*I722 + (cNES+cNES)*S722 +(cNES+ cOSEX)*N722 + (cNES+cEREX)*O722 + (cNES+cHOEX)*P722))/(1+cDR)^A$5:A$65536)</f>
        <v>65342.94996692428</v>
      </c>
      <c r="X722" s="112">
        <f t="shared" si="215"/>
        <v>758.59743203181085</v>
      </c>
      <c r="Y722" s="32">
        <f>(uNES*L722+ uOCEX*G722+uEREX*'PH + UC'!H722+uHOEX*I722+uNES*S722+ uOCEX*N722+uEREX*O722+uHOEX*P722)/(1+oDR)^A$5:A$65536</f>
        <v>406.43367946054752</v>
      </c>
    </row>
    <row r="723" spans="1:25" x14ac:dyDescent="0.25">
      <c r="A723" s="4">
        <v>717</v>
      </c>
      <c r="C723" s="110">
        <f>IF(male=0,VLOOKUP(((A721:A1555/'Life tables'!$I$2)*2)+age,lifetable,13,1),IF(male=1,VLOOKUP(((A721:A1555/'Life tables'!$I$2)*2)+age,lifetable,10,1),"error"))</f>
        <v>7.1453294378398535E-4</v>
      </c>
      <c r="F723" s="101">
        <f t="shared" si="198"/>
        <v>120.95207349681668</v>
      </c>
      <c r="G723" s="101">
        <f t="shared" si="199"/>
        <v>12.149888921498301</v>
      </c>
      <c r="H723" s="101">
        <f t="shared" si="200"/>
        <v>0.27803528121439591</v>
      </c>
      <c r="I723" s="101">
        <f t="shared" si="201"/>
        <v>0.27803528121439591</v>
      </c>
      <c r="J723" s="101">
        <f t="shared" si="202"/>
        <v>9.5503067766107841E-2</v>
      </c>
      <c r="K723" s="101">
        <f t="shared" si="203"/>
        <v>2.1794941115518437E-2</v>
      </c>
      <c r="L723" s="101">
        <f t="shared" si="210"/>
        <v>108.12881600400796</v>
      </c>
      <c r="M723" s="101">
        <f t="shared" si="204"/>
        <v>637.64535853499433</v>
      </c>
      <c r="N723" s="101">
        <f t="shared" si="205"/>
        <v>61.4066295668813</v>
      </c>
      <c r="O723" s="101">
        <f t="shared" si="206"/>
        <v>1.465769882646927</v>
      </c>
      <c r="P723" s="101">
        <f t="shared" si="207"/>
        <v>1.465769882646927</v>
      </c>
      <c r="Q723" s="101">
        <f t="shared" si="208"/>
        <v>0.5015903566547959</v>
      </c>
      <c r="R723" s="101">
        <f t="shared" si="209"/>
        <v>1.7077475767087683E-2</v>
      </c>
      <c r="S723" s="101">
        <f t="shared" si="211"/>
        <v>572.78852137039735</v>
      </c>
      <c r="T723" s="101">
        <f t="shared" si="212"/>
        <v>205.92107390585861</v>
      </c>
      <c r="U723" s="101">
        <f t="shared" si="213"/>
        <v>36.117459903634007</v>
      </c>
      <c r="V723" s="33">
        <f t="shared" si="214"/>
        <v>1000.0000000000001</v>
      </c>
      <c r="W723" s="105">
        <f>IF(A723=1,((cPH1_+cPHr+(cNES*L723+(cNES+cOSEX)*G723+(cNES+cEREX)*H723+(cNES+cHOEX)*I723 + (cNES+cNES)*S723 +(cNES+ cOSEX)*N723 + (cNES+cEREX)*O723 + (cNES+cHOEX)*P723)))/(1+cDR)^A$5:A$65536,(cPHr+(cNES*L723+(cNES+cOSEX)*G723+(cNES+cEREX)*H723+(cNES+cHOEX)*I723 + (cNES+cNES)*S723 +(cNES+ cOSEX)*N723 + (cNES+cEREX)*O723 + (cNES+cHOEX)*P723))/(1+cDR)^A$5:A$65536)</f>
        <v>65213.140207449498</v>
      </c>
      <c r="X723" s="112">
        <f t="shared" si="215"/>
        <v>757.96146619050751</v>
      </c>
      <c r="Y723" s="32">
        <f>(uNES*L723+ uOCEX*G723+uEREX*'PH + UC'!H723+uHOEX*I723+uNES*S723+ uOCEX*N723+uEREX*O723+uHOEX*P723)/(1+oDR)^A$5:A$65536</f>
        <v>405.97616053692087</v>
      </c>
    </row>
    <row r="724" spans="1:25" x14ac:dyDescent="0.25">
      <c r="A724" s="4">
        <v>718</v>
      </c>
      <c r="C724" s="110">
        <f>IF(male=0,VLOOKUP(((A722:A1556/'Life tables'!$I$2)*2)+age,lifetable,13,1),IF(male=1,VLOOKUP(((A722:A1556/'Life tables'!$I$2)*2)+age,lifetable,10,1),"error"))</f>
        <v>7.1453294378398535E-4</v>
      </c>
      <c r="F724" s="101">
        <f t="shared" si="198"/>
        <v>120.85065694706887</v>
      </c>
      <c r="G724" s="101">
        <f t="shared" si="199"/>
        <v>12.139701416822987</v>
      </c>
      <c r="H724" s="101">
        <f t="shared" si="200"/>
        <v>0.27780215268576702</v>
      </c>
      <c r="I724" s="101">
        <f t="shared" si="201"/>
        <v>0.27780215268576702</v>
      </c>
      <c r="J724" s="101">
        <f t="shared" si="202"/>
        <v>9.5422989836534966E-2</v>
      </c>
      <c r="K724" s="101">
        <f t="shared" si="203"/>
        <v>2.1776666375235041E-2</v>
      </c>
      <c r="L724" s="101">
        <f t="shared" si="210"/>
        <v>108.03815156866258</v>
      </c>
      <c r="M724" s="101">
        <f t="shared" si="204"/>
        <v>637.11080924343867</v>
      </c>
      <c r="N724" s="101">
        <f t="shared" si="205"/>
        <v>61.355151311935302</v>
      </c>
      <c r="O724" s="101">
        <f t="shared" si="206"/>
        <v>1.4645411020373531</v>
      </c>
      <c r="P724" s="101">
        <f t="shared" si="207"/>
        <v>1.4645411020373531</v>
      </c>
      <c r="Q724" s="101">
        <f t="shared" si="208"/>
        <v>0.50116986465840319</v>
      </c>
      <c r="R724" s="101">
        <f t="shared" si="209"/>
        <v>1.7063159419527605E-2</v>
      </c>
      <c r="S724" s="101">
        <f t="shared" si="211"/>
        <v>572.30834270335072</v>
      </c>
      <c r="T724" s="101">
        <f t="shared" si="212"/>
        <v>206.51766676035353</v>
      </c>
      <c r="U724" s="101">
        <f t="shared" si="213"/>
        <v>36.156299729428767</v>
      </c>
      <c r="V724" s="33">
        <f t="shared" si="214"/>
        <v>1000.0000000000001</v>
      </c>
      <c r="W724" s="105">
        <f>IF(A724=1,((cPH1_+cPHr+(cNES*L724+(cNES+cOSEX)*G724+(cNES+cEREX)*H724+(cNES+cHOEX)*I724 + (cNES+cNES)*S724 +(cNES+ cOSEX)*N724 + (cNES+cEREX)*O724 + (cNES+cHOEX)*P724)))/(1+cDR)^A$5:A$65536,(cPHr+(cNES*L724+(cNES+cOSEX)*G724+(cNES+cEREX)*H724+(cNES+cHOEX)*I724 + (cNES+cNES)*S724 +(cNES+ cOSEX)*N724 + (cNES+cEREX)*O724 + (cNES+cHOEX)*P724))/(1+cDR)^A$5:A$65536)</f>
        <v>65083.58830606292</v>
      </c>
      <c r="X724" s="112">
        <f t="shared" si="215"/>
        <v>757.32603351021783</v>
      </c>
      <c r="Y724" s="32">
        <f>(uNES*L724+ uOCEX*G724+uEREX*'PH + UC'!H724+uHOEX*I724+uNES*S724+ uOCEX*N724+uEREX*O724+uHOEX*P724)/(1+oDR)^A$5:A$65536</f>
        <v>405.51915663960813</v>
      </c>
    </row>
    <row r="725" spans="1:25" x14ac:dyDescent="0.25">
      <c r="A725" s="4">
        <v>719</v>
      </c>
      <c r="C725" s="110">
        <f>IF(male=0,VLOOKUP(((A723:A1557/'Life tables'!$I$2)*2)+age,lifetable,13,1),IF(male=1,VLOOKUP(((A723:A1557/'Life tables'!$I$2)*2)+age,lifetable,10,1),"error"))</f>
        <v>7.1453294378398535E-4</v>
      </c>
      <c r="F725" s="101">
        <f t="shared" si="198"/>
        <v>120.74932619529261</v>
      </c>
      <c r="G725" s="101">
        <f t="shared" si="199"/>
        <v>12.129522530733484</v>
      </c>
      <c r="H725" s="101">
        <f t="shared" si="200"/>
        <v>0.27756922138288598</v>
      </c>
      <c r="I725" s="101">
        <f t="shared" si="201"/>
        <v>0.27756922138288598</v>
      </c>
      <c r="J725" s="101">
        <f t="shared" si="202"/>
        <v>9.5342979652551382E-2</v>
      </c>
      <c r="K725" s="101">
        <f t="shared" si="203"/>
        <v>2.1758407095304525E-2</v>
      </c>
      <c r="L725" s="101">
        <f t="shared" si="210"/>
        <v>107.9475638350455</v>
      </c>
      <c r="M725" s="101">
        <f t="shared" si="204"/>
        <v>636.57670731492533</v>
      </c>
      <c r="N725" s="101">
        <f t="shared" si="205"/>
        <v>61.303716139019542</v>
      </c>
      <c r="O725" s="101">
        <f t="shared" si="206"/>
        <v>1.4633133497913755</v>
      </c>
      <c r="P725" s="101">
        <f t="shared" si="207"/>
        <v>1.4633133497913755</v>
      </c>
      <c r="Q725" s="101">
        <f t="shared" si="208"/>
        <v>0.50074972457077116</v>
      </c>
      <c r="R725" s="101">
        <f t="shared" si="209"/>
        <v>1.7048855053285066E-2</v>
      </c>
      <c r="S725" s="101">
        <f t="shared" si="211"/>
        <v>571.82856589669893</v>
      </c>
      <c r="T725" s="101">
        <f t="shared" si="212"/>
        <v>207.11375946457684</v>
      </c>
      <c r="U725" s="101">
        <f t="shared" si="213"/>
        <v>36.195106991577354</v>
      </c>
      <c r="V725" s="33">
        <f t="shared" si="214"/>
        <v>1000.0000000000002</v>
      </c>
      <c r="W725" s="105">
        <f>IF(A725=1,((cPH1_+cPHr+(cNES*L725+(cNES+cOSEX)*G725+(cNES+cEREX)*H725+(cNES+cHOEX)*I725 + (cNES+cNES)*S725 +(cNES+ cOSEX)*N725 + (cNES+cEREX)*O725 + (cNES+cHOEX)*P725)))/(1+cDR)^A$5:A$65536,(cPHr+(cNES*L725+(cNES+cOSEX)*G725+(cNES+cEREX)*H725+(cNES+cHOEX)*I725 + (cNES+cNES)*S725 +(cNES+ cOSEX)*N725 + (cNES+cEREX)*O725 + (cNES+cHOEX)*P725))/(1+cDR)^A$5:A$65536)</f>
        <v>64954.293751869074</v>
      </c>
      <c r="X725" s="112">
        <f t="shared" si="215"/>
        <v>756.69113354384604</v>
      </c>
      <c r="Y725" s="32">
        <f>(uNES*L725+ uOCEX*G725+uEREX*'PH + UC'!H725+uHOEX*I725+uNES*S725+ uOCEX*N725+uEREX*O725+uHOEX*P725)/(1+oDR)^A$5:A$65536</f>
        <v>405.06266718879374</v>
      </c>
    </row>
    <row r="726" spans="1:25" x14ac:dyDescent="0.25">
      <c r="A726" s="4">
        <v>720</v>
      </c>
      <c r="C726" s="110">
        <f>IF(male=0,VLOOKUP(((A724:A1558/'Life tables'!$I$2)*2)+age,lifetable,13,1),IF(male=1,VLOOKUP(((A724:A1558/'Life tables'!$I$2)*2)+age,lifetable,10,1),"error"))</f>
        <v>7.1453294378398535E-4</v>
      </c>
      <c r="F726" s="101">
        <f t="shared" si="198"/>
        <v>120.64808113429717</v>
      </c>
      <c r="G726" s="101">
        <f t="shared" si="199"/>
        <v>12.119352252462253</v>
      </c>
      <c r="H726" s="101">
        <f t="shared" si="200"/>
        <v>0.27733648705935099</v>
      </c>
      <c r="I726" s="101">
        <f t="shared" si="201"/>
        <v>0.27733648705935099</v>
      </c>
      <c r="J726" s="101">
        <f t="shared" si="202"/>
        <v>9.5263037129519834E-2</v>
      </c>
      <c r="K726" s="101">
        <f t="shared" si="203"/>
        <v>2.174016325641167E-2</v>
      </c>
      <c r="L726" s="101">
        <f t="shared" si="210"/>
        <v>107.85705270733028</v>
      </c>
      <c r="M726" s="101">
        <f t="shared" si="204"/>
        <v>636.04305240954886</v>
      </c>
      <c r="N726" s="101">
        <f t="shared" si="205"/>
        <v>61.252324015400404</v>
      </c>
      <c r="O726" s="101">
        <f t="shared" si="206"/>
        <v>1.4620866251276459</v>
      </c>
      <c r="P726" s="101">
        <f t="shared" si="207"/>
        <v>1.4620866251276459</v>
      </c>
      <c r="Q726" s="101">
        <f t="shared" si="208"/>
        <v>0.50032993612452048</v>
      </c>
      <c r="R726" s="101">
        <f t="shared" si="209"/>
        <v>1.7034562659256677E-2</v>
      </c>
      <c r="S726" s="101">
        <f t="shared" si="211"/>
        <v>571.34919064510939</v>
      </c>
      <c r="T726" s="101">
        <f t="shared" si="212"/>
        <v>207.70935243783089</v>
      </c>
      <c r="U726" s="101">
        <f t="shared" si="213"/>
        <v>36.23388171749302</v>
      </c>
      <c r="V726" s="33">
        <f t="shared" si="214"/>
        <v>1000.0000000000002</v>
      </c>
      <c r="W726" s="105">
        <f>IF(A726=1,((cPH1_+cPHr+(cNES*L726+(cNES+cOSEX)*G726+(cNES+cEREX)*H726+(cNES+cHOEX)*I726 + (cNES+cNES)*S726 +(cNES+ cOSEX)*N726 + (cNES+cEREX)*O726 + (cNES+cHOEX)*P726)))/(1+cDR)^A$5:A$65536,(cPHr+(cNES*L726+(cNES+cOSEX)*G726+(cNES+cEREX)*H726+(cNES+cHOEX)*I726 + (cNES+cNES)*S726 +(cNES+ cOSEX)*N726 + (cNES+cEREX)*O726 + (cNES+cHOEX)*P726))/(1+cDR)^A$5:A$65536)</f>
        <v>64825.256034922808</v>
      </c>
      <c r="X726" s="112">
        <f t="shared" si="215"/>
        <v>756.05676584467631</v>
      </c>
      <c r="Y726" s="32">
        <f>(uNES*L726+ uOCEX*G726+uEREX*'PH + UC'!H726+uHOEX*I726+uNES*S726+ uOCEX*N726+uEREX*O726+uHOEX*P726)/(1+oDR)^A$5:A$65536</f>
        <v>404.60669160531734</v>
      </c>
    </row>
    <row r="727" spans="1:25" x14ac:dyDescent="0.25">
      <c r="A727" s="4">
        <v>721</v>
      </c>
      <c r="C727" s="110">
        <f>IF(male=0,VLOOKUP(((A725:A1559/'Life tables'!$I$2)*2)+age,lifetable,13,1),IF(male=1,VLOOKUP(((A725:A1559/'Life tables'!$I$2)*2)+age,lifetable,10,1),"error"))</f>
        <v>7.1453294378398535E-4</v>
      </c>
      <c r="F727" s="101">
        <f t="shared" si="198"/>
        <v>120.54692165858403</v>
      </c>
      <c r="G727" s="101">
        <f t="shared" si="199"/>
        <v>12.10919057141175</v>
      </c>
      <c r="H727" s="101">
        <f t="shared" si="200"/>
        <v>0.27710394947265021</v>
      </c>
      <c r="I727" s="101">
        <f t="shared" si="201"/>
        <v>0.27710394947265021</v>
      </c>
      <c r="J727" s="101">
        <f t="shared" si="202"/>
        <v>9.5183162184139358E-2</v>
      </c>
      <c r="K727" s="101">
        <f t="shared" si="203"/>
        <v>2.1721934839546188E-2</v>
      </c>
      <c r="L727" s="101">
        <f t="shared" si="210"/>
        <v>107.7666180912033</v>
      </c>
      <c r="M727" s="101">
        <f t="shared" si="204"/>
        <v>635.50984418609232</v>
      </c>
      <c r="N727" s="101">
        <f t="shared" si="205"/>
        <v>61.200974908217944</v>
      </c>
      <c r="O727" s="101">
        <f t="shared" si="206"/>
        <v>1.4608609272618009</v>
      </c>
      <c r="P727" s="101">
        <f t="shared" si="207"/>
        <v>1.4608609272618009</v>
      </c>
      <c r="Q727" s="101">
        <f t="shared" si="208"/>
        <v>0.49991049905123985</v>
      </c>
      <c r="R727" s="101">
        <f t="shared" si="209"/>
        <v>1.7020282228303943E-2</v>
      </c>
      <c r="S727" s="101">
        <f t="shared" si="211"/>
        <v>570.87021664207123</v>
      </c>
      <c r="T727" s="101">
        <f t="shared" si="212"/>
        <v>208.30444609906627</v>
      </c>
      <c r="U727" s="101">
        <f t="shared" si="213"/>
        <v>36.272623934560869</v>
      </c>
      <c r="V727" s="33">
        <f t="shared" si="214"/>
        <v>1000.0000000000002</v>
      </c>
      <c r="W727" s="105">
        <f>IF(A727=1,((cPH1_+cPHr+(cNES*L727+(cNES+cOSEX)*G727+(cNES+cEREX)*H727+(cNES+cHOEX)*I727 + (cNES+cNES)*S727 +(cNES+ cOSEX)*N727 + (cNES+cEREX)*O727 + (cNES+cHOEX)*P727)))/(1+cDR)^A$5:A$65536,(cPHr+(cNES*L727+(cNES+cOSEX)*G727+(cNES+cEREX)*H727+(cNES+cHOEX)*I727 + (cNES+cNES)*S727 +(cNES+ cOSEX)*N727 + (cNES+cEREX)*O727 + (cNES+cHOEX)*P727))/(1+cDR)^A$5:A$65536)</f>
        <v>64696.474646230396</v>
      </c>
      <c r="X727" s="112">
        <f t="shared" si="215"/>
        <v>755.42292996637309</v>
      </c>
      <c r="Y727" s="32">
        <f>(uNES*L727+ uOCEX*G727+uEREX*'PH + UC'!H727+uHOEX*I727+uNES*S727+ uOCEX*N727+uEREX*O727+uHOEX*P727)/(1+oDR)^A$5:A$65536</f>
        <v>404.15122931067344</v>
      </c>
    </row>
    <row r="728" spans="1:25" x14ac:dyDescent="0.25">
      <c r="A728" s="4">
        <v>722</v>
      </c>
      <c r="C728" s="110">
        <f>IF(male=0,VLOOKUP(((A726:A1560/'Life tables'!$I$2)*2)+age,lifetable,13,1),IF(male=1,VLOOKUP(((A726:A1560/'Life tables'!$I$2)*2)+age,lifetable,10,1),"error"))</f>
        <v>7.1453294378398535E-4</v>
      </c>
      <c r="F728" s="101">
        <f t="shared" si="198"/>
        <v>120.44584766427276</v>
      </c>
      <c r="G728" s="101">
        <f t="shared" si="199"/>
        <v>12.099037477146968</v>
      </c>
      <c r="H728" s="101">
        <f t="shared" si="200"/>
        <v>0.27687160838399139</v>
      </c>
      <c r="I728" s="101">
        <f t="shared" si="201"/>
        <v>0.27687160838399139</v>
      </c>
      <c r="J728" s="101">
        <f t="shared" si="202"/>
        <v>9.5103354734386511E-2</v>
      </c>
      <c r="K728" s="101">
        <f t="shared" si="203"/>
        <v>2.1703721825989356E-2</v>
      </c>
      <c r="L728" s="101">
        <f t="shared" si="210"/>
        <v>107.67625989379744</v>
      </c>
      <c r="M728" s="101">
        <f t="shared" si="204"/>
        <v>634.97708230210048</v>
      </c>
      <c r="N728" s="101">
        <f t="shared" si="205"/>
        <v>61.149668784492988</v>
      </c>
      <c r="O728" s="101">
        <f t="shared" si="206"/>
        <v>1.4596362554066311</v>
      </c>
      <c r="P728" s="101">
        <f t="shared" si="207"/>
        <v>1.4596362554066311</v>
      </c>
      <c r="Q728" s="101">
        <f t="shared" si="208"/>
        <v>0.49949141308154438</v>
      </c>
      <c r="R728" s="101">
        <f t="shared" si="209"/>
        <v>1.7006013751255194E-2</v>
      </c>
      <c r="S728" s="101">
        <f t="shared" si="211"/>
        <v>570.3916435799614</v>
      </c>
      <c r="T728" s="101">
        <f t="shared" si="212"/>
        <v>208.89904086688219</v>
      </c>
      <c r="U728" s="101">
        <f t="shared" si="213"/>
        <v>36.311333670138112</v>
      </c>
      <c r="V728" s="33">
        <f t="shared" si="214"/>
        <v>1000.0000000000002</v>
      </c>
      <c r="W728" s="105">
        <f>IF(A728=1,((cPH1_+cPHr+(cNES*L728+(cNES+cOSEX)*G728+(cNES+cEREX)*H728+(cNES+cHOEX)*I728 + (cNES+cNES)*S728 +(cNES+ cOSEX)*N728 + (cNES+cEREX)*O728 + (cNES+cHOEX)*P728)))/(1+cDR)^A$5:A$65536,(cPHr+(cNES*L728+(cNES+cOSEX)*G728+(cNES+cEREX)*H728+(cNES+cHOEX)*I728 + (cNES+cNES)*S728 +(cNES+ cOSEX)*N728 + (cNES+cEREX)*O728 + (cNES+cHOEX)*P728))/(1+cDR)^A$5:A$65536)</f>
        <v>64567.949077750578</v>
      </c>
      <c r="X728" s="112">
        <f t="shared" si="215"/>
        <v>754.78962546297998</v>
      </c>
      <c r="Y728" s="32">
        <f>(uNES*L728+ uOCEX*G728+uEREX*'PH + UC'!H728+uHOEX*I728+uNES*S728+ uOCEX*N728+uEREX*O728+uHOEX*P728)/(1+oDR)^A$5:A$65536</f>
        <v>403.69627972700977</v>
      </c>
    </row>
    <row r="729" spans="1:25" x14ac:dyDescent="0.25">
      <c r="A729" s="4">
        <v>723</v>
      </c>
      <c r="C729" s="110">
        <f>IF(male=0,VLOOKUP(((A727:A1561/'Life tables'!$I$2)*2)+age,lifetable,13,1),IF(male=1,VLOOKUP(((A727:A1561/'Life tables'!$I$2)*2)+age,lifetable,10,1),"error"))</f>
        <v>7.1453294378398535E-4</v>
      </c>
      <c r="F729" s="101">
        <f t="shared" si="198"/>
        <v>120.34485904903003</v>
      </c>
      <c r="G729" s="101">
        <f t="shared" si="199"/>
        <v>12.088892959388309</v>
      </c>
      <c r="H729" s="101">
        <f t="shared" si="200"/>
        <v>0.27663946355813851</v>
      </c>
      <c r="I729" s="101">
        <f t="shared" si="201"/>
        <v>0.27663946355813851</v>
      </c>
      <c r="J729" s="101">
        <f t="shared" si="202"/>
        <v>9.5023614699459483E-2</v>
      </c>
      <c r="K729" s="101">
        <f t="shared" si="203"/>
        <v>2.1685524197301239E-2</v>
      </c>
      <c r="L729" s="101">
        <f t="shared" si="210"/>
        <v>107.58597802362868</v>
      </c>
      <c r="M729" s="101">
        <f t="shared" si="204"/>
        <v>634.44476641394999</v>
      </c>
      <c r="N729" s="101">
        <f t="shared" si="205"/>
        <v>61.098405611133863</v>
      </c>
      <c r="O729" s="101">
        <f t="shared" si="206"/>
        <v>1.4584126087722418</v>
      </c>
      <c r="P729" s="101">
        <f t="shared" si="207"/>
        <v>1.4584126087722418</v>
      </c>
      <c r="Q729" s="101">
        <f t="shared" si="208"/>
        <v>0.49907267794512949</v>
      </c>
      <c r="R729" s="101">
        <f t="shared" si="209"/>
        <v>1.6991757218907479E-2</v>
      </c>
      <c r="S729" s="101">
        <f t="shared" si="211"/>
        <v>569.91347115010763</v>
      </c>
      <c r="T729" s="101">
        <f t="shared" si="212"/>
        <v>209.49313715952678</v>
      </c>
      <c r="U729" s="101">
        <f t="shared" si="213"/>
        <v>36.350010951554317</v>
      </c>
      <c r="V729" s="33">
        <f t="shared" si="214"/>
        <v>1000.0000000000003</v>
      </c>
      <c r="W729" s="105">
        <f>IF(A729=1,((cPH1_+cPHr+(cNES*L729+(cNES+cOSEX)*G729+(cNES+cEREX)*H729+(cNES+cHOEX)*I729 + (cNES+cNES)*S729 +(cNES+ cOSEX)*N729 + (cNES+cEREX)*O729 + (cNES+cHOEX)*P729)))/(1+cDR)^A$5:A$65536,(cPHr+(cNES*L729+(cNES+cOSEX)*G729+(cNES+cEREX)*H729+(cNES+cHOEX)*I729 + (cNES+cNES)*S729 +(cNES+ cOSEX)*N729 + (cNES+cEREX)*O729 + (cNES+cHOEX)*P729))/(1+cDR)^A$5:A$65536)</f>
        <v>64439.678822395224</v>
      </c>
      <c r="X729" s="112">
        <f t="shared" si="215"/>
        <v>754.15685188891928</v>
      </c>
      <c r="Y729" s="32">
        <f>(uNES*L729+ uOCEX*G729+uEREX*'PH + UC'!H729+uHOEX*I729+uNES*S729+ uOCEX*N729+uEREX*O729+uHOEX*P729)/(1+oDR)^A$5:A$65536</f>
        <v>403.24184227712635</v>
      </c>
    </row>
    <row r="730" spans="1:25" x14ac:dyDescent="0.25">
      <c r="A730" s="4">
        <v>724</v>
      </c>
      <c r="C730" s="110">
        <f>IF(male=0,VLOOKUP(((A728:A1562/'Life tables'!$I$2)*2)+age,lifetable,13,1),IF(male=1,VLOOKUP(((A728:A1562/'Life tables'!$I$2)*2)+age,lifetable,10,1),"error"))</f>
        <v>7.1453294378398535E-4</v>
      </c>
      <c r="F730" s="101">
        <f t="shared" si="198"/>
        <v>120.24395571200209</v>
      </c>
      <c r="G730" s="101">
        <f t="shared" si="199"/>
        <v>12.078757008004803</v>
      </c>
      <c r="H730" s="101">
        <f t="shared" si="200"/>
        <v>0.27640751476325676</v>
      </c>
      <c r="I730" s="101">
        <f t="shared" si="201"/>
        <v>0.27640751476325676</v>
      </c>
      <c r="J730" s="101">
        <f t="shared" si="202"/>
        <v>9.4943941999724737E-2</v>
      </c>
      <c r="K730" s="101">
        <f t="shared" si="203"/>
        <v>2.1667341935308507E-2</v>
      </c>
      <c r="L730" s="101">
        <f t="shared" si="210"/>
        <v>107.49577239053573</v>
      </c>
      <c r="M730" s="101">
        <f t="shared" si="204"/>
        <v>633.91289617691723</v>
      </c>
      <c r="N730" s="101">
        <f t="shared" si="205"/>
        <v>61.047185354942933</v>
      </c>
      <c r="O730" s="101">
        <f t="shared" si="206"/>
        <v>1.4571899865662084</v>
      </c>
      <c r="P730" s="101">
        <f t="shared" si="207"/>
        <v>1.4571899865662084</v>
      </c>
      <c r="Q730" s="101">
        <f t="shared" si="208"/>
        <v>0.4986542933708259</v>
      </c>
      <c r="R730" s="101">
        <f t="shared" si="209"/>
        <v>1.6977512622028373E-2</v>
      </c>
      <c r="S730" s="101">
        <f t="shared" si="211"/>
        <v>569.43569904284902</v>
      </c>
      <c r="T730" s="101">
        <f t="shared" si="212"/>
        <v>210.08673539489735</v>
      </c>
      <c r="U730" s="101">
        <f t="shared" si="213"/>
        <v>36.388655806111657</v>
      </c>
      <c r="V730" s="33">
        <f t="shared" si="214"/>
        <v>1000.0000000000005</v>
      </c>
      <c r="W730" s="105">
        <f>IF(A730=1,((cPH1_+cPHr+(cNES*L730+(cNES+cOSEX)*G730+(cNES+cEREX)*H730+(cNES+cHOEX)*I730 + (cNES+cNES)*S730 +(cNES+ cOSEX)*N730 + (cNES+cEREX)*O730 + (cNES+cHOEX)*P730)))/(1+cDR)^A$5:A$65536,(cPHr+(cNES*L730+(cNES+cOSEX)*G730+(cNES+cEREX)*H730+(cNES+cHOEX)*I730 + (cNES+cNES)*S730 +(cNES+ cOSEX)*N730 + (cNES+cEREX)*O730 + (cNES+cHOEX)*P730))/(1+cDR)^A$5:A$65536)</f>
        <v>64311.663374030402</v>
      </c>
      <c r="X730" s="112">
        <f t="shared" si="215"/>
        <v>753.52460879899149</v>
      </c>
      <c r="Y730" s="32">
        <f>(uNES*L730+ uOCEX*G730+uEREX*'PH + UC'!H730+uHOEX*I730+uNES*S730+ uOCEX*N730+uEREX*O730+uHOEX*P730)/(1+oDR)^A$5:A$65536</f>
        <v>402.78791638447524</v>
      </c>
    </row>
    <row r="731" spans="1:25" x14ac:dyDescent="0.25">
      <c r="A731" s="4">
        <v>725</v>
      </c>
      <c r="C731" s="110">
        <f>IF(male=0,VLOOKUP(((A729:A1563/'Life tables'!$I$2)*2)+age,lifetable,13,1),IF(male=1,VLOOKUP(((A729:A1563/'Life tables'!$I$2)*2)+age,lifetable,10,1),"error"))</f>
        <v>7.1453294378398535E-4</v>
      </c>
      <c r="F731" s="101">
        <f t="shared" si="198"/>
        <v>120.14313755375004</v>
      </c>
      <c r="G731" s="101">
        <f t="shared" si="199"/>
        <v>12.068629613007603</v>
      </c>
      <c r="H731" s="101">
        <f t="shared" si="200"/>
        <v>0.27617576177076369</v>
      </c>
      <c r="I731" s="101">
        <f t="shared" si="201"/>
        <v>0.27617576177076369</v>
      </c>
      <c r="J731" s="101">
        <f t="shared" si="202"/>
        <v>9.4864336556665887E-2</v>
      </c>
      <c r="K731" s="101">
        <f t="shared" si="203"/>
        <v>2.1649175022092782E-2</v>
      </c>
      <c r="L731" s="101">
        <f t="shared" si="210"/>
        <v>107.40564290562214</v>
      </c>
      <c r="M731" s="101">
        <f t="shared" si="204"/>
        <v>633.3814712452413</v>
      </c>
      <c r="N731" s="101">
        <f t="shared" si="205"/>
        <v>60.996007982622672</v>
      </c>
      <c r="O731" s="101">
        <f t="shared" si="206"/>
        <v>1.4559683879937231</v>
      </c>
      <c r="P731" s="101">
        <f t="shared" si="207"/>
        <v>1.4559683879937231</v>
      </c>
      <c r="Q731" s="101">
        <f t="shared" si="208"/>
        <v>0.49823625908664798</v>
      </c>
      <c r="R731" s="101">
        <f t="shared" si="209"/>
        <v>1.6963279951357685E-2</v>
      </c>
      <c r="S731" s="101">
        <f t="shared" si="211"/>
        <v>568.95832694759315</v>
      </c>
      <c r="T731" s="101">
        <f t="shared" si="212"/>
        <v>210.67983599054065</v>
      </c>
      <c r="U731" s="101">
        <f t="shared" si="213"/>
        <v>36.427268261085111</v>
      </c>
      <c r="V731" s="33">
        <f t="shared" si="214"/>
        <v>1000.0000000000002</v>
      </c>
      <c r="W731" s="105">
        <f>IF(A731=1,((cPH1_+cPHr+(cNES*L731+(cNES+cOSEX)*G731+(cNES+cEREX)*H731+(cNES+cHOEX)*I731 + (cNES+cNES)*S731 +(cNES+ cOSEX)*N731 + (cNES+cEREX)*O731 + (cNES+cHOEX)*P731)))/(1+cDR)^A$5:A$65536,(cPHr+(cNES*L731+(cNES+cOSEX)*G731+(cNES+cEREX)*H731+(cNES+cHOEX)*I731 + (cNES+cNES)*S731 +(cNES+ cOSEX)*N731 + (cNES+cEREX)*O731 + (cNES+cHOEX)*P731))/(1+cDR)^A$5:A$65536)</f>
        <v>64183.902227476567</v>
      </c>
      <c r="X731" s="112">
        <f t="shared" si="215"/>
        <v>752.89289574837449</v>
      </c>
      <c r="Y731" s="32">
        <f>(uNES*L731+ uOCEX*G731+uEREX*'PH + UC'!H731+uHOEX*I731+uNES*S731+ uOCEX*N731+uEREX*O731+uHOEX*P731)/(1+oDR)^A$5:A$65536</f>
        <v>402.33450147315966</v>
      </c>
    </row>
    <row r="732" spans="1:25" x14ac:dyDescent="0.25">
      <c r="A732" s="4">
        <v>726</v>
      </c>
      <c r="C732" s="110">
        <f>IF(male=0,VLOOKUP(((A730:A1564/'Life tables'!$I$2)*2)+age,lifetable,13,1),IF(male=1,VLOOKUP(((A730:A1564/'Life tables'!$I$2)*2)+age,lifetable,10,1),"error"))</f>
        <v>7.1453294378398535E-4</v>
      </c>
      <c r="F732" s="101">
        <f t="shared" si="198"/>
        <v>120.04240447618831</v>
      </c>
      <c r="G732" s="101">
        <f t="shared" si="199"/>
        <v>12.058510764543811</v>
      </c>
      <c r="H732" s="101">
        <f t="shared" si="200"/>
        <v>0.27594420435518779</v>
      </c>
      <c r="I732" s="101">
        <f t="shared" si="201"/>
        <v>0.27594420435518779</v>
      </c>
      <c r="J732" s="101">
        <f t="shared" si="202"/>
        <v>9.4784798292835135E-2</v>
      </c>
      <c r="K732" s="101">
        <f t="shared" si="203"/>
        <v>2.1631023439979552E-2</v>
      </c>
      <c r="L732" s="101">
        <f t="shared" si="210"/>
        <v>107.3155894812013</v>
      </c>
      <c r="M732" s="101">
        <f t="shared" si="204"/>
        <v>632.85049127218622</v>
      </c>
      <c r="N732" s="101">
        <f t="shared" si="205"/>
        <v>60.944873460781665</v>
      </c>
      <c r="O732" s="101">
        <f t="shared" si="206"/>
        <v>1.4547478122577355</v>
      </c>
      <c r="P732" s="101">
        <f t="shared" si="207"/>
        <v>1.4547478122577355</v>
      </c>
      <c r="Q732" s="101">
        <f t="shared" si="208"/>
        <v>0.49781857481984304</v>
      </c>
      <c r="R732" s="101">
        <f t="shared" si="209"/>
        <v>1.6949059197609095E-2</v>
      </c>
      <c r="S732" s="101">
        <f t="shared" si="211"/>
        <v>568.48135455287161</v>
      </c>
      <c r="T732" s="101">
        <f t="shared" si="212"/>
        <v>211.27243936365332</v>
      </c>
      <c r="U732" s="101">
        <f t="shared" si="213"/>
        <v>36.465848343722698</v>
      </c>
      <c r="V732" s="33">
        <f t="shared" si="214"/>
        <v>1000.0000000000002</v>
      </c>
      <c r="W732" s="105">
        <f>IF(A732=1,((cPH1_+cPHr+(cNES*L732+(cNES+cOSEX)*G732+(cNES+cEREX)*H732+(cNES+cHOEX)*I732 + (cNES+cNES)*S732 +(cNES+ cOSEX)*N732 + (cNES+cEREX)*O732 + (cNES+cHOEX)*P732)))/(1+cDR)^A$5:A$65536,(cPHr+(cNES*L732+(cNES+cOSEX)*G732+(cNES+cEREX)*H732+(cNES+cHOEX)*I732 + (cNES+cNES)*S732 +(cNES+ cOSEX)*N732 + (cNES+cEREX)*O732 + (cNES+cHOEX)*P732))/(1+cDR)^A$5:A$65536)</f>
        <v>64056.394878509309</v>
      </c>
      <c r="X732" s="112">
        <f t="shared" si="215"/>
        <v>752.26171229262422</v>
      </c>
      <c r="Y732" s="32">
        <f>(uNES*L732+ uOCEX*G732+uEREX*'PH + UC'!H732+uHOEX*I732+uNES*S732+ uOCEX*N732+uEREX*O732+uHOEX*P732)/(1+oDR)^A$5:A$65536</f>
        <v>401.88159696793298</v>
      </c>
    </row>
    <row r="733" spans="1:25" x14ac:dyDescent="0.25">
      <c r="A733" s="4">
        <v>727</v>
      </c>
      <c r="C733" s="110">
        <f>IF(male=0,VLOOKUP(((A731:A1565/'Life tables'!$I$2)*2)+age,lifetable,13,1),IF(male=1,VLOOKUP(((A731:A1565/'Life tables'!$I$2)*2)+age,lifetable,10,1),"error"))</f>
        <v>7.1453294378398535E-4</v>
      </c>
      <c r="F733" s="101">
        <f t="shared" si="198"/>
        <v>119.94175638252584</v>
      </c>
      <c r="G733" s="101">
        <f t="shared" si="199"/>
        <v>12.048400452890563</v>
      </c>
      <c r="H733" s="101">
        <f t="shared" si="200"/>
        <v>0.27571284229403326</v>
      </c>
      <c r="I733" s="101">
        <f t="shared" si="201"/>
        <v>0.27571284229403326</v>
      </c>
      <c r="J733" s="101">
        <f t="shared" si="202"/>
        <v>9.4705327131806807E-2</v>
      </c>
      <c r="K733" s="101">
        <f t="shared" si="203"/>
        <v>2.1612887171527564E-2</v>
      </c>
      <c r="L733" s="101">
        <f t="shared" si="210"/>
        <v>107.22561203074387</v>
      </c>
      <c r="M733" s="101">
        <f t="shared" si="204"/>
        <v>632.31995591009854</v>
      </c>
      <c r="N733" s="101">
        <f t="shared" si="205"/>
        <v>60.893781755940125</v>
      </c>
      <c r="O733" s="101">
        <f t="shared" si="206"/>
        <v>1.4535282585590874</v>
      </c>
      <c r="P733" s="101">
        <f t="shared" si="207"/>
        <v>1.4535282585590874</v>
      </c>
      <c r="Q733" s="101">
        <f t="shared" si="208"/>
        <v>0.49740124029693689</v>
      </c>
      <c r="R733" s="101">
        <f t="shared" si="209"/>
        <v>1.6934850351471721E-2</v>
      </c>
      <c r="S733" s="101">
        <f t="shared" si="211"/>
        <v>568.00478154639177</v>
      </c>
      <c r="T733" s="101">
        <f t="shared" si="212"/>
        <v>211.86454593108206</v>
      </c>
      <c r="U733" s="101">
        <f t="shared" si="213"/>
        <v>36.504396081245694</v>
      </c>
      <c r="V733" s="33">
        <f t="shared" si="214"/>
        <v>1000.0000000000003</v>
      </c>
      <c r="W733" s="105">
        <f>IF(A733=1,((cPH1_+cPHr+(cNES*L733+(cNES+cOSEX)*G733+(cNES+cEREX)*H733+(cNES+cHOEX)*I733 + (cNES+cNES)*S733 +(cNES+ cOSEX)*N733 + (cNES+cEREX)*O733 + (cNES+cHOEX)*P733)))/(1+cDR)^A$5:A$65536,(cPHr+(cNES*L733+(cNES+cOSEX)*G733+(cNES+cEREX)*H733+(cNES+cHOEX)*I733 + (cNES+cNES)*S733 +(cNES+ cOSEX)*N733 + (cNES+cEREX)*O733 + (cNES+cHOEX)*P733))/(1+cDR)^A$5:A$65536)</f>
        <v>63929.140823859605</v>
      </c>
      <c r="X733" s="112">
        <f t="shared" si="215"/>
        <v>751.63105798767253</v>
      </c>
      <c r="Y733" s="32">
        <f>(uNES*L733+ uOCEX*G733+uEREX*'PH + UC'!H733+uHOEX*I733+uNES*S733+ uOCEX*N733+uEREX*O733+uHOEX*P733)/(1+oDR)^A$5:A$65536</f>
        <v>401.42920229419815</v>
      </c>
    </row>
    <row r="734" spans="1:25" x14ac:dyDescent="0.25">
      <c r="A734" s="4">
        <v>728</v>
      </c>
      <c r="C734" s="110">
        <f>IF(male=0,VLOOKUP(((A732:A1566/'Life tables'!$I$2)*2)+age,lifetable,13,1),IF(male=1,VLOOKUP(((A732:A1566/'Life tables'!$I$2)*2)+age,lifetable,10,1),"error"))</f>
        <v>7.1453294378398535E-4</v>
      </c>
      <c r="F734" s="101">
        <f t="shared" si="198"/>
        <v>119.84119317720979</v>
      </c>
      <c r="G734" s="101">
        <f t="shared" si="199"/>
        <v>12.038298668449372</v>
      </c>
      <c r="H734" s="101">
        <f t="shared" si="200"/>
        <v>0.27548167536765061</v>
      </c>
      <c r="I734" s="101">
        <f t="shared" si="201"/>
        <v>0.27548167536765061</v>
      </c>
      <c r="J734" s="101">
        <f t="shared" si="202"/>
        <v>9.4625922998132911E-2</v>
      </c>
      <c r="K734" s="101">
        <f t="shared" si="203"/>
        <v>2.1594766199518691E-2</v>
      </c>
      <c r="L734" s="101">
        <f t="shared" si="210"/>
        <v>107.13571046882747</v>
      </c>
      <c r="M734" s="101">
        <f t="shared" si="204"/>
        <v>631.78986481046286</v>
      </c>
      <c r="N734" s="101">
        <f t="shared" si="205"/>
        <v>60.842732834535262</v>
      </c>
      <c r="O734" s="101">
        <f t="shared" si="206"/>
        <v>1.4523097260966378</v>
      </c>
      <c r="P734" s="101">
        <f t="shared" si="207"/>
        <v>1.4523097260966378</v>
      </c>
      <c r="Q734" s="101">
        <f t="shared" si="208"/>
        <v>0.4969842552437771</v>
      </c>
      <c r="R734" s="101">
        <f t="shared" si="209"/>
        <v>1.6920653403611586E-2</v>
      </c>
      <c r="S734" s="101">
        <f t="shared" si="211"/>
        <v>567.52860761508691</v>
      </c>
      <c r="T734" s="101">
        <f t="shared" si="212"/>
        <v>212.45615610932398</v>
      </c>
      <c r="U734" s="101">
        <f t="shared" si="213"/>
        <v>36.542911500848824</v>
      </c>
      <c r="V734" s="33">
        <f t="shared" si="214"/>
        <v>1000.0000000000003</v>
      </c>
      <c r="W734" s="105">
        <f>IF(A734=1,((cPH1_+cPHr+(cNES*L734+(cNES+cOSEX)*G734+(cNES+cEREX)*H734+(cNES+cHOEX)*I734 + (cNES+cNES)*S734 +(cNES+ cOSEX)*N734 + (cNES+cEREX)*O734 + (cNES+cHOEX)*P734)))/(1+cDR)^A$5:A$65536,(cPHr+(cNES*L734+(cNES+cOSEX)*G734+(cNES+cEREX)*H734+(cNES+cHOEX)*I734 + (cNES+cNES)*S734 +(cNES+ cOSEX)*N734 + (cNES+cEREX)*O734 + (cNES+cHOEX)*P734))/(1+cDR)^A$5:A$65536)</f>
        <v>63802.13956121415</v>
      </c>
      <c r="X734" s="112">
        <f t="shared" si="215"/>
        <v>751.00093238982754</v>
      </c>
      <c r="Y734" s="32">
        <f>(uNES*L734+ uOCEX*G734+uEREX*'PH + UC'!H734+uHOEX*I734+uNES*S734+ uOCEX*N734+uEREX*O734+uHOEX*P734)/(1+oDR)^A$5:A$65536</f>
        <v>400.97731687800564</v>
      </c>
    </row>
    <row r="735" spans="1:25" x14ac:dyDescent="0.25">
      <c r="A735" s="4">
        <v>729</v>
      </c>
      <c r="C735" s="110">
        <f>IF(male=0,VLOOKUP(((A733:A1567/'Life tables'!$I$2)*2)+age,lifetable,13,1),IF(male=1,VLOOKUP(((A733:A1567/'Life tables'!$I$2)*2)+age,lifetable,10,1),"error"))</f>
        <v>7.1453294378398535E-4</v>
      </c>
      <c r="F735" s="101">
        <f t="shared" si="198"/>
        <v>119.74071476587201</v>
      </c>
      <c r="G735" s="101">
        <f t="shared" si="199"/>
        <v>12.028205401740763</v>
      </c>
      <c r="H735" s="101">
        <f t="shared" si="200"/>
        <v>0.27525070335911361</v>
      </c>
      <c r="I735" s="101">
        <f t="shared" si="201"/>
        <v>0.27525070335911361</v>
      </c>
      <c r="J735" s="101">
        <f t="shared" si="202"/>
        <v>9.454658581730091E-2</v>
      </c>
      <c r="K735" s="101">
        <f t="shared" si="203"/>
        <v>2.1576660506948276E-2</v>
      </c>
      <c r="L735" s="101">
        <f t="shared" si="210"/>
        <v>107.04588471108877</v>
      </c>
      <c r="M735" s="101">
        <f t="shared" si="204"/>
        <v>631.26021762395544</v>
      </c>
      <c r="N735" s="101">
        <f t="shared" si="205"/>
        <v>60.791726662926443</v>
      </c>
      <c r="O735" s="101">
        <f t="shared" si="206"/>
        <v>1.4510922140673885</v>
      </c>
      <c r="P735" s="101">
        <f t="shared" si="207"/>
        <v>1.4510922140673885</v>
      </c>
      <c r="Q735" s="101">
        <f t="shared" si="208"/>
        <v>0.49656761938557553</v>
      </c>
      <c r="R735" s="101">
        <f t="shared" si="209"/>
        <v>1.6906468344673076E-2</v>
      </c>
      <c r="S735" s="101">
        <f t="shared" si="211"/>
        <v>567.05283244516397</v>
      </c>
      <c r="T735" s="101">
        <f t="shared" si="212"/>
        <v>213.04727031452686</v>
      </c>
      <c r="U735" s="101">
        <f t="shared" si="213"/>
        <v>36.581394629700448</v>
      </c>
      <c r="V735" s="33">
        <f t="shared" si="214"/>
        <v>1000.0000000000002</v>
      </c>
      <c r="W735" s="105">
        <f>IF(A735=1,((cPH1_+cPHr+(cNES*L735+(cNES+cOSEX)*G735+(cNES+cEREX)*H735+(cNES+cHOEX)*I735 + (cNES+cNES)*S735 +(cNES+ cOSEX)*N735 + (cNES+cEREX)*O735 + (cNES+cHOEX)*P735)))/(1+cDR)^A$5:A$65536,(cPHr+(cNES*L735+(cNES+cOSEX)*G735+(cNES+cEREX)*H735+(cNES+cHOEX)*I735 + (cNES+cNES)*S735 +(cNES+ cOSEX)*N735 + (cNES+cEREX)*O735 + (cNES+cHOEX)*P735))/(1+cDR)^A$5:A$65536)</f>
        <v>63675.390589215393</v>
      </c>
      <c r="X735" s="112">
        <f t="shared" si="215"/>
        <v>750.37133505577299</v>
      </c>
      <c r="Y735" s="32">
        <f>(uNES*L735+ uOCEX*G735+uEREX*'PH + UC'!H735+uHOEX*I735+uNES*S735+ uOCEX*N735+uEREX*O735+uHOEX*P735)/(1+oDR)^A$5:A$65536</f>
        <v>400.52594014605478</v>
      </c>
    </row>
    <row r="736" spans="1:25" x14ac:dyDescent="0.25">
      <c r="A736" s="4">
        <v>730</v>
      </c>
      <c r="C736" s="110">
        <f>IF(male=0,VLOOKUP(((A734:A1568/'Life tables'!$I$2)*2)+age,lifetable,13,1),IF(male=1,VLOOKUP(((A734:A1568/'Life tables'!$I$2)*2)+age,lifetable,10,1),"error"))</f>
        <v>7.1453294378398535E-4</v>
      </c>
      <c r="F736" s="101">
        <f t="shared" si="198"/>
        <v>119.64032105527785</v>
      </c>
      <c r="G736" s="101">
        <f t="shared" si="199"/>
        <v>12.01812064339912</v>
      </c>
      <c r="H736" s="101">
        <f t="shared" si="200"/>
        <v>0.27501992605410164</v>
      </c>
      <c r="I736" s="101">
        <f t="shared" si="201"/>
        <v>0.27501992605410164</v>
      </c>
      <c r="J736" s="101">
        <f t="shared" si="202"/>
        <v>9.4467315515693234E-2</v>
      </c>
      <c r="K736" s="101">
        <f t="shared" si="203"/>
        <v>2.1558570077015914E-2</v>
      </c>
      <c r="L736" s="101">
        <f t="shared" si="210"/>
        <v>106.95613467417782</v>
      </c>
      <c r="M736" s="101">
        <f t="shared" si="204"/>
        <v>630.73101400049518</v>
      </c>
      <c r="N736" s="101">
        <f t="shared" si="205"/>
        <v>60.7407632074001</v>
      </c>
      <c r="O736" s="101">
        <f t="shared" si="206"/>
        <v>1.4498757216666003</v>
      </c>
      <c r="P736" s="101">
        <f t="shared" si="207"/>
        <v>1.4498757216666003</v>
      </c>
      <c r="Q736" s="101">
        <f t="shared" si="208"/>
        <v>0.4961513324469482</v>
      </c>
      <c r="R736" s="101">
        <f t="shared" si="209"/>
        <v>1.6892295165280284E-2</v>
      </c>
      <c r="S736" s="101">
        <f t="shared" si="211"/>
        <v>566.57745572214969</v>
      </c>
      <c r="T736" s="101">
        <f t="shared" si="212"/>
        <v>213.63788896248948</v>
      </c>
      <c r="U736" s="101">
        <f t="shared" si="213"/>
        <v>36.619845494942744</v>
      </c>
      <c r="V736" s="33">
        <f t="shared" si="214"/>
        <v>1000.0000000000003</v>
      </c>
      <c r="W736" s="105">
        <f>IF(A736=1,((cPH1_+cPHr+(cNES*L736+(cNES+cOSEX)*G736+(cNES+cEREX)*H736+(cNES+cHOEX)*I736 + (cNES+cNES)*S736 +(cNES+ cOSEX)*N736 + (cNES+cEREX)*O736 + (cNES+cHOEX)*P736)))/(1+cDR)^A$5:A$65536,(cPHr+(cNES*L736+(cNES+cOSEX)*G736+(cNES+cEREX)*H736+(cNES+cHOEX)*I736 + (cNES+cNES)*S736 +(cNES+ cOSEX)*N736 + (cNES+cEREX)*O736 + (cNES+cHOEX)*P736))/(1+cDR)^A$5:A$65536)</f>
        <v>63548.893407461735</v>
      </c>
      <c r="X736" s="112">
        <f t="shared" si="215"/>
        <v>749.74226554256813</v>
      </c>
      <c r="Y736" s="32">
        <f>(uNES*L736+ uOCEX*G736+uEREX*'PH + UC'!H736+uHOEX*I736+uNES*S736+ uOCEX*N736+uEREX*O736+uHOEX*P736)/(1+oDR)^A$5:A$65536</f>
        <v>400.07507152569144</v>
      </c>
    </row>
    <row r="737" spans="1:25" x14ac:dyDescent="0.25">
      <c r="A737" s="4">
        <v>731</v>
      </c>
      <c r="C737" s="110">
        <f>IF(male=0,VLOOKUP(((A735:A1569/'Life tables'!$I$2)*2)+age,lifetable,13,1),IF(male=1,VLOOKUP(((A735:A1569/'Life tables'!$I$2)*2)+age,lifetable,10,1),"error"))</f>
        <v>7.7299415014675521E-4</v>
      </c>
      <c r="F737" s="101">
        <f t="shared" si="198"/>
        <v>119.5400119532772</v>
      </c>
      <c r="G737" s="101">
        <f t="shared" si="199"/>
        <v>12.008044384167771</v>
      </c>
      <c r="H737" s="101">
        <f t="shared" si="200"/>
        <v>0.27478934324078719</v>
      </c>
      <c r="I737" s="101">
        <f t="shared" si="201"/>
        <v>0.27478934324078719</v>
      </c>
      <c r="J737" s="101">
        <f t="shared" si="202"/>
        <v>0.10211069912171636</v>
      </c>
      <c r="K737" s="101">
        <f t="shared" si="203"/>
        <v>2.154049489311663E-2</v>
      </c>
      <c r="L737" s="101">
        <f t="shared" si="210"/>
        <v>106.85873768861302</v>
      </c>
      <c r="M737" s="101">
        <f t="shared" si="204"/>
        <v>630.20225358929076</v>
      </c>
      <c r="N737" s="101">
        <f t="shared" si="205"/>
        <v>60.689842434174274</v>
      </c>
      <c r="O737" s="101">
        <f t="shared" si="206"/>
        <v>1.4486602480879012</v>
      </c>
      <c r="P737" s="101">
        <f t="shared" si="207"/>
        <v>1.4486602480879012</v>
      </c>
      <c r="Q737" s="101">
        <f t="shared" si="208"/>
        <v>0.53629516040341296</v>
      </c>
      <c r="R737" s="101">
        <f t="shared" si="209"/>
        <v>1.6878133856038285E-2</v>
      </c>
      <c r="S737" s="101">
        <f t="shared" si="211"/>
        <v>566.06191736468122</v>
      </c>
      <c r="T737" s="101">
        <f t="shared" si="212"/>
        <v>214.27629482201462</v>
      </c>
      <c r="U737" s="101">
        <f t="shared" si="213"/>
        <v>36.6582641236919</v>
      </c>
      <c r="V737" s="33">
        <f t="shared" si="214"/>
        <v>1000.0000000000001</v>
      </c>
      <c r="W737" s="105">
        <f>IF(A737=1,((cPH1_+cPHr+(cNES*L737+(cNES+cOSEX)*G737+(cNES+cEREX)*H737+(cNES+cHOEX)*I737 + (cNES+cNES)*S737 +(cNES+ cOSEX)*N737 + (cNES+cEREX)*O737 + (cNES+cHOEX)*P737)))/(1+cDR)^A$5:A$65536,(cPHr+(cNES*L737+(cNES+cOSEX)*G737+(cNES+cEREX)*H737+(cNES+cHOEX)*I737 + (cNES+cNES)*S737 +(cNES+ cOSEX)*N737 + (cNES+cEREX)*O737 + (cNES+cHOEX)*P737))/(1+cDR)^A$5:A$65536)</f>
        <v>63419.104493415587</v>
      </c>
      <c r="X737" s="112">
        <f t="shared" si="215"/>
        <v>749.06544105429361</v>
      </c>
      <c r="Y737" s="32">
        <f>(uNES*L737+ uOCEX*G737+uEREX*'PH + UC'!H737+uHOEX*I737+uNES*S737+ uOCEX*N737+uEREX*O737+uHOEX*P737)/(1+oDR)^A$5:A$65536</f>
        <v>399.59853458358168</v>
      </c>
    </row>
    <row r="738" spans="1:25" x14ac:dyDescent="0.25">
      <c r="A738" s="4">
        <v>732</v>
      </c>
      <c r="C738" s="110">
        <f>IF(male=0,VLOOKUP(((A736:A1570/'Life tables'!$I$2)*2)+age,lifetable,13,1),IF(male=1,VLOOKUP(((A736:A1570/'Life tables'!$I$2)*2)+age,lifetable,10,1),"error"))</f>
        <v>7.7299415014675521E-4</v>
      </c>
      <c r="F738" s="101">
        <f t="shared" si="198"/>
        <v>119.43206490034937</v>
      </c>
      <c r="G738" s="101">
        <f t="shared" si="199"/>
        <v>11.997200876780436</v>
      </c>
      <c r="H738" s="101">
        <f t="shared" si="200"/>
        <v>0.27454120289602624</v>
      </c>
      <c r="I738" s="101">
        <f t="shared" si="201"/>
        <v>0.27454120289602624</v>
      </c>
      <c r="J738" s="101">
        <f t="shared" si="202"/>
        <v>0.10201849109143026</v>
      </c>
      <c r="K738" s="101">
        <f t="shared" si="203"/>
        <v>2.1521043389772062E-2</v>
      </c>
      <c r="L738" s="101">
        <f t="shared" si="210"/>
        <v>106.76224208329569</v>
      </c>
      <c r="M738" s="101">
        <f t="shared" si="204"/>
        <v>629.63337615394425</v>
      </c>
      <c r="N738" s="101">
        <f t="shared" si="205"/>
        <v>60.635058304604918</v>
      </c>
      <c r="O738" s="101">
        <f t="shared" si="206"/>
        <v>1.4473525565937388</v>
      </c>
      <c r="P738" s="101">
        <f t="shared" si="207"/>
        <v>1.4473525565937388</v>
      </c>
      <c r="Q738" s="101">
        <f t="shared" si="208"/>
        <v>0.53581105198631118</v>
      </c>
      <c r="R738" s="101">
        <f t="shared" si="209"/>
        <v>1.6862898129020851E-2</v>
      </c>
      <c r="S738" s="101">
        <f t="shared" si="211"/>
        <v>565.55093878603657</v>
      </c>
      <c r="T738" s="101">
        <f t="shared" si="212"/>
        <v>214.91412436509236</v>
      </c>
      <c r="U738" s="101">
        <f t="shared" si="213"/>
        <v>36.696648065210695</v>
      </c>
      <c r="V738" s="33">
        <f t="shared" si="214"/>
        <v>1000.0000000000002</v>
      </c>
      <c r="W738" s="105">
        <f>IF(A738=1,((cPH1_+cPHr+(cNES*L738+(cNES+cOSEX)*G738+(cNES+cEREX)*H738+(cNES+cHOEX)*I738 + (cNES+cNES)*S738 +(cNES+ cOSEX)*N738 + (cNES+cEREX)*O738 + (cNES+cHOEX)*P738)))/(1+cDR)^A$5:A$65536,(cPHr+(cNES*L738+(cNES+cOSEX)*G738+(cNES+cEREX)*H738+(cNES+cHOEX)*I738 + (cNES+cNES)*S738 +(cNES+ cOSEX)*N738 + (cNES+cEREX)*O738 + (cNES+cHOEX)*P738))/(1+cDR)^A$5:A$65536)</f>
        <v>63289.038582997287</v>
      </c>
      <c r="X738" s="112">
        <f t="shared" si="215"/>
        <v>748.38922756969714</v>
      </c>
      <c r="Y738" s="32">
        <f>(uNES*L738+ uOCEX*G738+uEREX*'PH + UC'!H738+uHOEX*I738+uNES*S738+ uOCEX*N738+uEREX*O738+uHOEX*P738)/(1+oDR)^A$5:A$65536</f>
        <v>399.12298376083601</v>
      </c>
    </row>
    <row r="739" spans="1:25" x14ac:dyDescent="0.25">
      <c r="A739" s="4">
        <v>733</v>
      </c>
      <c r="C739" s="110">
        <f>IF(male=0,VLOOKUP(((A737:A1571/'Life tables'!$I$2)*2)+age,lifetable,13,1),IF(male=1,VLOOKUP(((A737:A1571/'Life tables'!$I$2)*2)+age,lifetable,10,1),"error"))</f>
        <v>7.7299415014675521E-4</v>
      </c>
      <c r="F739" s="101">
        <f t="shared" si="198"/>
        <v>119.32421680552797</v>
      </c>
      <c r="G739" s="101">
        <f t="shared" si="199"/>
        <v>11.986367309941999</v>
      </c>
      <c r="H739" s="101">
        <f t="shared" si="200"/>
        <v>0.27429329002851432</v>
      </c>
      <c r="I739" s="101">
        <f t="shared" si="201"/>
        <v>0.27429329002851432</v>
      </c>
      <c r="J739" s="101">
        <f t="shared" si="202"/>
        <v>0.10192636759084482</v>
      </c>
      <c r="K739" s="101">
        <f t="shared" si="203"/>
        <v>2.1501609718168939E-2</v>
      </c>
      <c r="L739" s="101">
        <f t="shared" si="210"/>
        <v>106.66583493821993</v>
      </c>
      <c r="M739" s="101">
        <f t="shared" si="204"/>
        <v>629.0650107641693</v>
      </c>
      <c r="N739" s="101">
        <f t="shared" si="205"/>
        <v>60.580323486133516</v>
      </c>
      <c r="O739" s="101">
        <f t="shared" si="206"/>
        <v>1.4460460421503731</v>
      </c>
      <c r="P739" s="101">
        <f t="shared" si="207"/>
        <v>1.4460460421503731</v>
      </c>
      <c r="Q739" s="101">
        <f t="shared" si="208"/>
        <v>0.53532737931433805</v>
      </c>
      <c r="R739" s="101">
        <f t="shared" si="209"/>
        <v>1.6847676115654308E-2</v>
      </c>
      <c r="S739" s="101">
        <f t="shared" si="211"/>
        <v>565.04042013830508</v>
      </c>
      <c r="T739" s="101">
        <f t="shared" si="212"/>
        <v>215.55137811199754</v>
      </c>
      <c r="U739" s="101">
        <f t="shared" si="213"/>
        <v>36.73499735104452</v>
      </c>
      <c r="V739" s="33">
        <f t="shared" si="214"/>
        <v>1000.0000000000005</v>
      </c>
      <c r="W739" s="105">
        <f>IF(A739=1,((cPH1_+cPHr+(cNES*L739+(cNES+cOSEX)*G739+(cNES+cEREX)*H739+(cNES+cHOEX)*I739 + (cNES+cNES)*S739 +(cNES+ cOSEX)*N739 + (cNES+cEREX)*O739 + (cNES+cHOEX)*P739)))/(1+cDR)^A$5:A$65536,(cPHr+(cNES*L739+(cNES+cOSEX)*G739+(cNES+cEREX)*H739+(cNES+cHOEX)*I739 + (cNES+cNES)*S739 +(cNES+ cOSEX)*N739 + (cNES+cEREX)*O739 + (cNES+cHOEX)*P739))/(1+cDR)^A$5:A$65536)</f>
        <v>63159.239380734871</v>
      </c>
      <c r="X739" s="112">
        <f t="shared" si="215"/>
        <v>747.71362453695838</v>
      </c>
      <c r="Y739" s="32">
        <f>(uNES*L739+ uOCEX*G739+uEREX*'PH + UC'!H739+uHOEX*I739+uNES*S739+ uOCEX*N739+uEREX*O739+uHOEX*P739)/(1+oDR)^A$5:A$65536</f>
        <v>398.64799887972453</v>
      </c>
    </row>
    <row r="740" spans="1:25" x14ac:dyDescent="0.25">
      <c r="A740" s="4">
        <v>734</v>
      </c>
      <c r="C740" s="110">
        <f>IF(male=0,VLOOKUP(((A738:A1572/'Life tables'!$I$2)*2)+age,lifetable,13,1),IF(male=1,VLOOKUP(((A738:A1572/'Life tables'!$I$2)*2)+age,lifetable,10,1),"error"))</f>
        <v>7.7299415014675521E-4</v>
      </c>
      <c r="F740" s="101">
        <f t="shared" si="198"/>
        <v>119.21646751078296</v>
      </c>
      <c r="G740" s="101">
        <f t="shared" si="199"/>
        <v>11.975543667778014</v>
      </c>
      <c r="H740" s="101">
        <f t="shared" si="200"/>
        <v>0.27404560427498426</v>
      </c>
      <c r="I740" s="101">
        <f t="shared" si="201"/>
        <v>0.27404560427498426</v>
      </c>
      <c r="J740" s="101">
        <f t="shared" si="202"/>
        <v>0.10183432848497133</v>
      </c>
      <c r="K740" s="101">
        <f t="shared" si="203"/>
        <v>2.1482193849831077E-2</v>
      </c>
      <c r="L740" s="101">
        <f t="shared" si="210"/>
        <v>106.56951611212017</v>
      </c>
      <c r="M740" s="101">
        <f t="shared" si="204"/>
        <v>628.49715702617516</v>
      </c>
      <c r="N740" s="101">
        <f t="shared" si="205"/>
        <v>60.525637940837157</v>
      </c>
      <c r="O740" s="101">
        <f t="shared" si="206"/>
        <v>1.4447407038525888</v>
      </c>
      <c r="P740" s="101">
        <f t="shared" si="207"/>
        <v>1.4447407038525888</v>
      </c>
      <c r="Q740" s="101">
        <f t="shared" si="208"/>
        <v>0.53484414205238173</v>
      </c>
      <c r="R740" s="101">
        <f t="shared" si="209"/>
        <v>1.6832467805392121E-2</v>
      </c>
      <c r="S740" s="101">
        <f t="shared" si="211"/>
        <v>564.53036106777506</v>
      </c>
      <c r="T740" s="101">
        <f t="shared" si="212"/>
        <v>216.1880565825349</v>
      </c>
      <c r="U740" s="101">
        <f t="shared" si="213"/>
        <v>36.773312012699741</v>
      </c>
      <c r="V740" s="33">
        <f t="shared" si="214"/>
        <v>1000.0000000000002</v>
      </c>
      <c r="W740" s="105">
        <f>IF(A740=1,((cPH1_+cPHr+(cNES*L740+(cNES+cOSEX)*G740+(cNES+cEREX)*H740+(cNES+cHOEX)*I740 + (cNES+cNES)*S740 +(cNES+ cOSEX)*N740 + (cNES+cEREX)*O740 + (cNES+cHOEX)*P740)))/(1+cDR)^A$5:A$65536,(cPHr+(cNES*L740+(cNES+cOSEX)*G740+(cNES+cEREX)*H740+(cNES+cHOEX)*I740 + (cNES+cNES)*S740 +(cNES+ cOSEX)*N740 + (cNES+cEREX)*O740 + (cNES+cHOEX)*P740))/(1+cDR)^A$5:A$65536)</f>
        <v>63029.706342145073</v>
      </c>
      <c r="X740" s="112">
        <f t="shared" si="215"/>
        <v>747.03863140476551</v>
      </c>
      <c r="Y740" s="32">
        <f>(uNES*L740+ uOCEX*G740+uEREX*'PH + UC'!H740+uHOEX*I740+uNES*S740+ uOCEX*N740+uEREX*O740+uHOEX*P740)/(1+oDR)^A$5:A$65536</f>
        <v>398.17357926663459</v>
      </c>
    </row>
    <row r="741" spans="1:25" x14ac:dyDescent="0.25">
      <c r="A741" s="4">
        <v>735</v>
      </c>
      <c r="C741" s="110">
        <f>IF(male=0,VLOOKUP(((A739:A1573/'Life tables'!$I$2)*2)+age,lifetable,13,1),IF(male=1,VLOOKUP(((A739:A1573/'Life tables'!$I$2)*2)+age,lifetable,10,1),"error"))</f>
        <v>7.7299415014675521E-4</v>
      </c>
      <c r="F741" s="101">
        <f t="shared" si="198"/>
        <v>119.10881686135303</v>
      </c>
      <c r="G741" s="101">
        <f t="shared" si="199"/>
        <v>11.964729934742381</v>
      </c>
      <c r="H741" s="101">
        <f t="shared" si="200"/>
        <v>0.27379814527968271</v>
      </c>
      <c r="I741" s="101">
        <f t="shared" si="201"/>
        <v>0.27379814527968271</v>
      </c>
      <c r="J741" s="101">
        <f t="shared" si="202"/>
        <v>0.10174237364161319</v>
      </c>
      <c r="K741" s="101">
        <f t="shared" si="203"/>
        <v>2.146279575687127E-2</v>
      </c>
      <c r="L741" s="101">
        <f t="shared" si="210"/>
        <v>106.4732854666528</v>
      </c>
      <c r="M741" s="101">
        <f t="shared" si="204"/>
        <v>627.92981454341259</v>
      </c>
      <c r="N741" s="101">
        <f t="shared" si="205"/>
        <v>60.471001630527304</v>
      </c>
      <c r="O741" s="101">
        <f t="shared" si="206"/>
        <v>1.4434365407888283</v>
      </c>
      <c r="P741" s="101">
        <f t="shared" si="207"/>
        <v>1.4434365407888283</v>
      </c>
      <c r="Q741" s="101">
        <f t="shared" si="208"/>
        <v>0.53436133986298306</v>
      </c>
      <c r="R741" s="101">
        <f t="shared" si="209"/>
        <v>1.6817273187613866E-2</v>
      </c>
      <c r="S741" s="101">
        <f t="shared" si="211"/>
        <v>564.02076121825701</v>
      </c>
      <c r="T741" s="101">
        <f t="shared" si="212"/>
        <v>216.82416029603951</v>
      </c>
      <c r="U741" s="101">
        <f t="shared" si="213"/>
        <v>36.811592081644228</v>
      </c>
      <c r="V741" s="33">
        <f t="shared" si="214"/>
        <v>1000.0000000000002</v>
      </c>
      <c r="W741" s="105">
        <f>IF(A741=1,((cPH1_+cPHr+(cNES*L741+(cNES+cOSEX)*G741+(cNES+cEREX)*H741+(cNES+cHOEX)*I741 + (cNES+cNES)*S741 +(cNES+ cOSEX)*N741 + (cNES+cEREX)*O741 + (cNES+cHOEX)*P741)))/(1+cDR)^A$5:A$65536,(cPHr+(cNES*L741+(cNES+cOSEX)*G741+(cNES+cEREX)*H741+(cNES+cHOEX)*I741 + (cNES+cNES)*S741 +(cNES+ cOSEX)*N741 + (cNES+cEREX)*O741 + (cNES+cHOEX)*P741))/(1+cDR)^A$5:A$65536)</f>
        <v>62900.438923743037</v>
      </c>
      <c r="X741" s="112">
        <f t="shared" si="215"/>
        <v>746.3642476223165</v>
      </c>
      <c r="Y741" s="32">
        <f>(uNES*L741+ uOCEX*G741+uEREX*'PH + UC'!H741+uHOEX*I741+uNES*S741+ uOCEX*N741+uEREX*O741+uHOEX*P741)/(1+oDR)^A$5:A$65536</f>
        <v>397.69972424876022</v>
      </c>
    </row>
    <row r="742" spans="1:25" x14ac:dyDescent="0.25">
      <c r="A742" s="4">
        <v>736</v>
      </c>
      <c r="C742" s="110">
        <f>IF(male=0,VLOOKUP(((A740:A1574/'Life tables'!$I$2)*2)+age,lifetable,13,1),IF(male=1,VLOOKUP(((A740:A1574/'Life tables'!$I$2)*2)+age,lifetable,10,1),"error"))</f>
        <v>7.7299415014675521E-4</v>
      </c>
      <c r="F742" s="101">
        <f t="shared" si="198"/>
        <v>119.00126470560021</v>
      </c>
      <c r="G742" s="101">
        <f t="shared" si="199"/>
        <v>11.95392609560275</v>
      </c>
      <c r="H742" s="101">
        <f t="shared" si="200"/>
        <v>0.27355091269403597</v>
      </c>
      <c r="I742" s="101">
        <f t="shared" si="201"/>
        <v>0.27355091269403597</v>
      </c>
      <c r="J742" s="101">
        <f t="shared" si="202"/>
        <v>0.10165050293124166</v>
      </c>
      <c r="K742" s="101">
        <f t="shared" si="203"/>
        <v>2.1443415411965139E-2</v>
      </c>
      <c r="L742" s="101">
        <f t="shared" si="210"/>
        <v>106.37714286626618</v>
      </c>
      <c r="M742" s="101">
        <f t="shared" si="204"/>
        <v>627.36298291671642</v>
      </c>
      <c r="N742" s="101">
        <f t="shared" si="205"/>
        <v>60.416414516763481</v>
      </c>
      <c r="O742" s="101">
        <f t="shared" si="206"/>
        <v>1.4421335520415224</v>
      </c>
      <c r="P742" s="101">
        <f t="shared" si="207"/>
        <v>1.4421335520415224</v>
      </c>
      <c r="Q742" s="101">
        <f t="shared" si="208"/>
        <v>0.53387897240645721</v>
      </c>
      <c r="R742" s="101">
        <f t="shared" si="209"/>
        <v>1.6802092251629069E-2</v>
      </c>
      <c r="S742" s="101">
        <f t="shared" si="211"/>
        <v>563.51162023121185</v>
      </c>
      <c r="T742" s="101">
        <f t="shared" si="212"/>
        <v>217.45968977137721</v>
      </c>
      <c r="U742" s="101">
        <f t="shared" si="213"/>
        <v>36.849837589307825</v>
      </c>
      <c r="V742" s="33">
        <f t="shared" si="214"/>
        <v>1000.0000000000006</v>
      </c>
      <c r="W742" s="105">
        <f>IF(A742=1,((cPH1_+cPHr+(cNES*L742+(cNES+cOSEX)*G742+(cNES+cEREX)*H742+(cNES+cHOEX)*I742 + (cNES+cNES)*S742 +(cNES+ cOSEX)*N742 + (cNES+cEREX)*O742 + (cNES+cHOEX)*P742)))/(1+cDR)^A$5:A$65536,(cPHr+(cNES*L742+(cNES+cOSEX)*G742+(cNES+cEREX)*H742+(cNES+cHOEX)*I742 + (cNES+cNES)*S742 +(cNES+ cOSEX)*N742 + (cNES+cEREX)*O742 + (cNES+cHOEX)*P742))/(1+cDR)^A$5:A$65536)</f>
        <v>62771.436583045848</v>
      </c>
      <c r="X742" s="112">
        <f t="shared" si="215"/>
        <v>745.69047263931543</v>
      </c>
      <c r="Y742" s="32">
        <f>(uNES*L742+ uOCEX*G742+uEREX*'PH + UC'!H742+uHOEX*I742+uNES*S742+ uOCEX*N742+uEREX*O742+uHOEX*P742)/(1+oDR)^A$5:A$65536</f>
        <v>397.22643315410039</v>
      </c>
    </row>
    <row r="743" spans="1:25" x14ac:dyDescent="0.25">
      <c r="A743" s="4">
        <v>737</v>
      </c>
      <c r="C743" s="110">
        <f>IF(male=0,VLOOKUP(((A741:A1575/'Life tables'!$I$2)*2)+age,lifetable,13,1),IF(male=1,VLOOKUP(((A741:A1575/'Life tables'!$I$2)*2)+age,lifetable,10,1),"error"))</f>
        <v>7.7299415014675521E-4</v>
      </c>
      <c r="F743" s="101">
        <f t="shared" si="198"/>
        <v>118.89381089487132</v>
      </c>
      <c r="G743" s="101">
        <f t="shared" si="199"/>
        <v>11.943132135426598</v>
      </c>
      <c r="H743" s="101">
        <f t="shared" si="200"/>
        <v>0.27330390617633166</v>
      </c>
      <c r="I743" s="101">
        <f t="shared" si="201"/>
        <v>0.27330390617633166</v>
      </c>
      <c r="J743" s="101">
        <f t="shared" si="202"/>
        <v>0.1015587162268777</v>
      </c>
      <c r="K743" s="101">
        <f t="shared" si="203"/>
        <v>2.142405278832615E-2</v>
      </c>
      <c r="L743" s="101">
        <f t="shared" si="210"/>
        <v>106.28108817807686</v>
      </c>
      <c r="M743" s="101">
        <f t="shared" si="204"/>
        <v>626.79666174444401</v>
      </c>
      <c r="N743" s="101">
        <f t="shared" si="205"/>
        <v>60.361876560866627</v>
      </c>
      <c r="O743" s="101">
        <f t="shared" si="206"/>
        <v>1.4408317366874055</v>
      </c>
      <c r="P743" s="101">
        <f t="shared" si="207"/>
        <v>1.4408317366874055</v>
      </c>
      <c r="Q743" s="101">
        <f t="shared" si="208"/>
        <v>0.53339703934101035</v>
      </c>
      <c r="R743" s="101">
        <f t="shared" si="209"/>
        <v>1.6786924986680898E-2</v>
      </c>
      <c r="S743" s="101">
        <f t="shared" si="211"/>
        <v>563.00293774587487</v>
      </c>
      <c r="T743" s="101">
        <f t="shared" si="212"/>
        <v>218.0946455269451</v>
      </c>
      <c r="U743" s="101">
        <f t="shared" si="213"/>
        <v>36.888048567082834</v>
      </c>
      <c r="V743" s="33">
        <f t="shared" si="214"/>
        <v>1000.0000000000003</v>
      </c>
      <c r="W743" s="105">
        <f>IF(A743=1,((cPH1_+cPHr+(cNES*L743+(cNES+cOSEX)*G743+(cNES+cEREX)*H743+(cNES+cHOEX)*I743 + (cNES+cNES)*S743 +(cNES+ cOSEX)*N743 + (cNES+cEREX)*O743 + (cNES+cHOEX)*P743)))/(1+cDR)^A$5:A$65536,(cPHr+(cNES*L743+(cNES+cOSEX)*G743+(cNES+cEREX)*H743+(cNES+cHOEX)*I743 + (cNES+cNES)*S743 +(cNES+ cOSEX)*N743 + (cNES+cEREX)*O743 + (cNES+cHOEX)*P743))/(1+cDR)^A$5:A$65536)</f>
        <v>62642.698778575395</v>
      </c>
      <c r="X743" s="112">
        <f t="shared" si="215"/>
        <v>745.01730590597242</v>
      </c>
      <c r="Y743" s="32">
        <f>(uNES*L743+ uOCEX*G743+uEREX*'PH + UC'!H743+uHOEX*I743+uNES*S743+ uOCEX*N743+uEREX*O743+uHOEX*P743)/(1+oDR)^A$5:A$65536</f>
        <v>396.75370531145825</v>
      </c>
    </row>
    <row r="744" spans="1:25" x14ac:dyDescent="0.25">
      <c r="A744" s="4">
        <v>738</v>
      </c>
      <c r="C744" s="110">
        <f>IF(male=0,VLOOKUP(((A742:A1576/'Life tables'!$I$2)*2)+age,lifetable,13,1),IF(male=1,VLOOKUP(((A742:A1576/'Life tables'!$I$2)*2)+age,lifetable,10,1),"error"))</f>
        <v>7.7299415014675521E-4</v>
      </c>
      <c r="F744" s="101">
        <f t="shared" si="198"/>
        <v>118.7864552833657</v>
      </c>
      <c r="G744" s="101">
        <f t="shared" si="199"/>
        <v>11.932348039567941</v>
      </c>
      <c r="H744" s="101">
        <f t="shared" si="200"/>
        <v>0.27305712539141447</v>
      </c>
      <c r="I744" s="101">
        <f t="shared" si="201"/>
        <v>0.27305712539141447</v>
      </c>
      <c r="J744" s="101">
        <f t="shared" si="202"/>
        <v>0.10146701340397883</v>
      </c>
      <c r="K744" s="101">
        <f t="shared" si="203"/>
        <v>2.1404707859681776E-2</v>
      </c>
      <c r="L744" s="101">
        <f t="shared" si="210"/>
        <v>106.18512127175127</v>
      </c>
      <c r="M744" s="101">
        <f t="shared" si="204"/>
        <v>626.23085062260679</v>
      </c>
      <c r="N744" s="101">
        <f t="shared" si="205"/>
        <v>60.307387723931775</v>
      </c>
      <c r="O744" s="101">
        <f t="shared" si="206"/>
        <v>1.4395310937978201</v>
      </c>
      <c r="P744" s="101">
        <f t="shared" si="207"/>
        <v>1.4395310937978201</v>
      </c>
      <c r="Q744" s="101">
        <f t="shared" si="208"/>
        <v>0.53291554032285315</v>
      </c>
      <c r="R744" s="101">
        <f t="shared" si="209"/>
        <v>1.6771771381949699E-2</v>
      </c>
      <c r="S744" s="101">
        <f t="shared" si="211"/>
        <v>562.49471339937463</v>
      </c>
      <c r="T744" s="101">
        <f t="shared" si="212"/>
        <v>218.72902808067192</v>
      </c>
      <c r="U744" s="101">
        <f t="shared" si="213"/>
        <v>36.926225046324468</v>
      </c>
      <c r="V744" s="33">
        <f t="shared" si="214"/>
        <v>1000.0000000000006</v>
      </c>
      <c r="W744" s="105">
        <f>IF(A744=1,((cPH1_+cPHr+(cNES*L744+(cNES+cOSEX)*G744+(cNES+cEREX)*H744+(cNES+cHOEX)*I744 + (cNES+cNES)*S744 +(cNES+ cOSEX)*N744 + (cNES+cEREX)*O744 + (cNES+cHOEX)*P744)))/(1+cDR)^A$5:A$65536,(cPHr+(cNES*L744+(cNES+cOSEX)*G744+(cNES+cEREX)*H744+(cNES+cHOEX)*I744 + (cNES+cNES)*S744 +(cNES+ cOSEX)*N744 + (cNES+cEREX)*O744 + (cNES+cHOEX)*P744))/(1+cDR)^A$5:A$65536)</f>
        <v>62514.224969861898</v>
      </c>
      <c r="X744" s="112">
        <f t="shared" si="215"/>
        <v>744.34474687300417</v>
      </c>
      <c r="Y744" s="32">
        <f>(uNES*L744+ uOCEX*G744+uEREX*'PH + UC'!H744+uHOEX*I744+uNES*S744+ uOCEX*N744+uEREX*O744+uHOEX*P744)/(1+oDR)^A$5:A$65536</f>
        <v>396.2815400504395</v>
      </c>
    </row>
    <row r="745" spans="1:25" x14ac:dyDescent="0.25">
      <c r="A745" s="4">
        <v>739</v>
      </c>
      <c r="C745" s="110">
        <f>IF(male=0,VLOOKUP(((A743:A1577/'Life tables'!$I$2)*2)+age,lifetable,13,1),IF(male=1,VLOOKUP(((A743:A1577/'Life tables'!$I$2)*2)+age,lifetable,10,1),"error"))</f>
        <v>7.7299415014675521E-4</v>
      </c>
      <c r="F745" s="101">
        <f t="shared" si="198"/>
        <v>118.67919772800894</v>
      </c>
      <c r="G745" s="101">
        <f t="shared" si="199"/>
        <v>11.921573793654661</v>
      </c>
      <c r="H745" s="101">
        <f t="shared" si="200"/>
        <v>0.27281057001039599</v>
      </c>
      <c r="I745" s="101">
        <f t="shared" si="201"/>
        <v>0.27281057001039599</v>
      </c>
      <c r="J745" s="101">
        <f t="shared" si="202"/>
        <v>0.10137539434033138</v>
      </c>
      <c r="K745" s="101">
        <f t="shared" si="203"/>
        <v>2.1385380600250734E-2</v>
      </c>
      <c r="L745" s="101">
        <f t="shared" si="210"/>
        <v>106.08924201939291</v>
      </c>
      <c r="M745" s="101">
        <f t="shared" si="204"/>
        <v>625.66554914499511</v>
      </c>
      <c r="N745" s="101">
        <f t="shared" si="205"/>
        <v>60.252947966840047</v>
      </c>
      <c r="O745" s="101">
        <f t="shared" si="206"/>
        <v>1.4382316224390028</v>
      </c>
      <c r="P745" s="101">
        <f t="shared" si="207"/>
        <v>1.4382316224390028</v>
      </c>
      <c r="Q745" s="101">
        <f t="shared" si="208"/>
        <v>0.53243447500630536</v>
      </c>
      <c r="R745" s="101">
        <f t="shared" si="209"/>
        <v>1.6756631426556323E-2</v>
      </c>
      <c r="S745" s="101">
        <f t="shared" si="211"/>
        <v>561.98694682684425</v>
      </c>
      <c r="T745" s="101">
        <f t="shared" si="212"/>
        <v>219.36283795001856</v>
      </c>
      <c r="U745" s="101">
        <f t="shared" si="213"/>
        <v>36.964367058351279</v>
      </c>
      <c r="V745" s="33">
        <f t="shared" si="214"/>
        <v>1000.0000000000006</v>
      </c>
      <c r="W745" s="105">
        <f>IF(A745=1,((cPH1_+cPHr+(cNES*L745+(cNES+cOSEX)*G745+(cNES+cEREX)*H745+(cNES+cHOEX)*I745 + (cNES+cNES)*S745 +(cNES+ cOSEX)*N745 + (cNES+cEREX)*O745 + (cNES+cHOEX)*P745)))/(1+cDR)^A$5:A$65536,(cPHr+(cNES*L745+(cNES+cOSEX)*G745+(cNES+cEREX)*H745+(cNES+cHOEX)*I745 + (cNES+cNES)*S745 +(cNES+ cOSEX)*N745 + (cNES+cEREX)*O745 + (cNES+cHOEX)*P745))/(1+cDR)^A$5:A$65536)</f>
        <v>62386.014617446039</v>
      </c>
      <c r="X745" s="112">
        <f t="shared" si="215"/>
        <v>743.67279499163067</v>
      </c>
      <c r="Y745" s="32">
        <f>(uNES*L745+ uOCEX*G745+uEREX*'PH + UC'!H745+uHOEX*I745+uNES*S745+ uOCEX*N745+uEREX*O745+uHOEX*P745)/(1+oDR)^A$5:A$65536</f>
        <v>395.80993670145131</v>
      </c>
    </row>
    <row r="746" spans="1:25" x14ac:dyDescent="0.25">
      <c r="A746" s="4">
        <v>740</v>
      </c>
      <c r="C746" s="110">
        <f>IF(male=0,VLOOKUP(((A744:A1578/'Life tables'!$I$2)*2)+age,lifetable,13,1),IF(male=1,VLOOKUP(((A744:A1578/'Life tables'!$I$2)*2)+age,lifetable,10,1),"error"))</f>
        <v>7.7299415014675521E-4</v>
      </c>
      <c r="F746" s="101">
        <f t="shared" si="198"/>
        <v>118.57203808833235</v>
      </c>
      <c r="G746" s="101">
        <f t="shared" si="199"/>
        <v>11.910809383576376</v>
      </c>
      <c r="H746" s="101">
        <f t="shared" si="200"/>
        <v>0.27256423971037758</v>
      </c>
      <c r="I746" s="101">
        <f t="shared" si="201"/>
        <v>0.27256423971037758</v>
      </c>
      <c r="J746" s="101">
        <f t="shared" si="202"/>
        <v>0.10128385891594741</v>
      </c>
      <c r="K746" s="101">
        <f t="shared" si="203"/>
        <v>2.1366070984721298E-2</v>
      </c>
      <c r="L746" s="101">
        <f t="shared" si="210"/>
        <v>105.99345029543456</v>
      </c>
      <c r="M746" s="101">
        <f t="shared" si="204"/>
        <v>625.10075690329836</v>
      </c>
      <c r="N746" s="101">
        <f t="shared" si="205"/>
        <v>60.198557250270255</v>
      </c>
      <c r="O746" s="101">
        <f t="shared" si="206"/>
        <v>1.4369333216723608</v>
      </c>
      <c r="P746" s="101">
        <f t="shared" si="207"/>
        <v>1.4369333216723608</v>
      </c>
      <c r="Q746" s="101">
        <f t="shared" si="208"/>
        <v>0.53195384304389925</v>
      </c>
      <c r="R746" s="101">
        <f t="shared" si="209"/>
        <v>1.6741505109565364E-2</v>
      </c>
      <c r="S746" s="101">
        <f t="shared" si="211"/>
        <v>561.47963766152986</v>
      </c>
      <c r="T746" s="101">
        <f t="shared" si="212"/>
        <v>219.9960756519784</v>
      </c>
      <c r="U746" s="101">
        <f t="shared" si="213"/>
        <v>37.002474634445562</v>
      </c>
      <c r="V746" s="33">
        <f t="shared" si="214"/>
        <v>1000.0000000000006</v>
      </c>
      <c r="W746" s="105">
        <f>IF(A746=1,((cPH1_+cPHr+(cNES*L746+(cNES+cOSEX)*G746+(cNES+cEREX)*H746+(cNES+cHOEX)*I746 + (cNES+cNES)*S746 +(cNES+ cOSEX)*N746 + (cNES+cEREX)*O746 + (cNES+cHOEX)*P746)))/(1+cDR)^A$5:A$65536,(cPHr+(cNES*L746+(cNES+cOSEX)*G746+(cNES+cEREX)*H746+(cNES+cHOEX)*I746 + (cNES+cNES)*S746 +(cNES+ cOSEX)*N746 + (cNES+cEREX)*O746 + (cNES+cHOEX)*P746))/(1+cDR)^A$5:A$65536)</f>
        <v>62258.067182881918</v>
      </c>
      <c r="X746" s="112">
        <f t="shared" si="215"/>
        <v>743.00144971357656</v>
      </c>
      <c r="Y746" s="32">
        <f>(uNES*L746+ uOCEX*G746+uEREX*'PH + UC'!H746+uHOEX*I746+uNES*S746+ uOCEX*N746+uEREX*O746+uHOEX*P746)/(1+oDR)^A$5:A$65536</f>
        <v>395.33889459570219</v>
      </c>
    </row>
    <row r="747" spans="1:25" x14ac:dyDescent="0.25">
      <c r="A747" s="4">
        <v>741</v>
      </c>
      <c r="C747" s="110">
        <f>IF(male=0,VLOOKUP(((A745:A1579/'Life tables'!$I$2)*2)+age,lifetable,13,1),IF(male=1,VLOOKUP(((A745:A1579/'Life tables'!$I$2)*2)+age,lifetable,10,1),"error"))</f>
        <v>7.7299415014675521E-4</v>
      </c>
      <c r="F747" s="101">
        <f t="shared" si="198"/>
        <v>118.46497622635796</v>
      </c>
      <c r="G747" s="101">
        <f t="shared" si="199"/>
        <v>11.900054795472917</v>
      </c>
      <c r="H747" s="101">
        <f t="shared" si="200"/>
        <v>0.27231813417418627</v>
      </c>
      <c r="I747" s="101">
        <f t="shared" si="201"/>
        <v>0.27231813417418627</v>
      </c>
      <c r="J747" s="101">
        <f t="shared" si="202"/>
        <v>0.10119240701296658</v>
      </c>
      <c r="K747" s="101">
        <f t="shared" si="203"/>
        <v>2.1346778988230546E-2</v>
      </c>
      <c r="L747" s="101">
        <f t="shared" si="210"/>
        <v>105.89774597653548</v>
      </c>
      <c r="M747" s="101">
        <f t="shared" si="204"/>
        <v>624.53647348721847</v>
      </c>
      <c r="N747" s="101">
        <f t="shared" si="205"/>
        <v>60.144215534709801</v>
      </c>
      <c r="O747" s="101">
        <f t="shared" si="206"/>
        <v>1.4356361905547326</v>
      </c>
      <c r="P747" s="101">
        <f t="shared" si="207"/>
        <v>1.4356361905547326</v>
      </c>
      <c r="Q747" s="101">
        <f t="shared" si="208"/>
        <v>0.53147364408647579</v>
      </c>
      <c r="R747" s="101">
        <f t="shared" si="209"/>
        <v>1.6726392419988176E-2</v>
      </c>
      <c r="S747" s="101">
        <f t="shared" si="211"/>
        <v>560.97278553489275</v>
      </c>
      <c r="T747" s="101">
        <f t="shared" si="212"/>
        <v>220.62874170307785</v>
      </c>
      <c r="U747" s="101">
        <f t="shared" si="213"/>
        <v>37.040547805853784</v>
      </c>
      <c r="V747" s="33">
        <f t="shared" si="214"/>
        <v>1000.0000000000003</v>
      </c>
      <c r="W747" s="105">
        <f>IF(A747=1,((cPH1_+cPHr+(cNES*L747+(cNES+cOSEX)*G747+(cNES+cEREX)*H747+(cNES+cHOEX)*I747 + (cNES+cNES)*S747 +(cNES+ cOSEX)*N747 + (cNES+cEREX)*O747 + (cNES+cHOEX)*P747)))/(1+cDR)^A$5:A$65536,(cPHr+(cNES*L747+(cNES+cOSEX)*G747+(cNES+cEREX)*H747+(cNES+cHOEX)*I747 + (cNES+cNES)*S747 +(cNES+ cOSEX)*N747 + (cNES+cEREX)*O747 + (cNES+cHOEX)*P747))/(1+cDR)^A$5:A$65536)</f>
        <v>62130.382128738893</v>
      </c>
      <c r="X747" s="112">
        <f t="shared" si="215"/>
        <v>742.33071049106877</v>
      </c>
      <c r="Y747" s="32">
        <f>(uNES*L747+ uOCEX*G747+uEREX*'PH + UC'!H747+uHOEX*I747+uNES*S747+ uOCEX*N747+uEREX*O747+uHOEX*P747)/(1+oDR)^A$5:A$65536</f>
        <v>394.86841306519898</v>
      </c>
    </row>
    <row r="748" spans="1:25" x14ac:dyDescent="0.25">
      <c r="A748" s="4">
        <v>742</v>
      </c>
      <c r="C748" s="110">
        <f>IF(male=0,VLOOKUP(((A746:A1580/'Life tables'!$I$2)*2)+age,lifetable,13,1),IF(male=1,VLOOKUP(((A746:A1580/'Life tables'!$I$2)*2)+age,lifetable,10,1),"error"))</f>
        <v>7.7299415014675521E-4</v>
      </c>
      <c r="F748" s="101">
        <f t="shared" si="198"/>
        <v>118.35801200648859</v>
      </c>
      <c r="G748" s="101">
        <f t="shared" si="199"/>
        <v>11.889310015723261</v>
      </c>
      <c r="H748" s="101">
        <f t="shared" si="200"/>
        <v>0.27207225309012167</v>
      </c>
      <c r="I748" s="101">
        <f t="shared" si="201"/>
        <v>0.27207225309012167</v>
      </c>
      <c r="J748" s="101">
        <f t="shared" si="202"/>
        <v>0.10110103851556224</v>
      </c>
      <c r="K748" s="101">
        <f t="shared" si="203"/>
        <v>2.1327504586344571E-2</v>
      </c>
      <c r="L748" s="101">
        <f t="shared" si="210"/>
        <v>105.80212894148319</v>
      </c>
      <c r="M748" s="101">
        <f t="shared" si="204"/>
        <v>623.97269848458018</v>
      </c>
      <c r="N748" s="101">
        <f t="shared" si="205"/>
        <v>60.089922780465315</v>
      </c>
      <c r="O748" s="101">
        <f t="shared" si="206"/>
        <v>1.4343402281386413</v>
      </c>
      <c r="P748" s="101">
        <f t="shared" si="207"/>
        <v>1.4343402281386413</v>
      </c>
      <c r="Q748" s="101">
        <f t="shared" si="208"/>
        <v>0.53099387778327822</v>
      </c>
      <c r="R748" s="101">
        <f t="shared" si="209"/>
        <v>1.6711293346785849E-2</v>
      </c>
      <c r="S748" s="101">
        <f t="shared" si="211"/>
        <v>560.46639007670751</v>
      </c>
      <c r="T748" s="101">
        <f t="shared" si="212"/>
        <v>221.2608366193767</v>
      </c>
      <c r="U748" s="101">
        <f t="shared" si="213"/>
        <v>37.078586603786917</v>
      </c>
      <c r="V748" s="33">
        <f t="shared" si="214"/>
        <v>1000.0000000000005</v>
      </c>
      <c r="W748" s="105">
        <f>IF(A748=1,((cPH1_+cPHr+(cNES*L748+(cNES+cOSEX)*G748+(cNES+cEREX)*H748+(cNES+cHOEX)*I748 + (cNES+cNES)*S748 +(cNES+ cOSEX)*N748 + (cNES+cEREX)*O748 + (cNES+cHOEX)*P748)))/(1+cDR)^A$5:A$65536,(cPHr+(cNES*L748+(cNES+cOSEX)*G748+(cNES+cEREX)*H748+(cNES+cHOEX)*I748 + (cNES+cNES)*S748 +(cNES+ cOSEX)*N748 + (cNES+cEREX)*O748 + (cNES+cHOEX)*P748))/(1+cDR)^A$5:A$65536)</f>
        <v>62002.958918604076</v>
      </c>
      <c r="X748" s="112">
        <f t="shared" si="215"/>
        <v>741.66057677683682</v>
      </c>
      <c r="Y748" s="32">
        <f>(uNES*L748+ uOCEX*G748+uEREX*'PH + UC'!H748+uHOEX*I748+uNES*S748+ uOCEX*N748+uEREX*O748+uHOEX*P748)/(1+oDR)^A$5:A$65536</f>
        <v>394.3984914427478</v>
      </c>
    </row>
    <row r="749" spans="1:25" x14ac:dyDescent="0.25">
      <c r="A749" s="4">
        <v>743</v>
      </c>
      <c r="C749" s="110">
        <f>IF(male=0,VLOOKUP(((A747:A1581/'Life tables'!$I$2)*2)+age,lifetable,13,1),IF(male=1,VLOOKUP(((A747:A1581/'Life tables'!$I$2)*2)+age,lifetable,10,1),"error"))</f>
        <v>7.7299415014675521E-4</v>
      </c>
      <c r="F749" s="101">
        <f t="shared" si="198"/>
        <v>118.25114529540321</v>
      </c>
      <c r="G749" s="101">
        <f t="shared" si="199"/>
        <v>11.87857503093503</v>
      </c>
      <c r="H749" s="101">
        <f t="shared" si="200"/>
        <v>0.27182659615171567</v>
      </c>
      <c r="I749" s="101">
        <f t="shared" si="201"/>
        <v>0.27182659615171567</v>
      </c>
      <c r="J749" s="101">
        <f t="shared" si="202"/>
        <v>0.10100975330985193</v>
      </c>
      <c r="K749" s="101">
        <f t="shared" si="203"/>
        <v>2.1308247755039592E-2</v>
      </c>
      <c r="L749" s="101">
        <f t="shared" si="210"/>
        <v>105.70659907109986</v>
      </c>
      <c r="M749" s="101">
        <f t="shared" si="204"/>
        <v>623.40943148143367</v>
      </c>
      <c r="N749" s="101">
        <f t="shared" si="205"/>
        <v>60.035678947672537</v>
      </c>
      <c r="O749" s="101">
        <f t="shared" si="206"/>
        <v>1.4330454334725311</v>
      </c>
      <c r="P749" s="101">
        <f t="shared" si="207"/>
        <v>1.4330454334725311</v>
      </c>
      <c r="Q749" s="101">
        <f t="shared" si="208"/>
        <v>0.53051454378203977</v>
      </c>
      <c r="R749" s="101">
        <f t="shared" si="209"/>
        <v>1.6696207878871935E-2</v>
      </c>
      <c r="S749" s="101">
        <f t="shared" si="211"/>
        <v>559.96045091515521</v>
      </c>
      <c r="T749" s="101">
        <f t="shared" si="212"/>
        <v>221.89236091646859</v>
      </c>
      <c r="U749" s="101">
        <f t="shared" si="213"/>
        <v>37.116591059420827</v>
      </c>
      <c r="V749" s="33">
        <f t="shared" si="214"/>
        <v>1000.0000000000006</v>
      </c>
      <c r="W749" s="105">
        <f>IF(A749=1,((cPH1_+cPHr+(cNES*L749+(cNES+cOSEX)*G749+(cNES+cEREX)*H749+(cNES+cHOEX)*I749 + (cNES+cNES)*S749 +(cNES+ cOSEX)*N749 + (cNES+cEREX)*O749 + (cNES+cHOEX)*P749)))/(1+cDR)^A$5:A$65536,(cPHr+(cNES*L749+(cNES+cOSEX)*G749+(cNES+cEREX)*H749+(cNES+cHOEX)*I749 + (cNES+cNES)*S749 +(cNES+ cOSEX)*N749 + (cNES+cEREX)*O749 + (cNES+cHOEX)*P749))/(1+cDR)^A$5:A$65536)</f>
        <v>61875.797017083816</v>
      </c>
      <c r="X749" s="112">
        <f t="shared" si="215"/>
        <v>740.99104802411114</v>
      </c>
      <c r="Y749" s="32">
        <f>(uNES*L749+ uOCEX*G749+uEREX*'PH + UC'!H749+uHOEX*I749+uNES*S749+ uOCEX*N749+uEREX*O749+uHOEX*P749)/(1+oDR)^A$5:A$65536</f>
        <v>393.92912906195158</v>
      </c>
    </row>
    <row r="750" spans="1:25" x14ac:dyDescent="0.25">
      <c r="A750" s="4">
        <v>744</v>
      </c>
      <c r="C750" s="110">
        <f>IF(male=0,VLOOKUP(((A748:A1582/'Life tables'!$I$2)*2)+age,lifetable,13,1),IF(male=1,VLOOKUP(((A748:A1582/'Life tables'!$I$2)*2)+age,lifetable,10,1),"error"))</f>
        <v>7.7299415014675521E-4</v>
      </c>
      <c r="F750" s="101">
        <f t="shared" si="198"/>
        <v>118.14437596195667</v>
      </c>
      <c r="G750" s="101">
        <f t="shared" si="199"/>
        <v>11.867849827934421</v>
      </c>
      <c r="H750" s="101">
        <f t="shared" si="200"/>
        <v>0.27158116305750202</v>
      </c>
      <c r="I750" s="101">
        <f t="shared" si="201"/>
        <v>0.27158116305750202</v>
      </c>
      <c r="J750" s="101">
        <f t="shared" si="202"/>
        <v>0.10091855128381193</v>
      </c>
      <c r="K750" s="101">
        <f t="shared" si="203"/>
        <v>2.1289008470683948E-2</v>
      </c>
      <c r="L750" s="101">
        <f t="shared" si="210"/>
        <v>105.61115624815275</v>
      </c>
      <c r="M750" s="101">
        <f t="shared" si="204"/>
        <v>622.84667206215454</v>
      </c>
      <c r="N750" s="101">
        <f t="shared" si="205"/>
        <v>59.981483996305933</v>
      </c>
      <c r="O750" s="101">
        <f t="shared" si="206"/>
        <v>1.431751805600997</v>
      </c>
      <c r="P750" s="101">
        <f t="shared" si="207"/>
        <v>1.431751805600997</v>
      </c>
      <c r="Q750" s="101">
        <f t="shared" si="208"/>
        <v>0.53003564172906881</v>
      </c>
      <c r="R750" s="101">
        <f t="shared" si="209"/>
        <v>1.6681136005115151E-2</v>
      </c>
      <c r="S750" s="101">
        <f t="shared" si="211"/>
        <v>559.45496767691247</v>
      </c>
      <c r="T750" s="101">
        <f t="shared" si="212"/>
        <v>222.52331510948147</v>
      </c>
      <c r="U750" s="101">
        <f t="shared" si="213"/>
        <v>37.154561203896627</v>
      </c>
      <c r="V750" s="33">
        <f t="shared" si="214"/>
        <v>1000.0000000000007</v>
      </c>
      <c r="W750" s="105">
        <f>IF(A750=1,((cPH1_+cPHr+(cNES*L750+(cNES+cOSEX)*G750+(cNES+cEREX)*H750+(cNES+cHOEX)*I750 + (cNES+cNES)*S750 +(cNES+ cOSEX)*N750 + (cNES+cEREX)*O750 + (cNES+cHOEX)*P750)))/(1+cDR)^A$5:A$65536,(cPHr+(cNES*L750+(cNES+cOSEX)*G750+(cNES+cEREX)*H750+(cNES+cHOEX)*I750 + (cNES+cNES)*S750 +(cNES+ cOSEX)*N750 + (cNES+cEREX)*O750 + (cNES+cHOEX)*P750))/(1+cDR)^A$5:A$65536)</f>
        <v>61748.895889805666</v>
      </c>
      <c r="X750" s="112">
        <f t="shared" si="215"/>
        <v>740.3221236866226</v>
      </c>
      <c r="Y750" s="32">
        <f>(uNES*L750+ uOCEX*G750+uEREX*'PH + UC'!H750+uHOEX*I750+uNES*S750+ uOCEX*N750+uEREX*O750+uHOEX*P750)/(1+oDR)^A$5:A$65536</f>
        <v>393.46032525720898</v>
      </c>
    </row>
    <row r="751" spans="1:25" x14ac:dyDescent="0.25">
      <c r="A751" s="4">
        <v>745</v>
      </c>
      <c r="C751" s="110">
        <f>IF(male=0,VLOOKUP(((A749:A1583/'Life tables'!$I$2)*2)+age,lifetable,13,1),IF(male=1,VLOOKUP(((A749:A1583/'Life tables'!$I$2)*2)+age,lifetable,10,1),"error"))</f>
        <v>7.7299415014675521E-4</v>
      </c>
      <c r="F751" s="101">
        <f t="shared" si="198"/>
        <v>118.03770387708443</v>
      </c>
      <c r="G751" s="101">
        <f t="shared" si="199"/>
        <v>11.857134393756631</v>
      </c>
      <c r="H751" s="101">
        <f t="shared" si="200"/>
        <v>0.27133595351079709</v>
      </c>
      <c r="I751" s="101">
        <f t="shared" si="201"/>
        <v>0.27133595351079709</v>
      </c>
      <c r="J751" s="101">
        <f t="shared" si="202"/>
        <v>0.10082743232719568</v>
      </c>
      <c r="K751" s="101">
        <f t="shared" si="203"/>
        <v>2.1269786710020857E-2</v>
      </c>
      <c r="L751" s="101">
        <f t="shared" si="210"/>
        <v>105.51580035726899</v>
      </c>
      <c r="M751" s="101">
        <f t="shared" si="204"/>
        <v>622.28441980953824</v>
      </c>
      <c r="N751" s="101">
        <f t="shared" si="205"/>
        <v>59.927337886187793</v>
      </c>
      <c r="O751" s="101">
        <f t="shared" si="206"/>
        <v>1.4304593435650013</v>
      </c>
      <c r="P751" s="101">
        <f t="shared" si="207"/>
        <v>1.4304593435650013</v>
      </c>
      <c r="Q751" s="101">
        <f t="shared" si="208"/>
        <v>0.52955717126932877</v>
      </c>
      <c r="R751" s="101">
        <f t="shared" si="209"/>
        <v>1.6666077714341879E-2</v>
      </c>
      <c r="S751" s="101">
        <f t="shared" si="211"/>
        <v>558.9499399872368</v>
      </c>
      <c r="T751" s="101">
        <f t="shared" si="212"/>
        <v>223.153699713078</v>
      </c>
      <c r="U751" s="101">
        <f t="shared" si="213"/>
        <v>37.192497068320989</v>
      </c>
      <c r="V751" s="33">
        <f t="shared" si="214"/>
        <v>1000.0000000000008</v>
      </c>
      <c r="W751" s="105">
        <f>IF(A751=1,((cPH1_+cPHr+(cNES*L751+(cNES+cOSEX)*G751+(cNES+cEREX)*H751+(cNES+cHOEX)*I751 + (cNES+cNES)*S751 +(cNES+ cOSEX)*N751 + (cNES+cEREX)*O751 + (cNES+cHOEX)*P751)))/(1+cDR)^A$5:A$65536,(cPHr+(cNES*L751+(cNES+cOSEX)*G751+(cNES+cEREX)*H751+(cNES+cHOEX)*I751 + (cNES+cNES)*S751 +(cNES+ cOSEX)*N751 + (cNES+cEREX)*O751 + (cNES+cHOEX)*P751))/(1+cDR)^A$5:A$65536)</f>
        <v>61622.255003419625</v>
      </c>
      <c r="X751" s="112">
        <f t="shared" si="215"/>
        <v>739.65380321860175</v>
      </c>
      <c r="Y751" s="32">
        <f>(uNES*L751+ uOCEX*G751+uEREX*'PH + UC'!H751+uHOEX*I751+uNES*S751+ uOCEX*N751+uEREX*O751+uHOEX*P751)/(1+oDR)^A$5:A$65536</f>
        <v>392.99207936371448</v>
      </c>
    </row>
    <row r="752" spans="1:25" x14ac:dyDescent="0.25">
      <c r="A752" s="4">
        <v>746</v>
      </c>
      <c r="C752" s="110">
        <f>IF(male=0,VLOOKUP(((A750:A1584/'Life tables'!$I$2)*2)+age,lifetable,13,1),IF(male=1,VLOOKUP(((A750:A1584/'Life tables'!$I$2)*2)+age,lifetable,10,1),"error"))</f>
        <v>7.7299415014675521E-4</v>
      </c>
      <c r="F752" s="101">
        <f t="shared" si="198"/>
        <v>117.93112891371116</v>
      </c>
      <c r="G752" s="101">
        <f t="shared" si="199"/>
        <v>11.846428715636678</v>
      </c>
      <c r="H752" s="101">
        <f t="shared" si="200"/>
        <v>0.27109096721948989</v>
      </c>
      <c r="I752" s="101">
        <f t="shared" si="201"/>
        <v>0.27109096721948989</v>
      </c>
      <c r="J752" s="101">
        <f t="shared" si="202"/>
        <v>0.10073639633145585</v>
      </c>
      <c r="K752" s="101">
        <f t="shared" si="203"/>
        <v>2.125058245015201E-2</v>
      </c>
      <c r="L752" s="101">
        <f t="shared" si="210"/>
        <v>105.42053128485389</v>
      </c>
      <c r="M752" s="101">
        <f t="shared" si="204"/>
        <v>621.72267430489069</v>
      </c>
      <c r="N752" s="101">
        <f t="shared" si="205"/>
        <v>59.873240576996984</v>
      </c>
      <c r="O752" s="101">
        <f t="shared" si="206"/>
        <v>1.4291680464020824</v>
      </c>
      <c r="P752" s="101">
        <f t="shared" si="207"/>
        <v>1.4291680464020824</v>
      </c>
      <c r="Q752" s="101">
        <f t="shared" si="208"/>
        <v>0.5290791320465158</v>
      </c>
      <c r="R752" s="101">
        <f t="shared" si="209"/>
        <v>1.6651032995338627E-2</v>
      </c>
      <c r="S752" s="101">
        <f t="shared" si="211"/>
        <v>558.4453674700477</v>
      </c>
      <c r="T752" s="101">
        <f t="shared" si="212"/>
        <v>223.78351524145597</v>
      </c>
      <c r="U752" s="101">
        <f t="shared" si="213"/>
        <v>37.230398683766481</v>
      </c>
      <c r="V752" s="33">
        <f t="shared" si="214"/>
        <v>1000.0000000000009</v>
      </c>
      <c r="W752" s="105">
        <f>IF(A752=1,((cPH1_+cPHr+(cNES*L752+(cNES+cOSEX)*G752+(cNES+cEREX)*H752+(cNES+cHOEX)*I752 + (cNES+cNES)*S752 +(cNES+ cOSEX)*N752 + (cNES+cEREX)*O752 + (cNES+cHOEX)*P752)))/(1+cDR)^A$5:A$65536,(cPHr+(cNES*L752+(cNES+cOSEX)*G752+(cNES+cEREX)*H752+(cNES+cHOEX)*I752 + (cNES+cNES)*S752 +(cNES+ cOSEX)*N752 + (cNES+cEREX)*O752 + (cNES+cHOEX)*P752))/(1+cDR)^A$5:A$65536)</f>
        <v>61495.873825599658</v>
      </c>
      <c r="X752" s="112">
        <f t="shared" si="215"/>
        <v>738.98608607477843</v>
      </c>
      <c r="Y752" s="32">
        <f>(uNES*L752+ uOCEX*G752+uEREX*'PH + UC'!H752+uHOEX*I752+uNES*S752+ uOCEX*N752+uEREX*O752+uHOEX*P752)/(1+oDR)^A$5:A$65536</f>
        <v>392.52439071745562</v>
      </c>
    </row>
    <row r="753" spans="1:25" x14ac:dyDescent="0.25">
      <c r="A753" s="4">
        <v>747</v>
      </c>
      <c r="C753" s="110">
        <f>IF(male=0,VLOOKUP(((A751:A1585/'Life tables'!$I$2)*2)+age,lifetable,13,1),IF(male=1,VLOOKUP(((A751:A1585/'Life tables'!$I$2)*2)+age,lifetable,10,1),"error"))</f>
        <v>7.7299415014675521E-4</v>
      </c>
      <c r="F753" s="101">
        <f t="shared" si="198"/>
        <v>117.82465094666394</v>
      </c>
      <c r="G753" s="101">
        <f t="shared" si="199"/>
        <v>11.835732781000678</v>
      </c>
      <c r="H753" s="101">
        <f t="shared" si="200"/>
        <v>0.27084620389584257</v>
      </c>
      <c r="I753" s="101">
        <f t="shared" si="201"/>
        <v>0.27084620389584257</v>
      </c>
      <c r="J753" s="101">
        <f t="shared" si="202"/>
        <v>0.10064544318967016</v>
      </c>
      <c r="K753" s="101">
        <f t="shared" si="203"/>
        <v>2.1231395668521884E-2</v>
      </c>
      <c r="L753" s="101">
        <f t="shared" si="210"/>
        <v>105.32534891901338</v>
      </c>
      <c r="M753" s="101">
        <f t="shared" si="204"/>
        <v>621.16143512811448</v>
      </c>
      <c r="N753" s="101">
        <f t="shared" si="205"/>
        <v>59.819192028277207</v>
      </c>
      <c r="O753" s="101">
        <f t="shared" si="206"/>
        <v>1.4278779131465527</v>
      </c>
      <c r="P753" s="101">
        <f t="shared" si="207"/>
        <v>1.4278779131465527</v>
      </c>
      <c r="Q753" s="101">
        <f t="shared" si="208"/>
        <v>0.5286015237031314</v>
      </c>
      <c r="R753" s="101">
        <f t="shared" si="209"/>
        <v>1.6636001836854295E-2</v>
      </c>
      <c r="S753" s="101">
        <f t="shared" si="211"/>
        <v>557.94124974800422</v>
      </c>
      <c r="T753" s="101">
        <f t="shared" si="212"/>
        <v>224.41276220834877</v>
      </c>
      <c r="U753" s="101">
        <f t="shared" si="213"/>
        <v>37.268266081271854</v>
      </c>
      <c r="V753" s="33">
        <f t="shared" si="214"/>
        <v>1000.0000000000009</v>
      </c>
      <c r="W753" s="105">
        <f>IF(A753=1,((cPH1_+cPHr+(cNES*L753+(cNES+cOSEX)*G753+(cNES+cEREX)*H753+(cNES+cHOEX)*I753 + (cNES+cNES)*S753 +(cNES+ cOSEX)*N753 + (cNES+cEREX)*O753 + (cNES+cHOEX)*P753)))/(1+cDR)^A$5:A$65536,(cPHr+(cNES*L753+(cNES+cOSEX)*G753+(cNES+cEREX)*H753+(cNES+cHOEX)*I753 + (cNES+cNES)*S753 +(cNES+ cOSEX)*N753 + (cNES+cEREX)*O753 + (cNES+cHOEX)*P753))/(1+cDR)^A$5:A$65536)</f>
        <v>61369.751825044739</v>
      </c>
      <c r="X753" s="112">
        <f t="shared" si="215"/>
        <v>738.31897171038031</v>
      </c>
      <c r="Y753" s="32">
        <f>(uNES*L753+ uOCEX*G753+uEREX*'PH + UC'!H753+uHOEX*I753+uNES*S753+ uOCEX*N753+uEREX*O753+uHOEX*P753)/(1+oDR)^A$5:A$65536</f>
        <v>392.05725865521345</v>
      </c>
    </row>
    <row r="754" spans="1:25" x14ac:dyDescent="0.25">
      <c r="A754" s="4">
        <v>748</v>
      </c>
      <c r="C754" s="110">
        <f>IF(male=0,VLOOKUP(((A752:A1586/'Life tables'!$I$2)*2)+age,lifetable,13,1),IF(male=1,VLOOKUP(((A752:A1586/'Life tables'!$I$2)*2)+age,lifetable,10,1),"error"))</f>
        <v>7.7299415014675521E-4</v>
      </c>
      <c r="F754" s="101">
        <f t="shared" si="198"/>
        <v>117.71826985258905</v>
      </c>
      <c r="G754" s="101">
        <f t="shared" si="199"/>
        <v>11.82504657745749</v>
      </c>
      <c r="H754" s="101">
        <f t="shared" si="200"/>
        <v>0.27060166325629925</v>
      </c>
      <c r="I754" s="101">
        <f t="shared" si="201"/>
        <v>0.27060166325629925</v>
      </c>
      <c r="J754" s="101">
        <f t="shared" si="202"/>
        <v>0.1005545727964702</v>
      </c>
      <c r="K754" s="101">
        <f t="shared" si="203"/>
        <v>2.121222634290278E-2</v>
      </c>
      <c r="L754" s="101">
        <f t="shared" si="210"/>
        <v>105.23025314947958</v>
      </c>
      <c r="M754" s="101">
        <f t="shared" si="204"/>
        <v>620.60070185779125</v>
      </c>
      <c r="N754" s="101">
        <f t="shared" si="205"/>
        <v>59.765192199444961</v>
      </c>
      <c r="O754" s="101">
        <f t="shared" si="206"/>
        <v>1.4265889428296883</v>
      </c>
      <c r="P754" s="101">
        <f t="shared" si="207"/>
        <v>1.4265889428296883</v>
      </c>
      <c r="Q754" s="101">
        <f t="shared" si="208"/>
        <v>0.52812434588055346</v>
      </c>
      <c r="R754" s="101">
        <f t="shared" si="209"/>
        <v>1.6620984227602428E-2</v>
      </c>
      <c r="S754" s="101">
        <f t="shared" si="211"/>
        <v>557.43758644257878</v>
      </c>
      <c r="T754" s="101">
        <f t="shared" si="212"/>
        <v>225.04144112702579</v>
      </c>
      <c r="U754" s="101">
        <f t="shared" si="213"/>
        <v>37.306099291842358</v>
      </c>
      <c r="V754" s="33">
        <f t="shared" si="214"/>
        <v>1000.0000000000009</v>
      </c>
      <c r="W754" s="105">
        <f>IF(A754=1,((cPH1_+cPHr+(cNES*L754+(cNES+cOSEX)*G754+(cNES+cEREX)*H754+(cNES+cHOEX)*I754 + (cNES+cNES)*S754 +(cNES+ cOSEX)*N754 + (cNES+cEREX)*O754 + (cNES+cHOEX)*P754)))/(1+cDR)^A$5:A$65536,(cPHr+(cNES*L754+(cNES+cOSEX)*G754+(cNES+cEREX)*H754+(cNES+cHOEX)*I754 + (cNES+cNES)*S754 +(cNES+ cOSEX)*N754 + (cNES+cEREX)*O754 + (cNES+cHOEX)*P754))/(1+cDR)^A$5:A$65536)</f>
        <v>61243.888471480015</v>
      </c>
      <c r="X754" s="112">
        <f t="shared" si="215"/>
        <v>737.6524595811328</v>
      </c>
      <c r="Y754" s="32">
        <f>(uNES*L754+ uOCEX*G754+uEREX*'PH + UC'!H754+uHOEX*I754+uNES*S754+ uOCEX*N754+uEREX*O754+uHOEX*P754)/(1+oDR)^A$5:A$65536</f>
        <v>391.59068251456068</v>
      </c>
    </row>
    <row r="755" spans="1:25" x14ac:dyDescent="0.25">
      <c r="A755" s="4">
        <v>749</v>
      </c>
      <c r="C755" s="110">
        <f>IF(male=0,VLOOKUP(((A753:A1587/'Life tables'!$I$2)*2)+age,lifetable,13,1),IF(male=1,VLOOKUP(((A753:A1587/'Life tables'!$I$2)*2)+age,lifetable,10,1),"error"))</f>
        <v>7.7299415014675521E-4</v>
      </c>
      <c r="F755" s="101">
        <f t="shared" si="198"/>
        <v>117.61198550987277</v>
      </c>
      <c r="G755" s="101">
        <f t="shared" si="199"/>
        <v>11.814370092790767</v>
      </c>
      <c r="H755" s="101">
        <f t="shared" si="200"/>
        <v>0.27035734502130354</v>
      </c>
      <c r="I755" s="101">
        <f t="shared" si="201"/>
        <v>0.27035734502130354</v>
      </c>
      <c r="J755" s="101">
        <f t="shared" si="202"/>
        <v>0.10046378504797397</v>
      </c>
      <c r="K755" s="101">
        <f t="shared" si="203"/>
        <v>2.1193074451380522E-2</v>
      </c>
      <c r="L755" s="101">
        <f t="shared" si="210"/>
        <v>105.13524386754004</v>
      </c>
      <c r="M755" s="101">
        <f t="shared" si="204"/>
        <v>620.04047407125995</v>
      </c>
      <c r="N755" s="101">
        <f t="shared" si="205"/>
        <v>59.711241049797074</v>
      </c>
      <c r="O755" s="101">
        <f t="shared" si="206"/>
        <v>1.4253011344799089</v>
      </c>
      <c r="P755" s="101">
        <f t="shared" si="207"/>
        <v>1.4253011344799089</v>
      </c>
      <c r="Q755" s="101">
        <f t="shared" si="208"/>
        <v>0.52764759821910179</v>
      </c>
      <c r="R755" s="101">
        <f t="shared" si="209"/>
        <v>1.6605980156263279E-2</v>
      </c>
      <c r="S755" s="101">
        <f t="shared" si="211"/>
        <v>556.93437717412769</v>
      </c>
      <c r="T755" s="101">
        <f t="shared" si="212"/>
        <v>225.66955251029287</v>
      </c>
      <c r="U755" s="101">
        <f t="shared" si="213"/>
        <v>37.343898346450004</v>
      </c>
      <c r="V755" s="33">
        <f t="shared" si="214"/>
        <v>1000.0000000000009</v>
      </c>
      <c r="W755" s="105">
        <f>IF(A755=1,((cPH1_+cPHr+(cNES*L755+(cNES+cOSEX)*G755+(cNES+cEREX)*H755+(cNES+cHOEX)*I755 + (cNES+cNES)*S755 +(cNES+ cOSEX)*N755 + (cNES+cEREX)*O755 + (cNES+cHOEX)*P755)))/(1+cDR)^A$5:A$65536,(cPHr+(cNES*L755+(cNES+cOSEX)*G755+(cNES+cEREX)*H755+(cNES+cHOEX)*I755 + (cNES+cNES)*S755 +(cNES+ cOSEX)*N755 + (cNES+cEREX)*O755 + (cNES+cHOEX)*P755))/(1+cDR)^A$5:A$65536)</f>
        <v>61118.283235657393</v>
      </c>
      <c r="X755" s="112">
        <f t="shared" si="215"/>
        <v>736.986549143258</v>
      </c>
      <c r="Y755" s="32">
        <f>(uNES*L755+ uOCEX*G755+uEREX*'PH + UC'!H755+uHOEX*I755+uNES*S755+ uOCEX*N755+uEREX*O755+uHOEX*P755)/(1+oDR)^A$5:A$65536</f>
        <v>391.12466163386046</v>
      </c>
    </row>
    <row r="756" spans="1:25" x14ac:dyDescent="0.25">
      <c r="A756" s="4">
        <v>750</v>
      </c>
      <c r="C756" s="110">
        <f>IF(male=0,VLOOKUP(((A754:A1588/'Life tables'!$I$2)*2)+age,lifetable,13,1),IF(male=1,VLOOKUP(((A754:A1588/'Life tables'!$I$2)*2)+age,lifetable,10,1),"error"))</f>
        <v>7.7299415014675521E-4</v>
      </c>
      <c r="F756" s="101">
        <f t="shared" si="198"/>
        <v>117.50579779856568</v>
      </c>
      <c r="G756" s="101">
        <f t="shared" si="199"/>
        <v>11.803703314951335</v>
      </c>
      <c r="H756" s="101">
        <f t="shared" si="200"/>
        <v>0.27011324891512517</v>
      </c>
      <c r="I756" s="101">
        <f t="shared" si="201"/>
        <v>0.27011324891512517</v>
      </c>
      <c r="J756" s="101">
        <f t="shared" si="202"/>
        <v>0.10037307984172104</v>
      </c>
      <c r="K756" s="101">
        <f t="shared" si="203"/>
        <v>2.1173939972340849E-2</v>
      </c>
      <c r="L756" s="101">
        <f t="shared" si="210"/>
        <v>105.04032096597004</v>
      </c>
      <c r="M756" s="101">
        <f t="shared" si="204"/>
        <v>619.48075134469241</v>
      </c>
      <c r="N756" s="101">
        <f t="shared" si="205"/>
        <v>59.657338538517976</v>
      </c>
      <c r="O756" s="101">
        <f t="shared" si="206"/>
        <v>1.4240144871229505</v>
      </c>
      <c r="P756" s="101">
        <f t="shared" si="207"/>
        <v>1.4240144871229505</v>
      </c>
      <c r="Q756" s="101">
        <f t="shared" si="208"/>
        <v>0.52717128035810357</v>
      </c>
      <c r="R756" s="101">
        <f t="shared" si="209"/>
        <v>1.6590989611485838E-2</v>
      </c>
      <c r="S756" s="101">
        <f t="shared" si="211"/>
        <v>556.43162156195899</v>
      </c>
      <c r="T756" s="101">
        <f t="shared" si="212"/>
        <v>226.29709687049271</v>
      </c>
      <c r="U756" s="101">
        <f t="shared" si="213"/>
        <v>37.381663276033834</v>
      </c>
      <c r="V756" s="33">
        <f t="shared" si="214"/>
        <v>1000.000000000001</v>
      </c>
      <c r="W756" s="105">
        <f>IF(A756=1,((cPH1_+cPHr+(cNES*L756+(cNES+cOSEX)*G756+(cNES+cEREX)*H756+(cNES+cHOEX)*I756 + (cNES+cNES)*S756 +(cNES+ cOSEX)*N756 + (cNES+cEREX)*O756 + (cNES+cHOEX)*P756)))/(1+cDR)^A$5:A$65536,(cPHr+(cNES*L756+(cNES+cOSEX)*G756+(cNES+cEREX)*H756+(cNES+cHOEX)*I756 + (cNES+cNES)*S756 +(cNES+ cOSEX)*N756 + (cNES+cEREX)*O756 + (cNES+cHOEX)*P756))/(1+cDR)^A$5:A$65536)</f>
        <v>60992.935589356624</v>
      </c>
      <c r="X756" s="112">
        <f t="shared" si="215"/>
        <v>736.32123985347448</v>
      </c>
      <c r="Y756" s="32">
        <f>(uNES*L756+ uOCEX*G756+uEREX*'PH + UC'!H756+uHOEX*I756+uNES*S756+ uOCEX*N756+uEREX*O756+uHOEX*P756)/(1+oDR)^A$5:A$65536</f>
        <v>390.65919535226635</v>
      </c>
    </row>
    <row r="757" spans="1:25" x14ac:dyDescent="0.25">
      <c r="A757" s="4">
        <v>751</v>
      </c>
      <c r="C757" s="110">
        <f>IF(male=0,VLOOKUP(((A755:A1589/'Life tables'!$I$2)*2)+age,lifetable,13,1),IF(male=1,VLOOKUP(((A755:A1589/'Life tables'!$I$2)*2)+age,lifetable,10,1),"error"))</f>
        <v>7.7299415014675521E-4</v>
      </c>
      <c r="F757" s="101">
        <f t="shared" si="198"/>
        <v>117.39970660031037</v>
      </c>
      <c r="G757" s="101">
        <f t="shared" si="199"/>
        <v>11.793046232049944</v>
      </c>
      <c r="H757" s="101">
        <f t="shared" si="200"/>
        <v>0.26986937466569311</v>
      </c>
      <c r="I757" s="101">
        <f t="shared" si="201"/>
        <v>0.26986937466569311</v>
      </c>
      <c r="J757" s="101">
        <f t="shared" si="202"/>
        <v>0.10028245707661083</v>
      </c>
      <c r="K757" s="101">
        <f t="shared" si="203"/>
        <v>2.1154822884456366E-2</v>
      </c>
      <c r="L757" s="101">
        <f t="shared" si="210"/>
        <v>104.94548433896797</v>
      </c>
      <c r="M757" s="101">
        <f t="shared" si="204"/>
        <v>618.92153325316394</v>
      </c>
      <c r="N757" s="101">
        <f t="shared" si="205"/>
        <v>59.603484624686494</v>
      </c>
      <c r="O757" s="101">
        <f t="shared" si="206"/>
        <v>1.4227289997820296</v>
      </c>
      <c r="P757" s="101">
        <f t="shared" si="207"/>
        <v>1.4227289997820296</v>
      </c>
      <c r="Q757" s="101">
        <f t="shared" si="208"/>
        <v>0.52669539193595216</v>
      </c>
      <c r="R757" s="101">
        <f t="shared" si="209"/>
        <v>1.6576012581889739E-2</v>
      </c>
      <c r="S757" s="101">
        <f t="shared" si="211"/>
        <v>555.9293192243955</v>
      </c>
      <c r="T757" s="101">
        <f t="shared" si="212"/>
        <v>226.92407471950528</v>
      </c>
      <c r="U757" s="101">
        <f t="shared" si="213"/>
        <v>37.419394111500182</v>
      </c>
      <c r="V757" s="33">
        <f t="shared" si="214"/>
        <v>1000.0000000000008</v>
      </c>
      <c r="W757" s="105">
        <f>IF(A757=1,((cPH1_+cPHr+(cNES*L757+(cNES+cOSEX)*G757+(cNES+cEREX)*H757+(cNES+cHOEX)*I757 + (cNES+cNES)*S757 +(cNES+ cOSEX)*N757 + (cNES+cEREX)*O757 + (cNES+cHOEX)*P757)))/(1+cDR)^A$5:A$65536,(cPHr+(cNES*L757+(cNES+cOSEX)*G757+(cNES+cEREX)*H757+(cNES+cHOEX)*I757 + (cNES+cNES)*S757 +(cNES+ cOSEX)*N757 + (cNES+cEREX)*O757 + (cNES+cHOEX)*P757))/(1+cDR)^A$5:A$65536)</f>
        <v>60867.845005385549</v>
      </c>
      <c r="X757" s="112">
        <f t="shared" si="215"/>
        <v>735.65653116899534</v>
      </c>
      <c r="Y757" s="32">
        <f>(uNES*L757+ uOCEX*G757+uEREX*'PH + UC'!H757+uHOEX*I757+uNES*S757+ uOCEX*N757+uEREX*O757+uHOEX*P757)/(1+oDR)^A$5:A$65536</f>
        <v>390.19428300971958</v>
      </c>
    </row>
    <row r="758" spans="1:25" x14ac:dyDescent="0.25">
      <c r="A758" s="4">
        <v>752</v>
      </c>
      <c r="C758" s="110">
        <f>IF(male=0,VLOOKUP(((A756:A1590/'Life tables'!$I$2)*2)+age,lifetable,13,1),IF(male=1,VLOOKUP(((A756:A1590/'Life tables'!$I$2)*2)+age,lifetable,10,1),"error"))</f>
        <v>7.7299415014675521E-4</v>
      </c>
      <c r="F758" s="101">
        <f t="shared" si="198"/>
        <v>117.29371179827258</v>
      </c>
      <c r="G758" s="101">
        <f t="shared" si="199"/>
        <v>11.782398832350349</v>
      </c>
      <c r="H758" s="101">
        <f t="shared" si="200"/>
        <v>0.26962572200443785</v>
      </c>
      <c r="I758" s="101">
        <f t="shared" si="201"/>
        <v>0.26962572200443785</v>
      </c>
      <c r="J758" s="101">
        <f t="shared" si="202"/>
        <v>0.10019191665284397</v>
      </c>
      <c r="K758" s="101">
        <f t="shared" si="203"/>
        <v>2.1135723166674135E-2</v>
      </c>
      <c r="L758" s="101">
        <f t="shared" si="210"/>
        <v>104.85073388209383</v>
      </c>
      <c r="M758" s="101">
        <f t="shared" si="204"/>
        <v>618.36281937072283</v>
      </c>
      <c r="N758" s="101">
        <f t="shared" si="205"/>
        <v>59.549679267282563</v>
      </c>
      <c r="O758" s="101">
        <f t="shared" si="206"/>
        <v>1.4214446714780011</v>
      </c>
      <c r="P758" s="101">
        <f t="shared" si="207"/>
        <v>1.4214446714780011</v>
      </c>
      <c r="Q758" s="101">
        <f t="shared" si="208"/>
        <v>0.52621993259016797</v>
      </c>
      <c r="R758" s="101">
        <f t="shared" si="209"/>
        <v>1.65610490560671E-2</v>
      </c>
      <c r="S758" s="101">
        <f t="shared" si="211"/>
        <v>555.42746977883803</v>
      </c>
      <c r="T758" s="101">
        <f t="shared" si="212"/>
        <v>227.55048656874828</v>
      </c>
      <c r="U758" s="101">
        <f t="shared" si="213"/>
        <v>37.45709088372292</v>
      </c>
      <c r="V758" s="33">
        <f t="shared" si="214"/>
        <v>1000.0000000000009</v>
      </c>
      <c r="W758" s="105">
        <f>IF(A758=1,((cPH1_+cPHr+(cNES*L758+(cNES+cOSEX)*G758+(cNES+cEREX)*H758+(cNES+cHOEX)*I758 + (cNES+cNES)*S758 +(cNES+ cOSEX)*N758 + (cNES+cEREX)*O758 + (cNES+cHOEX)*P758)))/(1+cDR)^A$5:A$65536,(cPHr+(cNES*L758+(cNES+cOSEX)*G758+(cNES+cEREX)*H758+(cNES+cHOEX)*I758 + (cNES+cNES)*S758 +(cNES+ cOSEX)*N758 + (cNES+cEREX)*O758 + (cNES+cHOEX)*P758))/(1+cDR)^A$5:A$65536)</f>
        <v>60743.010957580787</v>
      </c>
      <c r="X758" s="112">
        <f t="shared" si="215"/>
        <v>734.99242254752971</v>
      </c>
      <c r="Y758" s="32">
        <f>(uNES*L758+ uOCEX*G758+uEREX*'PH + UC'!H758+uHOEX*I758+uNES*S758+ uOCEX*N758+uEREX*O758+uHOEX*P758)/(1+oDR)^A$5:A$65536</f>
        <v>389.72992394694967</v>
      </c>
    </row>
    <row r="759" spans="1:25" x14ac:dyDescent="0.25">
      <c r="A759" s="4">
        <v>753</v>
      </c>
      <c r="C759" s="110">
        <f>IF(male=0,VLOOKUP(((A757:A1591/'Life tables'!$I$2)*2)+age,lifetable,13,1),IF(male=1,VLOOKUP(((A757:A1591/'Life tables'!$I$2)*2)+age,lifetable,10,1),"error"))</f>
        <v>7.7299415014675521E-4</v>
      </c>
      <c r="F759" s="101">
        <f t="shared" si="198"/>
        <v>117.18781327707531</v>
      </c>
      <c r="G759" s="101">
        <f t="shared" si="199"/>
        <v>11.771761104262689</v>
      </c>
      <c r="H759" s="101">
        <f t="shared" si="200"/>
        <v>0.26938229066613961</v>
      </c>
      <c r="I759" s="101">
        <f t="shared" si="201"/>
        <v>0.26938229066613961</v>
      </c>
      <c r="J759" s="101">
        <f t="shared" si="202"/>
        <v>0.10010145847186575</v>
      </c>
      <c r="K759" s="101">
        <f t="shared" si="203"/>
        <v>2.1116640798203818E-2</v>
      </c>
      <c r="L759" s="101">
        <f t="shared" si="210"/>
        <v>104.75606949221027</v>
      </c>
      <c r="M759" s="101">
        <f t="shared" si="204"/>
        <v>617.80460927045431</v>
      </c>
      <c r="N759" s="101">
        <f t="shared" si="205"/>
        <v>59.495922425193356</v>
      </c>
      <c r="O759" s="101">
        <f t="shared" si="206"/>
        <v>1.4201615012295064</v>
      </c>
      <c r="P759" s="101">
        <f t="shared" si="207"/>
        <v>1.4201615012295064</v>
      </c>
      <c r="Q759" s="101">
        <f t="shared" si="208"/>
        <v>0.52574490195745072</v>
      </c>
      <c r="R759" s="101">
        <f t="shared" si="209"/>
        <v>1.6546099022584256E-2</v>
      </c>
      <c r="S759" s="101">
        <f t="shared" si="211"/>
        <v>554.92607284182191</v>
      </c>
      <c r="T759" s="101">
        <f t="shared" si="212"/>
        <v>228.17633292917759</v>
      </c>
      <c r="U759" s="101">
        <f t="shared" si="213"/>
        <v>37.494753623543708</v>
      </c>
      <c r="V759" s="33">
        <f t="shared" si="214"/>
        <v>1000.0000000000008</v>
      </c>
      <c r="W759" s="105">
        <f>IF(A759=1,((cPH1_+cPHr+(cNES*L759+(cNES+cOSEX)*G759+(cNES+cEREX)*H759+(cNES+cHOEX)*I759 + (cNES+cNES)*S759 +(cNES+ cOSEX)*N759 + (cNES+cEREX)*O759 + (cNES+cHOEX)*P759)))/(1+cDR)^A$5:A$65536,(cPHr+(cNES*L759+(cNES+cOSEX)*G759+(cNES+cEREX)*H759+(cNES+cHOEX)*I759 + (cNES+cNES)*S759 +(cNES+ cOSEX)*N759 + (cNES+cEREX)*O759 + (cNES+cHOEX)*P759))/(1+cDR)^A$5:A$65536)</f>
        <v>60618.432920807914</v>
      </c>
      <c r="X759" s="112">
        <f t="shared" si="215"/>
        <v>734.32891344727955</v>
      </c>
      <c r="Y759" s="32">
        <f>(uNES*L759+ uOCEX*G759+uEREX*'PH + UC'!H759+uHOEX*I759+uNES*S759+ uOCEX*N759+uEREX*O759+uHOEX*P759)/(1+oDR)^A$5:A$65536</f>
        <v>389.26611750547272</v>
      </c>
    </row>
    <row r="760" spans="1:25" x14ac:dyDescent="0.25">
      <c r="A760" s="4">
        <v>754</v>
      </c>
      <c r="C760" s="110">
        <f>IF(male=0,VLOOKUP(((A758:A1592/'Life tables'!$I$2)*2)+age,lifetable,13,1),IF(male=1,VLOOKUP(((A758:A1592/'Life tables'!$I$2)*2)+age,lifetable,10,1),"error"))</f>
        <v>7.7299415014675521E-4</v>
      </c>
      <c r="F760" s="101">
        <f t="shared" si="198"/>
        <v>117.08201092273605</v>
      </c>
      <c r="G760" s="101">
        <f t="shared" si="199"/>
        <v>11.761133036337183</v>
      </c>
      <c r="H760" s="101">
        <f t="shared" si="200"/>
        <v>0.26913908038878431</v>
      </c>
      <c r="I760" s="101">
        <f t="shared" si="201"/>
        <v>0.26913908038878431</v>
      </c>
      <c r="J760" s="101">
        <f t="shared" si="202"/>
        <v>0.10001108243631267</v>
      </c>
      <c r="K760" s="101">
        <f t="shared" si="203"/>
        <v>2.1097575758506355E-2</v>
      </c>
      <c r="L760" s="101">
        <f t="shared" si="210"/>
        <v>104.66149106742648</v>
      </c>
      <c r="M760" s="101">
        <f t="shared" si="204"/>
        <v>617.24690252454343</v>
      </c>
      <c r="N760" s="101">
        <f t="shared" si="205"/>
        <v>59.442214057219374</v>
      </c>
      <c r="O760" s="101">
        <f t="shared" si="206"/>
        <v>1.4188794880531173</v>
      </c>
      <c r="P760" s="101">
        <f t="shared" si="207"/>
        <v>1.4188794880531173</v>
      </c>
      <c r="Q760" s="101">
        <f t="shared" si="208"/>
        <v>0.52527029967373484</v>
      </c>
      <c r="R760" s="101">
        <f t="shared" si="209"/>
        <v>1.6531162469983422E-2</v>
      </c>
      <c r="S760" s="101">
        <f t="shared" si="211"/>
        <v>554.42512802907413</v>
      </c>
      <c r="T760" s="101">
        <f t="shared" si="212"/>
        <v>228.80161431128764</v>
      </c>
      <c r="U760" s="101">
        <f t="shared" si="213"/>
        <v>37.5323823617722</v>
      </c>
      <c r="V760" s="33">
        <f t="shared" si="214"/>
        <v>1000.0000000000007</v>
      </c>
      <c r="W760" s="105">
        <f>IF(A760=1,((cPH1_+cPHr+(cNES*L760+(cNES+cOSEX)*G760+(cNES+cEREX)*H760+(cNES+cHOEX)*I760 + (cNES+cNES)*S760 +(cNES+ cOSEX)*N760 + (cNES+cEREX)*O760 + (cNES+cHOEX)*P760)))/(1+cDR)^A$5:A$65536,(cPHr+(cNES*L760+(cNES+cOSEX)*G760+(cNES+cEREX)*H760+(cNES+cHOEX)*I760 + (cNES+cNES)*S760 +(cNES+ cOSEX)*N760 + (cNES+cEREX)*O760 + (cNES+cHOEX)*P760))/(1+cDR)^A$5:A$65536)</f>
        <v>60494.110370961913</v>
      </c>
      <c r="X760" s="112">
        <f t="shared" si="215"/>
        <v>733.66600332694088</v>
      </c>
      <c r="Y760" s="32">
        <f>(uNES*L760+ uOCEX*G760+uEREX*'PH + UC'!H760+uHOEX*I760+uNES*S760+ uOCEX*N760+uEREX*O760+uHOEX*P760)/(1+oDR)^A$5:A$65536</f>
        <v>388.80286302759015</v>
      </c>
    </row>
    <row r="761" spans="1:25" x14ac:dyDescent="0.25">
      <c r="A761" s="4">
        <v>755</v>
      </c>
      <c r="C761" s="110">
        <f>IF(male=0,VLOOKUP(((A759:A1593/'Life tables'!$I$2)*2)+age,lifetable,13,1),IF(male=1,VLOOKUP(((A759:A1593/'Life tables'!$I$2)*2)+age,lifetable,10,1),"error"))</f>
        <v>7.7299415014675521E-4</v>
      </c>
      <c r="F761" s="101">
        <f t="shared" si="198"/>
        <v>116.97630462260669</v>
      </c>
      <c r="G761" s="101">
        <f t="shared" si="199"/>
        <v>11.750514617258091</v>
      </c>
      <c r="H761" s="101">
        <f t="shared" si="200"/>
        <v>0.26889609091342509</v>
      </c>
      <c r="I761" s="101">
        <f t="shared" si="201"/>
        <v>0.26889609091342509</v>
      </c>
      <c r="J761" s="101">
        <f t="shared" si="202"/>
        <v>9.9920788449961065E-2</v>
      </c>
      <c r="K761" s="101">
        <f t="shared" si="203"/>
        <v>2.1078528027283133E-2</v>
      </c>
      <c r="L761" s="101">
        <f t="shared" si="210"/>
        <v>104.5669985070445</v>
      </c>
      <c r="M761" s="101">
        <f t="shared" si="204"/>
        <v>616.68969870433432</v>
      </c>
      <c r="N761" s="101">
        <f t="shared" si="205"/>
        <v>59.388554122080123</v>
      </c>
      <c r="O761" s="101">
        <f t="shared" si="206"/>
        <v>1.4175986309634729</v>
      </c>
      <c r="P761" s="101">
        <f t="shared" si="207"/>
        <v>1.4175986309634729</v>
      </c>
      <c r="Q761" s="101">
        <f t="shared" si="208"/>
        <v>0.52479612537423903</v>
      </c>
      <c r="R761" s="101">
        <f t="shared" si="209"/>
        <v>1.6516239386784305E-2</v>
      </c>
      <c r="S761" s="101">
        <f t="shared" si="211"/>
        <v>553.92463495556626</v>
      </c>
      <c r="T761" s="101">
        <f t="shared" si="212"/>
        <v>229.42633122511182</v>
      </c>
      <c r="U761" s="101">
        <f t="shared" si="213"/>
        <v>37.56997712918627</v>
      </c>
      <c r="V761" s="33">
        <f t="shared" si="214"/>
        <v>1000.0000000000009</v>
      </c>
      <c r="W761" s="105">
        <f>IF(A761=1,((cPH1_+cPHr+(cNES*L761+(cNES+cOSEX)*G761+(cNES+cEREX)*H761+(cNES+cHOEX)*I761 + (cNES+cNES)*S761 +(cNES+ cOSEX)*N761 + (cNES+cEREX)*O761 + (cNES+cHOEX)*P761)))/(1+cDR)^A$5:A$65536,(cPHr+(cNES*L761+(cNES+cOSEX)*G761+(cNES+cEREX)*H761+(cNES+cHOEX)*I761 + (cNES+cNES)*S761 +(cNES+ cOSEX)*N761 + (cNES+cEREX)*O761 + (cNES+cHOEX)*P761))/(1+cDR)^A$5:A$65536)</f>
        <v>60370.042784967009</v>
      </c>
      <c r="X761" s="112">
        <f t="shared" si="215"/>
        <v>733.00369164570282</v>
      </c>
      <c r="Y761" s="32">
        <f>(uNES*L761+ uOCEX*G761+uEREX*'PH + UC'!H761+uHOEX*I761+uNES*S761+ uOCEX*N761+uEREX*O761+uHOEX*P761)/(1+oDR)^A$5:A$65536</f>
        <v>388.34015985638803</v>
      </c>
    </row>
    <row r="762" spans="1:25" x14ac:dyDescent="0.25">
      <c r="A762" s="4">
        <v>756</v>
      </c>
      <c r="C762" s="110">
        <f>IF(male=0,VLOOKUP(((A760:A1594/'Life tables'!$I$2)*2)+age,lifetable,13,1),IF(male=1,VLOOKUP(((A760:A1594/'Life tables'!$I$2)*2)+age,lifetable,10,1),"error"))</f>
        <v>7.7299415014675521E-4</v>
      </c>
      <c r="F762" s="101">
        <f t="shared" si="198"/>
        <v>116.87069426531643</v>
      </c>
      <c r="G762" s="101">
        <f t="shared" si="199"/>
        <v>11.739905835837984</v>
      </c>
      <c r="H762" s="101">
        <f t="shared" si="200"/>
        <v>0.2686533219840514</v>
      </c>
      <c r="I762" s="101">
        <f t="shared" si="201"/>
        <v>0.2686533219840514</v>
      </c>
      <c r="J762" s="101">
        <f t="shared" si="202"/>
        <v>9.9830576417678368E-2</v>
      </c>
      <c r="K762" s="101">
        <f t="shared" si="203"/>
        <v>2.1059497584465708E-2</v>
      </c>
      <c r="L762" s="101">
        <f t="shared" si="210"/>
        <v>104.4725917115082</v>
      </c>
      <c r="M762" s="101">
        <f t="shared" si="204"/>
        <v>616.1329973803862</v>
      </c>
      <c r="N762" s="101">
        <f t="shared" si="205"/>
        <v>59.334942578419529</v>
      </c>
      <c r="O762" s="101">
        <f t="shared" si="206"/>
        <v>1.4163189289734082</v>
      </c>
      <c r="P762" s="101">
        <f t="shared" si="207"/>
        <v>1.4163189289734082</v>
      </c>
      <c r="Q762" s="101">
        <f t="shared" si="208"/>
        <v>0.52432237869351361</v>
      </c>
      <c r="R762" s="101">
        <f t="shared" si="209"/>
        <v>1.6501329761485578E-2</v>
      </c>
      <c r="S762" s="101">
        <f t="shared" si="211"/>
        <v>553.42459323556488</v>
      </c>
      <c r="T762" s="101">
        <f t="shared" si="212"/>
        <v>230.05048418022301</v>
      </c>
      <c r="U762" s="101">
        <f t="shared" si="213"/>
        <v>37.607537956532219</v>
      </c>
      <c r="V762" s="33">
        <f t="shared" si="214"/>
        <v>1000.0000000000007</v>
      </c>
      <c r="W762" s="105">
        <f>IF(A762=1,((cPH1_+cPHr+(cNES*L762+(cNES+cOSEX)*G762+(cNES+cEREX)*H762+(cNES+cHOEX)*I762 + (cNES+cNES)*S762 +(cNES+ cOSEX)*N762 + (cNES+cEREX)*O762 + (cNES+cHOEX)*P762)))/(1+cDR)^A$5:A$65536,(cPHr+(cNES*L762+(cNES+cOSEX)*G762+(cNES+cEREX)*H762+(cNES+cHOEX)*I762 + (cNES+cNES)*S762 +(cNES+ cOSEX)*N762 + (cNES+cEREX)*O762 + (cNES+cHOEX)*P762))/(1+cDR)^A$5:A$65536)</f>
        <v>60246.229640776888</v>
      </c>
      <c r="X762" s="112">
        <f t="shared" si="215"/>
        <v>732.34197786324546</v>
      </c>
      <c r="Y762" s="32">
        <f>(uNES*L762+ uOCEX*G762+uEREX*'PH + UC'!H762+uHOEX*I762+uNES*S762+ uOCEX*N762+uEREX*O762+uHOEX*P762)/(1+oDR)^A$5:A$65536</f>
        <v>387.87800733573545</v>
      </c>
    </row>
    <row r="763" spans="1:25" x14ac:dyDescent="0.25">
      <c r="A763" s="4">
        <v>757</v>
      </c>
      <c r="C763" s="110">
        <f>IF(male=0,VLOOKUP(((A761:A1595/'Life tables'!$I$2)*2)+age,lifetable,13,1),IF(male=1,VLOOKUP(((A761:A1595/'Life tables'!$I$2)*2)+age,lifetable,10,1),"error"))</f>
        <v>8.3784722123148025E-4</v>
      </c>
      <c r="F763" s="101">
        <f t="shared" si="198"/>
        <v>116.76517974071703</v>
      </c>
      <c r="G763" s="101">
        <f t="shared" si="199"/>
        <v>11.729306681012241</v>
      </c>
      <c r="H763" s="101">
        <f t="shared" si="200"/>
        <v>0.26841077334746299</v>
      </c>
      <c r="I763" s="101">
        <f t="shared" si="201"/>
        <v>0.26841077334746299</v>
      </c>
      <c r="J763" s="101">
        <f t="shared" si="202"/>
        <v>0.10810852283320758</v>
      </c>
      <c r="K763" s="101">
        <f t="shared" si="203"/>
        <v>2.1040484410205937E-2</v>
      </c>
      <c r="L763" s="101">
        <f t="shared" si="210"/>
        <v>104.36990250576645</v>
      </c>
      <c r="M763" s="101">
        <f t="shared" si="204"/>
        <v>615.57679812252843</v>
      </c>
      <c r="N763" s="101">
        <f t="shared" si="205"/>
        <v>59.281379384811224</v>
      </c>
      <c r="O763" s="101">
        <f t="shared" si="206"/>
        <v>1.4150403810940799</v>
      </c>
      <c r="P763" s="101">
        <f t="shared" si="207"/>
        <v>1.4150403810940799</v>
      </c>
      <c r="Q763" s="101">
        <f t="shared" si="208"/>
        <v>0.56779922405232564</v>
      </c>
      <c r="R763" s="101">
        <f t="shared" si="209"/>
        <v>1.6486433582566372E-2</v>
      </c>
      <c r="S763" s="101">
        <f t="shared" si="211"/>
        <v>552.88105231789416</v>
      </c>
      <c r="T763" s="101">
        <f t="shared" si="212"/>
        <v>230.72639192710855</v>
      </c>
      <c r="U763" s="101">
        <f t="shared" si="213"/>
        <v>37.645064874524991</v>
      </c>
      <c r="V763" s="33">
        <f t="shared" si="214"/>
        <v>1000.0000000000008</v>
      </c>
      <c r="W763" s="105">
        <f>IF(A763=1,((cPH1_+cPHr+(cNES*L763+(cNES+cOSEX)*G763+(cNES+cEREX)*H763+(cNES+cHOEX)*I763 + (cNES+cNES)*S763 +(cNES+ cOSEX)*N763 + (cNES+cEREX)*O763 + (cNES+cHOEX)*P763)))/(1+cDR)^A$5:A$65536,(cPHr+(cNES*L763+(cNES+cOSEX)*G763+(cNES+cEREX)*H763+(cNES+cHOEX)*I763 + (cNES+cNES)*S763 +(cNES+ cOSEX)*N763 + (cNES+cEREX)*O763 + (cNES+cHOEX)*P763))/(1+cDR)^A$5:A$65536)</f>
        <v>60118.944328628735</v>
      </c>
      <c r="X763" s="112">
        <f t="shared" si="215"/>
        <v>731.6285431983672</v>
      </c>
      <c r="Y763" s="32">
        <f>(uNES*L763+ uOCEX*G763+uEREX*'PH + UC'!H763+uHOEX*I763+uNES*S763+ uOCEX*N763+uEREX*O763+uHOEX*P763)/(1+oDR)^A$5:A$65536</f>
        <v>387.38825225154227</v>
      </c>
    </row>
    <row r="764" spans="1:25" x14ac:dyDescent="0.25">
      <c r="A764" s="4">
        <v>758</v>
      </c>
      <c r="C764" s="110">
        <f>IF(male=0,VLOOKUP(((A762:A1596/'Life tables'!$I$2)*2)+age,lifetable,13,1),IF(male=1,VLOOKUP(((A762:A1596/'Life tables'!$I$2)*2)+age,lifetable,10,1),"error"))</f>
        <v>8.3784722123148025E-4</v>
      </c>
      <c r="F764" s="101">
        <f t="shared" si="198"/>
        <v>116.65139299024688</v>
      </c>
      <c r="G764" s="101">
        <f t="shared" si="199"/>
        <v>11.717876563784966</v>
      </c>
      <c r="H764" s="101">
        <f t="shared" si="200"/>
        <v>0.26814920915719487</v>
      </c>
      <c r="I764" s="101">
        <f t="shared" si="201"/>
        <v>0.26814920915719487</v>
      </c>
      <c r="J764" s="101">
        <f t="shared" si="202"/>
        <v>0.10800317192689599</v>
      </c>
      <c r="K764" s="101">
        <f t="shared" si="203"/>
        <v>2.10199806234206E-2</v>
      </c>
      <c r="L764" s="101">
        <f t="shared" si="210"/>
        <v>104.2681948555972</v>
      </c>
      <c r="M764" s="101">
        <f t="shared" si="204"/>
        <v>614.97715020812018</v>
      </c>
      <c r="N764" s="101">
        <f t="shared" si="205"/>
        <v>59.223631991440058</v>
      </c>
      <c r="O764" s="101">
        <f t="shared" si="206"/>
        <v>1.4136619568001259</v>
      </c>
      <c r="P764" s="101">
        <f t="shared" si="207"/>
        <v>1.4136619568001259</v>
      </c>
      <c r="Q764" s="101">
        <f t="shared" si="208"/>
        <v>0.56724611740252329</v>
      </c>
      <c r="R764" s="101">
        <f t="shared" si="209"/>
        <v>1.6470373757790702E-2</v>
      </c>
      <c r="S764" s="101">
        <f t="shared" si="211"/>
        <v>552.34247781191959</v>
      </c>
      <c r="T764" s="101">
        <f t="shared" si="212"/>
        <v>231.40164121643798</v>
      </c>
      <c r="U764" s="101">
        <f t="shared" si="213"/>
        <v>37.682555228906203</v>
      </c>
      <c r="V764" s="33">
        <f t="shared" si="214"/>
        <v>1000.0000000000006</v>
      </c>
      <c r="W764" s="105">
        <f>IF(A764=1,((cPH1_+cPHr+(cNES*L764+(cNES+cOSEX)*G764+(cNES+cEREX)*H764+(cNES+cHOEX)*I764 + (cNES+cNES)*S764 +(cNES+ cOSEX)*N764 + (cNES+cEREX)*O764 + (cNES+cHOEX)*P764)))/(1+cDR)^A$5:A$65536,(cPHr+(cNES*L764+(cNES+cOSEX)*G764+(cNES+cEREX)*H764+(cNES+cHOEX)*I764 + (cNES+cNES)*S764 +(cNES+ cOSEX)*N764 + (cNES+cEREX)*O764 + (cNES+cHOEX)*P764))/(1+cDR)^A$5:A$65536)</f>
        <v>59991.357864013247</v>
      </c>
      <c r="X764" s="112">
        <f t="shared" si="215"/>
        <v>730.91580355465646</v>
      </c>
      <c r="Y764" s="32">
        <f>(uNES*L764+ uOCEX*G764+uEREX*'PH + UC'!H764+uHOEX*I764+uNES*S764+ uOCEX*N764+uEREX*O764+uHOEX*P764)/(1+oDR)^A$5:A$65536</f>
        <v>386.89956566581054</v>
      </c>
    </row>
    <row r="765" spans="1:25" x14ac:dyDescent="0.25">
      <c r="A765" s="4">
        <v>759</v>
      </c>
      <c r="C765" s="110">
        <f>IF(male=0,VLOOKUP(((A763:A1597/'Life tables'!$I$2)*2)+age,lifetable,13,1),IF(male=1,VLOOKUP(((A763:A1597/'Life tables'!$I$2)*2)+age,lifetable,10,1),"error"))</f>
        <v>8.3784722123148025E-4</v>
      </c>
      <c r="F765" s="101">
        <f t="shared" si="198"/>
        <v>116.53771873795738</v>
      </c>
      <c r="G765" s="101">
        <f t="shared" si="199"/>
        <v>11.706457747235383</v>
      </c>
      <c r="H765" s="101">
        <f t="shared" si="200"/>
        <v>0.26788790356905234</v>
      </c>
      <c r="I765" s="101">
        <f t="shared" si="201"/>
        <v>0.26788790356905234</v>
      </c>
      <c r="J765" s="101">
        <f t="shared" si="202"/>
        <v>0.10789792517845201</v>
      </c>
      <c r="K765" s="101">
        <f t="shared" si="203"/>
        <v>2.0999497108228401E-2</v>
      </c>
      <c r="L765" s="101">
        <f t="shared" si="210"/>
        <v>104.16658776129721</v>
      </c>
      <c r="M765" s="101">
        <f t="shared" si="204"/>
        <v>614.3780848166989</v>
      </c>
      <c r="N765" s="101">
        <f t="shared" si="205"/>
        <v>59.165940696294641</v>
      </c>
      <c r="O765" s="101">
        <f t="shared" si="206"/>
        <v>1.4122848715650056</v>
      </c>
      <c r="P765" s="101">
        <f t="shared" si="207"/>
        <v>1.4122848715650056</v>
      </c>
      <c r="Q765" s="101">
        <f t="shared" si="208"/>
        <v>0.56669354806358285</v>
      </c>
      <c r="R765" s="101">
        <f t="shared" si="209"/>
        <v>1.6454329534198446E-2</v>
      </c>
      <c r="S765" s="101">
        <f t="shared" si="211"/>
        <v>551.80442649967642</v>
      </c>
      <c r="T765" s="101">
        <f t="shared" si="212"/>
        <v>232.07623268968001</v>
      </c>
      <c r="U765" s="101">
        <f t="shared" si="213"/>
        <v>37.72000905554863</v>
      </c>
      <c r="V765" s="33">
        <f t="shared" si="214"/>
        <v>1000.0000000000005</v>
      </c>
      <c r="W765" s="105">
        <f>IF(A765=1,((cPH1_+cPHr+(cNES*L765+(cNES+cOSEX)*G765+(cNES+cEREX)*H765+(cNES+cHOEX)*I765 + (cNES+cNES)*S765 +(cNES+ cOSEX)*N765 + (cNES+cEREX)*O765 + (cNES+cHOEX)*P765)))/(1+cDR)^A$5:A$65536,(cPHr+(cNES*L765+(cNES+cOSEX)*G765+(cNES+cEREX)*H765+(cNES+cHOEX)*I765 + (cNES+cNES)*S765 +(cNES+ cOSEX)*N765 + (cNES+cEREX)*O765 + (cNES+cHOEX)*P765))/(1+cDR)^A$5:A$65536)</f>
        <v>59864.042122480241</v>
      </c>
      <c r="X765" s="112">
        <f t="shared" si="215"/>
        <v>730.20375825477174</v>
      </c>
      <c r="Y765" s="32">
        <f>(uNES*L765+ uOCEX*G765+uEREX*'PH + UC'!H765+uHOEX*I765+uNES*S765+ uOCEX*N765+uEREX*O765+uHOEX*P765)/(1+oDR)^A$5:A$65536</f>
        <v>386.41149555588788</v>
      </c>
    </row>
    <row r="766" spans="1:25" x14ac:dyDescent="0.25">
      <c r="A766" s="4">
        <v>760</v>
      </c>
      <c r="C766" s="110">
        <f>IF(male=0,VLOOKUP(((A764:A1598/'Life tables'!$I$2)*2)+age,lifetable,13,1),IF(male=1,VLOOKUP(((A764:A1598/'Life tables'!$I$2)*2)+age,lifetable,10,1),"error"))</f>
        <v>8.3784722123148025E-4</v>
      </c>
      <c r="F766" s="101">
        <f t="shared" si="198"/>
        <v>116.42415679909973</v>
      </c>
      <c r="G766" s="101">
        <f t="shared" si="199"/>
        <v>11.695050212805091</v>
      </c>
      <c r="H766" s="101">
        <f t="shared" si="200"/>
        <v>0.26762685615834908</v>
      </c>
      <c r="I766" s="101">
        <f t="shared" si="201"/>
        <v>0.26762685615834908</v>
      </c>
      <c r="J766" s="101">
        <f t="shared" si="202"/>
        <v>0.10779278241682362</v>
      </c>
      <c r="K766" s="101">
        <f t="shared" si="203"/>
        <v>2.0979033831338551E-2</v>
      </c>
      <c r="L766" s="101">
        <f t="shared" si="210"/>
        <v>104.06508105772978</v>
      </c>
      <c r="M766" s="101">
        <f t="shared" si="204"/>
        <v>613.77960145567215</v>
      </c>
      <c r="N766" s="101">
        <f t="shared" si="205"/>
        <v>59.108305451937262</v>
      </c>
      <c r="O766" s="101">
        <f t="shared" si="206"/>
        <v>1.410909124256386</v>
      </c>
      <c r="P766" s="101">
        <f t="shared" si="207"/>
        <v>1.410909124256386</v>
      </c>
      <c r="Q766" s="101">
        <f t="shared" si="208"/>
        <v>0.56614151558114423</v>
      </c>
      <c r="R766" s="101">
        <f t="shared" si="209"/>
        <v>1.6438300898596957E-2</v>
      </c>
      <c r="S766" s="101">
        <f t="shared" si="211"/>
        <v>551.26689793874243</v>
      </c>
      <c r="T766" s="101">
        <f t="shared" si="212"/>
        <v>232.75016698767797</v>
      </c>
      <c r="U766" s="101">
        <f t="shared" si="213"/>
        <v>37.757426390278567</v>
      </c>
      <c r="V766" s="33">
        <f t="shared" si="214"/>
        <v>1000.0000000000007</v>
      </c>
      <c r="W766" s="105">
        <f>IF(A766=1,((cPH1_+cPHr+(cNES*L766+(cNES+cOSEX)*G766+(cNES+cEREX)*H766+(cNES+cHOEX)*I766 + (cNES+cNES)*S766 +(cNES+ cOSEX)*N766 + (cNES+cEREX)*O766 + (cNES+cHOEX)*P766)))/(1+cDR)^A$5:A$65536,(cPHr+(cNES*L766+(cNES+cOSEX)*G766+(cNES+cEREX)*H766+(cNES+cHOEX)*I766 + (cNES+cNES)*S766 +(cNES+ cOSEX)*N766 + (cNES+cEREX)*O766 + (cNES+cHOEX)*P766))/(1+cDR)^A$5:A$65536)</f>
        <v>59736.996532150719</v>
      </c>
      <c r="X766" s="112">
        <f t="shared" si="215"/>
        <v>729.49240662204397</v>
      </c>
      <c r="Y766" s="32">
        <f>(uNES*L766+ uOCEX*G766+uEREX*'PH + UC'!H766+uHOEX*I766+uNES*S766+ uOCEX*N766+uEREX*O766+uHOEX*P766)/(1+oDR)^A$5:A$65536</f>
        <v>385.92404114398539</v>
      </c>
    </row>
    <row r="767" spans="1:25" x14ac:dyDescent="0.25">
      <c r="A767" s="4">
        <v>761</v>
      </c>
      <c r="C767" s="110">
        <f>IF(male=0,VLOOKUP(((A765:A1599/'Life tables'!$I$2)*2)+age,lifetable,13,1),IF(male=1,VLOOKUP(((A765:A1599/'Life tables'!$I$2)*2)+age,lifetable,10,1),"error"))</f>
        <v>8.3784722123148025E-4</v>
      </c>
      <c r="F767" s="101">
        <f t="shared" si="198"/>
        <v>116.31070699253014</v>
      </c>
      <c r="G767" s="101">
        <f t="shared" si="199"/>
        <v>11.683653942297811</v>
      </c>
      <c r="H767" s="101">
        <f t="shared" si="200"/>
        <v>0.26736606650868566</v>
      </c>
      <c r="I767" s="101">
        <f t="shared" si="201"/>
        <v>0.26736606650868566</v>
      </c>
      <c r="J767" s="101">
        <f t="shared" si="202"/>
        <v>0.10768774347429654</v>
      </c>
      <c r="K767" s="101">
        <f t="shared" si="203"/>
        <v>2.095859076010988E-2</v>
      </c>
      <c r="L767" s="101">
        <f t="shared" si="210"/>
        <v>103.96367458298056</v>
      </c>
      <c r="M767" s="101">
        <f t="shared" si="204"/>
        <v>613.18169962951379</v>
      </c>
      <c r="N767" s="101">
        <f t="shared" si="205"/>
        <v>59.050726210647682</v>
      </c>
      <c r="O767" s="101">
        <f t="shared" si="206"/>
        <v>1.4095347137351897</v>
      </c>
      <c r="P767" s="101">
        <f t="shared" si="207"/>
        <v>1.4095347137351897</v>
      </c>
      <c r="Q767" s="101">
        <f t="shared" si="208"/>
        <v>0.56559001949814114</v>
      </c>
      <c r="R767" s="101">
        <f t="shared" si="209"/>
        <v>1.6422287837715002E-2</v>
      </c>
      <c r="S767" s="101">
        <f t="shared" si="211"/>
        <v>550.72989168405991</v>
      </c>
      <c r="T767" s="101">
        <f t="shared" si="212"/>
        <v>233.42344475065042</v>
      </c>
      <c r="U767" s="101">
        <f t="shared" si="213"/>
        <v>37.79480726887639</v>
      </c>
      <c r="V767" s="33">
        <f t="shared" si="214"/>
        <v>1000.0000000000006</v>
      </c>
      <c r="W767" s="105">
        <f>IF(A767=1,((cPH1_+cPHr+(cNES*L767+(cNES+cOSEX)*G767+(cNES+cEREX)*H767+(cNES+cHOEX)*I767 + (cNES+cNES)*S767 +(cNES+ cOSEX)*N767 + (cNES+cEREX)*O767 + (cNES+cHOEX)*P767)))/(1+cDR)^A$5:A$65536,(cPHr+(cNES*L767+(cNES+cOSEX)*G767+(cNES+cEREX)*H767+(cNES+cHOEX)*I767 + (cNES+cNES)*S767 +(cNES+ cOSEX)*N767 + (cNES+cEREX)*O767 + (cNES+cHOEX)*P767))/(1+cDR)^A$5:A$65536)</f>
        <v>59610.22052223338</v>
      </c>
      <c r="X767" s="112">
        <f t="shared" si="215"/>
        <v>728.78174798047371</v>
      </c>
      <c r="Y767" s="32">
        <f>(uNES*L767+ uOCEX*G767+uEREX*'PH + UC'!H767+uHOEX*I767+uNES*S767+ uOCEX*N767+uEREX*O767+uHOEX*P767)/(1+oDR)^A$5:A$65536</f>
        <v>385.43720165330137</v>
      </c>
    </row>
    <row r="768" spans="1:25" x14ac:dyDescent="0.25">
      <c r="A768" s="4">
        <v>762</v>
      </c>
      <c r="C768" s="110">
        <f>IF(male=0,VLOOKUP(((A766:A1600/'Life tables'!$I$2)*2)+age,lifetable,13,1),IF(male=1,VLOOKUP(((A766:A1600/'Life tables'!$I$2)*2)+age,lifetable,10,1),"error"))</f>
        <v>8.3784722123148025E-4</v>
      </c>
      <c r="F768" s="101">
        <f t="shared" si="198"/>
        <v>116.19736914055014</v>
      </c>
      <c r="G768" s="101">
        <f t="shared" si="199"/>
        <v>11.672268917863365</v>
      </c>
      <c r="H768" s="101">
        <f t="shared" si="200"/>
        <v>0.26710553421158267</v>
      </c>
      <c r="I768" s="101">
        <f t="shared" si="201"/>
        <v>0.26710553421158267</v>
      </c>
      <c r="J768" s="101">
        <f t="shared" si="202"/>
        <v>0.10758280818634633</v>
      </c>
      <c r="K768" s="101">
        <f t="shared" si="203"/>
        <v>2.093816786252203E-2</v>
      </c>
      <c r="L768" s="101">
        <f t="shared" si="210"/>
        <v>103.86236817821474</v>
      </c>
      <c r="M768" s="101">
        <f t="shared" si="204"/>
        <v>612.5843788399236</v>
      </c>
      <c r="N768" s="101">
        <f t="shared" si="205"/>
        <v>58.993202924438506</v>
      </c>
      <c r="O768" s="101">
        <f t="shared" si="206"/>
        <v>1.4081616388559626</v>
      </c>
      <c r="P768" s="101">
        <f t="shared" si="207"/>
        <v>1.4081616388559626</v>
      </c>
      <c r="Q768" s="101">
        <f t="shared" si="208"/>
        <v>0.56503905935494858</v>
      </c>
      <c r="R768" s="101">
        <f t="shared" si="209"/>
        <v>1.6406290338207064E-2</v>
      </c>
      <c r="S768" s="101">
        <f t="shared" si="211"/>
        <v>550.19340728808004</v>
      </c>
      <c r="T768" s="101">
        <f t="shared" si="212"/>
        <v>234.09606661819171</v>
      </c>
      <c r="U768" s="101">
        <f t="shared" si="213"/>
        <v>37.832151727077118</v>
      </c>
      <c r="V768" s="33">
        <f t="shared" si="214"/>
        <v>1000.0000000000005</v>
      </c>
      <c r="W768" s="105">
        <f>IF(A768=1,((cPH1_+cPHr+(cNES*L768+(cNES+cOSEX)*G768+(cNES+cEREX)*H768+(cNES+cHOEX)*I768 + (cNES+cNES)*S768 +(cNES+ cOSEX)*N768 + (cNES+cEREX)*O768 + (cNES+cHOEX)*P768)))/(1+cDR)^A$5:A$65536,(cPHr+(cNES*L768+(cNES+cOSEX)*G768+(cNES+cEREX)*H768+(cNES+cHOEX)*I768 + (cNES+cNES)*S768 +(cNES+ cOSEX)*N768 + (cNES+cEREX)*O768 + (cNES+cHOEX)*P768))/(1+cDR)^A$5:A$65536)</f>
        <v>59483.713523028484</v>
      </c>
      <c r="X768" s="112">
        <f t="shared" si="215"/>
        <v>728.07178165473169</v>
      </c>
      <c r="Y768" s="32">
        <f>(uNES*L768+ uOCEX*G768+uEREX*'PH + UC'!H768+uHOEX*I768+uNES*S768+ uOCEX*N768+uEREX*O768+uHOEX*P768)/(1+oDR)^A$5:A$65536</f>
        <v>384.95097630801746</v>
      </c>
    </row>
    <row r="769" spans="1:25" x14ac:dyDescent="0.25">
      <c r="A769" s="4">
        <v>763</v>
      </c>
      <c r="C769" s="110">
        <f>IF(male=0,VLOOKUP(((A767:A1601/'Life tables'!$I$2)*2)+age,lifetable,13,1),IF(male=1,VLOOKUP(((A767:A1601/'Life tables'!$I$2)*2)+age,lifetable,10,1),"error"))</f>
        <v>8.3784722123148025E-4</v>
      </c>
      <c r="F769" s="101">
        <f t="shared" si="198"/>
        <v>116.08414306875422</v>
      </c>
      <c r="G769" s="101">
        <f t="shared" si="199"/>
        <v>11.660895121982351</v>
      </c>
      <c r="H769" s="101">
        <f t="shared" si="200"/>
        <v>0.26684525886613014</v>
      </c>
      <c r="I769" s="101">
        <f t="shared" si="201"/>
        <v>0.26684525886613014</v>
      </c>
      <c r="J769" s="101">
        <f t="shared" si="202"/>
        <v>0.1074779763914975</v>
      </c>
      <c r="K769" s="101">
        <f t="shared" si="203"/>
        <v>2.0917765107148028E-2</v>
      </c>
      <c r="L769" s="101">
        <f t="shared" si="210"/>
        <v>103.76116168754096</v>
      </c>
      <c r="M769" s="101">
        <f t="shared" si="204"/>
        <v>611.98763858597749</v>
      </c>
      <c r="N769" s="101">
        <f t="shared" si="205"/>
        <v>58.935735545069662</v>
      </c>
      <c r="O769" s="101">
        <f t="shared" si="206"/>
        <v>1.4067898984672191</v>
      </c>
      <c r="P769" s="101">
        <f t="shared" si="207"/>
        <v>1.4067898984672191</v>
      </c>
      <c r="Q769" s="101">
        <f t="shared" si="208"/>
        <v>0.56448863468952126</v>
      </c>
      <c r="R769" s="101">
        <f t="shared" si="209"/>
        <v>1.6390308386657341E-2</v>
      </c>
      <c r="S769" s="101">
        <f t="shared" si="211"/>
        <v>549.65744430089717</v>
      </c>
      <c r="T769" s="101">
        <f t="shared" si="212"/>
        <v>234.76803322927273</v>
      </c>
      <c r="U769" s="101">
        <f t="shared" si="213"/>
        <v>37.869459800570922</v>
      </c>
      <c r="V769" s="33">
        <f t="shared" si="214"/>
        <v>1000.0000000000005</v>
      </c>
      <c r="W769" s="105">
        <f>IF(A769=1,((cPH1_+cPHr+(cNES*L769+(cNES+cOSEX)*G769+(cNES+cEREX)*H769+(cNES+cHOEX)*I769 + (cNES+cNES)*S769 +(cNES+ cOSEX)*N769 + (cNES+cEREX)*O769 + (cNES+cHOEX)*P769)))/(1+cDR)^A$5:A$65536,(cPHr+(cNES*L769+(cNES+cOSEX)*G769+(cNES+cEREX)*H769+(cNES+cHOEX)*I769 + (cNES+cNES)*S769 +(cNES+ cOSEX)*N769 + (cNES+cEREX)*O769 + (cNES+cHOEX)*P769))/(1+cDR)^A$5:A$65536)</f>
        <v>59357.474965931047</v>
      </c>
      <c r="X769" s="112">
        <f t="shared" si="215"/>
        <v>727.3625069701568</v>
      </c>
      <c r="Y769" s="32">
        <f>(uNES*L769+ uOCEX*G769+uEREX*'PH + UC'!H769+uHOEX*I769+uNES*S769+ uOCEX*N769+uEREX*O769+uHOEX*P769)/(1+oDR)^A$5:A$65536</f>
        <v>384.46536433329959</v>
      </c>
    </row>
    <row r="770" spans="1:25" x14ac:dyDescent="0.25">
      <c r="A770" s="4">
        <v>764</v>
      </c>
      <c r="C770" s="110">
        <f>IF(male=0,VLOOKUP(((A768:A1602/'Life tables'!$I$2)*2)+age,lifetable,13,1),IF(male=1,VLOOKUP(((A768:A1602/'Life tables'!$I$2)*2)+age,lifetable,10,1),"error"))</f>
        <v>8.3784722123148025E-4</v>
      </c>
      <c r="F770" s="101">
        <f t="shared" si="198"/>
        <v>115.97102860588456</v>
      </c>
      <c r="G770" s="101">
        <f t="shared" si="199"/>
        <v>11.649532537451567</v>
      </c>
      <c r="H770" s="101">
        <f t="shared" si="200"/>
        <v>0.26658524007865392</v>
      </c>
      <c r="I770" s="101">
        <f t="shared" si="201"/>
        <v>0.26658524007865392</v>
      </c>
      <c r="J770" s="101">
        <f t="shared" si="202"/>
        <v>0.10737324793118885</v>
      </c>
      <c r="K770" s="101">
        <f t="shared" si="203"/>
        <v>2.0897382463128101E-2</v>
      </c>
      <c r="L770" s="101">
        <f t="shared" si="210"/>
        <v>103.66005495788136</v>
      </c>
      <c r="M770" s="101">
        <f t="shared" si="204"/>
        <v>611.39147836427219</v>
      </c>
      <c r="N770" s="101">
        <f t="shared" si="205"/>
        <v>58.878324024062316</v>
      </c>
      <c r="O770" s="101">
        <f t="shared" si="206"/>
        <v>1.4054194914117746</v>
      </c>
      <c r="P770" s="101">
        <f t="shared" si="207"/>
        <v>1.4054194914117746</v>
      </c>
      <c r="Q770" s="101">
        <f t="shared" si="208"/>
        <v>0.56393874503752739</v>
      </c>
      <c r="R770" s="101">
        <f t="shared" si="209"/>
        <v>1.637434196958365E-2</v>
      </c>
      <c r="S770" s="101">
        <f t="shared" si="211"/>
        <v>549.1220022703792</v>
      </c>
      <c r="T770" s="101">
        <f t="shared" si="212"/>
        <v>235.43934522224146</v>
      </c>
      <c r="U770" s="101">
        <f t="shared" si="213"/>
        <v>37.906731525003636</v>
      </c>
      <c r="V770" s="33">
        <f t="shared" si="214"/>
        <v>1000.0000000000002</v>
      </c>
      <c r="W770" s="105">
        <f>IF(A770=1,((cPH1_+cPHr+(cNES*L770+(cNES+cOSEX)*G770+(cNES+cEREX)*H770+(cNES+cHOEX)*I770 + (cNES+cNES)*S770 +(cNES+ cOSEX)*N770 + (cNES+cEREX)*O770 + (cNES+cHOEX)*P770)))/(1+cDR)^A$5:A$65536,(cPHr+(cNES*L770+(cNES+cOSEX)*G770+(cNES+cEREX)*H770+(cNES+cHOEX)*I770 + (cNES+cNES)*S770 +(cNES+ cOSEX)*N770 + (cNES+cEREX)*O770 + (cNES+cHOEX)*P770))/(1+cDR)^A$5:A$65536)</f>
        <v>59231.504283433926</v>
      </c>
      <c r="X770" s="112">
        <f t="shared" si="215"/>
        <v>726.65392325275525</v>
      </c>
      <c r="Y770" s="32">
        <f>(uNES*L770+ uOCEX*G770+uEREX*'PH + UC'!H770+uHOEX*I770+uNES*S770+ uOCEX*N770+uEREX*O770+uHOEX*P770)/(1+oDR)^A$5:A$65536</f>
        <v>383.98036495529493</v>
      </c>
    </row>
    <row r="771" spans="1:25" x14ac:dyDescent="0.25">
      <c r="A771" s="4">
        <v>765</v>
      </c>
      <c r="C771" s="110">
        <f>IF(male=0,VLOOKUP(((A769:A1603/'Life tables'!$I$2)*2)+age,lifetable,13,1),IF(male=1,VLOOKUP(((A769:A1603/'Life tables'!$I$2)*2)+age,lifetable,10,1),"error"))</f>
        <v>8.3784722123148025E-4</v>
      </c>
      <c r="F771" s="101">
        <f t="shared" si="198"/>
        <v>115.85802558369221</v>
      </c>
      <c r="G771" s="101">
        <f t="shared" si="199"/>
        <v>11.63818114737005</v>
      </c>
      <c r="H771" s="101">
        <f t="shared" si="200"/>
        <v>0.26632547746239621</v>
      </c>
      <c r="I771" s="101">
        <f t="shared" si="201"/>
        <v>0.26632547746239621</v>
      </c>
      <c r="J771" s="101">
        <f t="shared" si="202"/>
        <v>0.1072686226496449</v>
      </c>
      <c r="K771" s="101">
        <f t="shared" si="203"/>
        <v>2.087701990014465E-2</v>
      </c>
      <c r="L771" s="101">
        <f t="shared" si="210"/>
        <v>103.55904783884758</v>
      </c>
      <c r="M771" s="101">
        <f t="shared" si="204"/>
        <v>610.79589766906304</v>
      </c>
      <c r="N771" s="101">
        <f t="shared" si="205"/>
        <v>58.820968312712168</v>
      </c>
      <c r="O771" s="101">
        <f t="shared" si="206"/>
        <v>1.4040504165270626</v>
      </c>
      <c r="P771" s="101">
        <f t="shared" si="207"/>
        <v>1.4040504165270626</v>
      </c>
      <c r="Q771" s="101">
        <f t="shared" si="208"/>
        <v>0.56338938993247512</v>
      </c>
      <c r="R771" s="101">
        <f t="shared" si="209"/>
        <v>1.6358391073441086E-2</v>
      </c>
      <c r="S771" s="101">
        <f t="shared" si="211"/>
        <v>548.58708074229082</v>
      </c>
      <c r="T771" s="101">
        <f t="shared" si="212"/>
        <v>236.11000323482358</v>
      </c>
      <c r="U771" s="101">
        <f t="shared" si="213"/>
        <v>37.943966935977222</v>
      </c>
      <c r="V771" s="33">
        <f t="shared" si="214"/>
        <v>1000.0000000000003</v>
      </c>
      <c r="W771" s="105">
        <f>IF(A771=1,((cPH1_+cPHr+(cNES*L771+(cNES+cOSEX)*G771+(cNES+cEREX)*H771+(cNES+cHOEX)*I771 + (cNES+cNES)*S771 +(cNES+ cOSEX)*N771 + (cNES+cEREX)*O771 + (cNES+cHOEX)*P771)))/(1+cDR)^A$5:A$65536,(cPHr+(cNES*L771+(cNES+cOSEX)*G771+(cNES+cEREX)*H771+(cNES+cHOEX)*I771 + (cNES+cNES)*S771 +(cNES+ cOSEX)*N771 + (cNES+cEREX)*O771 + (cNES+cHOEX)*P771))/(1+cDR)^A$5:A$65536)</f>
        <v>59105.800909130354</v>
      </c>
      <c r="X771" s="112">
        <f t="shared" si="215"/>
        <v>725.94602982919957</v>
      </c>
      <c r="Y771" s="32">
        <f>(uNES*L771+ uOCEX*G771+uEREX*'PH + UC'!H771+uHOEX*I771+uNES*S771+ uOCEX*N771+uEREX*O771+uHOEX*P771)/(1+oDR)^A$5:A$65536</f>
        <v>383.4959774011316</v>
      </c>
    </row>
    <row r="772" spans="1:25" x14ac:dyDescent="0.25">
      <c r="A772" s="4">
        <v>766</v>
      </c>
      <c r="C772" s="110">
        <f>IF(male=0,VLOOKUP(((A770:A1604/'Life tables'!$I$2)*2)+age,lifetable,13,1),IF(male=1,VLOOKUP(((A770:A1604/'Life tables'!$I$2)*2)+age,lifetable,10,1),"error"))</f>
        <v>8.3784722123148025E-4</v>
      </c>
      <c r="F772" s="101">
        <f t="shared" si="198"/>
        <v>115.74513383680465</v>
      </c>
      <c r="G772" s="101">
        <f t="shared" si="199"/>
        <v>11.626840935125786</v>
      </c>
      <c r="H772" s="101">
        <f t="shared" si="200"/>
        <v>0.26606597063721149</v>
      </c>
      <c r="I772" s="101">
        <f t="shared" si="201"/>
        <v>0.26606597063721149</v>
      </c>
      <c r="J772" s="101">
        <f t="shared" si="202"/>
        <v>0.1071641003937534</v>
      </c>
      <c r="K772" s="101">
        <f t="shared" si="203"/>
        <v>2.0856677388398401E-2</v>
      </c>
      <c r="L772" s="101">
        <f t="shared" si="210"/>
        <v>103.4581401826223</v>
      </c>
      <c r="M772" s="101">
        <f t="shared" si="204"/>
        <v>610.20089599239498</v>
      </c>
      <c r="N772" s="101">
        <f t="shared" si="205"/>
        <v>58.763668362102045</v>
      </c>
      <c r="O772" s="101">
        <f t="shared" si="206"/>
        <v>1.4026826726454349</v>
      </c>
      <c r="P772" s="101">
        <f t="shared" si="207"/>
        <v>1.4026826726454349</v>
      </c>
      <c r="Q772" s="101">
        <f t="shared" si="208"/>
        <v>0.56284056890583423</v>
      </c>
      <c r="R772" s="101">
        <f t="shared" si="209"/>
        <v>1.6342455684625549E-2</v>
      </c>
      <c r="S772" s="101">
        <f t="shared" si="211"/>
        <v>548.05267926041165</v>
      </c>
      <c r="T772" s="101">
        <f t="shared" si="212"/>
        <v>236.78000790412318</v>
      </c>
      <c r="U772" s="101">
        <f t="shared" si="213"/>
        <v>37.981166069050246</v>
      </c>
      <c r="V772" s="33">
        <f t="shared" si="214"/>
        <v>1000.0000000000005</v>
      </c>
      <c r="W772" s="105">
        <f>IF(A772=1,((cPH1_+cPHr+(cNES*L772+(cNES+cOSEX)*G772+(cNES+cEREX)*H772+(cNES+cHOEX)*I772 + (cNES+cNES)*S772 +(cNES+ cOSEX)*N772 + (cNES+cEREX)*O772 + (cNES+cHOEX)*P772)))/(1+cDR)^A$5:A$65536,(cPHr+(cNES*L772+(cNES+cOSEX)*G772+(cNES+cEREX)*H772+(cNES+cHOEX)*I772 + (cNES+cNES)*S772 +(cNES+ cOSEX)*N772 + (cNES+cEREX)*O772 + (cNES+cHOEX)*P772))/(1+cDR)^A$5:A$65536)</f>
        <v>58980.364277716755</v>
      </c>
      <c r="X772" s="112">
        <f t="shared" si="215"/>
        <v>725.23882602682704</v>
      </c>
      <c r="Y772" s="32">
        <f>(uNES*L772+ uOCEX*G772+uEREX*'PH + UC'!H772+uHOEX*I772+uNES*S772+ uOCEX*N772+uEREX*O772+uHOEX*P772)/(1+oDR)^A$5:A$65536</f>
        <v>383.0122008989166</v>
      </c>
    </row>
    <row r="773" spans="1:25" x14ac:dyDescent="0.25">
      <c r="A773" s="4">
        <v>767</v>
      </c>
      <c r="C773" s="110">
        <f>IF(male=0,VLOOKUP(((A771:A1605/'Life tables'!$I$2)*2)+age,lifetable,13,1),IF(male=1,VLOOKUP(((A771:A1605/'Life tables'!$I$2)*2)+age,lifetable,10,1),"error"))</f>
        <v>8.3784722123148025E-4</v>
      </c>
      <c r="F773" s="101">
        <f t="shared" si="198"/>
        <v>115.63235320259932</v>
      </c>
      <c r="G773" s="101">
        <f t="shared" si="199"/>
        <v>11.615511884382997</v>
      </c>
      <c r="H773" s="101">
        <f t="shared" si="200"/>
        <v>0.26580671922927562</v>
      </c>
      <c r="I773" s="101">
        <f t="shared" si="201"/>
        <v>0.26580671922927562</v>
      </c>
      <c r="J773" s="101">
        <f t="shared" si="202"/>
        <v>0.10705968101294823</v>
      </c>
      <c r="K773" s="101">
        <f t="shared" si="203"/>
        <v>2.0836354898585603E-2</v>
      </c>
      <c r="L773" s="101">
        <f t="shared" si="210"/>
        <v>103.35733184384624</v>
      </c>
      <c r="M773" s="101">
        <f t="shared" si="204"/>
        <v>609.60647282422792</v>
      </c>
      <c r="N773" s="101">
        <f t="shared" si="205"/>
        <v>58.706424123113983</v>
      </c>
      <c r="O773" s="101">
        <f t="shared" si="206"/>
        <v>1.4013162585944512</v>
      </c>
      <c r="P773" s="101">
        <f t="shared" si="207"/>
        <v>1.4013162585944512</v>
      </c>
      <c r="Q773" s="101">
        <f t="shared" si="208"/>
        <v>0.56229228148715071</v>
      </c>
      <c r="R773" s="101">
        <f t="shared" si="209"/>
        <v>1.6326535789477108E-2</v>
      </c>
      <c r="S773" s="101">
        <f t="shared" si="211"/>
        <v>547.51879736664841</v>
      </c>
      <c r="T773" s="101">
        <f t="shared" si="212"/>
        <v>237.44935986662327</v>
      </c>
      <c r="U773" s="101">
        <f t="shared" si="213"/>
        <v>38.018328959738312</v>
      </c>
      <c r="V773" s="33">
        <f t="shared" si="214"/>
        <v>1000.0000000000007</v>
      </c>
      <c r="W773" s="105">
        <f>IF(A773=1,((cPH1_+cPHr+(cNES*L773+(cNES+cOSEX)*G773+(cNES+cEREX)*H773+(cNES+cHOEX)*I773 + (cNES+cNES)*S773 +(cNES+ cOSEX)*N773 + (cNES+cEREX)*O773 + (cNES+cHOEX)*P773)))/(1+cDR)^A$5:A$65536,(cPHr+(cNES*L773+(cNES+cOSEX)*G773+(cNES+cEREX)*H773+(cNES+cHOEX)*I773 + (cNES+cNES)*S773 +(cNES+ cOSEX)*N773 + (cNES+cEREX)*O773 + (cNES+cHOEX)*P773))/(1+cDR)^A$5:A$65536)</f>
        <v>58855.193824994691</v>
      </c>
      <c r="X773" s="112">
        <f t="shared" si="215"/>
        <v>724.53231117363907</v>
      </c>
      <c r="Y773" s="32">
        <f>(uNES*L773+ uOCEX*G773+uEREX*'PH + UC'!H773+uHOEX*I773+uNES*S773+ uOCEX*N773+uEREX*O773+uHOEX*P773)/(1+oDR)^A$5:A$65536</f>
        <v>382.52903467773422</v>
      </c>
    </row>
    <row r="774" spans="1:25" x14ac:dyDescent="0.25">
      <c r="A774" s="4">
        <v>768</v>
      </c>
      <c r="C774" s="110">
        <f>IF(male=0,VLOOKUP(((A772:A1606/'Life tables'!$I$2)*2)+age,lifetable,13,1),IF(male=1,VLOOKUP(((A772:A1606/'Life tables'!$I$2)*2)+age,lifetable,10,1),"error"))</f>
        <v>8.3784722123148025E-4</v>
      </c>
      <c r="F774" s="101">
        <f t="shared" si="198"/>
        <v>115.51968352108301</v>
      </c>
      <c r="G774" s="101">
        <f t="shared" si="199"/>
        <v>11.604193979070033</v>
      </c>
      <c r="H774" s="101">
        <f t="shared" si="200"/>
        <v>0.26554772287080847</v>
      </c>
      <c r="I774" s="101">
        <f t="shared" si="201"/>
        <v>0.26554772287080847</v>
      </c>
      <c r="J774" s="101">
        <f t="shared" si="202"/>
        <v>0.10695536435909764</v>
      </c>
      <c r="K774" s="101">
        <f t="shared" si="203"/>
        <v>2.0816052401876301E-2</v>
      </c>
      <c r="L774" s="101">
        <f t="shared" si="210"/>
        <v>103.25662267951039</v>
      </c>
      <c r="M774" s="101">
        <f t="shared" si="204"/>
        <v>609.01262765255592</v>
      </c>
      <c r="N774" s="101">
        <f t="shared" si="205"/>
        <v>58.649235546440693</v>
      </c>
      <c r="O774" s="101">
        <f t="shared" si="206"/>
        <v>1.3999511731971512</v>
      </c>
      <c r="P774" s="101">
        <f t="shared" si="207"/>
        <v>1.3999511731971512</v>
      </c>
      <c r="Q774" s="101">
        <f t="shared" si="208"/>
        <v>0.56174452720415791</v>
      </c>
      <c r="R774" s="101">
        <f t="shared" si="209"/>
        <v>1.6310631374283166E-2</v>
      </c>
      <c r="S774" s="101">
        <f t="shared" si="211"/>
        <v>546.98543460114252</v>
      </c>
      <c r="T774" s="101">
        <f t="shared" si="212"/>
        <v>238.11805975818652</v>
      </c>
      <c r="U774" s="101">
        <f t="shared" si="213"/>
        <v>38.05545564351447</v>
      </c>
      <c r="V774" s="33">
        <f t="shared" si="214"/>
        <v>1000.0000000000006</v>
      </c>
      <c r="W774" s="105">
        <f>IF(A774=1,((cPH1_+cPHr+(cNES*L774+(cNES+cOSEX)*G774+(cNES+cEREX)*H774+(cNES+cHOEX)*I774 + (cNES+cNES)*S774 +(cNES+ cOSEX)*N774 + (cNES+cEREX)*O774 + (cNES+cHOEX)*P774)))/(1+cDR)^A$5:A$65536,(cPHr+(cNES*L774+(cNES+cOSEX)*G774+(cNES+cEREX)*H774+(cNES+cHOEX)*I774 + (cNES+cNES)*S774 +(cNES+ cOSEX)*N774 + (cNES+cEREX)*O774 + (cNES+cHOEX)*P774))/(1+cDR)^A$5:A$65536)</f>
        <v>58730.288987873384</v>
      </c>
      <c r="X774" s="112">
        <f t="shared" si="215"/>
        <v>723.82648459829954</v>
      </c>
      <c r="Y774" s="32">
        <f>(uNES*L774+ uOCEX*G774+uEREX*'PH + UC'!H774+uHOEX*I774+uNES*S774+ uOCEX*N774+uEREX*O774+uHOEX*P774)/(1+oDR)^A$5:A$65536</f>
        <v>382.04647796764448</v>
      </c>
    </row>
    <row r="775" spans="1:25" x14ac:dyDescent="0.25">
      <c r="A775" s="4">
        <v>769</v>
      </c>
      <c r="C775" s="110">
        <f>IF(male=0,VLOOKUP(((A773:A1607/'Life tables'!$I$2)*2)+age,lifetable,13,1),IF(male=1,VLOOKUP(((A773:A1607/'Life tables'!$I$2)*2)+age,lifetable,10,1),"error"))</f>
        <v>8.3784722123148025E-4</v>
      </c>
      <c r="F775" s="101">
        <f t="shared" ref="F775:F839" si="216">E774*(1-pCAPH)+(L774+G774+H774+I774)*(1-pCAPH)+(S774+N774+O774+P774)*(pUAPH)</f>
        <v>115.40712463477668</v>
      </c>
      <c r="G775" s="101">
        <f t="shared" ref="G775:G838" si="217">F775*(rrOSEX)</f>
        <v>11.592887203367791</v>
      </c>
      <c r="H775" s="101">
        <f t="shared" ref="H775:H839" si="218">F775*rrEREX</f>
        <v>0.26528898119980948</v>
      </c>
      <c r="I775" s="101">
        <f t="shared" ref="I775:I839" si="219">F775*rrHOEX</f>
        <v>0.26528898119980948</v>
      </c>
      <c r="J775" s="101">
        <f t="shared" ref="J775:J838" si="220">F775*mr + G775*mr + H775*mr+I775*mr</f>
        <v>0.10685115028639763</v>
      </c>
      <c r="K775" s="101">
        <f t="shared" ref="K775:K839" si="221">F775*amr + I775*amrHOEX</f>
        <v>2.079576986989359E-2</v>
      </c>
      <c r="L775" s="101">
        <f t="shared" si="210"/>
        <v>103.15601254885297</v>
      </c>
      <c r="M775" s="101">
        <f t="shared" ref="M775:M839" si="222">E774*pCAPH+(L774+G774+H774+I774)*pCAPH+(S774+N774+O774+P774)*(1-pUAPH)</f>
        <v>608.41935996352277</v>
      </c>
      <c r="N775" s="101">
        <f t="shared" ref="N775:N838" si="223">M775*rrOSEXc</f>
        <v>58.592102582596723</v>
      </c>
      <c r="O775" s="101">
        <f t="shared" ref="O775:O839" si="224">M775*rrEREXc</f>
        <v>1.3985874152723226</v>
      </c>
      <c r="P775" s="101">
        <f t="shared" ref="P775:P839" si="225">M775*rrHOEXc</f>
        <v>1.3985874152723226</v>
      </c>
      <c r="Q775" s="101">
        <f t="shared" ref="Q775:Q838" si="226">M775*mr + N775*mr + O775*mr+P775*mr</f>
        <v>0.56119730558288217</v>
      </c>
      <c r="R775" s="101">
        <f t="shared" ref="R775:R839" si="227">M775*amrc + P775*amrHOEX</f>
        <v>1.6294742425281582E-2</v>
      </c>
      <c r="S775" s="101">
        <f t="shared" si="211"/>
        <v>546.45259050237325</v>
      </c>
      <c r="T775" s="101">
        <f t="shared" si="212"/>
        <v>238.78610821405579</v>
      </c>
      <c r="U775" s="101">
        <f t="shared" si="213"/>
        <v>38.092546155809643</v>
      </c>
      <c r="V775" s="33">
        <f t="shared" si="214"/>
        <v>1000.0000000000003</v>
      </c>
      <c r="W775" s="105">
        <f>IF(A775=1,((cPH1_+cPHr+(cNES*L775+(cNES+cOSEX)*G775+(cNES+cEREX)*H775+(cNES+cHOEX)*I775 + (cNES+cNES)*S775 +(cNES+ cOSEX)*N775 + (cNES+cEREX)*O775 + (cNES+cHOEX)*P775)))/(1+cDR)^A$5:A$65536,(cPHr+(cNES*L775+(cNES+cOSEX)*G775+(cNES+cEREX)*H775+(cNES+cHOEX)*I775 + (cNES+cNES)*S775 +(cNES+ cOSEX)*N775 + (cNES+cEREX)*O775 + (cNES+cHOEX)*P775))/(1+cDR)^A$5:A$65536)</f>
        <v>58605.649204371039</v>
      </c>
      <c r="X775" s="112">
        <f t="shared" si="215"/>
        <v>723.12134563013501</v>
      </c>
      <c r="Y775" s="32">
        <f>(uNES*L775+ uOCEX*G775+uEREX*'PH + UC'!H775+uHOEX*I775+uNES*S775+ uOCEX*N775+uEREX*O775+uHOEX*P775)/(1+oDR)^A$5:A$65536</f>
        <v>381.5645299996832</v>
      </c>
    </row>
    <row r="776" spans="1:25" x14ac:dyDescent="0.25">
      <c r="A776" s="4">
        <v>770</v>
      </c>
      <c r="C776" s="110">
        <f>IF(male=0,VLOOKUP(((A774:A1608/'Life tables'!$I$2)*2)+age,lifetable,13,1),IF(male=1,VLOOKUP(((A774:A1608/'Life tables'!$I$2)*2)+age,lifetable,10,1),"error"))</f>
        <v>8.3784722123148025E-4</v>
      </c>
      <c r="F776" s="101">
        <f t="shared" si="216"/>
        <v>115.29467638860559</v>
      </c>
      <c r="G776" s="101">
        <f t="shared" si="217"/>
        <v>11.581591541698693</v>
      </c>
      <c r="H776" s="101">
        <f t="shared" si="218"/>
        <v>0.26503049385980482</v>
      </c>
      <c r="I776" s="101">
        <f t="shared" si="219"/>
        <v>0.26503049385980482</v>
      </c>
      <c r="J776" s="101">
        <f t="shared" si="220"/>
        <v>0.1067470386512703</v>
      </c>
      <c r="K776" s="101">
        <f t="shared" si="221"/>
        <v>2.0775507274693791E-2</v>
      </c>
      <c r="L776" s="101">
        <f t="shared" ref="L776:L839" si="228">F776-SUM(G776:K776)</f>
        <v>103.05550131326133</v>
      </c>
      <c r="M776" s="101">
        <f t="shared" si="222"/>
        <v>607.82666924152943</v>
      </c>
      <c r="N776" s="101">
        <f t="shared" si="223"/>
        <v>58.535025181928752</v>
      </c>
      <c r="O776" s="101">
        <f t="shared" si="224"/>
        <v>1.3972249836347459</v>
      </c>
      <c r="P776" s="101">
        <f t="shared" si="225"/>
        <v>1.3972249836347459</v>
      </c>
      <c r="Q776" s="101">
        <f t="shared" si="226"/>
        <v>0.56065061614774225</v>
      </c>
      <c r="R776" s="101">
        <f t="shared" si="227"/>
        <v>1.6278868928663537E-2</v>
      </c>
      <c r="S776" s="101">
        <f t="shared" ref="S776:S839" si="229">M776-SUM(N776:R776)</f>
        <v>545.92026460725481</v>
      </c>
      <c r="T776" s="101">
        <f t="shared" ref="T776:T839" si="230">J776+Q776+T775</f>
        <v>239.45350586885479</v>
      </c>
      <c r="U776" s="101">
        <f t="shared" ref="U776:U839" si="231">K776+R776+U775</f>
        <v>38.129600532013001</v>
      </c>
      <c r="V776" s="33">
        <f t="shared" ref="V776:V839" si="232">SUM(G776:I776,L776,N776,O776,P776,S776,T776,U776)</f>
        <v>1000.0000000000005</v>
      </c>
      <c r="W776" s="105">
        <f>IF(A776=1,((cPH1_+cPHr+(cNES*L776+(cNES+cOSEX)*G776+(cNES+cEREX)*H776+(cNES+cHOEX)*I776 + (cNES+cNES)*S776 +(cNES+ cOSEX)*N776 + (cNES+cEREX)*O776 + (cNES+cHOEX)*P776)))/(1+cDR)^A$5:A$65536,(cPHr+(cNES*L776+(cNES+cOSEX)*G776+(cNES+cEREX)*H776+(cNES+cHOEX)*I776 + (cNES+cNES)*S776 +(cNES+ cOSEX)*N776 + (cNES+cEREX)*O776 + (cNES+cHOEX)*P776))/(1+cDR)^A$5:A$65536)</f>
        <v>58481.273913616911</v>
      </c>
      <c r="X776" s="112">
        <f t="shared" ref="X776:X839" si="233">(L776+G776+H776+I776+N776+O776+P776+S776)</f>
        <v>722.41689359913266</v>
      </c>
      <c r="Y776" s="32">
        <f>(uNES*L776+ uOCEX*G776+uEREX*'PH + UC'!H776+uHOEX*I776+uNES*S776+ uOCEX*N776+uEREX*O776+uHOEX*P776)/(1+oDR)^A$5:A$65536</f>
        <v>381.08319000585902</v>
      </c>
    </row>
    <row r="777" spans="1:25" x14ac:dyDescent="0.25">
      <c r="A777" s="4">
        <v>771</v>
      </c>
      <c r="C777" s="110">
        <f>IF(male=0,VLOOKUP(((A775:A1609/'Life tables'!$I$2)*2)+age,lifetable,13,1),IF(male=1,VLOOKUP(((A775:A1609/'Life tables'!$I$2)*2)+age,lifetable,10,1),"error"))</f>
        <v>8.3784722123148025E-4</v>
      </c>
      <c r="F777" s="101">
        <f t="shared" si="216"/>
        <v>115.1823386297943</v>
      </c>
      <c r="G777" s="101">
        <f t="shared" si="217"/>
        <v>11.570306978716124</v>
      </c>
      <c r="H777" s="101">
        <f t="shared" si="218"/>
        <v>0.264772260499606</v>
      </c>
      <c r="I777" s="101">
        <f t="shared" si="219"/>
        <v>0.264772260499606</v>
      </c>
      <c r="J777" s="101">
        <f t="shared" si="220"/>
        <v>0.1066430293122666</v>
      </c>
      <c r="K777" s="101">
        <f t="shared" si="221"/>
        <v>2.075526458874756E-2</v>
      </c>
      <c r="L777" s="101">
        <f t="shared" si="228"/>
        <v>102.95508883617795</v>
      </c>
      <c r="M777" s="101">
        <f t="shared" si="222"/>
        <v>607.23455496933832</v>
      </c>
      <c r="N777" s="101">
        <f t="shared" si="223"/>
        <v>58.478003294625687</v>
      </c>
      <c r="O777" s="101">
        <f t="shared" si="224"/>
        <v>1.395863877095435</v>
      </c>
      <c r="P777" s="101">
        <f t="shared" si="225"/>
        <v>1.395863877095435</v>
      </c>
      <c r="Q777" s="101">
        <f t="shared" si="226"/>
        <v>0.56010445842164569</v>
      </c>
      <c r="R777" s="101">
        <f t="shared" si="227"/>
        <v>1.6263010870576321E-2</v>
      </c>
      <c r="S777" s="101">
        <f t="shared" si="229"/>
        <v>545.38845645122956</v>
      </c>
      <c r="T777" s="101">
        <f t="shared" si="230"/>
        <v>240.12025335658871</v>
      </c>
      <c r="U777" s="101">
        <f t="shared" si="231"/>
        <v>38.166618807472325</v>
      </c>
      <c r="V777" s="33">
        <f t="shared" si="232"/>
        <v>1000.0000000000005</v>
      </c>
      <c r="W777" s="105">
        <f>IF(A777=1,((cPH1_+cPHr+(cNES*L777+(cNES+cOSEX)*G777+(cNES+cEREX)*H777+(cNES+cHOEX)*I777 + (cNES+cNES)*S777 +(cNES+ cOSEX)*N777 + (cNES+cEREX)*O777 + (cNES+cHOEX)*P777)))/(1+cDR)^A$5:A$65536,(cPHr+(cNES*L777+(cNES+cOSEX)*G777+(cNES+cEREX)*H777+(cNES+cHOEX)*I777 + (cNES+cNES)*S777 +(cNES+ cOSEX)*N777 + (cNES+cEREX)*O777 + (cNES+cHOEX)*P777))/(1+cDR)^A$5:A$65536)</f>
        <v>58357.162555852527</v>
      </c>
      <c r="X777" s="112">
        <f t="shared" si="233"/>
        <v>721.71312783593942</v>
      </c>
      <c r="Y777" s="32">
        <f>(uNES*L777+ uOCEX*G777+uEREX*'PH + UC'!H777+uHOEX*I777+uNES*S777+ uOCEX*N777+uEREX*O777+uHOEX*P777)/(1+oDR)^A$5:A$65536</f>
        <v>380.60245721915226</v>
      </c>
    </row>
    <row r="778" spans="1:25" x14ac:dyDescent="0.25">
      <c r="A778" s="4">
        <v>772</v>
      </c>
      <c r="C778" s="110">
        <f>IF(male=0,VLOOKUP(((A776:A1610/'Life tables'!$I$2)*2)+age,lifetable,13,1),IF(male=1,VLOOKUP(((A776:A1610/'Life tables'!$I$2)*2)+age,lifetable,10,1),"error"))</f>
        <v>8.3784722123148025E-4</v>
      </c>
      <c r="F778" s="101">
        <f t="shared" si="216"/>
        <v>115.07011120776654</v>
      </c>
      <c r="G778" s="101">
        <f t="shared" si="217"/>
        <v>11.559033499294381</v>
      </c>
      <c r="H778" s="101">
        <f t="shared" si="218"/>
        <v>0.26451428077308009</v>
      </c>
      <c r="I778" s="101">
        <f t="shared" si="219"/>
        <v>0.26451428077308009</v>
      </c>
      <c r="J778" s="101">
        <f t="shared" si="220"/>
        <v>0.10653912212997355</v>
      </c>
      <c r="K778" s="101">
        <f t="shared" si="221"/>
        <v>2.0735041784921832E-2</v>
      </c>
      <c r="L778" s="101">
        <f t="shared" si="228"/>
        <v>102.85477498301111</v>
      </c>
      <c r="M778" s="101">
        <f t="shared" si="222"/>
        <v>606.64301662817275</v>
      </c>
      <c r="N778" s="101">
        <f t="shared" si="223"/>
        <v>58.421036870728216</v>
      </c>
      <c r="O778" s="101">
        <f t="shared" si="224"/>
        <v>1.3945040944618665</v>
      </c>
      <c r="P778" s="101">
        <f t="shared" si="225"/>
        <v>1.3945040944618665</v>
      </c>
      <c r="Q778" s="101">
        <f t="shared" si="226"/>
        <v>0.55955883192608014</v>
      </c>
      <c r="R778" s="101">
        <f t="shared" si="227"/>
        <v>1.6247168237126016E-2</v>
      </c>
      <c r="S778" s="101">
        <f t="shared" si="229"/>
        <v>544.85716556835757</v>
      </c>
      <c r="T778" s="101">
        <f t="shared" si="230"/>
        <v>240.78635131064476</v>
      </c>
      <c r="U778" s="101">
        <f t="shared" si="231"/>
        <v>38.203601017494371</v>
      </c>
      <c r="V778" s="33">
        <f t="shared" si="232"/>
        <v>1000.0000000000003</v>
      </c>
      <c r="W778" s="105">
        <f>IF(A778=1,((cPH1_+cPHr+(cNES*L778+(cNES+cOSEX)*G778+(cNES+cEREX)*H778+(cNES+cHOEX)*I778 + (cNES+cNES)*S778 +(cNES+ cOSEX)*N778 + (cNES+cEREX)*O778 + (cNES+cHOEX)*P778)))/(1+cDR)^A$5:A$65536,(cPHr+(cNES*L778+(cNES+cOSEX)*G778+(cNES+cEREX)*H778+(cNES+cHOEX)*I778 + (cNES+cNES)*S778 +(cNES+ cOSEX)*N778 + (cNES+cEREX)*O778 + (cNES+cHOEX)*P778))/(1+cDR)^A$5:A$65536)</f>
        <v>58233.314572433119</v>
      </c>
      <c r="X778" s="112">
        <f t="shared" si="233"/>
        <v>721.01004767186123</v>
      </c>
      <c r="Y778" s="32">
        <f>(uNES*L778+ uOCEX*G778+uEREX*'PH + UC'!H778+uHOEX*I778+uNES*S778+ uOCEX*N778+uEREX*O778+uHOEX*P778)/(1+oDR)^A$5:A$65536</f>
        <v>380.12233087351439</v>
      </c>
    </row>
    <row r="779" spans="1:25" x14ac:dyDescent="0.25">
      <c r="A779" s="4">
        <v>773</v>
      </c>
      <c r="C779" s="110">
        <f>IF(male=0,VLOOKUP(((A777:A1611/'Life tables'!$I$2)*2)+age,lifetable,13,1),IF(male=1,VLOOKUP(((A777:A1611/'Life tables'!$I$2)*2)+age,lifetable,10,1),"error"))</f>
        <v>8.3784722123148025E-4</v>
      </c>
      <c r="F779" s="101">
        <f t="shared" si="216"/>
        <v>114.95799397404971</v>
      </c>
      <c r="G779" s="101">
        <f t="shared" si="217"/>
        <v>11.547771088519083</v>
      </c>
      <c r="H779" s="101">
        <f t="shared" si="218"/>
        <v>0.26425655433892964</v>
      </c>
      <c r="I779" s="101">
        <f t="shared" si="219"/>
        <v>0.26425655433892964</v>
      </c>
      <c r="J779" s="101">
        <f t="shared" si="220"/>
        <v>0.1064353169669259</v>
      </c>
      <c r="K779" s="101">
        <f t="shared" si="221"/>
        <v>2.07148388364626E-2</v>
      </c>
      <c r="L779" s="101">
        <f t="shared" si="228"/>
        <v>102.75455962104938</v>
      </c>
      <c r="M779" s="101">
        <f t="shared" si="222"/>
        <v>606.05205369781163</v>
      </c>
      <c r="N779" s="101">
        <f t="shared" si="223"/>
        <v>58.364125860137911</v>
      </c>
      <c r="O779" s="101">
        <f t="shared" si="224"/>
        <v>1.3931456345381963</v>
      </c>
      <c r="P779" s="101">
        <f t="shared" si="225"/>
        <v>1.3931456345381963</v>
      </c>
      <c r="Q779" s="101">
        <f t="shared" si="226"/>
        <v>0.55901373618120132</v>
      </c>
      <c r="R779" s="101">
        <f t="shared" si="227"/>
        <v>1.6231341014380011E-2</v>
      </c>
      <c r="S779" s="101">
        <f t="shared" si="229"/>
        <v>544.32639149140175</v>
      </c>
      <c r="T779" s="101">
        <f t="shared" si="230"/>
        <v>241.4518003637929</v>
      </c>
      <c r="U779" s="101">
        <f t="shared" si="231"/>
        <v>38.240547197345215</v>
      </c>
      <c r="V779" s="33">
        <f t="shared" si="232"/>
        <v>1000.0000000000006</v>
      </c>
      <c r="W779" s="105">
        <f>IF(A779=1,((cPH1_+cPHr+(cNES*L779+(cNES+cOSEX)*G779+(cNES+cEREX)*H779+(cNES+cHOEX)*I779 + (cNES+cNES)*S779 +(cNES+ cOSEX)*N779 + (cNES+cEREX)*O779 + (cNES+cHOEX)*P779)))/(1+cDR)^A$5:A$65536,(cPHr+(cNES*L779+(cNES+cOSEX)*G779+(cNES+cEREX)*H779+(cNES+cHOEX)*I779 + (cNES+cNES)*S779 +(cNES+ cOSEX)*N779 + (cNES+cEREX)*O779 + (cNES+cHOEX)*P779))/(1+cDR)^A$5:A$65536)</f>
        <v>58109.729405828664</v>
      </c>
      <c r="X779" s="112">
        <f t="shared" si="233"/>
        <v>720.30765243886242</v>
      </c>
      <c r="Y779" s="32">
        <f>(uNES*L779+ uOCEX*G779+uEREX*'PH + UC'!H779+uHOEX*I779+uNES*S779+ uOCEX*N779+uEREX*O779+uHOEX*P779)/(1+oDR)^A$5:A$65536</f>
        <v>379.64281020386585</v>
      </c>
    </row>
    <row r="780" spans="1:25" x14ac:dyDescent="0.25">
      <c r="A780" s="4">
        <v>774</v>
      </c>
      <c r="C780" s="110">
        <f>IF(male=0,VLOOKUP(((A778:A1612/'Life tables'!$I$2)*2)+age,lifetable,13,1),IF(male=1,VLOOKUP(((A778:A1612/'Life tables'!$I$2)*2)+age,lifetable,10,1),"error"))</f>
        <v>8.3784722123148025E-4</v>
      </c>
      <c r="F780" s="101">
        <f t="shared" si="216"/>
        <v>114.84598678218354</v>
      </c>
      <c r="G780" s="101">
        <f t="shared" si="217"/>
        <v>11.536519731677989</v>
      </c>
      <c r="H780" s="101">
        <f t="shared" si="218"/>
        <v>0.26399908086048307</v>
      </c>
      <c r="I780" s="101">
        <f t="shared" si="219"/>
        <v>0.26399908086048307</v>
      </c>
      <c r="J780" s="101">
        <f t="shared" si="220"/>
        <v>0.10633161368752159</v>
      </c>
      <c r="K780" s="101">
        <f t="shared" si="221"/>
        <v>2.0694655716978483E-2</v>
      </c>
      <c r="L780" s="101">
        <f t="shared" si="228"/>
        <v>102.65444261938009</v>
      </c>
      <c r="M780" s="101">
        <f t="shared" si="222"/>
        <v>605.46166565667886</v>
      </c>
      <c r="N780" s="101">
        <f t="shared" si="223"/>
        <v>58.307270212625866</v>
      </c>
      <c r="O780" s="101">
        <f t="shared" si="224"/>
        <v>1.3917884961254656</v>
      </c>
      <c r="P780" s="101">
        <f t="shared" si="225"/>
        <v>1.3917884961254656</v>
      </c>
      <c r="Q780" s="101">
        <f t="shared" si="226"/>
        <v>0.55846917070591495</v>
      </c>
      <c r="R780" s="101">
        <f t="shared" si="227"/>
        <v>1.621552918836941E-2</v>
      </c>
      <c r="S780" s="101">
        <f t="shared" si="229"/>
        <v>543.79613375190775</v>
      </c>
      <c r="T780" s="101">
        <f t="shared" si="230"/>
        <v>242.11660114818633</v>
      </c>
      <c r="U780" s="101">
        <f t="shared" si="231"/>
        <v>38.27745738225056</v>
      </c>
      <c r="V780" s="33">
        <f t="shared" si="232"/>
        <v>1000.0000000000003</v>
      </c>
      <c r="W780" s="105">
        <f>IF(A780=1,((cPH1_+cPHr+(cNES*L780+(cNES+cOSEX)*G780+(cNES+cEREX)*H780+(cNES+cHOEX)*I780 + (cNES+cNES)*S780 +(cNES+ cOSEX)*N780 + (cNES+cEREX)*O780 + (cNES+cHOEX)*P780)))/(1+cDR)^A$5:A$65536,(cPHr+(cNES*L780+(cNES+cOSEX)*G780+(cNES+cEREX)*H780+(cNES+cHOEX)*I780 + (cNES+cNES)*S780 +(cNES+ cOSEX)*N780 + (cNES+cEREX)*O780 + (cNES+cHOEX)*P780))/(1+cDR)^A$5:A$65536)</f>
        <v>57986.406499624747</v>
      </c>
      <c r="X780" s="112">
        <f t="shared" si="233"/>
        <v>719.6059414695635</v>
      </c>
      <c r="Y780" s="32">
        <f>(uNES*L780+ uOCEX*G780+uEREX*'PH + UC'!H780+uHOEX*I780+uNES*S780+ uOCEX*N780+uEREX*O780+uHOEX*P780)/(1+oDR)^A$5:A$65536</f>
        <v>379.16389444609507</v>
      </c>
    </row>
    <row r="781" spans="1:25" x14ac:dyDescent="0.25">
      <c r="A781" s="4">
        <v>775</v>
      </c>
      <c r="C781" s="110">
        <f>IF(male=0,VLOOKUP(((A779:A1613/'Life tables'!$I$2)*2)+age,lifetable,13,1),IF(male=1,VLOOKUP(((A779:A1613/'Life tables'!$I$2)*2)+age,lifetable,10,1),"error"))</f>
        <v>8.3784722123148025E-4</v>
      </c>
      <c r="F781" s="101">
        <f t="shared" si="216"/>
        <v>114.73408948763313</v>
      </c>
      <c r="G781" s="101">
        <f t="shared" si="217"/>
        <v>11.525279414252266</v>
      </c>
      <c r="H781" s="101">
        <f t="shared" si="218"/>
        <v>0.26374186000549482</v>
      </c>
      <c r="I781" s="101">
        <f t="shared" si="219"/>
        <v>0.26374186000549482</v>
      </c>
      <c r="J781" s="101">
        <f t="shared" si="220"/>
        <v>0.10622801215794112</v>
      </c>
      <c r="K781" s="101">
        <f t="shared" si="221"/>
        <v>2.0674492400425036E-2</v>
      </c>
      <c r="L781" s="101">
        <f t="shared" si="228"/>
        <v>102.55442384881151</v>
      </c>
      <c r="M781" s="101">
        <f t="shared" si="222"/>
        <v>604.8718519819306</v>
      </c>
      <c r="N781" s="101">
        <f t="shared" si="223"/>
        <v>58.250469877841091</v>
      </c>
      <c r="O781" s="101">
        <f t="shared" si="224"/>
        <v>1.3904326780218013</v>
      </c>
      <c r="P781" s="101">
        <f t="shared" si="225"/>
        <v>1.3904326780218013</v>
      </c>
      <c r="Q781" s="101">
        <f t="shared" si="226"/>
        <v>0.55792513501795704</v>
      </c>
      <c r="R781" s="101">
        <f t="shared" si="227"/>
        <v>1.6199732745091358E-2</v>
      </c>
      <c r="S781" s="101">
        <f t="shared" si="229"/>
        <v>543.26639188028287</v>
      </c>
      <c r="T781" s="101">
        <f t="shared" si="230"/>
        <v>242.78075429536224</v>
      </c>
      <c r="U781" s="101">
        <f t="shared" si="231"/>
        <v>38.314331607396078</v>
      </c>
      <c r="V781" s="33">
        <f t="shared" si="232"/>
        <v>1000.0000000000007</v>
      </c>
      <c r="W781" s="105">
        <f>IF(A781=1,((cPH1_+cPHr+(cNES*L781+(cNES+cOSEX)*G781+(cNES+cEREX)*H781+(cNES+cHOEX)*I781 + (cNES+cNES)*S781 +(cNES+ cOSEX)*N781 + (cNES+cEREX)*O781 + (cNES+cHOEX)*P781)))/(1+cDR)^A$5:A$65536,(cPHr+(cNES*L781+(cNES+cOSEX)*G781+(cNES+cEREX)*H781+(cNES+cHOEX)*I781 + (cNES+cNES)*S781 +(cNES+ cOSEX)*N781 + (cNES+cEREX)*O781 + (cNES+cHOEX)*P781))/(1+cDR)^A$5:A$65536)</f>
        <v>57863.345298523484</v>
      </c>
      <c r="X781" s="112">
        <f t="shared" si="233"/>
        <v>718.90491409724234</v>
      </c>
      <c r="Y781" s="32">
        <f>(uNES*L781+ uOCEX*G781+uEREX*'PH + UC'!H781+uHOEX*I781+uNES*S781+ uOCEX*N781+uEREX*O781+uHOEX*P781)/(1+oDR)^A$5:A$65536</f>
        <v>378.68558283705693</v>
      </c>
    </row>
    <row r="782" spans="1:25" x14ac:dyDescent="0.25">
      <c r="A782" s="4">
        <v>776</v>
      </c>
      <c r="C782" s="110">
        <f>IF(male=0,VLOOKUP(((A780:A1614/'Life tables'!$I$2)*2)+age,lifetable,13,1),IF(male=1,VLOOKUP(((A780:A1614/'Life tables'!$I$2)*2)+age,lifetable,10,1),"error"))</f>
        <v>8.3784722123148025E-4</v>
      </c>
      <c r="F782" s="101">
        <f t="shared" si="216"/>
        <v>114.62230194770571</v>
      </c>
      <c r="G782" s="101">
        <f t="shared" si="217"/>
        <v>11.514050121908125</v>
      </c>
      <c r="H782" s="101">
        <f t="shared" si="218"/>
        <v>0.26348489144595372</v>
      </c>
      <c r="I782" s="101">
        <f t="shared" si="219"/>
        <v>0.26348489144595372</v>
      </c>
      <c r="J782" s="101">
        <f t="shared" si="220"/>
        <v>0.10612451224607054</v>
      </c>
      <c r="K782" s="101">
        <f t="shared" si="221"/>
        <v>2.0654348861089758E-2</v>
      </c>
      <c r="L782" s="101">
        <f t="shared" si="228"/>
        <v>102.45450318179851</v>
      </c>
      <c r="M782" s="101">
        <f t="shared" si="222"/>
        <v>604.2826121495367</v>
      </c>
      <c r="N782" s="101">
        <f t="shared" si="223"/>
        <v>58.19372480531834</v>
      </c>
      <c r="O782" s="101">
        <f t="shared" si="224"/>
        <v>1.3890781790226032</v>
      </c>
      <c r="P782" s="101">
        <f t="shared" si="225"/>
        <v>1.3890781790226032</v>
      </c>
      <c r="Q782" s="101">
        <f t="shared" si="226"/>
        <v>0.55738162863397001</v>
      </c>
      <c r="R782" s="101">
        <f t="shared" si="227"/>
        <v>1.6183951670511235E-2</v>
      </c>
      <c r="S782" s="101">
        <f t="shared" si="229"/>
        <v>542.73716540586872</v>
      </c>
      <c r="T782" s="101">
        <f t="shared" si="230"/>
        <v>243.44426043624227</v>
      </c>
      <c r="U782" s="101">
        <f t="shared" si="231"/>
        <v>38.351169907927677</v>
      </c>
      <c r="V782" s="33">
        <f t="shared" si="232"/>
        <v>1000.0000000000008</v>
      </c>
      <c r="W782" s="105">
        <f>IF(A782=1,((cPH1_+cPHr+(cNES*L782+(cNES+cOSEX)*G782+(cNES+cEREX)*H782+(cNES+cHOEX)*I782 + (cNES+cNES)*S782 +(cNES+ cOSEX)*N782 + (cNES+cEREX)*O782 + (cNES+cHOEX)*P782)))/(1+cDR)^A$5:A$65536,(cPHr+(cNES*L782+(cNES+cOSEX)*G782+(cNES+cEREX)*H782+(cNES+cHOEX)*I782 + (cNES+cNES)*S782 +(cNES+ cOSEX)*N782 + (cNES+cEREX)*O782 + (cNES+cHOEX)*P782))/(1+cDR)^A$5:A$65536)</f>
        <v>57740.545248344177</v>
      </c>
      <c r="X782" s="112">
        <f t="shared" si="233"/>
        <v>718.20456965583082</v>
      </c>
      <c r="Y782" s="32">
        <f>(uNES*L782+ uOCEX*G782+uEREX*'PH + UC'!H782+uHOEX*I782+uNES*S782+ uOCEX*N782+uEREX*O782+uHOEX*P782)/(1+oDR)^A$5:A$65536</f>
        <v>378.20787461457132</v>
      </c>
    </row>
    <row r="783" spans="1:25" x14ac:dyDescent="0.25">
      <c r="A783" s="4">
        <v>777</v>
      </c>
      <c r="C783" s="110">
        <f>IF(male=0,VLOOKUP(((A781:A1615/'Life tables'!$I$2)*2)+age,lifetable,13,1),IF(male=1,VLOOKUP(((A781:A1615/'Life tables'!$I$2)*2)+age,lifetable,10,1),"error"))</f>
        <v>8.3784722123148025E-4</v>
      </c>
      <c r="F783" s="101">
        <f t="shared" si="216"/>
        <v>114.51062402147139</v>
      </c>
      <c r="G783" s="101">
        <f t="shared" si="217"/>
        <v>11.502831840488865</v>
      </c>
      <c r="H783" s="101">
        <f t="shared" si="218"/>
        <v>0.26322817485790106</v>
      </c>
      <c r="I783" s="101">
        <f t="shared" si="219"/>
        <v>0.26322817485790106</v>
      </c>
      <c r="J783" s="101">
        <f t="shared" si="220"/>
        <v>0.10602111382142823</v>
      </c>
      <c r="K783" s="101">
        <f t="shared" si="221"/>
        <v>2.0634225073577803E-2</v>
      </c>
      <c r="L783" s="101">
        <f t="shared" si="228"/>
        <v>102.35468049237171</v>
      </c>
      <c r="M783" s="101">
        <f t="shared" si="222"/>
        <v>603.69394563435947</v>
      </c>
      <c r="N783" s="101">
        <f t="shared" si="223"/>
        <v>58.13703494448572</v>
      </c>
      <c r="O783" s="101">
        <f t="shared" si="224"/>
        <v>1.3877249979207256</v>
      </c>
      <c r="P783" s="101">
        <f t="shared" si="225"/>
        <v>1.3877249979207256</v>
      </c>
      <c r="Q783" s="101">
        <f t="shared" si="226"/>
        <v>0.55683865106957386</v>
      </c>
      <c r="R783" s="101">
        <f t="shared" si="227"/>
        <v>1.6168185950564757E-2</v>
      </c>
      <c r="S783" s="101">
        <f t="shared" si="229"/>
        <v>542.20845385701216</v>
      </c>
      <c r="T783" s="101">
        <f t="shared" si="230"/>
        <v>244.10712020113328</v>
      </c>
      <c r="U783" s="101">
        <f t="shared" si="231"/>
        <v>38.387972318951817</v>
      </c>
      <c r="V783" s="33">
        <f t="shared" si="232"/>
        <v>1000.0000000000008</v>
      </c>
      <c r="W783" s="105">
        <f>IF(A783=1,((cPH1_+cPHr+(cNES*L783+(cNES+cOSEX)*G783+(cNES+cEREX)*H783+(cNES+cHOEX)*I783 + (cNES+cNES)*S783 +(cNES+ cOSEX)*N783 + (cNES+cEREX)*O783 + (cNES+cHOEX)*P783)))/(1+cDR)^A$5:A$65536,(cPHr+(cNES*L783+(cNES+cOSEX)*G783+(cNES+cEREX)*H783+(cNES+cHOEX)*I783 + (cNES+cNES)*S783 +(cNES+ cOSEX)*N783 + (cNES+cEREX)*O783 + (cNES+cHOEX)*P783))/(1+cDR)^A$5:A$65536)</f>
        <v>57618.005796023564</v>
      </c>
      <c r="X783" s="112">
        <f t="shared" si="233"/>
        <v>717.50490747991569</v>
      </c>
      <c r="Y783" s="32">
        <f>(uNES*L783+ uOCEX*G783+uEREX*'PH + UC'!H783+uHOEX*I783+uNES*S783+ uOCEX*N783+uEREX*O783+uHOEX*P783)/(1+oDR)^A$5:A$65536</f>
        <v>377.73076901742252</v>
      </c>
    </row>
    <row r="784" spans="1:25" x14ac:dyDescent="0.25">
      <c r="A784" s="4">
        <v>778</v>
      </c>
      <c r="C784" s="110">
        <f>IF(male=0,VLOOKUP(((A782:A1616/'Life tables'!$I$2)*2)+age,lifetable,13,1),IF(male=1,VLOOKUP(((A782:A1616/'Life tables'!$I$2)*2)+age,lifetable,10,1),"error"))</f>
        <v>8.3784722123148025E-4</v>
      </c>
      <c r="F784" s="101">
        <f t="shared" si="216"/>
        <v>114.39905556968742</v>
      </c>
      <c r="G784" s="101">
        <f t="shared" si="217"/>
        <v>11.491624556007261</v>
      </c>
      <c r="H784" s="101">
        <f t="shared" si="218"/>
        <v>0.26297170992125629</v>
      </c>
      <c r="I784" s="101">
        <f t="shared" si="219"/>
        <v>0.26297170992125629</v>
      </c>
      <c r="J784" s="101">
        <f t="shared" si="220"/>
        <v>0.10591781675509446</v>
      </c>
      <c r="K784" s="101">
        <f t="shared" si="221"/>
        <v>2.0614121012798348E-2</v>
      </c>
      <c r="L784" s="101">
        <f t="shared" si="228"/>
        <v>102.25495565606975</v>
      </c>
      <c r="M784" s="101">
        <f t="shared" si="222"/>
        <v>603.10585191022813</v>
      </c>
      <c r="N784" s="101">
        <f t="shared" si="223"/>
        <v>58.080400244671843</v>
      </c>
      <c r="O784" s="101">
        <f t="shared" si="224"/>
        <v>1.3863731335066478</v>
      </c>
      <c r="P784" s="101">
        <f t="shared" si="225"/>
        <v>1.3863731335066478</v>
      </c>
      <c r="Q784" s="101">
        <f t="shared" si="226"/>
        <v>0.55629620183943673</v>
      </c>
      <c r="R784" s="101">
        <f t="shared" si="227"/>
        <v>1.6152435571159966E-2</v>
      </c>
      <c r="S784" s="101">
        <f t="shared" si="229"/>
        <v>541.68025676113234</v>
      </c>
      <c r="T784" s="101">
        <f t="shared" si="230"/>
        <v>244.76933421972782</v>
      </c>
      <c r="U784" s="101">
        <f t="shared" si="231"/>
        <v>38.424738875535773</v>
      </c>
      <c r="V784" s="33">
        <f t="shared" si="232"/>
        <v>1000.0000000000007</v>
      </c>
      <c r="W784" s="105">
        <f>IF(A784=1,((cPH1_+cPHr+(cNES*L784+(cNES+cOSEX)*G784+(cNES+cEREX)*H784+(cNES+cHOEX)*I784 + (cNES+cNES)*S784 +(cNES+ cOSEX)*N784 + (cNES+cEREX)*O784 + (cNES+cHOEX)*P784)))/(1+cDR)^A$5:A$65536,(cPHr+(cNES*L784+(cNES+cOSEX)*G784+(cNES+cEREX)*H784+(cNES+cHOEX)*I784 + (cNES+cNES)*S784 +(cNES+ cOSEX)*N784 + (cNES+cEREX)*O784 + (cNES+cHOEX)*P784))/(1+cDR)^A$5:A$65536)</f>
        <v>57495.72638961651</v>
      </c>
      <c r="X784" s="112">
        <f t="shared" si="233"/>
        <v>716.80592690473702</v>
      </c>
      <c r="Y784" s="32">
        <f>(uNES*L784+ uOCEX*G784+uEREX*'PH + UC'!H784+uHOEX*I784+uNES*S784+ uOCEX*N784+uEREX*O784+uHOEX*P784)/(1+oDR)^A$5:A$65536</f>
        <v>377.25426528535661</v>
      </c>
    </row>
    <row r="785" spans="1:25" x14ac:dyDescent="0.25">
      <c r="A785" s="4">
        <v>779</v>
      </c>
      <c r="C785" s="110">
        <f>IF(male=0,VLOOKUP(((A783:A1617/'Life tables'!$I$2)*2)+age,lifetable,13,1),IF(male=1,VLOOKUP(((A783:A1617/'Life tables'!$I$2)*2)+age,lifetable,10,1),"error"))</f>
        <v>8.3784722123148025E-4</v>
      </c>
      <c r="F785" s="101">
        <f t="shared" si="216"/>
        <v>114.28759645472597</v>
      </c>
      <c r="G785" s="101">
        <f t="shared" si="217"/>
        <v>11.480428254638309</v>
      </c>
      <c r="H785" s="101">
        <f t="shared" si="218"/>
        <v>0.2627154963196513</v>
      </c>
      <c r="I785" s="101">
        <f t="shared" si="219"/>
        <v>0.2627154963196513</v>
      </c>
      <c r="J785" s="101">
        <f t="shared" si="220"/>
        <v>0.10581462091964475</v>
      </c>
      <c r="K785" s="101">
        <f t="shared" si="221"/>
        <v>2.0594036653951563E-2</v>
      </c>
      <c r="L785" s="101">
        <f t="shared" si="228"/>
        <v>102.15532854987477</v>
      </c>
      <c r="M785" s="101">
        <f t="shared" si="222"/>
        <v>602.51833045001104</v>
      </c>
      <c r="N785" s="101">
        <f t="shared" si="223"/>
        <v>58.023820655112793</v>
      </c>
      <c r="O785" s="101">
        <f t="shared" si="224"/>
        <v>1.3850225845686401</v>
      </c>
      <c r="P785" s="101">
        <f t="shared" si="225"/>
        <v>1.3850225845686401</v>
      </c>
      <c r="Q785" s="101">
        <f t="shared" si="226"/>
        <v>0.55575428045733977</v>
      </c>
      <c r="R785" s="101">
        <f t="shared" si="227"/>
        <v>1.613670051817918E-2</v>
      </c>
      <c r="S785" s="101">
        <f t="shared" si="229"/>
        <v>541.15257364478543</v>
      </c>
      <c r="T785" s="101">
        <f t="shared" si="230"/>
        <v>245.43090312110482</v>
      </c>
      <c r="U785" s="101">
        <f t="shared" si="231"/>
        <v>38.461469612707901</v>
      </c>
      <c r="V785" s="33">
        <f t="shared" si="232"/>
        <v>1000.0000000000007</v>
      </c>
      <c r="W785" s="105">
        <f>IF(A785=1,((cPH1_+cPHr+(cNES*L785+(cNES+cOSEX)*G785+(cNES+cEREX)*H785+(cNES+cHOEX)*I785 + (cNES+cNES)*S785 +(cNES+ cOSEX)*N785 + (cNES+cEREX)*O785 + (cNES+cHOEX)*P785)))/(1+cDR)^A$5:A$65536,(cPHr+(cNES*L785+(cNES+cOSEX)*G785+(cNES+cEREX)*H785+(cNES+cHOEX)*I785 + (cNES+cNES)*S785 +(cNES+ cOSEX)*N785 + (cNES+cEREX)*O785 + (cNES+cHOEX)*P785))/(1+cDR)^A$5:A$65536)</f>
        <v>57373.706478296052</v>
      </c>
      <c r="X785" s="112">
        <f t="shared" si="233"/>
        <v>716.10762726618793</v>
      </c>
      <c r="Y785" s="32">
        <f>(uNES*L785+ uOCEX*G785+uEREX*'PH + UC'!H785+uHOEX*I785+uNES*S785+ uOCEX*N785+uEREX*O785+uHOEX*P785)/(1+oDR)^A$5:A$65536</f>
        <v>376.77836265908201</v>
      </c>
    </row>
    <row r="786" spans="1:25" x14ac:dyDescent="0.25">
      <c r="A786" s="4">
        <v>780</v>
      </c>
      <c r="C786" s="110">
        <f>IF(male=0,VLOOKUP(((A784:A1618/'Life tables'!$I$2)*2)+age,lifetable,13,1),IF(male=1,VLOOKUP(((A784:A1618/'Life tables'!$I$2)*2)+age,lifetable,10,1),"error"))</f>
        <v>8.3784722123148025E-4</v>
      </c>
      <c r="F786" s="101">
        <f t="shared" si="216"/>
        <v>114.17624654050505</v>
      </c>
      <c r="G786" s="101">
        <f t="shared" si="217"/>
        <v>11.469242922712285</v>
      </c>
      <c r="H786" s="101">
        <f t="shared" si="218"/>
        <v>0.2624595337402712</v>
      </c>
      <c r="I786" s="101">
        <f t="shared" si="219"/>
        <v>0.2624595337402712</v>
      </c>
      <c r="J786" s="101">
        <f t="shared" si="220"/>
        <v>0.10571152618908584</v>
      </c>
      <c r="K786" s="101">
        <f t="shared" si="221"/>
        <v>2.0573971972516179E-2</v>
      </c>
      <c r="L786" s="101">
        <f t="shared" si="228"/>
        <v>102.05579905215062</v>
      </c>
      <c r="M786" s="101">
        <f t="shared" si="222"/>
        <v>601.93138072568297</v>
      </c>
      <c r="N786" s="101">
        <f t="shared" si="223"/>
        <v>57.967296124958594</v>
      </c>
      <c r="O786" s="101">
        <f t="shared" si="224"/>
        <v>1.383673349892919</v>
      </c>
      <c r="P786" s="101">
        <f t="shared" si="225"/>
        <v>1.383673349892919</v>
      </c>
      <c r="Q786" s="101">
        <f t="shared" si="226"/>
        <v>0.55521288643624023</v>
      </c>
      <c r="R786" s="101">
        <f t="shared" si="227"/>
        <v>1.6120980777480774E-2</v>
      </c>
      <c r="S786" s="101">
        <f t="shared" si="229"/>
        <v>540.62540403372486</v>
      </c>
      <c r="T786" s="101">
        <f t="shared" si="230"/>
        <v>246.09182753373014</v>
      </c>
      <c r="U786" s="101">
        <f t="shared" si="231"/>
        <v>38.498164565457898</v>
      </c>
      <c r="V786" s="33">
        <f t="shared" si="232"/>
        <v>1000.0000000000007</v>
      </c>
      <c r="W786" s="105">
        <f>IF(A786=1,((cPH1_+cPHr+(cNES*L786+(cNES+cOSEX)*G786+(cNES+cEREX)*H786+(cNES+cHOEX)*I786 + (cNES+cNES)*S786 +(cNES+ cOSEX)*N786 + (cNES+cEREX)*O786 + (cNES+cHOEX)*P786)))/(1+cDR)^A$5:A$65536,(cPHr+(cNES*L786+(cNES+cOSEX)*G786+(cNES+cEREX)*H786+(cNES+cHOEX)*I786 + (cNES+cNES)*S786 +(cNES+ cOSEX)*N786 + (cNES+cEREX)*O786 + (cNES+cHOEX)*P786))/(1+cDR)^A$5:A$65536)</f>
        <v>57251.945512353574</v>
      </c>
      <c r="X786" s="112">
        <f t="shared" si="233"/>
        <v>715.41000790081273</v>
      </c>
      <c r="Y786" s="32">
        <f>(uNES*L786+ uOCEX*G786+uEREX*'PH + UC'!H786+uHOEX*I786+uNES*S786+ uOCEX*N786+uEREX*O786+uHOEX*P786)/(1+oDR)^A$5:A$65536</f>
        <v>376.30306038026606</v>
      </c>
    </row>
    <row r="787" spans="1:25" x14ac:dyDescent="0.25">
      <c r="A787" s="4">
        <v>781</v>
      </c>
      <c r="C787" s="110">
        <f>IF(male=0,VLOOKUP(((A785:A1619/'Life tables'!$I$2)*2)+age,lifetable,13,1),IF(male=1,VLOOKUP(((A785:A1619/'Life tables'!$I$2)*2)+age,lifetable,10,1),"error"))</f>
        <v>8.3784722123148025E-4</v>
      </c>
      <c r="F787" s="101">
        <f t="shared" si="216"/>
        <v>114.06500569242266</v>
      </c>
      <c r="G787" s="101">
        <f t="shared" si="217"/>
        <v>11.458068546708141</v>
      </c>
      <c r="H787" s="101">
        <f t="shared" si="218"/>
        <v>0.26220382187370345</v>
      </c>
      <c r="I787" s="101">
        <f t="shared" si="219"/>
        <v>0.26220382187370345</v>
      </c>
      <c r="J787" s="101">
        <f t="shared" si="220"/>
        <v>0.10560853243879487</v>
      </c>
      <c r="K787" s="101">
        <f t="shared" si="221"/>
        <v>2.0553926944237605E-2</v>
      </c>
      <c r="L787" s="101">
        <f t="shared" si="228"/>
        <v>101.95636704258408</v>
      </c>
      <c r="M787" s="101">
        <f t="shared" si="222"/>
        <v>601.34500220838993</v>
      </c>
      <c r="N787" s="101">
        <f t="shared" si="223"/>
        <v>57.910826603279453</v>
      </c>
      <c r="O787" s="101">
        <f t="shared" si="224"/>
        <v>1.382325428263796</v>
      </c>
      <c r="P787" s="101">
        <f t="shared" si="225"/>
        <v>1.382325428263796</v>
      </c>
      <c r="Q787" s="101">
        <f t="shared" si="226"/>
        <v>0.55467201928833054</v>
      </c>
      <c r="R787" s="101">
        <f t="shared" si="227"/>
        <v>1.6105276334900939E-2</v>
      </c>
      <c r="S787" s="101">
        <f t="shared" si="229"/>
        <v>540.09874745295963</v>
      </c>
      <c r="T787" s="101">
        <f t="shared" si="230"/>
        <v>246.75210808545725</v>
      </c>
      <c r="U787" s="101">
        <f t="shared" si="231"/>
        <v>38.534823768737034</v>
      </c>
      <c r="V787" s="33">
        <f t="shared" si="232"/>
        <v>1000.0000000000006</v>
      </c>
      <c r="W787" s="105">
        <f>IF(A787=1,((cPH1_+cPHr+(cNES*L787+(cNES+cOSEX)*G787+(cNES+cEREX)*H787+(cNES+cHOEX)*I787 + (cNES+cNES)*S787 +(cNES+ cOSEX)*N787 + (cNES+cEREX)*O787 + (cNES+cHOEX)*P787)))/(1+cDR)^A$5:A$65536,(cPHr+(cNES*L787+(cNES+cOSEX)*G787+(cNES+cEREX)*H787+(cNES+cHOEX)*I787 + (cNES+cNES)*S787 +(cNES+ cOSEX)*N787 + (cNES+cEREX)*O787 + (cNES+cHOEX)*P787))/(1+cDR)^A$5:A$65536)</f>
        <v>57130.442943198621</v>
      </c>
      <c r="X787" s="112">
        <f t="shared" si="233"/>
        <v>714.71306814580623</v>
      </c>
      <c r="Y787" s="32">
        <f>(uNES*L787+ uOCEX*G787+uEREX*'PH + UC'!H787+uHOEX*I787+uNES*S787+ uOCEX*N787+uEREX*O787+uHOEX*P787)/(1+oDR)^A$5:A$65536</f>
        <v>375.82835769153485</v>
      </c>
    </row>
    <row r="788" spans="1:25" x14ac:dyDescent="0.25">
      <c r="A788" s="4">
        <v>782</v>
      </c>
      <c r="C788" s="110">
        <f>IF(male=0,VLOOKUP(((A786:A1620/'Life tables'!$I$2)*2)+age,lifetable,13,1),IF(male=1,VLOOKUP(((A786:A1620/'Life tables'!$I$2)*2)+age,lifetable,10,1),"error"))</f>
        <v>8.3784722123148025E-4</v>
      </c>
      <c r="F788" s="101">
        <f t="shared" si="216"/>
        <v>113.95387377729408</v>
      </c>
      <c r="G788" s="101">
        <f t="shared" si="217"/>
        <v>11.446905113247192</v>
      </c>
      <c r="H788" s="101">
        <f t="shared" si="218"/>
        <v>0.26194836041379316</v>
      </c>
      <c r="I788" s="101">
        <f t="shared" si="219"/>
        <v>0.26194836041379316</v>
      </c>
      <c r="J788" s="101">
        <f t="shared" si="220"/>
        <v>0.10550563954546095</v>
      </c>
      <c r="K788" s="101">
        <f t="shared" si="221"/>
        <v>2.0533901545116636E-2</v>
      </c>
      <c r="L788" s="101">
        <f t="shared" si="228"/>
        <v>101.85703240212872</v>
      </c>
      <c r="M788" s="101">
        <f t="shared" si="222"/>
        <v>600.75919436851223</v>
      </c>
      <c r="N788" s="101">
        <f t="shared" si="223"/>
        <v>57.854412039071867</v>
      </c>
      <c r="O788" s="101">
        <f t="shared" si="224"/>
        <v>1.3809788184638219</v>
      </c>
      <c r="P788" s="101">
        <f t="shared" si="225"/>
        <v>1.3809788184638219</v>
      </c>
      <c r="Q788" s="101">
        <f t="shared" si="226"/>
        <v>0.55413167852509704</v>
      </c>
      <c r="R788" s="101">
        <f t="shared" si="227"/>
        <v>1.6089587176255346E-2</v>
      </c>
      <c r="S788" s="101">
        <f t="shared" si="229"/>
        <v>539.57260342681138</v>
      </c>
      <c r="T788" s="101">
        <f t="shared" si="230"/>
        <v>247.41174540352782</v>
      </c>
      <c r="U788" s="101">
        <f t="shared" si="231"/>
        <v>38.571447257458409</v>
      </c>
      <c r="V788" s="33">
        <f t="shared" si="232"/>
        <v>1000.0000000000006</v>
      </c>
      <c r="W788" s="105">
        <f>IF(A788=1,((cPH1_+cPHr+(cNES*L788+(cNES+cOSEX)*G788+(cNES+cEREX)*H788+(cNES+cHOEX)*I788 + (cNES+cNES)*S788 +(cNES+ cOSEX)*N788 + (cNES+cEREX)*O788 + (cNES+cHOEX)*P788)))/(1+cDR)^A$5:A$65536,(cPHr+(cNES*L788+(cNES+cOSEX)*G788+(cNES+cEREX)*H788+(cNES+cHOEX)*I788 + (cNES+cNES)*S788 +(cNES+ cOSEX)*N788 + (cNES+cEREX)*O788 + (cNES+cHOEX)*P788))/(1+cDR)^A$5:A$65536)</f>
        <v>57009.198223359184</v>
      </c>
      <c r="X788" s="112">
        <f t="shared" si="233"/>
        <v>714.01680733901446</v>
      </c>
      <c r="Y788" s="32">
        <f>(uNES*L788+ uOCEX*G788+uEREX*'PH + UC'!H788+uHOEX*I788+uNES*S788+ uOCEX*N788+uEREX*O788+uHOEX*P788)/(1+oDR)^A$5:A$65536</f>
        <v>375.3542538364722</v>
      </c>
    </row>
    <row r="789" spans="1:25" x14ac:dyDescent="0.25">
      <c r="A789" s="4">
        <v>783</v>
      </c>
      <c r="C789" s="110">
        <f>IF(male=0,VLOOKUP(((A787:A1621/'Life tables'!$I$2)*2)+age,lifetable,13,1),IF(male=1,VLOOKUP(((A787:A1621/'Life tables'!$I$2)*2)+age,lifetable,10,1),"error"))</f>
        <v>9.128120834711595E-4</v>
      </c>
      <c r="F789" s="101">
        <f t="shared" si="216"/>
        <v>113.84285066329178</v>
      </c>
      <c r="G789" s="101">
        <f t="shared" si="217"/>
        <v>11.435752609087086</v>
      </c>
      <c r="H789" s="101">
        <f t="shared" si="218"/>
        <v>0.26169314905750551</v>
      </c>
      <c r="I789" s="101">
        <f t="shared" si="219"/>
        <v>0.26169314905750551</v>
      </c>
      <c r="J789" s="101">
        <f t="shared" si="220"/>
        <v>0.1148335762046596</v>
      </c>
      <c r="K789" s="101">
        <f t="shared" si="221"/>
        <v>2.0513895751398638E-2</v>
      </c>
      <c r="L789" s="101">
        <f t="shared" si="228"/>
        <v>101.74836428413363</v>
      </c>
      <c r="M789" s="101">
        <f t="shared" si="222"/>
        <v>600.17395667572271</v>
      </c>
      <c r="N789" s="101">
        <f t="shared" si="223"/>
        <v>57.798052381264164</v>
      </c>
      <c r="O789" s="101">
        <f t="shared" si="224"/>
        <v>1.3796335192739217</v>
      </c>
      <c r="P789" s="101">
        <f t="shared" si="225"/>
        <v>1.3796335192739217</v>
      </c>
      <c r="Q789" s="101">
        <f t="shared" si="226"/>
        <v>0.60312349274732291</v>
      </c>
      <c r="R789" s="101">
        <f t="shared" si="227"/>
        <v>1.6073913287340726E-2</v>
      </c>
      <c r="S789" s="101">
        <f t="shared" si="229"/>
        <v>538.99743984987606</v>
      </c>
      <c r="T789" s="101">
        <f t="shared" si="230"/>
        <v>248.12970247247981</v>
      </c>
      <c r="U789" s="101">
        <f t="shared" si="231"/>
        <v>38.608035066497152</v>
      </c>
      <c r="V789" s="33">
        <f t="shared" si="232"/>
        <v>1000.0000000000007</v>
      </c>
      <c r="W789" s="105">
        <f>IF(A789=1,((cPH1_+cPHr+(cNES*L789+(cNES+cOSEX)*G789+(cNES+cEREX)*H789+(cNES+cHOEX)*I789 + (cNES+cNES)*S789 +(cNES+ cOSEX)*N789 + (cNES+cEREX)*O789 + (cNES+cHOEX)*P789)))/(1+cDR)^A$5:A$65536,(cPHr+(cNES*L789+(cNES+cOSEX)*G789+(cNES+cEREX)*H789+(cNES+cHOEX)*I789 + (cNES+cNES)*S789 +(cNES+ cOSEX)*N789 + (cNES+cEREX)*O789 + (cNES+cHOEX)*P789))/(1+cDR)^A$5:A$65536)</f>
        <v>56884.135226470738</v>
      </c>
      <c r="X789" s="112">
        <f t="shared" si="233"/>
        <v>713.26226246102374</v>
      </c>
      <c r="Y789" s="32">
        <f>(uNES*L789+ uOCEX*G789+uEREX*'PH + UC'!H789+uHOEX*I789+uNES*S789+ uOCEX*N789+uEREX*O789+uHOEX*P789)/(1+oDR)^A$5:A$65536</f>
        <v>374.84925667444401</v>
      </c>
    </row>
    <row r="790" spans="1:25" x14ac:dyDescent="0.25">
      <c r="A790" s="4">
        <v>784</v>
      </c>
      <c r="C790" s="110">
        <f>IF(male=0,VLOOKUP(((A788:A1622/'Life tables'!$I$2)*2)+age,lifetable,13,1),IF(male=1,VLOOKUP(((A788:A1622/'Life tables'!$I$2)*2)+age,lifetable,10,1),"error"))</f>
        <v>9.128120834711595E-4</v>
      </c>
      <c r="F790" s="101">
        <f t="shared" si="216"/>
        <v>113.72250563217703</v>
      </c>
      <c r="G790" s="101">
        <f t="shared" si="217"/>
        <v>11.423663698843335</v>
      </c>
      <c r="H790" s="101">
        <f t="shared" si="218"/>
        <v>0.26141650919841602</v>
      </c>
      <c r="I790" s="101">
        <f t="shared" si="219"/>
        <v>0.26141650919841602</v>
      </c>
      <c r="J790" s="101">
        <f t="shared" si="220"/>
        <v>0.11471218386231355</v>
      </c>
      <c r="K790" s="101">
        <f t="shared" si="221"/>
        <v>2.049221019619598E-2</v>
      </c>
      <c r="L790" s="101">
        <f t="shared" si="228"/>
        <v>101.64080452087836</v>
      </c>
      <c r="M790" s="101">
        <f t="shared" si="222"/>
        <v>599.53975682884686</v>
      </c>
      <c r="N790" s="101">
        <f t="shared" si="223"/>
        <v>57.736977561935198</v>
      </c>
      <c r="O790" s="101">
        <f t="shared" si="224"/>
        <v>1.37817566966726</v>
      </c>
      <c r="P790" s="101">
        <f t="shared" si="225"/>
        <v>1.37817566966726</v>
      </c>
      <c r="Q790" s="101">
        <f t="shared" si="226"/>
        <v>0.60248617614520628</v>
      </c>
      <c r="R790" s="101">
        <f t="shared" si="227"/>
        <v>1.6056928089579078E-2</v>
      </c>
      <c r="S790" s="101">
        <f t="shared" si="229"/>
        <v>538.42788482334231</v>
      </c>
      <c r="T790" s="101">
        <f t="shared" si="230"/>
        <v>248.84690083248734</v>
      </c>
      <c r="U790" s="101">
        <f t="shared" si="231"/>
        <v>38.64458420478293</v>
      </c>
      <c r="V790" s="33">
        <f t="shared" si="232"/>
        <v>1000.0000000000008</v>
      </c>
      <c r="W790" s="105">
        <f>IF(A790=1,((cPH1_+cPHr+(cNES*L790+(cNES+cOSEX)*G790+(cNES+cEREX)*H790+(cNES+cHOEX)*I790 + (cNES+cNES)*S790 +(cNES+ cOSEX)*N790 + (cNES+cEREX)*O790 + (cNES+cHOEX)*P790)))/(1+cDR)^A$5:A$65536,(cPHr+(cNES*L790+(cNES+cOSEX)*G790+(cNES+cEREX)*H790+(cNES+cHOEX)*I790 + (cNES+cNES)*S790 +(cNES+ cOSEX)*N790 + (cNES+cEREX)*O790 + (cNES+cHOEX)*P790))/(1+cDR)^A$5:A$65536)</f>
        <v>56758.723046710293</v>
      </c>
      <c r="X790" s="112">
        <f t="shared" si="233"/>
        <v>712.50851496273049</v>
      </c>
      <c r="Y790" s="32">
        <f>(uNES*L790+ uOCEX*G790+uEREX*'PH + UC'!H790+uHOEX*I790+uNES*S790+ uOCEX*N790+uEREX*O790+uHOEX*P790)/(1+oDR)^A$5:A$65536</f>
        <v>374.3454424136558</v>
      </c>
    </row>
    <row r="791" spans="1:25" x14ac:dyDescent="0.25">
      <c r="A791" s="4">
        <v>785</v>
      </c>
      <c r="C791" s="110">
        <f>IF(male=0,VLOOKUP(((A789:A1623/'Life tables'!$I$2)*2)+age,lifetable,13,1),IF(male=1,VLOOKUP(((A789:A1623/'Life tables'!$I$2)*2)+age,lifetable,10,1),"error"))</f>
        <v>9.128120834711595E-4</v>
      </c>
      <c r="F791" s="101">
        <f t="shared" si="216"/>
        <v>113.60228962155395</v>
      </c>
      <c r="G791" s="101">
        <f t="shared" si="217"/>
        <v>11.411587748977999</v>
      </c>
      <c r="H791" s="101">
        <f t="shared" si="218"/>
        <v>0.261140165921664</v>
      </c>
      <c r="I791" s="101">
        <f t="shared" si="219"/>
        <v>0.261140165921664</v>
      </c>
      <c r="J791" s="101">
        <f t="shared" si="220"/>
        <v>0.11459092166326922</v>
      </c>
      <c r="K791" s="101">
        <f t="shared" si="221"/>
        <v>2.0470547889821864E-2</v>
      </c>
      <c r="L791" s="101">
        <f t="shared" si="228"/>
        <v>101.53336007117953</v>
      </c>
      <c r="M791" s="101">
        <f t="shared" si="222"/>
        <v>598.90622534117654</v>
      </c>
      <c r="N791" s="101">
        <f t="shared" si="223"/>
        <v>57.675967107045807</v>
      </c>
      <c r="O791" s="101">
        <f t="shared" si="224"/>
        <v>1.3767193564330993</v>
      </c>
      <c r="P791" s="101">
        <f t="shared" si="225"/>
        <v>1.3767193564330993</v>
      </c>
      <c r="Q791" s="101">
        <f t="shared" si="226"/>
        <v>0.60184953118692519</v>
      </c>
      <c r="R791" s="101">
        <f t="shared" si="227"/>
        <v>1.6039960791874232E-2</v>
      </c>
      <c r="S791" s="101">
        <f t="shared" si="229"/>
        <v>537.85893002928572</v>
      </c>
      <c r="T791" s="101">
        <f t="shared" si="230"/>
        <v>249.56334128533754</v>
      </c>
      <c r="U791" s="101">
        <f t="shared" si="231"/>
        <v>38.681094713464624</v>
      </c>
      <c r="V791" s="33">
        <f t="shared" si="232"/>
        <v>1000.0000000000007</v>
      </c>
      <c r="W791" s="105">
        <f>IF(A791=1,((cPH1_+cPHr+(cNES*L791+(cNES+cOSEX)*G791+(cNES+cEREX)*H791+(cNES+cHOEX)*I791 + (cNES+cNES)*S791 +(cNES+ cOSEX)*N791 + (cNES+cEREX)*O791 + (cNES+cHOEX)*P791)))/(1+cDR)^A$5:A$65536,(cPHr+(cNES*L791+(cNES+cOSEX)*G791+(cNES+cEREX)*H791+(cNES+cHOEX)*I791 + (cNES+cNES)*S791 +(cNES+ cOSEX)*N791 + (cNES+cEREX)*O791 + (cNES+cHOEX)*P791))/(1+cDR)^A$5:A$65536)</f>
        <v>56633.587314138873</v>
      </c>
      <c r="X791" s="112">
        <f t="shared" si="233"/>
        <v>711.75556400119854</v>
      </c>
      <c r="Y791" s="32">
        <f>(uNES*L791+ uOCEX*G791+uEREX*'PH + UC'!H791+uHOEX*I791+uNES*S791+ uOCEX*N791+uEREX*O791+uHOEX*P791)/(1+oDR)^A$5:A$65536</f>
        <v>373.8423053044956</v>
      </c>
    </row>
    <row r="792" spans="1:25" x14ac:dyDescent="0.25">
      <c r="A792" s="4">
        <v>786</v>
      </c>
      <c r="C792" s="110">
        <f>IF(male=0,VLOOKUP(((A790:A1624/'Life tables'!$I$2)*2)+age,lifetable,13,1),IF(male=1,VLOOKUP(((A790:A1624/'Life tables'!$I$2)*2)+age,lifetable,10,1),"error"))</f>
        <v>9.128120834711595E-4</v>
      </c>
      <c r="F792" s="101">
        <f t="shared" si="216"/>
        <v>113.48220241086986</v>
      </c>
      <c r="G792" s="101">
        <f t="shared" si="217"/>
        <v>11.399524737336096</v>
      </c>
      <c r="H792" s="101">
        <f t="shared" si="218"/>
        <v>0.26086411872026</v>
      </c>
      <c r="I792" s="101">
        <f t="shared" si="219"/>
        <v>0.26086411872026</v>
      </c>
      <c r="J792" s="101">
        <f t="shared" si="220"/>
        <v>0.11446978938505456</v>
      </c>
      <c r="K792" s="101">
        <f t="shared" si="221"/>
        <v>2.0448908792533832E-2</v>
      </c>
      <c r="L792" s="101">
        <f t="shared" si="228"/>
        <v>101.42603073791565</v>
      </c>
      <c r="M792" s="101">
        <f t="shared" si="222"/>
        <v>598.27336159032882</v>
      </c>
      <c r="N792" s="101">
        <f t="shared" si="223"/>
        <v>57.615020956659173</v>
      </c>
      <c r="O792" s="101">
        <f t="shared" si="224"/>
        <v>1.375264578140754</v>
      </c>
      <c r="P792" s="101">
        <f t="shared" si="225"/>
        <v>1.375264578140754</v>
      </c>
      <c r="Q792" s="101">
        <f t="shared" si="226"/>
        <v>0.60121355724703851</v>
      </c>
      <c r="R792" s="101">
        <f t="shared" si="227"/>
        <v>1.6023011377557472E-2</v>
      </c>
      <c r="S792" s="101">
        <f t="shared" si="229"/>
        <v>537.29057490876357</v>
      </c>
      <c r="T792" s="101">
        <f t="shared" si="230"/>
        <v>250.27902463196963</v>
      </c>
      <c r="U792" s="101">
        <f t="shared" si="231"/>
        <v>38.717566633634718</v>
      </c>
      <c r="V792" s="33">
        <f t="shared" si="232"/>
        <v>1000.0000000000009</v>
      </c>
      <c r="W792" s="105">
        <f>IF(A792=1,((cPH1_+cPHr+(cNES*L792+(cNES+cOSEX)*G792+(cNES+cEREX)*H792+(cNES+cHOEX)*I792 + (cNES+cNES)*S792 +(cNES+ cOSEX)*N792 + (cNES+cEREX)*O792 + (cNES+cHOEX)*P792)))/(1+cDR)^A$5:A$65536,(cPHr+(cNES*L792+(cNES+cOSEX)*G792+(cNES+cEREX)*H792+(cNES+cHOEX)*I792 + (cNES+cNES)*S792 +(cNES+ cOSEX)*N792 + (cNES+cEREX)*O792 + (cNES+cHOEX)*P792))/(1+cDR)^A$5:A$65536)</f>
        <v>56508.727422162185</v>
      </c>
      <c r="X792" s="112">
        <f t="shared" si="233"/>
        <v>711.00340873439654</v>
      </c>
      <c r="Y792" s="32">
        <f>(uNES*L792+ uOCEX*G792+uEREX*'PH + UC'!H792+uHOEX*I792+uNES*S792+ uOCEX*N792+uEREX*O792+uHOEX*P792)/(1+oDR)^A$5:A$65536</f>
        <v>373.33984443671875</v>
      </c>
    </row>
    <row r="793" spans="1:25" x14ac:dyDescent="0.25">
      <c r="A793" s="4">
        <v>787</v>
      </c>
      <c r="C793" s="110">
        <f>IF(male=0,VLOOKUP(((A791:A1625/'Life tables'!$I$2)*2)+age,lifetable,13,1),IF(male=1,VLOOKUP(((A791:A1625/'Life tables'!$I$2)*2)+age,lifetable,10,1),"error"))</f>
        <v>9.128120834711595E-4</v>
      </c>
      <c r="F793" s="101">
        <f t="shared" si="216"/>
        <v>113.36224378364949</v>
      </c>
      <c r="G793" s="101">
        <f t="shared" si="217"/>
        <v>11.387474642172236</v>
      </c>
      <c r="H793" s="101">
        <f t="shared" si="218"/>
        <v>0.26058836709658745</v>
      </c>
      <c r="I793" s="101">
        <f t="shared" si="219"/>
        <v>0.26058836709658745</v>
      </c>
      <c r="J793" s="101">
        <f t="shared" si="220"/>
        <v>0.11434878680931039</v>
      </c>
      <c r="K793" s="101">
        <f t="shared" si="221"/>
        <v>2.0427292865324159E-2</v>
      </c>
      <c r="L793" s="101">
        <f t="shared" si="228"/>
        <v>101.31881632760944</v>
      </c>
      <c r="M793" s="101">
        <f t="shared" si="222"/>
        <v>597.64116495074711</v>
      </c>
      <c r="N793" s="101">
        <f t="shared" si="223"/>
        <v>57.554139050532839</v>
      </c>
      <c r="O793" s="101">
        <f t="shared" si="224"/>
        <v>1.3738113333522426</v>
      </c>
      <c r="P793" s="101">
        <f t="shared" si="225"/>
        <v>1.3738113333522426</v>
      </c>
      <c r="Q793" s="101">
        <f t="shared" si="226"/>
        <v>0.60057825369691509</v>
      </c>
      <c r="R793" s="101">
        <f t="shared" si="227"/>
        <v>1.6006079829875081E-2</v>
      </c>
      <c r="S793" s="101">
        <f t="shared" si="229"/>
        <v>536.72281889998294</v>
      </c>
      <c r="T793" s="101">
        <f t="shared" si="230"/>
        <v>250.99395167247587</v>
      </c>
      <c r="U793" s="101">
        <f t="shared" si="231"/>
        <v>38.754000006329917</v>
      </c>
      <c r="V793" s="33">
        <f t="shared" si="232"/>
        <v>1000.0000000000009</v>
      </c>
      <c r="W793" s="105">
        <f>IF(A793=1,((cPH1_+cPHr+(cNES*L793+(cNES+cOSEX)*G793+(cNES+cEREX)*H793+(cNES+cHOEX)*I793 + (cNES+cNES)*S793 +(cNES+ cOSEX)*N793 + (cNES+cEREX)*O793 + (cNES+cHOEX)*P793)))/(1+cDR)^A$5:A$65536,(cPHr+(cNES*L793+(cNES+cOSEX)*G793+(cNES+cEREX)*H793+(cNES+cHOEX)*I793 + (cNES+cNES)*S793 +(cNES+ cOSEX)*N793 + (cNES+cEREX)*O793 + (cNES+cHOEX)*P793))/(1+cDR)^A$5:A$65536)</f>
        <v>56384.142765386176</v>
      </c>
      <c r="X793" s="112">
        <f t="shared" si="233"/>
        <v>710.25204832119516</v>
      </c>
      <c r="Y793" s="32">
        <f>(uNES*L793+ uOCEX*G793+uEREX*'PH + UC'!H793+uHOEX*I793+uNES*S793+ uOCEX*N793+uEREX*O793+uHOEX*P793)/(1+oDR)^A$5:A$65536</f>
        <v>372.83805890130884</v>
      </c>
    </row>
    <row r="794" spans="1:25" x14ac:dyDescent="0.25">
      <c r="A794" s="4">
        <v>788</v>
      </c>
      <c r="C794" s="110">
        <f>IF(male=0,VLOOKUP(((A792:A1626/'Life tables'!$I$2)*2)+age,lifetable,13,1),IF(male=1,VLOOKUP(((A792:A1626/'Life tables'!$I$2)*2)+age,lifetable,10,1),"error"))</f>
        <v>9.128120834711595E-4</v>
      </c>
      <c r="F794" s="101">
        <f t="shared" si="216"/>
        <v>113.24241352731495</v>
      </c>
      <c r="G794" s="101">
        <f t="shared" si="217"/>
        <v>11.375437442132522</v>
      </c>
      <c r="H794" s="101">
        <f t="shared" si="218"/>
        <v>0.26031291056198874</v>
      </c>
      <c r="I794" s="101">
        <f t="shared" si="219"/>
        <v>0.26031291056198874</v>
      </c>
      <c r="J794" s="101">
        <f t="shared" si="220"/>
        <v>0.11422791372160886</v>
      </c>
      <c r="K794" s="101">
        <f t="shared" si="221"/>
        <v>2.04057000698874E-2</v>
      </c>
      <c r="L794" s="101">
        <f t="shared" si="228"/>
        <v>101.21171665026695</v>
      </c>
      <c r="M794" s="101">
        <f t="shared" si="222"/>
        <v>597.0096347938802</v>
      </c>
      <c r="N794" s="101">
        <f t="shared" si="223"/>
        <v>57.493321328135956</v>
      </c>
      <c r="O794" s="101">
        <f t="shared" si="224"/>
        <v>1.3723596206227002</v>
      </c>
      <c r="P794" s="101">
        <f t="shared" si="225"/>
        <v>1.3723596206227002</v>
      </c>
      <c r="Q794" s="101">
        <f t="shared" si="226"/>
        <v>0.59994361990491507</v>
      </c>
      <c r="R794" s="101">
        <f t="shared" si="227"/>
        <v>1.5989166131993141E-2</v>
      </c>
      <c r="S794" s="101">
        <f t="shared" si="229"/>
        <v>536.15566143846195</v>
      </c>
      <c r="T794" s="101">
        <f t="shared" si="230"/>
        <v>251.70812320610239</v>
      </c>
      <c r="U794" s="101">
        <f t="shared" si="231"/>
        <v>38.790394872531799</v>
      </c>
      <c r="V794" s="33">
        <f t="shared" si="232"/>
        <v>1000.0000000000009</v>
      </c>
      <c r="W794" s="105">
        <f>IF(A794=1,((cPH1_+cPHr+(cNES*L794+(cNES+cOSEX)*G794+(cNES+cEREX)*H794+(cNES+cHOEX)*I794 + (cNES+cNES)*S794 +(cNES+ cOSEX)*N794 + (cNES+cEREX)*O794 + (cNES+cHOEX)*P794)))/(1+cDR)^A$5:A$65536,(cPHr+(cNES*L794+(cNES+cOSEX)*G794+(cNES+cEREX)*H794+(cNES+cHOEX)*I794 + (cNES+cNES)*S794 +(cNES+ cOSEX)*N794 + (cNES+cEREX)*O794 + (cNES+cHOEX)*P794))/(1+cDR)^A$5:A$65536)</f>
        <v>56259.832739621073</v>
      </c>
      <c r="X794" s="112">
        <f t="shared" si="233"/>
        <v>709.5014819213668</v>
      </c>
      <c r="Y794" s="32">
        <f>(uNES*L794+ uOCEX*G794+uEREX*'PH + UC'!H794+uHOEX*I794+uNES*S794+ uOCEX*N794+uEREX*O794+uHOEX*P794)/(1+oDR)^A$5:A$65536</f>
        <v>372.33694779047647</v>
      </c>
    </row>
    <row r="795" spans="1:25" x14ac:dyDescent="0.25">
      <c r="A795" s="4">
        <v>789</v>
      </c>
      <c r="C795" s="110">
        <f>IF(male=0,VLOOKUP(((A793:A1627/'Life tables'!$I$2)*2)+age,lifetable,13,1),IF(male=1,VLOOKUP(((A793:A1627/'Life tables'!$I$2)*2)+age,lifetable,10,1),"error"))</f>
        <v>9.128120834711595E-4</v>
      </c>
      <c r="F795" s="101">
        <f t="shared" si="216"/>
        <v>113.1227114330143</v>
      </c>
      <c r="G795" s="101">
        <f t="shared" si="217"/>
        <v>11.363413116237341</v>
      </c>
      <c r="H795" s="101">
        <f t="shared" si="218"/>
        <v>0.26003774863637108</v>
      </c>
      <c r="I795" s="101">
        <f t="shared" si="219"/>
        <v>0.26003774863637108</v>
      </c>
      <c r="J795" s="101">
        <f t="shared" si="220"/>
        <v>0.11410716991128048</v>
      </c>
      <c r="K795" s="101">
        <f t="shared" si="221"/>
        <v>2.038413036858951E-2</v>
      </c>
      <c r="L795" s="101">
        <f t="shared" si="228"/>
        <v>101.10473151922434</v>
      </c>
      <c r="M795" s="101">
        <f t="shared" si="222"/>
        <v>596.37877048835242</v>
      </c>
      <c r="N795" s="101">
        <f t="shared" si="223"/>
        <v>57.432567728665688</v>
      </c>
      <c r="O795" s="101">
        <f t="shared" si="224"/>
        <v>1.3709094385007694</v>
      </c>
      <c r="P795" s="101">
        <f t="shared" si="225"/>
        <v>1.3709094385007694</v>
      </c>
      <c r="Q795" s="101">
        <f t="shared" si="226"/>
        <v>0.59930965523655955</v>
      </c>
      <c r="R795" s="101">
        <f t="shared" si="227"/>
        <v>1.5972270267002101E-2</v>
      </c>
      <c r="S795" s="101">
        <f t="shared" si="229"/>
        <v>535.58910195718158</v>
      </c>
      <c r="T795" s="101">
        <f t="shared" si="230"/>
        <v>252.42154003125023</v>
      </c>
      <c r="U795" s="101">
        <f t="shared" si="231"/>
        <v>38.826751273167389</v>
      </c>
      <c r="V795" s="33">
        <f t="shared" si="232"/>
        <v>1000.0000000000008</v>
      </c>
      <c r="W795" s="105">
        <f>IF(A795=1,((cPH1_+cPHr+(cNES*L795+(cNES+cOSEX)*G795+(cNES+cEREX)*H795+(cNES+cHOEX)*I795 + (cNES+cNES)*S795 +(cNES+ cOSEX)*N795 + (cNES+cEREX)*O795 + (cNES+cHOEX)*P795)))/(1+cDR)^A$5:A$65536,(cPHr+(cNES*L795+(cNES+cOSEX)*G795+(cNES+cEREX)*H795+(cNES+cHOEX)*I795 + (cNES+cNES)*S795 +(cNES+ cOSEX)*N795 + (cNES+cEREX)*O795 + (cNES+cHOEX)*P795))/(1+cDR)^A$5:A$65536)</f>
        <v>56135.796741884638</v>
      </c>
      <c r="X795" s="112">
        <f t="shared" si="233"/>
        <v>708.75170869558326</v>
      </c>
      <c r="Y795" s="32">
        <f>(uNES*L795+ uOCEX*G795+uEREX*'PH + UC'!H795+uHOEX*I795+uNES*S795+ uOCEX*N795+uEREX*O795+uHOEX*P795)/(1+oDR)^A$5:A$65536</f>
        <v>371.8365101976583</v>
      </c>
    </row>
    <row r="796" spans="1:25" x14ac:dyDescent="0.25">
      <c r="A796" s="4">
        <v>790</v>
      </c>
      <c r="C796" s="110">
        <f>IF(male=0,VLOOKUP(((A794:A1628/'Life tables'!$I$2)*2)+age,lifetable,13,1),IF(male=1,VLOOKUP(((A794:A1628/'Life tables'!$I$2)*2)+age,lifetable,10,1),"error"))</f>
        <v>9.128120834711595E-4</v>
      </c>
      <c r="F796" s="101">
        <f t="shared" si="216"/>
        <v>113.00313729545768</v>
      </c>
      <c r="G796" s="101">
        <f t="shared" si="217"/>
        <v>11.351401643864897</v>
      </c>
      <c r="H796" s="101">
        <f t="shared" si="218"/>
        <v>0.25976288084783</v>
      </c>
      <c r="I796" s="101">
        <f t="shared" si="219"/>
        <v>0.25976288084783</v>
      </c>
      <c r="J796" s="101">
        <f t="shared" si="220"/>
        <v>0.11398655517124884</v>
      </c>
      <c r="K796" s="101">
        <f t="shared" si="221"/>
        <v>2.0362583724438311E-2</v>
      </c>
      <c r="L796" s="101">
        <f t="shared" si="228"/>
        <v>100.99786075100144</v>
      </c>
      <c r="M796" s="101">
        <f t="shared" si="222"/>
        <v>595.74857140012568</v>
      </c>
      <c r="N796" s="101">
        <f t="shared" si="223"/>
        <v>57.371878191062784</v>
      </c>
      <c r="O796" s="101">
        <f t="shared" si="224"/>
        <v>1.3694607855289724</v>
      </c>
      <c r="P796" s="101">
        <f t="shared" si="225"/>
        <v>1.3694607855289724</v>
      </c>
      <c r="Q796" s="101">
        <f t="shared" si="226"/>
        <v>0.59867635905469474</v>
      </c>
      <c r="R796" s="101">
        <f t="shared" si="227"/>
        <v>1.595539221792109E-2</v>
      </c>
      <c r="S796" s="101">
        <f t="shared" si="229"/>
        <v>535.02313988673234</v>
      </c>
      <c r="T796" s="101">
        <f t="shared" si="230"/>
        <v>253.13420294547618</v>
      </c>
      <c r="U796" s="101">
        <f t="shared" si="231"/>
        <v>38.863069249109749</v>
      </c>
      <c r="V796" s="33">
        <f t="shared" si="232"/>
        <v>1000.0000000000011</v>
      </c>
      <c r="W796" s="105">
        <f>IF(A796=1,((cPH1_+cPHr+(cNES*L796+(cNES+cOSEX)*G796+(cNES+cEREX)*H796+(cNES+cHOEX)*I796 + (cNES+cNES)*S796 +(cNES+ cOSEX)*N796 + (cNES+cEREX)*O796 + (cNES+cHOEX)*P796)))/(1+cDR)^A$5:A$65536,(cPHr+(cNES*L796+(cNES+cOSEX)*G796+(cNES+cEREX)*H796+(cNES+cHOEX)*I796 + (cNES+cNES)*S796 +(cNES+ cOSEX)*N796 + (cNES+cEREX)*O796 + (cNES+cHOEX)*P796))/(1+cDR)^A$5:A$65536)</f>
        <v>56012.034170405474</v>
      </c>
      <c r="X796" s="112">
        <f t="shared" si="233"/>
        <v>708.00272780541513</v>
      </c>
      <c r="Y796" s="32">
        <f>(uNES*L796+ uOCEX*G796+uEREX*'PH + UC'!H796+uHOEX*I796+uNES*S796+ uOCEX*N796+uEREX*O796+uHOEX*P796)/(1+oDR)^A$5:A$65536</f>
        <v>371.33674521751419</v>
      </c>
    </row>
    <row r="797" spans="1:25" x14ac:dyDescent="0.25">
      <c r="A797" s="4">
        <v>791</v>
      </c>
      <c r="C797" s="110">
        <f>IF(male=0,VLOOKUP(((A795:A1629/'Life tables'!$I$2)*2)+age,lifetable,13,1),IF(male=1,VLOOKUP(((A795:A1629/'Life tables'!$I$2)*2)+age,lifetable,10,1),"error"))</f>
        <v>9.128120834711595E-4</v>
      </c>
      <c r="F797" s="101">
        <f t="shared" si="216"/>
        <v>112.88369091276112</v>
      </c>
      <c r="G797" s="101">
        <f t="shared" si="217"/>
        <v>11.339403004735521</v>
      </c>
      <c r="H797" s="101">
        <f t="shared" si="218"/>
        <v>0.25948830673229034</v>
      </c>
      <c r="I797" s="101">
        <f t="shared" si="219"/>
        <v>0.25948830673229034</v>
      </c>
      <c r="J797" s="101">
        <f t="shared" si="220"/>
        <v>0.11386606929787305</v>
      </c>
      <c r="K797" s="101">
        <f t="shared" si="221"/>
        <v>2.0341060101055353E-2</v>
      </c>
      <c r="L797" s="101">
        <f t="shared" si="228"/>
        <v>100.89110416516209</v>
      </c>
      <c r="M797" s="101">
        <f t="shared" si="222"/>
        <v>595.11903689265398</v>
      </c>
      <c r="N797" s="101">
        <f t="shared" si="223"/>
        <v>57.311252654026489</v>
      </c>
      <c r="O797" s="101">
        <f t="shared" si="224"/>
        <v>1.3680136602440665</v>
      </c>
      <c r="P797" s="101">
        <f t="shared" si="225"/>
        <v>1.3680136602440665</v>
      </c>
      <c r="Q797" s="101">
        <f t="shared" si="226"/>
        <v>0.59804373071964601</v>
      </c>
      <c r="R797" s="101">
        <f t="shared" si="227"/>
        <v>1.5938531967702077E-2</v>
      </c>
      <c r="S797" s="101">
        <f t="shared" si="229"/>
        <v>534.457774655452</v>
      </c>
      <c r="T797" s="101">
        <f t="shared" si="230"/>
        <v>253.84611274549368</v>
      </c>
      <c r="U797" s="101">
        <f t="shared" si="231"/>
        <v>38.899348841178508</v>
      </c>
      <c r="V797" s="33">
        <f t="shared" si="232"/>
        <v>1000.000000000001</v>
      </c>
      <c r="W797" s="105">
        <f>IF(A797=1,((cPH1_+cPHr+(cNES*L797+(cNES+cOSEX)*G797+(cNES+cEREX)*H797+(cNES+cHOEX)*I797 + (cNES+cNES)*S797 +(cNES+ cOSEX)*N797 + (cNES+cEREX)*O797 + (cNES+cHOEX)*P797)))/(1+cDR)^A$5:A$65536,(cPHr+(cNES*L797+(cNES+cOSEX)*G797+(cNES+cEREX)*H797+(cNES+cHOEX)*I797 + (cNES+cNES)*S797 +(cNES+ cOSEX)*N797 + (cNES+cEREX)*O797 + (cNES+cHOEX)*P797))/(1+cDR)^A$5:A$65536)</f>
        <v>55888.544424625827</v>
      </c>
      <c r="X797" s="112">
        <f t="shared" si="233"/>
        <v>707.25453841332887</v>
      </c>
      <c r="Y797" s="32">
        <f>(uNES*L797+ uOCEX*G797+uEREX*'PH + UC'!H797+uHOEX*I797+uNES*S797+ uOCEX*N797+uEREX*O797+uHOEX*P797)/(1+oDR)^A$5:A$65536</f>
        <v>370.83765194592485</v>
      </c>
    </row>
    <row r="798" spans="1:25" x14ac:dyDescent="0.25">
      <c r="A798" s="4">
        <v>792</v>
      </c>
      <c r="C798" s="110">
        <f>IF(male=0,VLOOKUP(((A796:A1630/'Life tables'!$I$2)*2)+age,lifetable,13,1),IF(male=1,VLOOKUP(((A796:A1630/'Life tables'!$I$2)*2)+age,lifetable,10,1),"error"))</f>
        <v>9.128120834711595E-4</v>
      </c>
      <c r="F798" s="101">
        <f t="shared" si="216"/>
        <v>112.76437208629723</v>
      </c>
      <c r="G798" s="101">
        <f t="shared" si="217"/>
        <v>11.327417178896678</v>
      </c>
      <c r="H798" s="101">
        <f t="shared" si="218"/>
        <v>0.25921402583316266</v>
      </c>
      <c r="I798" s="101">
        <f t="shared" si="219"/>
        <v>0.25921402583316266</v>
      </c>
      <c r="J798" s="101">
        <f t="shared" si="220"/>
        <v>0.11374571209079716</v>
      </c>
      <c r="K798" s="101">
        <f t="shared" si="221"/>
        <v>2.0319559462649003E-2</v>
      </c>
      <c r="L798" s="101">
        <f t="shared" si="228"/>
        <v>100.78446158418078</v>
      </c>
      <c r="M798" s="101">
        <f t="shared" si="222"/>
        <v>594.4901663270316</v>
      </c>
      <c r="N798" s="101">
        <f t="shared" si="223"/>
        <v>57.250691056028806</v>
      </c>
      <c r="O798" s="101">
        <f t="shared" si="224"/>
        <v>1.3665680611773843</v>
      </c>
      <c r="P798" s="101">
        <f t="shared" si="225"/>
        <v>1.3665680611773843</v>
      </c>
      <c r="Q798" s="101">
        <f t="shared" si="226"/>
        <v>0.59741176958936815</v>
      </c>
      <c r="R798" s="101">
        <f t="shared" si="227"/>
        <v>1.5921689499233827E-2</v>
      </c>
      <c r="S798" s="101">
        <f t="shared" si="229"/>
        <v>533.89300568955946</v>
      </c>
      <c r="T798" s="101">
        <f t="shared" si="230"/>
        <v>254.55727022717386</v>
      </c>
      <c r="U798" s="101">
        <f t="shared" si="231"/>
        <v>38.935590090140394</v>
      </c>
      <c r="V798" s="33">
        <f t="shared" si="232"/>
        <v>1000.000000000001</v>
      </c>
      <c r="W798" s="105">
        <f>IF(A798=1,((cPH1_+cPHr+(cNES*L798+(cNES+cOSEX)*G798+(cNES+cEREX)*H798+(cNES+cHOEX)*I798 + (cNES+cNES)*S798 +(cNES+ cOSEX)*N798 + (cNES+cEREX)*O798 + (cNES+cHOEX)*P798)))/(1+cDR)^A$5:A$65536,(cPHr+(cNES*L798+(cNES+cOSEX)*G798+(cNES+cEREX)*H798+(cNES+cHOEX)*I798 + (cNES+cNES)*S798 +(cNES+ cOSEX)*N798 + (cNES+cEREX)*O798 + (cNES+cHOEX)*P798))/(1+cDR)^A$5:A$65536)</f>
        <v>55765.326905204267</v>
      </c>
      <c r="X798" s="112">
        <f t="shared" si="233"/>
        <v>706.50713968268678</v>
      </c>
      <c r="Y798" s="32">
        <f>(uNES*L798+ uOCEX*G798+uEREX*'PH + UC'!H798+uHOEX*I798+uNES*S798+ uOCEX*N798+uEREX*O798+uHOEX*P798)/(1+oDR)^A$5:A$65536</f>
        <v>370.33922947999099</v>
      </c>
    </row>
    <row r="799" spans="1:25" x14ac:dyDescent="0.25">
      <c r="A799" s="4">
        <v>793</v>
      </c>
      <c r="C799" s="110">
        <f>IF(male=0,VLOOKUP(((A797:A1631/'Life tables'!$I$2)*2)+age,lifetable,13,1),IF(male=1,VLOOKUP(((A797:A1631/'Life tables'!$I$2)*2)+age,lifetable,10,1),"error"))</f>
        <v>9.128120834711595E-4</v>
      </c>
      <c r="F799" s="101">
        <f t="shared" si="216"/>
        <v>112.64518062055291</v>
      </c>
      <c r="G799" s="101">
        <f t="shared" si="217"/>
        <v>11.315444146708666</v>
      </c>
      <c r="H799" s="101">
        <f t="shared" si="218"/>
        <v>0.25894003770101665</v>
      </c>
      <c r="I799" s="101">
        <f t="shared" si="219"/>
        <v>0.25894003770101665</v>
      </c>
      <c r="J799" s="101">
        <f t="shared" si="220"/>
        <v>0.11362548335280656</v>
      </c>
      <c r="K799" s="101">
        <f t="shared" si="221"/>
        <v>2.0298081773988806E-2</v>
      </c>
      <c r="L799" s="101">
        <f t="shared" si="228"/>
        <v>100.67793283331541</v>
      </c>
      <c r="M799" s="101">
        <f t="shared" si="222"/>
        <v>593.86195906213402</v>
      </c>
      <c r="N799" s="101">
        <f t="shared" si="223"/>
        <v>57.19019333532804</v>
      </c>
      <c r="O799" s="101">
        <f t="shared" si="224"/>
        <v>1.3651239868551583</v>
      </c>
      <c r="P799" s="101">
        <f t="shared" si="225"/>
        <v>1.3651239868551583</v>
      </c>
      <c r="Q799" s="101">
        <f t="shared" si="226"/>
        <v>0.59678047501958575</v>
      </c>
      <c r="R799" s="101">
        <f t="shared" si="227"/>
        <v>1.590486479534569E-2</v>
      </c>
      <c r="S799" s="101">
        <f t="shared" si="229"/>
        <v>533.32883241328068</v>
      </c>
      <c r="T799" s="101">
        <f t="shared" si="230"/>
        <v>255.26767618554626</v>
      </c>
      <c r="U799" s="101">
        <f t="shared" si="231"/>
        <v>38.971793036709727</v>
      </c>
      <c r="V799" s="33">
        <f t="shared" si="232"/>
        <v>1000.0000000000013</v>
      </c>
      <c r="W799" s="105">
        <f>IF(A799=1,((cPH1_+cPHr+(cNES*L799+(cNES+cOSEX)*G799+(cNES+cEREX)*H799+(cNES+cHOEX)*I799 + (cNES+cNES)*S799 +(cNES+ cOSEX)*N799 + (cNES+cEREX)*O799 + (cNES+cHOEX)*P799)))/(1+cDR)^A$5:A$65536,(cPHr+(cNES*L799+(cNES+cOSEX)*G799+(cNES+cEREX)*H799+(cNES+cHOEX)*I799 + (cNES+cNES)*S799 +(cNES+ cOSEX)*N799 + (cNES+cEREX)*O799 + (cNES+cHOEX)*P799))/(1+cDR)^A$5:A$65536)</f>
        <v>55642.381014017905</v>
      </c>
      <c r="X799" s="112">
        <f t="shared" si="233"/>
        <v>705.7605307777452</v>
      </c>
      <c r="Y799" s="32">
        <f>(uNES*L799+ uOCEX*G799+uEREX*'PH + UC'!H799+uHOEX*I799+uNES*S799+ uOCEX*N799+uEREX*O799+uHOEX*P799)/(1+oDR)^A$5:A$65536</f>
        <v>369.84147691803156</v>
      </c>
    </row>
    <row r="800" spans="1:25" x14ac:dyDescent="0.25">
      <c r="A800" s="4">
        <v>794</v>
      </c>
      <c r="C800" s="110">
        <f>IF(male=0,VLOOKUP(((A798:A1632/'Life tables'!$I$2)*2)+age,lifetable,13,1),IF(male=1,VLOOKUP(((A798:A1632/'Life tables'!$I$2)*2)+age,lifetable,10,1),"error"))</f>
        <v>9.128120834711595E-4</v>
      </c>
      <c r="F800" s="101">
        <f t="shared" si="216"/>
        <v>112.52611632299347</v>
      </c>
      <c r="G800" s="101">
        <f t="shared" si="217"/>
        <v>11.303483888830977</v>
      </c>
      <c r="H800" s="101">
        <f t="shared" si="218"/>
        <v>0.25866634189326848</v>
      </c>
      <c r="I800" s="101">
        <f t="shared" si="219"/>
        <v>0.25866634189326848</v>
      </c>
      <c r="J800" s="101">
        <f t="shared" si="220"/>
        <v>0.11350538288969113</v>
      </c>
      <c r="K800" s="101">
        <f t="shared" si="221"/>
        <v>2.0276627000381006E-2</v>
      </c>
      <c r="L800" s="101">
        <f t="shared" si="228"/>
        <v>100.57151774048589</v>
      </c>
      <c r="M800" s="101">
        <f t="shared" si="222"/>
        <v>593.23441445475157</v>
      </c>
      <c r="N800" s="101">
        <f t="shared" si="223"/>
        <v>57.129759429981711</v>
      </c>
      <c r="O800" s="101">
        <f t="shared" si="224"/>
        <v>1.3636814357988281</v>
      </c>
      <c r="P800" s="101">
        <f t="shared" si="225"/>
        <v>1.3636814357988281</v>
      </c>
      <c r="Q800" s="101">
        <f t="shared" si="226"/>
        <v>0.59614984636392776</v>
      </c>
      <c r="R800" s="101">
        <f t="shared" si="227"/>
        <v>1.588805783881116E-2</v>
      </c>
      <c r="S800" s="101">
        <f t="shared" si="229"/>
        <v>532.76525424896943</v>
      </c>
      <c r="T800" s="101">
        <f t="shared" si="230"/>
        <v>255.97733141479989</v>
      </c>
      <c r="U800" s="101">
        <f t="shared" si="231"/>
        <v>39.007957721548919</v>
      </c>
      <c r="V800" s="33">
        <f t="shared" si="232"/>
        <v>1000.000000000001</v>
      </c>
      <c r="W800" s="105">
        <f>IF(A800=1,((cPH1_+cPHr+(cNES*L800+(cNES+cOSEX)*G800+(cNES+cEREX)*H800+(cNES+cHOEX)*I800 + (cNES+cNES)*S800 +(cNES+ cOSEX)*N800 + (cNES+cEREX)*O800 + (cNES+cHOEX)*P800)))/(1+cDR)^A$5:A$65536,(cPHr+(cNES*L800+(cNES+cOSEX)*G800+(cNES+cEREX)*H800+(cNES+cHOEX)*I800 + (cNES+cNES)*S800 +(cNES+ cOSEX)*N800 + (cNES+cEREX)*O800 + (cNES+cHOEX)*P800))/(1+cDR)^A$5:A$65536)</f>
        <v>55519.706154164647</v>
      </c>
      <c r="X800" s="112">
        <f t="shared" si="233"/>
        <v>705.01471086365223</v>
      </c>
      <c r="Y800" s="32">
        <f>(uNES*L800+ uOCEX*G800+uEREX*'PH + UC'!H800+uHOEX*I800+uNES*S800+ uOCEX*N800+uEREX*O800+uHOEX*P800)/(1+oDR)^A$5:A$65536</f>
        <v>369.34439335958064</v>
      </c>
    </row>
    <row r="801" spans="1:25" x14ac:dyDescent="0.25">
      <c r="A801" s="4">
        <v>795</v>
      </c>
      <c r="C801" s="110">
        <f>IF(male=0,VLOOKUP(((A799:A1633/'Life tables'!$I$2)*2)+age,lifetable,13,1),IF(male=1,VLOOKUP(((A799:A1633/'Life tables'!$I$2)*2)+age,lifetable,10,1),"error"))</f>
        <v>9.128120834711595E-4</v>
      </c>
      <c r="F801" s="101">
        <f t="shared" si="216"/>
        <v>112.40717900393291</v>
      </c>
      <c r="G801" s="101">
        <f t="shared" si="217"/>
        <v>11.291536386209248</v>
      </c>
      <c r="H801" s="101">
        <f t="shared" si="218"/>
        <v>0.25839293797388246</v>
      </c>
      <c r="I801" s="101">
        <f t="shared" si="219"/>
        <v>0.25839293797388246</v>
      </c>
      <c r="J801" s="101">
        <f t="shared" si="220"/>
        <v>0.113385410510114</v>
      </c>
      <c r="K801" s="101">
        <f t="shared" si="221"/>
        <v>2.0255195107645153E-2</v>
      </c>
      <c r="L801" s="101">
        <f t="shared" si="228"/>
        <v>100.46521613615813</v>
      </c>
      <c r="M801" s="101">
        <f t="shared" si="222"/>
        <v>592.60753185971942</v>
      </c>
      <c r="N801" s="101">
        <f t="shared" si="223"/>
        <v>57.069389277859052</v>
      </c>
      <c r="O801" s="101">
        <f t="shared" si="224"/>
        <v>1.3622404065253386</v>
      </c>
      <c r="P801" s="101">
        <f t="shared" si="225"/>
        <v>1.3622404065253386</v>
      </c>
      <c r="Q801" s="101">
        <f t="shared" si="226"/>
        <v>0.59551988297405933</v>
      </c>
      <c r="R801" s="101">
        <f t="shared" si="227"/>
        <v>1.5871268612351382E-2</v>
      </c>
      <c r="S801" s="101">
        <f t="shared" si="229"/>
        <v>532.20227061722323</v>
      </c>
      <c r="T801" s="101">
        <f t="shared" si="230"/>
        <v>256.68623670828407</v>
      </c>
      <c r="U801" s="101">
        <f t="shared" si="231"/>
        <v>39.044084185268915</v>
      </c>
      <c r="V801" s="33">
        <f t="shared" si="232"/>
        <v>1000.0000000000011</v>
      </c>
      <c r="W801" s="105">
        <f>IF(A801=1,((cPH1_+cPHr+(cNES*L801+(cNES+cOSEX)*G801+(cNES+cEREX)*H801+(cNES+cHOEX)*I801 + (cNES+cNES)*S801 +(cNES+ cOSEX)*N801 + (cNES+cEREX)*O801 + (cNES+cHOEX)*P801)))/(1+cDR)^A$5:A$65536,(cPHr+(cNES*L801+(cNES+cOSEX)*G801+(cNES+cEREX)*H801+(cNES+cHOEX)*I801 + (cNES+cNES)*S801 +(cNES+ cOSEX)*N801 + (cNES+cEREX)*O801 + (cNES+cHOEX)*P801))/(1+cDR)^A$5:A$65536)</f>
        <v>55397.301729965104</v>
      </c>
      <c r="X801" s="112">
        <f t="shared" si="233"/>
        <v>704.26967910644805</v>
      </c>
      <c r="Y801" s="32">
        <f>(uNES*L801+ uOCEX*G801+uEREX*'PH + UC'!H801+uHOEX*I801+uNES*S801+ uOCEX*N801+uEREX*O801+uHOEX*P801)/(1+oDR)^A$5:A$65536</f>
        <v>368.84797790538749</v>
      </c>
    </row>
    <row r="802" spans="1:25" x14ac:dyDescent="0.25">
      <c r="A802" s="4">
        <v>796</v>
      </c>
      <c r="C802" s="110">
        <f>IF(male=0,VLOOKUP(((A800:A1634/'Life tables'!$I$2)*2)+age,lifetable,13,1),IF(male=1,VLOOKUP(((A800:A1634/'Life tables'!$I$2)*2)+age,lifetable,10,1),"error"))</f>
        <v>9.128120834711595E-4</v>
      </c>
      <c r="F802" s="101">
        <f t="shared" si="216"/>
        <v>112.28836847641016</v>
      </c>
      <c r="G802" s="101">
        <f t="shared" si="217"/>
        <v>11.279601620062854</v>
      </c>
      <c r="H802" s="101">
        <f t="shared" si="218"/>
        <v>0.2581198255130871</v>
      </c>
      <c r="I802" s="101">
        <f t="shared" si="219"/>
        <v>0.2581198255130871</v>
      </c>
      <c r="J802" s="101">
        <f t="shared" si="220"/>
        <v>0.1132655660254871</v>
      </c>
      <c r="K802" s="101">
        <f t="shared" si="221"/>
        <v>2.0233786062091832E-2</v>
      </c>
      <c r="L802" s="101">
        <f t="shared" si="228"/>
        <v>100.35902785323354</v>
      </c>
      <c r="M802" s="101">
        <f t="shared" si="222"/>
        <v>591.98131063003791</v>
      </c>
      <c r="N802" s="101">
        <f t="shared" si="223"/>
        <v>57.009082816652594</v>
      </c>
      <c r="O802" s="101">
        <f t="shared" si="224"/>
        <v>1.3608008975474168</v>
      </c>
      <c r="P802" s="101">
        <f t="shared" si="225"/>
        <v>1.3608008975474168</v>
      </c>
      <c r="Q802" s="101">
        <f t="shared" si="226"/>
        <v>0.59489058419980045</v>
      </c>
      <c r="R802" s="101">
        <f t="shared" si="227"/>
        <v>1.585449709863835E-2</v>
      </c>
      <c r="S802" s="101">
        <f t="shared" si="229"/>
        <v>531.63988093699209</v>
      </c>
      <c r="T802" s="101">
        <f t="shared" si="230"/>
        <v>257.39439285850938</v>
      </c>
      <c r="U802" s="101">
        <f t="shared" si="231"/>
        <v>39.080172468429645</v>
      </c>
      <c r="V802" s="33">
        <f t="shared" si="232"/>
        <v>1000.0000000000011</v>
      </c>
      <c r="W802" s="105">
        <f>IF(A802=1,((cPH1_+cPHr+(cNES*L802+(cNES+cOSEX)*G802+(cNES+cEREX)*H802+(cNES+cHOEX)*I802 + (cNES+cNES)*S802 +(cNES+ cOSEX)*N802 + (cNES+cEREX)*O802 + (cNES+cHOEX)*P802)))/(1+cDR)^A$5:A$65536,(cPHr+(cNES*L802+(cNES+cOSEX)*G802+(cNES+cEREX)*H802+(cNES+cHOEX)*I802 + (cNES+cNES)*S802 +(cNES+ cOSEX)*N802 + (cNES+cEREX)*O802 + (cNES+cHOEX)*P802))/(1+cDR)^A$5:A$65536)</f>
        <v>55275.167146964188</v>
      </c>
      <c r="X802" s="112">
        <f t="shared" si="233"/>
        <v>703.52543467306214</v>
      </c>
      <c r="Y802" s="32">
        <f>(uNES*L802+ uOCEX*G802+uEREX*'PH + UC'!H802+uHOEX*I802+uNES*S802+ uOCEX*N802+uEREX*O802+uHOEX*P802)/(1+oDR)^A$5:A$65536</f>
        <v>368.35222965741269</v>
      </c>
    </row>
    <row r="803" spans="1:25" x14ac:dyDescent="0.25">
      <c r="A803" s="4">
        <v>797</v>
      </c>
      <c r="C803" s="110">
        <f>IF(male=0,VLOOKUP(((A801:A1635/'Life tables'!$I$2)*2)+age,lifetable,13,1),IF(male=1,VLOOKUP(((A801:A1635/'Life tables'!$I$2)*2)+age,lifetable,10,1),"error"))</f>
        <v>9.128120834711595E-4</v>
      </c>
      <c r="F803" s="101">
        <f t="shared" si="216"/>
        <v>112.16968455607099</v>
      </c>
      <c r="G803" s="101">
        <f t="shared" si="217"/>
        <v>11.267679571873025</v>
      </c>
      <c r="H803" s="101">
        <f t="shared" si="218"/>
        <v>0.25784700408710309</v>
      </c>
      <c r="I803" s="101">
        <f t="shared" si="219"/>
        <v>0.25784700408710309</v>
      </c>
      <c r="J803" s="101">
        <f t="shared" si="220"/>
        <v>0.11314584924985184</v>
      </c>
      <c r="K803" s="101">
        <f t="shared" si="221"/>
        <v>2.0212399830501358E-2</v>
      </c>
      <c r="L803" s="101">
        <f t="shared" si="228"/>
        <v>100.25295272694341</v>
      </c>
      <c r="M803" s="101">
        <f t="shared" si="222"/>
        <v>591.35575011699098</v>
      </c>
      <c r="N803" s="101">
        <f t="shared" si="223"/>
        <v>56.94883998388957</v>
      </c>
      <c r="O803" s="101">
        <f t="shared" si="224"/>
        <v>1.3593629073738445</v>
      </c>
      <c r="P803" s="101">
        <f t="shared" si="225"/>
        <v>1.3593629073738445</v>
      </c>
      <c r="Q803" s="101">
        <f t="shared" si="226"/>
        <v>0.59426194938924748</v>
      </c>
      <c r="R803" s="101">
        <f t="shared" si="227"/>
        <v>1.5837743280298088E-2</v>
      </c>
      <c r="S803" s="101">
        <f t="shared" si="229"/>
        <v>531.07808462568414</v>
      </c>
      <c r="T803" s="101">
        <f t="shared" si="230"/>
        <v>258.10180065714849</v>
      </c>
      <c r="U803" s="101">
        <f t="shared" si="231"/>
        <v>39.116222611540444</v>
      </c>
      <c r="V803" s="33">
        <f t="shared" si="232"/>
        <v>1000.000000000001</v>
      </c>
      <c r="W803" s="105">
        <f>IF(A803=1,((cPH1_+cPHr+(cNES*L803+(cNES+cOSEX)*G803+(cNES+cEREX)*H803+(cNES+cHOEX)*I803 + (cNES+cNES)*S803 +(cNES+ cOSEX)*N803 + (cNES+cEREX)*O803 + (cNES+cHOEX)*P803)))/(1+cDR)^A$5:A$65536,(cPHr+(cNES*L803+(cNES+cOSEX)*G803+(cNES+cEREX)*H803+(cNES+cHOEX)*I803 + (cNES+cNES)*S803 +(cNES+ cOSEX)*N803 + (cNES+cEREX)*O803 + (cNES+cHOEX)*P803))/(1+cDR)^A$5:A$65536)</f>
        <v>55153.301811932542</v>
      </c>
      <c r="X803" s="112">
        <f t="shared" si="233"/>
        <v>702.78197673131206</v>
      </c>
      <c r="Y803" s="32">
        <f>(uNES*L803+ uOCEX*G803+uEREX*'PH + UC'!H803+uHOEX*I803+uNES*S803+ uOCEX*N803+uEREX*O803+uHOEX*P803)/(1+oDR)^A$5:A$65536</f>
        <v>367.85714771882783</v>
      </c>
    </row>
    <row r="804" spans="1:25" x14ac:dyDescent="0.25">
      <c r="A804" s="4">
        <v>798</v>
      </c>
      <c r="C804" s="110">
        <f>IF(male=0,VLOOKUP(((A802:A1636/'Life tables'!$I$2)*2)+age,lifetable,13,1),IF(male=1,VLOOKUP(((A802:A1636/'Life tables'!$I$2)*2)+age,lifetable,10,1),"error"))</f>
        <v>9.128120834711595E-4</v>
      </c>
      <c r="F804" s="101">
        <f t="shared" si="216"/>
        <v>112.05112706105524</v>
      </c>
      <c r="G804" s="101">
        <f t="shared" si="217"/>
        <v>11.255770223371526</v>
      </c>
      <c r="H804" s="101">
        <f t="shared" si="218"/>
        <v>0.2575744732778843</v>
      </c>
      <c r="I804" s="101">
        <f t="shared" si="219"/>
        <v>0.2575744732778843</v>
      </c>
      <c r="J804" s="101">
        <f t="shared" si="220"/>
        <v>0.11302625999976541</v>
      </c>
      <c r="K804" s="101">
        <f t="shared" si="221"/>
        <v>2.0191036380103465E-2</v>
      </c>
      <c r="L804" s="101">
        <f t="shared" si="228"/>
        <v>100.14699059474808</v>
      </c>
      <c r="M804" s="101">
        <f t="shared" si="222"/>
        <v>590.7308496702567</v>
      </c>
      <c r="N804" s="101">
        <f t="shared" si="223"/>
        <v>56.888660716942574</v>
      </c>
      <c r="O804" s="101">
        <f t="shared" si="224"/>
        <v>1.3579264345097117</v>
      </c>
      <c r="P804" s="101">
        <f t="shared" si="225"/>
        <v>1.3579264345097117</v>
      </c>
      <c r="Q804" s="101">
        <f t="shared" si="226"/>
        <v>0.59363397788888228</v>
      </c>
      <c r="R804" s="101">
        <f t="shared" si="227"/>
        <v>1.582100713991362E-2</v>
      </c>
      <c r="S804" s="101">
        <f t="shared" si="229"/>
        <v>530.5168810992659</v>
      </c>
      <c r="T804" s="101">
        <f t="shared" si="230"/>
        <v>258.80846089503711</v>
      </c>
      <c r="U804" s="101">
        <f t="shared" si="231"/>
        <v>39.152234655060461</v>
      </c>
      <c r="V804" s="33">
        <f t="shared" si="232"/>
        <v>1000.0000000000009</v>
      </c>
      <c r="W804" s="105">
        <f>IF(A804=1,((cPH1_+cPHr+(cNES*L804+(cNES+cOSEX)*G804+(cNES+cEREX)*H804+(cNES+cHOEX)*I804 + (cNES+cNES)*S804 +(cNES+ cOSEX)*N804 + (cNES+cEREX)*O804 + (cNES+cHOEX)*P804)))/(1+cDR)^A$5:A$65536,(cPHr+(cNES*L804+(cNES+cOSEX)*G804+(cNES+cEREX)*H804+(cNES+cHOEX)*I804 + (cNES+cNES)*S804 +(cNES+ cOSEX)*N804 + (cNES+cEREX)*O804 + (cNES+cHOEX)*P804))/(1+cDR)^A$5:A$65536)</f>
        <v>55031.70513286793</v>
      </c>
      <c r="X804" s="112">
        <f t="shared" si="233"/>
        <v>702.03930444990328</v>
      </c>
      <c r="Y804" s="32">
        <f>(uNES*L804+ uOCEX*G804+uEREX*'PH + UC'!H804+uHOEX*I804+uNES*S804+ uOCEX*N804+uEREX*O804+uHOEX*P804)/(1+oDR)^A$5:A$65536</f>
        <v>367.36273119401346</v>
      </c>
    </row>
    <row r="805" spans="1:25" x14ac:dyDescent="0.25">
      <c r="A805" s="4">
        <v>799</v>
      </c>
      <c r="C805" s="110">
        <f>IF(male=0,VLOOKUP(((A803:A1637/'Life tables'!$I$2)*2)+age,lifetable,13,1),IF(male=1,VLOOKUP(((A803:A1637/'Life tables'!$I$2)*2)+age,lifetable,10,1),"error"))</f>
        <v>9.128120834711595E-4</v>
      </c>
      <c r="F805" s="101">
        <f t="shared" si="216"/>
        <v>111.93269581188926</v>
      </c>
      <c r="G805" s="101">
        <f t="shared" si="217"/>
        <v>11.243873556529854</v>
      </c>
      <c r="H805" s="101">
        <f t="shared" si="218"/>
        <v>0.25730223267287056</v>
      </c>
      <c r="I805" s="101">
        <f t="shared" si="219"/>
        <v>0.25730223267287056</v>
      </c>
      <c r="J805" s="101">
        <f t="shared" si="220"/>
        <v>0.11290679809419227</v>
      </c>
      <c r="K805" s="101">
        <f t="shared" si="221"/>
        <v>2.0169695678557923E-2</v>
      </c>
      <c r="L805" s="101">
        <f t="shared" si="228"/>
        <v>100.04114129624091</v>
      </c>
      <c r="M805" s="101">
        <f t="shared" si="222"/>
        <v>590.10660863801411</v>
      </c>
      <c r="N805" s="101">
        <f t="shared" si="223"/>
        <v>56.828544953039838</v>
      </c>
      <c r="O805" s="101">
        <f t="shared" si="224"/>
        <v>1.356491477456663</v>
      </c>
      <c r="P805" s="101">
        <f t="shared" si="225"/>
        <v>1.356491477456663</v>
      </c>
      <c r="Q805" s="101">
        <f t="shared" si="226"/>
        <v>0.5930066690436806</v>
      </c>
      <c r="R805" s="101">
        <f t="shared" si="227"/>
        <v>1.5804288660027817E-2</v>
      </c>
      <c r="S805" s="101">
        <f t="shared" si="229"/>
        <v>529.95626977235725</v>
      </c>
      <c r="T805" s="101">
        <f t="shared" si="230"/>
        <v>259.51437436217498</v>
      </c>
      <c r="U805" s="101">
        <f t="shared" si="231"/>
        <v>39.188208639399043</v>
      </c>
      <c r="V805" s="33">
        <f t="shared" si="232"/>
        <v>1000.0000000000009</v>
      </c>
      <c r="W805" s="105">
        <f>IF(A805=1,((cPH1_+cPHr+(cNES*L805+(cNES+cOSEX)*G805+(cNES+cEREX)*H805+(cNES+cHOEX)*I805 + (cNES+cNES)*S805 +(cNES+ cOSEX)*N805 + (cNES+cEREX)*O805 + (cNES+cHOEX)*P805)))/(1+cDR)^A$5:A$65536,(cPHr+(cNES*L805+(cNES+cOSEX)*G805+(cNES+cEREX)*H805+(cNES+cHOEX)*I805 + (cNES+cNES)*S805 +(cNES+ cOSEX)*N805 + (cNES+cEREX)*O805 + (cNES+cHOEX)*P805))/(1+cDR)^A$5:A$65536)</f>
        <v>54910.3765189962</v>
      </c>
      <c r="X805" s="112">
        <f t="shared" si="233"/>
        <v>701.29741699842691</v>
      </c>
      <c r="Y805" s="32">
        <f>(uNES*L805+ uOCEX*G805+uEREX*'PH + UC'!H805+uHOEX*I805+uNES*S805+ uOCEX*N805+uEREX*O805+uHOEX*P805)/(1+oDR)^A$5:A$65536</f>
        <v>366.86897918855675</v>
      </c>
    </row>
    <row r="806" spans="1:25" x14ac:dyDescent="0.25">
      <c r="A806" s="4">
        <v>800</v>
      </c>
      <c r="C806" s="110">
        <f>IF(male=0,VLOOKUP(((A804:A1638/'Life tables'!$I$2)*2)+age,lifetable,13,1),IF(male=1,VLOOKUP(((A804:A1638/'Life tables'!$I$2)*2)+age,lifetable,10,1),"error"))</f>
        <v>9.128120834711595E-4</v>
      </c>
      <c r="F806" s="101">
        <f t="shared" si="216"/>
        <v>111.81439063138315</v>
      </c>
      <c r="G806" s="101">
        <f t="shared" si="217"/>
        <v>11.231989553548914</v>
      </c>
      <c r="H806" s="101">
        <f t="shared" si="218"/>
        <v>0.25703028186475152</v>
      </c>
      <c r="I806" s="101">
        <f t="shared" si="219"/>
        <v>0.25703028186475152</v>
      </c>
      <c r="J806" s="101">
        <f t="shared" si="220"/>
        <v>0.11278746335440051</v>
      </c>
      <c r="K806" s="101">
        <f t="shared" si="221"/>
        <v>2.0148377693936029E-2</v>
      </c>
      <c r="L806" s="101">
        <f t="shared" si="228"/>
        <v>99.935404673056397</v>
      </c>
      <c r="M806" s="101">
        <f t="shared" si="222"/>
        <v>589.48302636704364</v>
      </c>
      <c r="N806" s="101">
        <f t="shared" si="223"/>
        <v>56.768492629274888</v>
      </c>
      <c r="O806" s="101">
        <f t="shared" si="224"/>
        <v>1.3550580347131274</v>
      </c>
      <c r="P806" s="101">
        <f t="shared" si="225"/>
        <v>1.3550580347131274</v>
      </c>
      <c r="Q806" s="101">
        <f t="shared" si="226"/>
        <v>0.59238002219721275</v>
      </c>
      <c r="R806" s="101">
        <f t="shared" si="227"/>
        <v>1.5787587823146085E-2</v>
      </c>
      <c r="S806" s="101">
        <f t="shared" si="229"/>
        <v>529.39625005832215</v>
      </c>
      <c r="T806" s="101">
        <f t="shared" si="230"/>
        <v>260.21954184772659</v>
      </c>
      <c r="U806" s="101">
        <f t="shared" si="231"/>
        <v>39.224144604916127</v>
      </c>
      <c r="V806" s="33">
        <f t="shared" si="232"/>
        <v>1000.0000000000007</v>
      </c>
      <c r="W806" s="105">
        <f>IF(A806=1,((cPH1_+cPHr+(cNES*L806+(cNES+cOSEX)*G806+(cNES+cEREX)*H806+(cNES+cHOEX)*I806 + (cNES+cNES)*S806 +(cNES+ cOSEX)*N806 + (cNES+cEREX)*O806 + (cNES+cHOEX)*P806)))/(1+cDR)^A$5:A$65536,(cPHr+(cNES*L806+(cNES+cOSEX)*G806+(cNES+cEREX)*H806+(cNES+cHOEX)*I806 + (cNES+cNES)*S806 +(cNES+ cOSEX)*N806 + (cNES+cEREX)*O806 + (cNES+cHOEX)*P806))/(1+cDR)^A$5:A$65536)</f>
        <v>54789.315380772285</v>
      </c>
      <c r="X806" s="112">
        <f t="shared" si="233"/>
        <v>700.55631354735806</v>
      </c>
      <c r="Y806" s="32">
        <f>(uNES*L806+ uOCEX*G806+uEREX*'PH + UC'!H806+uHOEX*I806+uNES*S806+ uOCEX*N806+uEREX*O806+uHOEX*P806)/(1+oDR)^A$5:A$65536</f>
        <v>366.37589080925005</v>
      </c>
    </row>
    <row r="807" spans="1:25" x14ac:dyDescent="0.25">
      <c r="A807" s="4">
        <v>801</v>
      </c>
      <c r="C807" s="110">
        <f>IF(male=0,VLOOKUP(((A805:A1639/'Life tables'!$I$2)*2)+age,lifetable,13,1),IF(male=1,VLOOKUP(((A805:A1639/'Life tables'!$I$2)*2)+age,lifetable,10,1),"error"))</f>
        <v>9.128120834711595E-4</v>
      </c>
      <c r="F807" s="101">
        <f t="shared" si="216"/>
        <v>111.69621134453278</v>
      </c>
      <c r="G807" s="101">
        <f t="shared" si="217"/>
        <v>11.220118196849175</v>
      </c>
      <c r="H807" s="101">
        <f t="shared" si="218"/>
        <v>0.25675862045124109</v>
      </c>
      <c r="I807" s="101">
        <f t="shared" si="219"/>
        <v>0.25675862045124109</v>
      </c>
      <c r="J807" s="101">
        <f t="shared" si="220"/>
        <v>0.11266825560386307</v>
      </c>
      <c r="K807" s="101">
        <f t="shared" si="221"/>
        <v>2.0127082394702935E-2</v>
      </c>
      <c r="L807" s="101">
        <f t="shared" si="228"/>
        <v>99.829780568782567</v>
      </c>
      <c r="M807" s="101">
        <f t="shared" si="222"/>
        <v>588.86010220282526</v>
      </c>
      <c r="N807" s="101">
        <f t="shared" si="223"/>
        <v>56.70850368261604</v>
      </c>
      <c r="O807" s="101">
        <f t="shared" si="224"/>
        <v>1.353626104774545</v>
      </c>
      <c r="P807" s="101">
        <f t="shared" si="225"/>
        <v>1.353626104774545</v>
      </c>
      <c r="Q807" s="101">
        <f t="shared" si="226"/>
        <v>0.59175403669174198</v>
      </c>
      <c r="R807" s="101">
        <f t="shared" si="227"/>
        <v>1.5770904611739023E-2</v>
      </c>
      <c r="S807" s="101">
        <f t="shared" si="229"/>
        <v>528.83682136935658</v>
      </c>
      <c r="T807" s="101">
        <f t="shared" si="230"/>
        <v>260.92396414002218</v>
      </c>
      <c r="U807" s="101">
        <f t="shared" si="231"/>
        <v>39.26004259192257</v>
      </c>
      <c r="V807" s="33">
        <f t="shared" si="232"/>
        <v>1000.0000000000008</v>
      </c>
      <c r="W807" s="105">
        <f>IF(A807=1,((cPH1_+cPHr+(cNES*L807+(cNES+cOSEX)*G807+(cNES+cEREX)*H807+(cNES+cHOEX)*I807 + (cNES+cNES)*S807 +(cNES+ cOSEX)*N807 + (cNES+cEREX)*O807 + (cNES+cHOEX)*P807)))/(1+cDR)^A$5:A$65536,(cPHr+(cNES*L807+(cNES+cOSEX)*G807+(cNES+cEREX)*H807+(cNES+cHOEX)*I807 + (cNES+cNES)*S807 +(cNES+ cOSEX)*N807 + (cNES+cEREX)*O807 + (cNES+cHOEX)*P807))/(1+cDR)^A$5:A$65536)</f>
        <v>54668.521129880814</v>
      </c>
      <c r="X807" s="112">
        <f t="shared" si="233"/>
        <v>699.81599326805599</v>
      </c>
      <c r="Y807" s="32">
        <f>(uNES*L807+ uOCEX*G807+uEREX*'PH + UC'!H807+uHOEX*I807+uNES*S807+ uOCEX*N807+uEREX*O807+uHOEX*P807)/(1+oDR)^A$5:A$65536</f>
        <v>365.88346516408939</v>
      </c>
    </row>
    <row r="808" spans="1:25" x14ac:dyDescent="0.25">
      <c r="A808" s="4">
        <v>802</v>
      </c>
      <c r="C808" s="110">
        <f>IF(male=0,VLOOKUP(((A806:A1640/'Life tables'!$I$2)*2)+age,lifetable,13,1),IF(male=1,VLOOKUP(((A806:A1640/'Life tables'!$I$2)*2)+age,lifetable,10,1),"error"))</f>
        <v>9.128120834711595E-4</v>
      </c>
      <c r="F808" s="101">
        <f t="shared" si="216"/>
        <v>111.57815777842626</v>
      </c>
      <c r="G808" s="101">
        <f t="shared" si="217"/>
        <v>11.208259469061273</v>
      </c>
      <c r="H808" s="101">
        <f t="shared" si="218"/>
        <v>0.25648724803486289</v>
      </c>
      <c r="I808" s="101">
        <f t="shared" si="219"/>
        <v>0.25648724803486289</v>
      </c>
      <c r="J808" s="101">
        <f t="shared" si="220"/>
        <v>0.11254917466816319</v>
      </c>
      <c r="K808" s="101">
        <f t="shared" si="221"/>
        <v>2.0105809749700811E-2</v>
      </c>
      <c r="L808" s="101">
        <f t="shared" si="228"/>
        <v>99.724268828877399</v>
      </c>
      <c r="M808" s="101">
        <f t="shared" si="222"/>
        <v>588.23783548962967</v>
      </c>
      <c r="N808" s="101">
        <f t="shared" si="223"/>
        <v>56.648578049915145</v>
      </c>
      <c r="O808" s="101">
        <f t="shared" si="224"/>
        <v>1.3521956861335762</v>
      </c>
      <c r="P808" s="101">
        <f t="shared" si="225"/>
        <v>1.3521956861335762</v>
      </c>
      <c r="Q808" s="101">
        <f t="shared" si="226"/>
        <v>0.59112871186831628</v>
      </c>
      <c r="R808" s="101">
        <f t="shared" si="227"/>
        <v>1.5754239008244821E-2</v>
      </c>
      <c r="S808" s="101">
        <f t="shared" si="229"/>
        <v>528.27798311657079</v>
      </c>
      <c r="T808" s="101">
        <f t="shared" si="230"/>
        <v>261.62764202655865</v>
      </c>
      <c r="U808" s="101">
        <f t="shared" si="231"/>
        <v>39.295902640680517</v>
      </c>
      <c r="V808" s="33">
        <f t="shared" si="232"/>
        <v>1000.0000000000007</v>
      </c>
      <c r="W808" s="105">
        <f>IF(A808=1,((cPH1_+cPHr+(cNES*L808+(cNES+cOSEX)*G808+(cNES+cEREX)*H808+(cNES+cHOEX)*I808 + (cNES+cNES)*S808 +(cNES+ cOSEX)*N808 + (cNES+cEREX)*O808 + (cNES+cHOEX)*P808)))/(1+cDR)^A$5:A$65536,(cPHr+(cNES*L808+(cNES+cOSEX)*G808+(cNES+cEREX)*H808+(cNES+cHOEX)*I808 + (cNES+cNES)*S808 +(cNES+ cOSEX)*N808 + (cNES+cEREX)*O808 + (cNES+cHOEX)*P808))/(1+cDR)^A$5:A$65536)</f>
        <v>54547.993179236822</v>
      </c>
      <c r="X808" s="112">
        <f t="shared" si="233"/>
        <v>699.0764553327615</v>
      </c>
      <c r="Y808" s="32">
        <f>(uNES*L808+ uOCEX*G808+uEREX*'PH + UC'!H808+uHOEX*I808+uNES*S808+ uOCEX*N808+uEREX*O808+uHOEX*P808)/(1+oDR)^A$5:A$65536</f>
        <v>365.39170136227233</v>
      </c>
    </row>
    <row r="809" spans="1:25" x14ac:dyDescent="0.25">
      <c r="A809" s="4">
        <v>803</v>
      </c>
      <c r="C809" s="110">
        <f>IF(male=0,VLOOKUP(((A807:A1641/'Life tables'!$I$2)*2)+age,lifetable,13,1),IF(male=1,VLOOKUP(((A807:A1641/'Life tables'!$I$2)*2)+age,lifetable,10,1),"error"))</f>
        <v>9.128120834711595E-4</v>
      </c>
      <c r="F809" s="101">
        <f t="shared" si="216"/>
        <v>111.46022976215464</v>
      </c>
      <c r="G809" s="101">
        <f t="shared" si="217"/>
        <v>11.196413353017048</v>
      </c>
      <c r="H809" s="101">
        <f t="shared" si="218"/>
        <v>0.25621616422274451</v>
      </c>
      <c r="I809" s="101">
        <f t="shared" si="219"/>
        <v>0.25621616422274451</v>
      </c>
      <c r="J809" s="101">
        <f t="shared" si="220"/>
        <v>0.11243022037490463</v>
      </c>
      <c r="K809" s="101">
        <f t="shared" si="221"/>
        <v>2.0084559728132743E-2</v>
      </c>
      <c r="L809" s="101">
        <f t="shared" si="228"/>
        <v>99.618869300589068</v>
      </c>
      <c r="M809" s="101">
        <f t="shared" si="222"/>
        <v>587.61622557060673</v>
      </c>
      <c r="N809" s="101">
        <f t="shared" si="223"/>
        <v>56.588715667916098</v>
      </c>
      <c r="O809" s="101">
        <f t="shared" si="224"/>
        <v>1.3507667772803043</v>
      </c>
      <c r="P809" s="101">
        <f t="shared" si="225"/>
        <v>1.3507667772803043</v>
      </c>
      <c r="Q809" s="101">
        <f t="shared" si="226"/>
        <v>0.59050404706685755</v>
      </c>
      <c r="R809" s="101">
        <f t="shared" si="227"/>
        <v>1.573759099507166E-2</v>
      </c>
      <c r="S809" s="101">
        <f t="shared" si="229"/>
        <v>527.71973471006811</v>
      </c>
      <c r="T809" s="101">
        <f t="shared" si="230"/>
        <v>262.33057629400042</v>
      </c>
      <c r="U809" s="101">
        <f t="shared" si="231"/>
        <v>39.331724791403722</v>
      </c>
      <c r="V809" s="33">
        <f t="shared" si="232"/>
        <v>1000.0000000000007</v>
      </c>
      <c r="W809" s="105">
        <f>IF(A809=1,((cPH1_+cPHr+(cNES*L809+(cNES+cOSEX)*G809+(cNES+cEREX)*H809+(cNES+cHOEX)*I809 + (cNES+cNES)*S809 +(cNES+ cOSEX)*N809 + (cNES+cEREX)*O809 + (cNES+cHOEX)*P809)))/(1+cDR)^A$5:A$65536,(cPHr+(cNES*L809+(cNES+cOSEX)*G809+(cNES+cEREX)*H809+(cNES+cHOEX)*I809 + (cNES+cNES)*S809 +(cNES+ cOSEX)*N809 + (cNES+cEREX)*O809 + (cNES+cHOEX)*P809))/(1+cDR)^A$5:A$65536)</f>
        <v>54427.730942985967</v>
      </c>
      <c r="X809" s="112">
        <f t="shared" si="233"/>
        <v>698.33769891459644</v>
      </c>
      <c r="Y809" s="32">
        <f>(uNES*L809+ uOCEX*G809+uEREX*'PH + UC'!H809+uHOEX*I809+uNES*S809+ uOCEX*N809+uEREX*O809+uHOEX*P809)/(1+oDR)^A$5:A$65536</f>
        <v>364.90059851419642</v>
      </c>
    </row>
    <row r="810" spans="1:25" x14ac:dyDescent="0.25">
      <c r="A810" s="4">
        <v>804</v>
      </c>
      <c r="C810" s="110">
        <f>IF(male=0,VLOOKUP(((A808:A1642/'Life tables'!$I$2)*2)+age,lifetable,13,1),IF(male=1,VLOOKUP(((A808:A1642/'Life tables'!$I$2)*2)+age,lifetable,10,1),"error"))</f>
        <v>9.128120834711595E-4</v>
      </c>
      <c r="F810" s="101">
        <f t="shared" si="216"/>
        <v>111.34242712672672</v>
      </c>
      <c r="G810" s="101">
        <f t="shared" si="217"/>
        <v>11.184579831740981</v>
      </c>
      <c r="H810" s="101">
        <f t="shared" si="218"/>
        <v>0.25594536862642214</v>
      </c>
      <c r="I810" s="101">
        <f t="shared" si="219"/>
        <v>0.25594536862642214</v>
      </c>
      <c r="J810" s="101">
        <f t="shared" si="220"/>
        <v>0.11231139255362552</v>
      </c>
      <c r="K810" s="101">
        <f t="shared" si="221"/>
        <v>2.0063332299547387E-2</v>
      </c>
      <c r="L810" s="101">
        <f t="shared" si="228"/>
        <v>99.513581832879723</v>
      </c>
      <c r="M810" s="101">
        <f t="shared" si="222"/>
        <v>586.99527178786968</v>
      </c>
      <c r="N810" s="101">
        <f t="shared" si="223"/>
        <v>56.528916473262981</v>
      </c>
      <c r="O810" s="101">
        <f t="shared" si="224"/>
        <v>1.34933937670243</v>
      </c>
      <c r="P810" s="101">
        <f t="shared" si="225"/>
        <v>1.34933937670243</v>
      </c>
      <c r="Q810" s="101">
        <f t="shared" si="226"/>
        <v>0.58988004162624608</v>
      </c>
      <c r="R810" s="101">
        <f t="shared" si="227"/>
        <v>1.5720960554599955E-2</v>
      </c>
      <c r="S810" s="101">
        <f t="shared" si="229"/>
        <v>527.16207555902099</v>
      </c>
      <c r="T810" s="101">
        <f t="shared" si="230"/>
        <v>263.03276772818032</v>
      </c>
      <c r="U810" s="101">
        <f t="shared" si="231"/>
        <v>39.367509084257868</v>
      </c>
      <c r="V810" s="33">
        <f t="shared" si="232"/>
        <v>1000.0000000000006</v>
      </c>
      <c r="W810" s="105">
        <f>IF(A810=1,((cPH1_+cPHr+(cNES*L810+(cNES+cOSEX)*G810+(cNES+cEREX)*H810+(cNES+cHOEX)*I810 + (cNES+cNES)*S810 +(cNES+ cOSEX)*N810 + (cNES+cEREX)*O810 + (cNES+cHOEX)*P810)))/(1+cDR)^A$5:A$65536,(cPHr+(cNES*L810+(cNES+cOSEX)*G810+(cNES+cEREX)*H810+(cNES+cHOEX)*I810 + (cNES+cNES)*S810 +(cNES+ cOSEX)*N810 + (cNES+cEREX)*O810 + (cNES+cHOEX)*P810))/(1+cDR)^A$5:A$65536)</f>
        <v>54307.733836505082</v>
      </c>
      <c r="X810" s="112">
        <f t="shared" si="233"/>
        <v>697.5997231875624</v>
      </c>
      <c r="Y810" s="32">
        <f>(uNES*L810+ uOCEX*G810+uEREX*'PH + UC'!H810+uHOEX*I810+uNES*S810+ uOCEX*N810+uEREX*O810+uHOEX*P810)/(1+oDR)^A$5:A$65536</f>
        <v>364.41015573145745</v>
      </c>
    </row>
    <row r="811" spans="1:25" x14ac:dyDescent="0.25">
      <c r="A811" s="4">
        <v>805</v>
      </c>
      <c r="C811" s="110">
        <f>IF(male=0,VLOOKUP(((A809:A1643/'Life tables'!$I$2)*2)+age,lifetable,13,1),IF(male=1,VLOOKUP(((A809:A1643/'Life tables'!$I$2)*2)+age,lifetable,10,1),"error"))</f>
        <v>9.128120834711595E-4</v>
      </c>
      <c r="F811" s="101">
        <f t="shared" si="216"/>
        <v>111.22474970498769</v>
      </c>
      <c r="G811" s="101">
        <f t="shared" si="217"/>
        <v>11.172758888442022</v>
      </c>
      <c r="H811" s="101">
        <f t="shared" si="218"/>
        <v>0.25567486086165314</v>
      </c>
      <c r="I811" s="101">
        <f t="shared" si="219"/>
        <v>0.25567486086165314</v>
      </c>
      <c r="J811" s="101">
        <f t="shared" si="220"/>
        <v>0.11219269103571639</v>
      </c>
      <c r="K811" s="101">
        <f t="shared" si="221"/>
        <v>2.0042127433824306E-2</v>
      </c>
      <c r="L811" s="101">
        <f t="shared" si="228"/>
        <v>99.408406276352821</v>
      </c>
      <c r="M811" s="101">
        <f t="shared" si="222"/>
        <v>586.37497348257466</v>
      </c>
      <c r="N811" s="101">
        <f t="shared" si="223"/>
        <v>56.46918040250771</v>
      </c>
      <c r="O811" s="101">
        <f t="shared" si="224"/>
        <v>1.3479134828854542</v>
      </c>
      <c r="P811" s="101">
        <f t="shared" si="225"/>
        <v>1.3479134828854542</v>
      </c>
      <c r="Q811" s="101">
        <f t="shared" si="226"/>
        <v>0.58925669488439991</v>
      </c>
      <c r="R811" s="101">
        <f t="shared" si="227"/>
        <v>1.5704347669184496E-2</v>
      </c>
      <c r="S811" s="101">
        <f t="shared" si="229"/>
        <v>526.60500507174243</v>
      </c>
      <c r="T811" s="101">
        <f t="shared" si="230"/>
        <v>263.73421711410043</v>
      </c>
      <c r="U811" s="101">
        <f t="shared" si="231"/>
        <v>39.403255559360879</v>
      </c>
      <c r="V811" s="33">
        <f t="shared" si="232"/>
        <v>1000.0000000000006</v>
      </c>
      <c r="W811" s="105">
        <f>IF(A811=1,((cPH1_+cPHr+(cNES*L811+(cNES+cOSEX)*G811+(cNES+cEREX)*H811+(cNES+cHOEX)*I811 + (cNES+cNES)*S811 +(cNES+ cOSEX)*N811 + (cNES+cEREX)*O811 + (cNES+cHOEX)*P811)))/(1+cDR)^A$5:A$65536,(cPHr+(cNES*L811+(cNES+cOSEX)*G811+(cNES+cEREX)*H811+(cNES+cHOEX)*I811 + (cNES+cNES)*S811 +(cNES+ cOSEX)*N811 + (cNES+cEREX)*O811 + (cNES+cHOEX)*P811))/(1+cDR)^A$5:A$65536)</f>
        <v>54188.001276401927</v>
      </c>
      <c r="X811" s="112">
        <f t="shared" si="233"/>
        <v>696.86252732653918</v>
      </c>
      <c r="Y811" s="32">
        <f>(uNES*L811+ uOCEX*G811+uEREX*'PH + UC'!H811+uHOEX*I811+uNES*S811+ uOCEX*N811+uEREX*O811+uHOEX*P811)/(1+oDR)^A$5:A$65536</f>
        <v>363.9203721268475</v>
      </c>
    </row>
    <row r="812" spans="1:25" x14ac:dyDescent="0.25">
      <c r="A812" s="4">
        <v>806</v>
      </c>
      <c r="C812" s="110">
        <f>IF(male=0,VLOOKUP(((A810:A1644/'Life tables'!$I$2)*2)+age,lifetable,13,1),IF(male=1,VLOOKUP(((A810:A1644/'Life tables'!$I$2)*2)+age,lifetable,10,1),"error"))</f>
        <v>9.128120834711595E-4</v>
      </c>
      <c r="F812" s="101">
        <f t="shared" si="216"/>
        <v>111.1071973315415</v>
      </c>
      <c r="G812" s="101">
        <f t="shared" si="217"/>
        <v>11.160950506505788</v>
      </c>
      <c r="H812" s="101">
        <f t="shared" si="218"/>
        <v>0.25540464054823797</v>
      </c>
      <c r="I812" s="101">
        <f t="shared" si="219"/>
        <v>0.25540464054823797</v>
      </c>
      <c r="J812" s="101">
        <f t="shared" si="220"/>
        <v>0.11207411565434178</v>
      </c>
      <c r="K812" s="101">
        <f t="shared" si="221"/>
        <v>2.0020945101159985E-2</v>
      </c>
      <c r="L812" s="101">
        <f t="shared" si="228"/>
        <v>99.303342483183727</v>
      </c>
      <c r="M812" s="101">
        <f t="shared" si="222"/>
        <v>585.75532999499774</v>
      </c>
      <c r="N812" s="101">
        <f t="shared" si="223"/>
        <v>56.40950739211744</v>
      </c>
      <c r="O812" s="101">
        <f t="shared" si="224"/>
        <v>1.3464890943128542</v>
      </c>
      <c r="P812" s="101">
        <f t="shared" si="225"/>
        <v>1.3464890943128542</v>
      </c>
      <c r="Q812" s="101">
        <f t="shared" si="226"/>
        <v>0.58863400617835282</v>
      </c>
      <c r="R812" s="101">
        <f t="shared" si="227"/>
        <v>1.5687752321156493E-2</v>
      </c>
      <c r="S812" s="101">
        <f t="shared" si="229"/>
        <v>526.04852265575505</v>
      </c>
      <c r="T812" s="101">
        <f t="shared" si="230"/>
        <v>264.43492523593312</v>
      </c>
      <c r="U812" s="101">
        <f t="shared" si="231"/>
        <v>39.438964256783194</v>
      </c>
      <c r="V812" s="33">
        <f t="shared" si="232"/>
        <v>1000.0000000000006</v>
      </c>
      <c r="W812" s="105">
        <f>IF(A812=1,((cPH1_+cPHr+(cNES*L812+(cNES+cOSEX)*G812+(cNES+cEREX)*H812+(cNES+cHOEX)*I812 + (cNES+cNES)*S812 +(cNES+ cOSEX)*N812 + (cNES+cEREX)*O812 + (cNES+cHOEX)*P812)))/(1+cDR)^A$5:A$65536,(cPHr+(cNES*L812+(cNES+cOSEX)*G812+(cNES+cEREX)*H812+(cNES+cHOEX)*I812 + (cNES+cNES)*S812 +(cNES+ cOSEX)*N812 + (cNES+cEREX)*O812 + (cNES+cHOEX)*P812))/(1+cDR)^A$5:A$65536)</f>
        <v>54068.532680515549</v>
      </c>
      <c r="X812" s="112">
        <f t="shared" si="233"/>
        <v>696.12611050728424</v>
      </c>
      <c r="Y812" s="32">
        <f>(uNES*L812+ uOCEX*G812+uEREX*'PH + UC'!H812+uHOEX*I812+uNES*S812+ uOCEX*N812+uEREX*O812+uHOEX*P812)/(1+oDR)^A$5:A$65536</f>
        <v>363.43124681435376</v>
      </c>
    </row>
    <row r="813" spans="1:25" x14ac:dyDescent="0.25">
      <c r="A813" s="4">
        <v>807</v>
      </c>
      <c r="C813" s="110">
        <f>IF(male=0,VLOOKUP(((A811:A1645/'Life tables'!$I$2)*2)+age,lifetable,13,1),IF(male=1,VLOOKUP(((A811:A1645/'Life tables'!$I$2)*2)+age,lifetable,10,1),"error"))</f>
        <v>9.128120834711595E-4</v>
      </c>
      <c r="F813" s="101">
        <f t="shared" si="216"/>
        <v>110.98976984267684</v>
      </c>
      <c r="G813" s="101">
        <f t="shared" si="217"/>
        <v>11.149154669487139</v>
      </c>
      <c r="H813" s="101">
        <f t="shared" si="218"/>
        <v>0.25513470730984955</v>
      </c>
      <c r="I813" s="101">
        <f t="shared" si="219"/>
        <v>0.25513470730984955</v>
      </c>
      <c r="J813" s="101">
        <f t="shared" si="220"/>
        <v>0.11195566624436569</v>
      </c>
      <c r="K813" s="101">
        <f t="shared" si="221"/>
        <v>1.9999785272054482E-2</v>
      </c>
      <c r="L813" s="101">
        <f t="shared" si="228"/>
        <v>99.198390307053572</v>
      </c>
      <c r="M813" s="101">
        <f t="shared" si="222"/>
        <v>585.13634066460725</v>
      </c>
      <c r="N813" s="101">
        <f t="shared" si="223"/>
        <v>56.349897378481543</v>
      </c>
      <c r="O813" s="101">
        <f t="shared" si="224"/>
        <v>1.3450662094662513</v>
      </c>
      <c r="P813" s="101">
        <f t="shared" si="225"/>
        <v>1.3450662094662513</v>
      </c>
      <c r="Q813" s="101">
        <f t="shared" si="226"/>
        <v>0.58801197484432721</v>
      </c>
      <c r="R813" s="101">
        <f t="shared" si="227"/>
        <v>1.567117449282553E-2</v>
      </c>
      <c r="S813" s="101">
        <f t="shared" si="229"/>
        <v>525.49262771785607</v>
      </c>
      <c r="T813" s="101">
        <f t="shared" si="230"/>
        <v>265.1348928770218</v>
      </c>
      <c r="U813" s="101">
        <f t="shared" si="231"/>
        <v>39.474635216548073</v>
      </c>
      <c r="V813" s="33">
        <f t="shared" si="232"/>
        <v>1000.0000000000005</v>
      </c>
      <c r="W813" s="105">
        <f>IF(A813=1,((cPH1_+cPHr+(cNES*L813+(cNES+cOSEX)*G813+(cNES+cEREX)*H813+(cNES+cHOEX)*I813 + (cNES+cNES)*S813 +(cNES+ cOSEX)*N813 + (cNES+cEREX)*O813 + (cNES+cHOEX)*P813)))/(1+cDR)^A$5:A$65536,(cPHr+(cNES*L813+(cNES+cOSEX)*G813+(cNES+cEREX)*H813+(cNES+cHOEX)*I813 + (cNES+cNES)*S813 +(cNES+ cOSEX)*N813 + (cNES+cEREX)*O813 + (cNES+cHOEX)*P813))/(1+cDR)^A$5:A$65536)</f>
        <v>53949.3274679159</v>
      </c>
      <c r="X813" s="112">
        <f t="shared" si="233"/>
        <v>695.39047190643055</v>
      </c>
      <c r="Y813" s="32">
        <f>(uNES*L813+ uOCEX*G813+uEREX*'PH + UC'!H813+uHOEX*I813+uNES*S813+ uOCEX*N813+uEREX*O813+uHOEX*P813)/(1+oDR)^A$5:A$65536</f>
        <v>362.94277890915617</v>
      </c>
    </row>
    <row r="814" spans="1:25" x14ac:dyDescent="0.25">
      <c r="A814" s="4">
        <v>808</v>
      </c>
      <c r="C814" s="110">
        <f>IF(male=0,VLOOKUP(((A812:A1646/'Life tables'!$I$2)*2)+age,lifetable,13,1),IF(male=1,VLOOKUP(((A812:A1646/'Life tables'!$I$2)*2)+age,lifetable,10,1),"error"))</f>
        <v>9.128120834711595E-4</v>
      </c>
      <c r="F814" s="101">
        <f t="shared" si="216"/>
        <v>110.87246707629639</v>
      </c>
      <c r="G814" s="101">
        <f t="shared" si="217"/>
        <v>11.13737136110306</v>
      </c>
      <c r="H814" s="101">
        <f t="shared" si="218"/>
        <v>0.25486506077387122</v>
      </c>
      <c r="I814" s="101">
        <f t="shared" si="219"/>
        <v>0.25486506077387122</v>
      </c>
      <c r="J814" s="101">
        <f t="shared" si="220"/>
        <v>0.11183734264228015</v>
      </c>
      <c r="K814" s="101">
        <f t="shared" si="221"/>
        <v>1.9978647917298704E-2</v>
      </c>
      <c r="L814" s="101">
        <f t="shared" si="228"/>
        <v>99.093549603086004</v>
      </c>
      <c r="M814" s="101">
        <f t="shared" si="222"/>
        <v>584.51800483013403</v>
      </c>
      <c r="N814" s="101">
        <f t="shared" si="223"/>
        <v>56.290350297918351</v>
      </c>
      <c r="O814" s="101">
        <f t="shared" si="224"/>
        <v>1.3436448268255707</v>
      </c>
      <c r="P814" s="101">
        <f t="shared" si="225"/>
        <v>1.3436448268255707</v>
      </c>
      <c r="Q814" s="101">
        <f t="shared" si="226"/>
        <v>0.58739060021780398</v>
      </c>
      <c r="R814" s="101">
        <f t="shared" si="227"/>
        <v>1.5654614166481434E-2</v>
      </c>
      <c r="S814" s="101">
        <f t="shared" si="229"/>
        <v>524.93731966418022</v>
      </c>
      <c r="T814" s="101">
        <f t="shared" si="230"/>
        <v>265.83412081988189</v>
      </c>
      <c r="U814" s="101">
        <f t="shared" si="231"/>
        <v>39.510268478631851</v>
      </c>
      <c r="V814" s="33">
        <f t="shared" si="232"/>
        <v>1000.0000000000002</v>
      </c>
      <c r="W814" s="105">
        <f>IF(A814=1,((cPH1_+cPHr+(cNES*L814+(cNES+cOSEX)*G814+(cNES+cEREX)*H814+(cNES+cHOEX)*I814 + (cNES+cNES)*S814 +(cNES+ cOSEX)*N814 + (cNES+cEREX)*O814 + (cNES+cHOEX)*P814)))/(1+cDR)^A$5:A$65536,(cPHr+(cNES*L814+(cNES+cOSEX)*G814+(cNES+cEREX)*H814+(cNES+cHOEX)*I814 + (cNES+cNES)*S814 +(cNES+ cOSEX)*N814 + (cNES+cEREX)*O814 + (cNES+cHOEX)*P814))/(1+cDR)^A$5:A$65536)</f>
        <v>53830.385058903681</v>
      </c>
      <c r="X814" s="112">
        <f t="shared" si="233"/>
        <v>694.65561070148647</v>
      </c>
      <c r="Y814" s="32">
        <f>(uNES*L814+ uOCEX*G814+uEREX*'PH + UC'!H814+uHOEX*I814+uNES*S814+ uOCEX*N814+uEREX*O814+uHOEX*P814)/(1+oDR)^A$5:A$65536</f>
        <v>362.45496752762591</v>
      </c>
    </row>
    <row r="815" spans="1:25" x14ac:dyDescent="0.25">
      <c r="A815" s="4">
        <v>809</v>
      </c>
      <c r="C815" s="110">
        <f>IF(male=0,VLOOKUP(((A813:A1647/'Life tables'!$I$2)*2)+age,lifetable,13,1),IF(male=1,VLOOKUP(((A813:A1647/'Life tables'!$I$2)*2)+age,lifetable,10,1),"error"))</f>
        <v>9.9786705819526755E-4</v>
      </c>
      <c r="F815" s="101">
        <f t="shared" si="216"/>
        <v>110.75528887184932</v>
      </c>
      <c r="G815" s="101">
        <f t="shared" si="217"/>
        <v>11.125600565225881</v>
      </c>
      <c r="H815" s="101">
        <f t="shared" si="218"/>
        <v>0.25459570057124103</v>
      </c>
      <c r="I815" s="101">
        <f t="shared" si="219"/>
        <v>0.25459570057124103</v>
      </c>
      <c r="J815" s="101">
        <f t="shared" si="220"/>
        <v>0.12212902991831326</v>
      </c>
      <c r="K815" s="101">
        <f t="shared" si="221"/>
        <v>1.9957533007962214E-2</v>
      </c>
      <c r="L815" s="101">
        <f t="shared" si="228"/>
        <v>98.978410342554682</v>
      </c>
      <c r="M815" s="101">
        <f t="shared" si="222"/>
        <v>583.90032182963728</v>
      </c>
      <c r="N815" s="101">
        <f t="shared" si="223"/>
        <v>56.230866086681552</v>
      </c>
      <c r="O815" s="101">
        <f t="shared" si="224"/>
        <v>1.3422249448691941</v>
      </c>
      <c r="P815" s="101">
        <f t="shared" si="225"/>
        <v>1.3422249448691941</v>
      </c>
      <c r="Q815" s="101">
        <f t="shared" si="226"/>
        <v>0.64144454945944485</v>
      </c>
      <c r="R815" s="101">
        <f t="shared" si="227"/>
        <v>1.5638071324396045E-2</v>
      </c>
      <c r="S815" s="101">
        <f t="shared" si="229"/>
        <v>524.32792323243348</v>
      </c>
      <c r="T815" s="101">
        <f t="shared" si="230"/>
        <v>266.59769439925964</v>
      </c>
      <c r="U815" s="101">
        <f t="shared" si="231"/>
        <v>39.545864082964208</v>
      </c>
      <c r="V815" s="33">
        <f t="shared" si="232"/>
        <v>1000.0000000000003</v>
      </c>
      <c r="W815" s="105">
        <f>IF(A815=1,((cPH1_+cPHr+(cNES*L815+(cNES+cOSEX)*G815+(cNES+cEREX)*H815+(cNES+cHOEX)*I815 + (cNES+cNES)*S815 +(cNES+ cOSEX)*N815 + (cNES+cEREX)*O815 + (cNES+cHOEX)*P815)))/(1+cDR)^A$5:A$65536,(cPHr+(cNES*L815+(cNES+cOSEX)*G815+(cNES+cEREX)*H815+(cNES+cHOEX)*I815 + (cNES+cNES)*S815 +(cNES+ cOSEX)*N815 + (cNES+cEREX)*O815 + (cNES+cHOEX)*P815))/(1+cDR)^A$5:A$65536)</f>
        <v>53707.338640502501</v>
      </c>
      <c r="X815" s="112">
        <f t="shared" si="233"/>
        <v>693.85644151777649</v>
      </c>
      <c r="Y815" s="32">
        <f>(uNES*L815+ uOCEX*G815+uEREX*'PH + UC'!H815+uHOEX*I815+uNES*S815+ uOCEX*N815+uEREX*O815+uHOEX*P815)/(1+oDR)^A$5:A$65536</f>
        <v>361.93330956787992</v>
      </c>
    </row>
    <row r="816" spans="1:25" x14ac:dyDescent="0.25">
      <c r="A816" s="4">
        <v>810</v>
      </c>
      <c r="C816" s="110">
        <f>IF(male=0,VLOOKUP(((A814:A1648/'Life tables'!$I$2)*2)+age,lifetable,13,1),IF(male=1,VLOOKUP(((A814:A1648/'Life tables'!$I$2)*2)+age,lifetable,10,1),"error"))</f>
        <v>9.9786705819526755E-4</v>
      </c>
      <c r="F816" s="101">
        <f t="shared" si="216"/>
        <v>110.62782533823096</v>
      </c>
      <c r="G816" s="101">
        <f t="shared" si="217"/>
        <v>11.112796586507439</v>
      </c>
      <c r="H816" s="101">
        <f t="shared" si="218"/>
        <v>0.25430269724860605</v>
      </c>
      <c r="I816" s="101">
        <f t="shared" si="219"/>
        <v>0.25430269724860605</v>
      </c>
      <c r="J816" s="101">
        <f t="shared" si="220"/>
        <v>0.12198847683169017</v>
      </c>
      <c r="K816" s="101">
        <f t="shared" si="221"/>
        <v>1.9934564735246647E-2</v>
      </c>
      <c r="L816" s="101">
        <f t="shared" si="228"/>
        <v>98.86450031565937</v>
      </c>
      <c r="M816" s="101">
        <f t="shared" si="222"/>
        <v>583.2286161795455</v>
      </c>
      <c r="N816" s="101">
        <f t="shared" si="223"/>
        <v>56.166179377241789</v>
      </c>
      <c r="O816" s="101">
        <f t="shared" si="224"/>
        <v>1.3406808798199787</v>
      </c>
      <c r="P816" s="101">
        <f t="shared" si="225"/>
        <v>1.3406808798199787</v>
      </c>
      <c r="Q816" s="101">
        <f t="shared" si="226"/>
        <v>0.64070664623866513</v>
      </c>
      <c r="R816" s="101">
        <f t="shared" si="227"/>
        <v>1.56200816428144E-2</v>
      </c>
      <c r="S816" s="101">
        <f t="shared" si="229"/>
        <v>523.72474831478223</v>
      </c>
      <c r="T816" s="101">
        <f t="shared" si="230"/>
        <v>267.36038952232997</v>
      </c>
      <c r="U816" s="101">
        <f t="shared" si="231"/>
        <v>39.581418729342268</v>
      </c>
      <c r="V816" s="33">
        <f t="shared" si="232"/>
        <v>1000.0000000000003</v>
      </c>
      <c r="W816" s="105">
        <f>IF(A816=1,((cPH1_+cPHr+(cNES*L816+(cNES+cOSEX)*G816+(cNES+cEREX)*H816+(cNES+cHOEX)*I816 + (cNES+cNES)*S816 +(cNES+ cOSEX)*N816 + (cNES+cEREX)*O816 + (cNES+cHOEX)*P816)))/(1+cDR)^A$5:A$65536,(cPHr+(cNES*L816+(cNES+cOSEX)*G816+(cNES+cEREX)*H816+(cNES+cHOEX)*I816 + (cNES+cNES)*S816 +(cNES+ cOSEX)*N816 + (cNES+cEREX)*O816 + (cNES+cHOEX)*P816))/(1+cDR)^A$5:A$65536)</f>
        <v>53583.905485328207</v>
      </c>
      <c r="X816" s="112">
        <f t="shared" si="233"/>
        <v>693.058191748328</v>
      </c>
      <c r="Y816" s="32">
        <f>(uNES*L816+ uOCEX*G816+uEREX*'PH + UC'!H816+uHOEX*I816+uNES*S816+ uOCEX*N816+uEREX*O816+uHOEX*P816)/(1+oDR)^A$5:A$65536</f>
        <v>361.41295401165013</v>
      </c>
    </row>
    <row r="817" spans="1:25" x14ac:dyDescent="0.25">
      <c r="A817" s="4">
        <v>811</v>
      </c>
      <c r="C817" s="110">
        <f>IF(male=0,VLOOKUP(((A815:A1649/'Life tables'!$I$2)*2)+age,lifetable,13,1),IF(male=1,VLOOKUP(((A815:A1649/'Life tables'!$I$2)*2)+age,lifetable,10,1),"error"))</f>
        <v>9.9786705819526755E-4</v>
      </c>
      <c r="F817" s="101">
        <f t="shared" si="216"/>
        <v>110.50051049085302</v>
      </c>
      <c r="G817" s="101">
        <f t="shared" si="217"/>
        <v>11.10000754363303</v>
      </c>
      <c r="H817" s="101">
        <f t="shared" si="218"/>
        <v>0.25401003571441227</v>
      </c>
      <c r="I817" s="101">
        <f t="shared" si="219"/>
        <v>0.25401003571441227</v>
      </c>
      <c r="J817" s="101">
        <f t="shared" si="220"/>
        <v>0.12184808770027399</v>
      </c>
      <c r="K817" s="101">
        <f t="shared" si="221"/>
        <v>1.991162325502633E-2</v>
      </c>
      <c r="L817" s="101">
        <f t="shared" si="228"/>
        <v>98.750723164835861</v>
      </c>
      <c r="M817" s="101">
        <f t="shared" si="222"/>
        <v>582.55768125747488</v>
      </c>
      <c r="N817" s="101">
        <f t="shared" si="223"/>
        <v>56.101566890580344</v>
      </c>
      <c r="O817" s="101">
        <f t="shared" si="224"/>
        <v>1.3391385864607883</v>
      </c>
      <c r="P817" s="101">
        <f t="shared" si="225"/>
        <v>1.3391385864607883</v>
      </c>
      <c r="Q817" s="101">
        <f t="shared" si="226"/>
        <v>0.63996958970227602</v>
      </c>
      <c r="R817" s="101">
        <f t="shared" si="227"/>
        <v>1.5602112602940451E-2</v>
      </c>
      <c r="S817" s="101">
        <f t="shared" si="229"/>
        <v>523.12226549166769</v>
      </c>
      <c r="T817" s="101">
        <f t="shared" si="230"/>
        <v>268.12220719973254</v>
      </c>
      <c r="U817" s="101">
        <f t="shared" si="231"/>
        <v>39.616932465200236</v>
      </c>
      <c r="V817" s="33">
        <f t="shared" si="232"/>
        <v>1000</v>
      </c>
      <c r="W817" s="105">
        <f>IF(A817=1,((cPH1_+cPHr+(cNES*L817+(cNES+cOSEX)*G817+(cNES+cEREX)*H817+(cNES+cHOEX)*I817 + (cNES+cNES)*S817 +(cNES+ cOSEX)*N817 + (cNES+cEREX)*O817 + (cNES+cHOEX)*P817)))/(1+cDR)^A$5:A$65536,(cPHr+(cNES*L817+(cNES+cOSEX)*G817+(cNES+cEREX)*H817+(cNES+cHOEX)*I817 + (cNES+cNES)*S817 +(cNES+ cOSEX)*N817 + (cNES+cEREX)*O817 + (cNES+cHOEX)*P817))/(1+cDR)^A$5:A$65536)</f>
        <v>53460.755959857539</v>
      </c>
      <c r="X817" s="112">
        <f t="shared" si="233"/>
        <v>692.26086033506726</v>
      </c>
      <c r="Y817" s="32">
        <f>(uNES*L817+ uOCEX*G817+uEREX*'PH + UC'!H817+uHOEX*I817+uNES*S817+ uOCEX*N817+uEREX*O817+uHOEX*P817)/(1+oDR)^A$5:A$65536</f>
        <v>360.89334657927219</v>
      </c>
    </row>
    <row r="818" spans="1:25" x14ac:dyDescent="0.25">
      <c r="A818" s="4">
        <v>812</v>
      </c>
      <c r="C818" s="110">
        <f>IF(male=0,VLOOKUP(((A816:A1650/'Life tables'!$I$2)*2)+age,lifetable,13,1),IF(male=1,VLOOKUP(((A816:A1650/'Life tables'!$I$2)*2)+age,lifetable,10,1),"error"))</f>
        <v>9.9786705819526755E-4</v>
      </c>
      <c r="F818" s="101">
        <f t="shared" si="216"/>
        <v>110.37334406510229</v>
      </c>
      <c r="G818" s="101">
        <f t="shared" si="217"/>
        <v>11.087233410021703</v>
      </c>
      <c r="H818" s="101">
        <f t="shared" si="218"/>
        <v>0.2537177153603874</v>
      </c>
      <c r="I818" s="101">
        <f t="shared" si="219"/>
        <v>0.2537177153603874</v>
      </c>
      <c r="J818" s="101">
        <f t="shared" si="220"/>
        <v>0.12170786223227775</v>
      </c>
      <c r="K818" s="101">
        <f t="shared" si="221"/>
        <v>1.9888708519619325E-2</v>
      </c>
      <c r="L818" s="101">
        <f t="shared" si="228"/>
        <v>98.637078653607915</v>
      </c>
      <c r="M818" s="101">
        <f t="shared" si="222"/>
        <v>581.88751626996498</v>
      </c>
      <c r="N818" s="101">
        <f t="shared" si="223"/>
        <v>56.037028550285257</v>
      </c>
      <c r="O818" s="101">
        <f t="shared" si="224"/>
        <v>1.3375980629676771</v>
      </c>
      <c r="P818" s="101">
        <f t="shared" si="225"/>
        <v>1.3375980629676771</v>
      </c>
      <c r="Q818" s="101">
        <f t="shared" si="226"/>
        <v>0.63923337897862065</v>
      </c>
      <c r="R818" s="101">
        <f t="shared" si="227"/>
        <v>1.5584164183523668E-2</v>
      </c>
      <c r="S818" s="101">
        <f t="shared" si="229"/>
        <v>522.52047405058227</v>
      </c>
      <c r="T818" s="101">
        <f t="shared" si="230"/>
        <v>268.88314844094344</v>
      </c>
      <c r="U818" s="101">
        <f t="shared" si="231"/>
        <v>39.652405337903382</v>
      </c>
      <c r="V818" s="33">
        <f t="shared" si="232"/>
        <v>1000.0000000000001</v>
      </c>
      <c r="W818" s="105">
        <f>IF(A818=1,((cPH1_+cPHr+(cNES*L818+(cNES+cOSEX)*G818+(cNES+cEREX)*H818+(cNES+cHOEX)*I818 + (cNES+cNES)*S818 +(cNES+ cOSEX)*N818 + (cNES+cEREX)*O818 + (cNES+cHOEX)*P818)))/(1+cDR)^A$5:A$65536,(cPHr+(cNES*L818+(cNES+cOSEX)*G818+(cNES+cEREX)*H818+(cNES+cHOEX)*I818 + (cNES+cNES)*S818 +(cNES+ cOSEX)*N818 + (cNES+cEREX)*O818 + (cNES+cHOEX)*P818))/(1+cDR)^A$5:A$65536)</f>
        <v>53337.889415345424</v>
      </c>
      <c r="X818" s="112">
        <f t="shared" si="233"/>
        <v>691.46444622115325</v>
      </c>
      <c r="Y818" s="32">
        <f>(uNES*L818+ uOCEX*G818+uEREX*'PH + UC'!H818+uHOEX*I818+uNES*S818+ uOCEX*N818+uEREX*O818+uHOEX*P818)/(1+oDR)^A$5:A$65536</f>
        <v>360.37448619502493</v>
      </c>
    </row>
    <row r="819" spans="1:25" x14ac:dyDescent="0.25">
      <c r="A819" s="4">
        <v>813</v>
      </c>
      <c r="C819" s="110">
        <f>IF(male=0,VLOOKUP(((A817:A1651/'Life tables'!$I$2)*2)+age,lifetable,13,1),IF(male=1,VLOOKUP(((A817:A1651/'Life tables'!$I$2)*2)+age,lifetable,10,1),"error"))</f>
        <v>9.9786705819526755E-4</v>
      </c>
      <c r="F819" s="101">
        <f t="shared" si="216"/>
        <v>110.24632580094934</v>
      </c>
      <c r="G819" s="101">
        <f t="shared" si="217"/>
        <v>11.074474159552958</v>
      </c>
      <c r="H819" s="101">
        <f t="shared" si="218"/>
        <v>0.25342573558879583</v>
      </c>
      <c r="I819" s="101">
        <f t="shared" si="219"/>
        <v>0.25342573558879583</v>
      </c>
      <c r="J819" s="101">
        <f t="shared" si="220"/>
        <v>0.12156780014096888</v>
      </c>
      <c r="K819" s="101">
        <f t="shared" si="221"/>
        <v>1.9865820482169668E-2</v>
      </c>
      <c r="L819" s="101">
        <f t="shared" si="228"/>
        <v>98.523566549595643</v>
      </c>
      <c r="M819" s="101">
        <f t="shared" si="222"/>
        <v>581.21812042020395</v>
      </c>
      <c r="N819" s="101">
        <f t="shared" si="223"/>
        <v>55.972564279621821</v>
      </c>
      <c r="O819" s="101">
        <f t="shared" si="224"/>
        <v>1.3360593075089957</v>
      </c>
      <c r="P819" s="101">
        <f t="shared" si="225"/>
        <v>1.3360593075089957</v>
      </c>
      <c r="Q819" s="101">
        <f t="shared" si="226"/>
        <v>0.63849801319236033</v>
      </c>
      <c r="R819" s="101">
        <f t="shared" si="227"/>
        <v>1.5566236363223764E-2</v>
      </c>
      <c r="S819" s="101">
        <f t="shared" si="229"/>
        <v>521.91937327600851</v>
      </c>
      <c r="T819" s="101">
        <f t="shared" si="230"/>
        <v>269.64321425427676</v>
      </c>
      <c r="U819" s="101">
        <f t="shared" si="231"/>
        <v>39.687837394748776</v>
      </c>
      <c r="V819" s="33">
        <f t="shared" si="232"/>
        <v>999.99999999999989</v>
      </c>
      <c r="W819" s="105">
        <f>IF(A819=1,((cPH1_+cPHr+(cNES*L819+(cNES+cOSEX)*G819+(cNES+cEREX)*H819+(cNES+cHOEX)*I819 + (cNES+cNES)*S819 +(cNES+ cOSEX)*N819 + (cNES+cEREX)*O819 + (cNES+cHOEX)*P819)))/(1+cDR)^A$5:A$65536,(cPHr+(cNES*L819+(cNES+cOSEX)*G819+(cNES+cEREX)*H819+(cNES+cHOEX)*I819 + (cNES+cNES)*S819 +(cNES+ cOSEX)*N819 + (cNES+cEREX)*O819 + (cNES+cHOEX)*P819))/(1+cDR)^A$5:A$65536)</f>
        <v>53215.30520438961</v>
      </c>
      <c r="X819" s="112">
        <f t="shared" si="233"/>
        <v>690.66894835097446</v>
      </c>
      <c r="Y819" s="32">
        <f>(uNES*L819+ uOCEX*G819+uEREX*'PH + UC'!H819+uHOEX*I819+uNES*S819+ uOCEX*N819+uEREX*O819+uHOEX*P819)/(1+oDR)^A$5:A$65536</f>
        <v>359.8563717847386</v>
      </c>
    </row>
    <row r="820" spans="1:25" x14ac:dyDescent="0.25">
      <c r="A820" s="4">
        <v>814</v>
      </c>
      <c r="C820" s="110">
        <f>IF(male=0,VLOOKUP(((A818:A1652/'Life tables'!$I$2)*2)+age,lifetable,13,1),IF(male=1,VLOOKUP(((A818:A1652/'Life tables'!$I$2)*2)+age,lifetable,10,1),"error"))</f>
        <v>9.9786705819526755E-4</v>
      </c>
      <c r="F820" s="101">
        <f t="shared" si="216"/>
        <v>110.11945544274749</v>
      </c>
      <c r="G820" s="101">
        <f t="shared" si="217"/>
        <v>11.061729766546552</v>
      </c>
      <c r="H820" s="101">
        <f t="shared" si="218"/>
        <v>0.25313409581197671</v>
      </c>
      <c r="I820" s="101">
        <f t="shared" si="219"/>
        <v>0.25313409581197671</v>
      </c>
      <c r="J820" s="101">
        <f t="shared" si="220"/>
        <v>0.12142790114444775</v>
      </c>
      <c r="K820" s="101">
        <f t="shared" si="221"/>
        <v>1.9842959096611143E-2</v>
      </c>
      <c r="L820" s="101">
        <f t="shared" si="228"/>
        <v>98.410186624335935</v>
      </c>
      <c r="M820" s="101">
        <f t="shared" si="222"/>
        <v>580.54949290822697</v>
      </c>
      <c r="N820" s="101">
        <f t="shared" si="223"/>
        <v>55.908174001551686</v>
      </c>
      <c r="O820" s="101">
        <f t="shared" si="224"/>
        <v>1.3345223182458468</v>
      </c>
      <c r="P820" s="101">
        <f t="shared" si="225"/>
        <v>1.3345223182458468</v>
      </c>
      <c r="Q820" s="101">
        <f t="shared" si="226"/>
        <v>0.63776349146469213</v>
      </c>
      <c r="R820" s="101">
        <f t="shared" si="227"/>
        <v>1.5548329120616008E-2</v>
      </c>
      <c r="S820" s="101">
        <f t="shared" si="229"/>
        <v>521.3189624495983</v>
      </c>
      <c r="T820" s="101">
        <f t="shared" si="230"/>
        <v>270.40240564688588</v>
      </c>
      <c r="U820" s="101">
        <f t="shared" si="231"/>
        <v>39.723228682966003</v>
      </c>
      <c r="V820" s="33">
        <f t="shared" si="232"/>
        <v>1000</v>
      </c>
      <c r="W820" s="105">
        <f>IF(A820=1,((cPH1_+cPHr+(cNES*L820+(cNES+cOSEX)*G820+(cNES+cEREX)*H820+(cNES+cHOEX)*I820 + (cNES+cNES)*S820 +(cNES+ cOSEX)*N820 + (cNES+cEREX)*O820 + (cNES+cHOEX)*P820)))/(1+cDR)^A$5:A$65536,(cPHr+(cNES*L820+(cNES+cOSEX)*G820+(cNES+cEREX)*H820+(cNES+cHOEX)*I820 + (cNES+cNES)*S820 +(cNES+ cOSEX)*N820 + (cNES+cEREX)*O820 + (cNES+cHOEX)*P820))/(1+cDR)^A$5:A$65536)</f>
        <v>53093.002680935067</v>
      </c>
      <c r="X820" s="112">
        <f t="shared" si="233"/>
        <v>689.87436567014811</v>
      </c>
      <c r="Y820" s="32">
        <f>(uNES*L820+ uOCEX*G820+uEREX*'PH + UC'!H820+uHOEX*I820+uNES*S820+ uOCEX*N820+uEREX*O820+uHOEX*P820)/(1+oDR)^A$5:A$65536</f>
        <v>359.33900227579494</v>
      </c>
    </row>
    <row r="821" spans="1:25" x14ac:dyDescent="0.25">
      <c r="A821" s="4">
        <v>815</v>
      </c>
      <c r="C821" s="110">
        <f>IF(male=0,VLOOKUP(((A819:A1653/'Life tables'!$I$2)*2)+age,lifetable,13,1),IF(male=1,VLOOKUP(((A819:A1653/'Life tables'!$I$2)*2)+age,lifetable,10,1),"error"))</f>
        <v>9.9786705819526755E-4</v>
      </c>
      <c r="F821" s="101">
        <f t="shared" si="216"/>
        <v>109.99273273904106</v>
      </c>
      <c r="G821" s="101">
        <f t="shared" si="217"/>
        <v>11.049000205743235</v>
      </c>
      <c r="H821" s="101">
        <f t="shared" si="218"/>
        <v>0.25284279545190314</v>
      </c>
      <c r="I821" s="101">
        <f t="shared" si="219"/>
        <v>0.25284279545190314</v>
      </c>
      <c r="J821" s="101">
        <f t="shared" si="220"/>
        <v>0.12128816496543601</v>
      </c>
      <c r="K821" s="101">
        <f t="shared" si="221"/>
        <v>1.9820124317632724E-2</v>
      </c>
      <c r="L821" s="101">
        <f t="shared" si="228"/>
        <v>98.296938653110942</v>
      </c>
      <c r="M821" s="101">
        <f t="shared" si="222"/>
        <v>579.88163293110711</v>
      </c>
      <c r="N821" s="101">
        <f t="shared" si="223"/>
        <v>55.84385763875126</v>
      </c>
      <c r="O821" s="101">
        <f t="shared" si="224"/>
        <v>1.3329870933325241</v>
      </c>
      <c r="P821" s="101">
        <f t="shared" si="225"/>
        <v>1.3329870933325241</v>
      </c>
      <c r="Q821" s="101">
        <f t="shared" si="226"/>
        <v>0.63702981291355976</v>
      </c>
      <c r="R821" s="101">
        <f t="shared" si="227"/>
        <v>1.5530442434196342E-2</v>
      </c>
      <c r="S821" s="101">
        <f t="shared" si="229"/>
        <v>520.719240850343</v>
      </c>
      <c r="T821" s="101">
        <f t="shared" si="230"/>
        <v>271.1607236247649</v>
      </c>
      <c r="U821" s="101">
        <f t="shared" si="231"/>
        <v>39.758579249717833</v>
      </c>
      <c r="V821" s="33">
        <f t="shared" si="232"/>
        <v>1000.0000000000001</v>
      </c>
      <c r="W821" s="105">
        <f>IF(A821=1,((cPH1_+cPHr+(cNES*L821+(cNES+cOSEX)*G821+(cNES+cEREX)*H821+(cNES+cHOEX)*I821 + (cNES+cNES)*S821 +(cNES+ cOSEX)*N821 + (cNES+cEREX)*O821 + (cNES+cHOEX)*P821)))/(1+cDR)^A$5:A$65536,(cPHr+(cNES*L821+(cNES+cOSEX)*G821+(cNES+cEREX)*H821+(cNES+cHOEX)*I821 + (cNES+cNES)*S821 +(cNES+ cOSEX)*N821 + (cNES+cEREX)*O821 + (cNES+cHOEX)*P821))/(1+cDR)^A$5:A$65536)</f>
        <v>52970.981200276969</v>
      </c>
      <c r="X821" s="112">
        <f t="shared" si="233"/>
        <v>689.0806971255173</v>
      </c>
      <c r="Y821" s="32">
        <f>(uNES*L821+ uOCEX*G821+uEREX*'PH + UC'!H821+uHOEX*I821+uNES*S821+ uOCEX*N821+uEREX*O821+uHOEX*P821)/(1+oDR)^A$5:A$65536</f>
        <v>358.82237659712263</v>
      </c>
    </row>
    <row r="822" spans="1:25" x14ac:dyDescent="0.25">
      <c r="A822" s="4">
        <v>816</v>
      </c>
      <c r="C822" s="110">
        <f>IF(male=0,VLOOKUP(((A820:A1654/'Life tables'!$I$2)*2)+age,lifetable,13,1),IF(male=1,VLOOKUP(((A820:A1654/'Life tables'!$I$2)*2)+age,lifetable,10,1),"error"))</f>
        <v>9.9786705819526755E-4</v>
      </c>
      <c r="F822" s="101">
        <f t="shared" si="216"/>
        <v>109.86615744238213</v>
      </c>
      <c r="G822" s="101">
        <f t="shared" si="217"/>
        <v>11.036285452286345</v>
      </c>
      <c r="H822" s="101">
        <f t="shared" si="218"/>
        <v>0.25255183393976099</v>
      </c>
      <c r="I822" s="101">
        <f t="shared" si="219"/>
        <v>0.25255183393976099</v>
      </c>
      <c r="J822" s="101">
        <f t="shared" si="220"/>
        <v>0.12114859133107472</v>
      </c>
      <c r="K822" s="101">
        <f t="shared" si="221"/>
        <v>1.9797316100645581E-2</v>
      </c>
      <c r="L822" s="101">
        <f t="shared" si="228"/>
        <v>98.183822414784544</v>
      </c>
      <c r="M822" s="101">
        <f t="shared" si="222"/>
        <v>579.21453968313529</v>
      </c>
      <c r="N822" s="101">
        <f t="shared" si="223"/>
        <v>55.779615113629006</v>
      </c>
      <c r="O822" s="101">
        <f t="shared" si="224"/>
        <v>1.3314536309169256</v>
      </c>
      <c r="P822" s="101">
        <f t="shared" si="225"/>
        <v>1.3314536309169256</v>
      </c>
      <c r="Q822" s="101">
        <f t="shared" si="226"/>
        <v>0.63629697665385043</v>
      </c>
      <c r="R822" s="101">
        <f t="shared" si="227"/>
        <v>1.5512576282386187E-2</v>
      </c>
      <c r="S822" s="101">
        <f t="shared" si="229"/>
        <v>520.12020775473616</v>
      </c>
      <c r="T822" s="101">
        <f t="shared" si="230"/>
        <v>271.91816919274982</v>
      </c>
      <c r="U822" s="101">
        <f t="shared" si="231"/>
        <v>39.793889142100866</v>
      </c>
      <c r="V822" s="33">
        <f t="shared" si="232"/>
        <v>1000.0000000000001</v>
      </c>
      <c r="W822" s="105">
        <f>IF(A822=1,((cPH1_+cPHr+(cNES*L822+(cNES+cOSEX)*G822+(cNES+cEREX)*H822+(cNES+cHOEX)*I822 + (cNES+cNES)*S822 +(cNES+ cOSEX)*N822 + (cNES+cEREX)*O822 + (cNES+cHOEX)*P822)))/(1+cDR)^A$5:A$65536,(cPHr+(cNES*L822+(cNES+cOSEX)*G822+(cNES+cEREX)*H822+(cNES+cHOEX)*I822 + (cNES+cNES)*S822 +(cNES+ cOSEX)*N822 + (cNES+cEREX)*O822 + (cNES+cHOEX)*P822))/(1+cDR)^A$5:A$65536)</f>
        <v>52849.240119064292</v>
      </c>
      <c r="X822" s="112">
        <f t="shared" si="233"/>
        <v>688.28794166514945</v>
      </c>
      <c r="Y822" s="32">
        <f>(uNES*L822+ uOCEX*G822+uEREX*'PH + UC'!H822+uHOEX*I822+uNES*S822+ uOCEX*N822+uEREX*O822+uHOEX*P822)/(1+oDR)^A$5:A$65536</f>
        <v>358.30649367919585</v>
      </c>
    </row>
    <row r="823" spans="1:25" x14ac:dyDescent="0.25">
      <c r="A823" s="4">
        <v>817</v>
      </c>
      <c r="C823" s="110">
        <f>IF(male=0,VLOOKUP(((A821:A1655/'Life tables'!$I$2)*2)+age,lifetable,13,1),IF(male=1,VLOOKUP(((A821:A1655/'Life tables'!$I$2)*2)+age,lifetable,10,1),"error"))</f>
        <v>9.9786705819526755E-4</v>
      </c>
      <c r="F823" s="101">
        <f t="shared" si="216"/>
        <v>109.73972930915608</v>
      </c>
      <c r="G823" s="101">
        <f t="shared" si="217"/>
        <v>11.023585481704282</v>
      </c>
      <c r="H823" s="101">
        <f t="shared" si="218"/>
        <v>0.2522612107155478</v>
      </c>
      <c r="I823" s="101">
        <f t="shared" si="219"/>
        <v>0.2522612107155478</v>
      </c>
      <c r="J823" s="101">
        <f t="shared" si="220"/>
        <v>0.12100917997273186</v>
      </c>
      <c r="K823" s="101">
        <f t="shared" si="221"/>
        <v>1.9774534401751601E-2</v>
      </c>
      <c r="L823" s="101">
        <f t="shared" si="228"/>
        <v>98.070837691646219</v>
      </c>
      <c r="M823" s="101">
        <f t="shared" si="222"/>
        <v>578.54821235599331</v>
      </c>
      <c r="N823" s="101">
        <f t="shared" si="223"/>
        <v>55.715446348342134</v>
      </c>
      <c r="O823" s="101">
        <f t="shared" si="224"/>
        <v>1.3299219291409521</v>
      </c>
      <c r="P823" s="101">
        <f t="shared" si="225"/>
        <v>1.3299219291409521</v>
      </c>
      <c r="Q823" s="101">
        <f t="shared" si="226"/>
        <v>0.63556498179758492</v>
      </c>
      <c r="R823" s="101">
        <f t="shared" si="227"/>
        <v>1.5494730643537095E-2</v>
      </c>
      <c r="S823" s="101">
        <f t="shared" si="229"/>
        <v>519.52186243692813</v>
      </c>
      <c r="T823" s="101">
        <f t="shared" si="230"/>
        <v>272.67474335452016</v>
      </c>
      <c r="U823" s="101">
        <f t="shared" si="231"/>
        <v>39.829158407146153</v>
      </c>
      <c r="V823" s="33">
        <f t="shared" si="232"/>
        <v>1000.0000000000001</v>
      </c>
      <c r="W823" s="105">
        <f>IF(A823=1,((cPH1_+cPHr+(cNES*L823+(cNES+cOSEX)*G823+(cNES+cEREX)*H823+(cNES+cHOEX)*I823 + (cNES+cNES)*S823 +(cNES+ cOSEX)*N823 + (cNES+cEREX)*O823 + (cNES+cHOEX)*P823)))/(1+cDR)^A$5:A$65536,(cPHr+(cNES*L823+(cNES+cOSEX)*G823+(cNES+cEREX)*H823+(cNES+cHOEX)*I823 + (cNES+cNES)*S823 +(cNES+ cOSEX)*N823 + (cNES+cEREX)*O823 + (cNES+cHOEX)*P823))/(1+cDR)^A$5:A$65536)</f>
        <v>52727.778795302394</v>
      </c>
      <c r="X823" s="112">
        <f t="shared" si="233"/>
        <v>687.49609823833384</v>
      </c>
      <c r="Y823" s="32">
        <f>(uNES*L823+ uOCEX*G823+uEREX*'PH + UC'!H823+uHOEX*I823+uNES*S823+ uOCEX*N823+uEREX*O823+uHOEX*P823)/(1+oDR)^A$5:A$65536</f>
        <v>357.79135245403222</v>
      </c>
    </row>
    <row r="824" spans="1:25" x14ac:dyDescent="0.25">
      <c r="A824" s="4">
        <v>818</v>
      </c>
      <c r="C824" s="110">
        <f>IF(male=0,VLOOKUP(((A822:A1656/'Life tables'!$I$2)*2)+age,lifetable,13,1),IF(male=1,VLOOKUP(((A822:A1656/'Life tables'!$I$2)*2)+age,lifetable,10,1),"error"))</f>
        <v>9.9786705819526755E-4</v>
      </c>
      <c r="F824" s="101">
        <f t="shared" si="216"/>
        <v>109.61344809941461</v>
      </c>
      <c r="G824" s="101">
        <f t="shared" si="217"/>
        <v>11.010900269893742</v>
      </c>
      <c r="H824" s="101">
        <f t="shared" si="218"/>
        <v>0.25197092522768894</v>
      </c>
      <c r="I824" s="101">
        <f t="shared" si="219"/>
        <v>0.25197092522768894</v>
      </c>
      <c r="J824" s="101">
        <f t="shared" si="220"/>
        <v>0.12086993062581824</v>
      </c>
      <c r="K824" s="101">
        <f t="shared" si="221"/>
        <v>1.9751779177713345E-2</v>
      </c>
      <c r="L824" s="101">
        <f t="shared" si="228"/>
        <v>97.957984269261956</v>
      </c>
      <c r="M824" s="101">
        <f t="shared" si="222"/>
        <v>577.88265013891908</v>
      </c>
      <c r="N824" s="101">
        <f t="shared" si="223"/>
        <v>55.65135126481249</v>
      </c>
      <c r="O824" s="101">
        <f t="shared" si="224"/>
        <v>1.3283919861408862</v>
      </c>
      <c r="P824" s="101">
        <f t="shared" si="225"/>
        <v>1.3283919861408862</v>
      </c>
      <c r="Q824" s="101">
        <f t="shared" si="226"/>
        <v>0.63483382745409933</v>
      </c>
      <c r="R824" s="101">
        <f t="shared" si="227"/>
        <v>1.547690549593516E-2</v>
      </c>
      <c r="S824" s="101">
        <f t="shared" si="229"/>
        <v>518.92420416887478</v>
      </c>
      <c r="T824" s="101">
        <f t="shared" si="230"/>
        <v>273.43044711260006</v>
      </c>
      <c r="U824" s="101">
        <f t="shared" si="231"/>
        <v>39.8643870918198</v>
      </c>
      <c r="V824" s="33">
        <f t="shared" si="232"/>
        <v>1000</v>
      </c>
      <c r="W824" s="105">
        <f>IF(A824=1,((cPH1_+cPHr+(cNES*L824+(cNES+cOSEX)*G824+(cNES+cEREX)*H824+(cNES+cHOEX)*I824 + (cNES+cNES)*S824 +(cNES+ cOSEX)*N824 + (cNES+cEREX)*O824 + (cNES+cHOEX)*P824)))/(1+cDR)^A$5:A$65536,(cPHr+(cNES*L824+(cNES+cOSEX)*G824+(cNES+cEREX)*H824+(cNES+cHOEX)*I824 + (cNES+cNES)*S824 +(cNES+ cOSEX)*N824 + (cNES+cEREX)*O824 + (cNES+cHOEX)*P824))/(1+cDR)^A$5:A$65536)</f>
        <v>52606.596588355911</v>
      </c>
      <c r="X824" s="112">
        <f t="shared" si="233"/>
        <v>686.70516579558011</v>
      </c>
      <c r="Y824" s="32">
        <f>(uNES*L824+ uOCEX*G824+uEREX*'PH + UC'!H824+uHOEX*I824+uNES*S824+ uOCEX*N824+uEREX*O824+uHOEX*P824)/(1+oDR)^A$5:A$65536</f>
        <v>357.27695185518905</v>
      </c>
    </row>
    <row r="825" spans="1:25" x14ac:dyDescent="0.25">
      <c r="A825" s="4">
        <v>819</v>
      </c>
      <c r="C825" s="110">
        <f>IF(male=0,VLOOKUP(((A823:A1657/'Life tables'!$I$2)*2)+age,lifetable,13,1),IF(male=1,VLOOKUP(((A823:A1657/'Life tables'!$I$2)*2)+age,lifetable,10,1),"error"))</f>
        <v>9.9786705819526755E-4</v>
      </c>
      <c r="F825" s="101">
        <f t="shared" si="216"/>
        <v>109.48731357671684</v>
      </c>
      <c r="G825" s="101">
        <f t="shared" si="217"/>
        <v>10.998229793103739</v>
      </c>
      <c r="H825" s="101">
        <f t="shared" si="218"/>
        <v>0.25168097693267244</v>
      </c>
      <c r="I825" s="101">
        <f t="shared" si="219"/>
        <v>0.25168097693267244</v>
      </c>
      <c r="J825" s="101">
        <f t="shared" si="220"/>
        <v>0.12073084302961222</v>
      </c>
      <c r="K825" s="101">
        <f t="shared" si="221"/>
        <v>1.972905038592538E-2</v>
      </c>
      <c r="L825" s="101">
        <f t="shared" si="228"/>
        <v>97.845261936332221</v>
      </c>
      <c r="M825" s="101">
        <f t="shared" si="222"/>
        <v>577.2178522188633</v>
      </c>
      <c r="N825" s="101">
        <f t="shared" si="223"/>
        <v>55.587329784741669</v>
      </c>
      <c r="O825" s="101">
        <f t="shared" si="224"/>
        <v>1.3268638000477531</v>
      </c>
      <c r="P825" s="101">
        <f t="shared" si="225"/>
        <v>1.3268638000477531</v>
      </c>
      <c r="Q825" s="101">
        <f t="shared" si="226"/>
        <v>0.63410351273021714</v>
      </c>
      <c r="R825" s="101">
        <f t="shared" si="227"/>
        <v>1.5459100817805226E-2</v>
      </c>
      <c r="S825" s="101">
        <f t="shared" si="229"/>
        <v>518.32723222047809</v>
      </c>
      <c r="T825" s="101">
        <f t="shared" si="230"/>
        <v>274.1852814683599</v>
      </c>
      <c r="U825" s="101">
        <f t="shared" si="231"/>
        <v>39.899575243023534</v>
      </c>
      <c r="V825" s="33">
        <f t="shared" si="232"/>
        <v>1000</v>
      </c>
      <c r="W825" s="105">
        <f>IF(A825=1,((cPH1_+cPHr+(cNES*L825+(cNES+cOSEX)*G825+(cNES+cEREX)*H825+(cNES+cHOEX)*I825 + (cNES+cNES)*S825 +(cNES+ cOSEX)*N825 + (cNES+cEREX)*O825 + (cNES+cHOEX)*P825)))/(1+cDR)^A$5:A$65536,(cPHr+(cNES*L825+(cNES+cOSEX)*G825+(cNES+cEREX)*H825+(cNES+cHOEX)*I825 + (cNES+cNES)*S825 +(cNES+ cOSEX)*N825 + (cNES+cEREX)*O825 + (cNES+cHOEX)*P825))/(1+cDR)^A$5:A$65536)</f>
        <v>52485.692858950846</v>
      </c>
      <c r="X825" s="112">
        <f t="shared" si="233"/>
        <v>685.9151432886166</v>
      </c>
      <c r="Y825" s="32">
        <f>(uNES*L825+ uOCEX*G825+uEREX*'PH + UC'!H825+uHOEX*I825+uNES*S825+ uOCEX*N825+uEREX*O825+uHOEX*P825)/(1+oDR)^A$5:A$65536</f>
        <v>356.76329081776214</v>
      </c>
    </row>
    <row r="826" spans="1:25" x14ac:dyDescent="0.25">
      <c r="A826" s="4">
        <v>820</v>
      </c>
      <c r="C826" s="110">
        <f>IF(male=0,VLOOKUP(((A824:A1658/'Life tables'!$I$2)*2)+age,lifetable,13,1),IF(male=1,VLOOKUP(((A824:A1658/'Life tables'!$I$2)*2)+age,lifetable,10,1),"error"))</f>
        <v>9.9786705819526755E-4</v>
      </c>
      <c r="F826" s="101">
        <f t="shared" si="216"/>
        <v>109.36132550797737</v>
      </c>
      <c r="G826" s="101">
        <f t="shared" si="217"/>
        <v>10.985574027920359</v>
      </c>
      <c r="H826" s="101">
        <f t="shared" si="218"/>
        <v>0.25139136529469946</v>
      </c>
      <c r="I826" s="101">
        <f t="shared" si="219"/>
        <v>0.25139136529469946</v>
      </c>
      <c r="J826" s="101">
        <f t="shared" si="220"/>
        <v>0.1205919169270923</v>
      </c>
      <c r="K826" s="101">
        <f t="shared" si="221"/>
        <v>1.9706347984386915E-2</v>
      </c>
      <c r="L826" s="101">
        <f t="shared" si="228"/>
        <v>97.732670484556138</v>
      </c>
      <c r="M826" s="101">
        <f t="shared" si="222"/>
        <v>576.55381778063918</v>
      </c>
      <c r="N826" s="101">
        <f t="shared" si="223"/>
        <v>55.523381829625421</v>
      </c>
      <c r="O826" s="101">
        <f t="shared" si="224"/>
        <v>1.3253373689876642</v>
      </c>
      <c r="P826" s="101">
        <f t="shared" si="225"/>
        <v>1.3253373689876642</v>
      </c>
      <c r="Q826" s="101">
        <f t="shared" si="226"/>
        <v>0.63337403673041359</v>
      </c>
      <c r="R826" s="101">
        <f t="shared" si="227"/>
        <v>1.5441316587314883E-2</v>
      </c>
      <c r="S826" s="101">
        <f t="shared" si="229"/>
        <v>517.73094585972069</v>
      </c>
      <c r="T826" s="101">
        <f t="shared" si="230"/>
        <v>274.93924742201739</v>
      </c>
      <c r="U826" s="101">
        <f t="shared" si="231"/>
        <v>39.934722907595237</v>
      </c>
      <c r="V826" s="33">
        <f t="shared" si="232"/>
        <v>1000</v>
      </c>
      <c r="W826" s="105">
        <f>IF(A826=1,((cPH1_+cPHr+(cNES*L826+(cNES+cOSEX)*G826+(cNES+cEREX)*H826+(cNES+cHOEX)*I826 + (cNES+cNES)*S826 +(cNES+ cOSEX)*N826 + (cNES+cEREX)*O826 + (cNES+cHOEX)*P826)))/(1+cDR)^A$5:A$65536,(cPHr+(cNES*L826+(cNES+cOSEX)*G826+(cNES+cEREX)*H826+(cNES+cHOEX)*I826 + (cNES+cNES)*S826 +(cNES+ cOSEX)*N826 + (cNES+cEREX)*O826 + (cNES+cHOEX)*P826))/(1+cDR)^A$5:A$65536)</f>
        <v>52365.066969176791</v>
      </c>
      <c r="X826" s="112">
        <f t="shared" si="233"/>
        <v>685.12602967038742</v>
      </c>
      <c r="Y826" s="32">
        <f>(uNES*L826+ uOCEX*G826+uEREX*'PH + UC'!H826+uHOEX*I826+uNES*S826+ uOCEX*N826+uEREX*O826+uHOEX*P826)/(1+oDR)^A$5:A$65536</f>
        <v>356.25036827838215</v>
      </c>
    </row>
    <row r="827" spans="1:25" x14ac:dyDescent="0.25">
      <c r="A827" s="4">
        <v>821</v>
      </c>
      <c r="C827" s="110">
        <f>IF(male=0,VLOOKUP(((A825:A1659/'Life tables'!$I$2)*2)+age,lifetable,13,1),IF(male=1,VLOOKUP(((A825:A1659/'Life tables'!$I$2)*2)+age,lifetable,10,1),"error"))</f>
        <v>9.9786705819526755E-4</v>
      </c>
      <c r="F827" s="101">
        <f t="shared" si="216"/>
        <v>109.23548366332142</v>
      </c>
      <c r="G827" s="101">
        <f t="shared" si="217"/>
        <v>10.972932951252199</v>
      </c>
      <c r="H827" s="101">
        <f t="shared" si="218"/>
        <v>0.2511020897853517</v>
      </c>
      <c r="I827" s="101">
        <f t="shared" si="219"/>
        <v>0.2511020897853517</v>
      </c>
      <c r="J827" s="101">
        <f t="shared" si="220"/>
        <v>0.12045315206477727</v>
      </c>
      <c r="K827" s="101">
        <f t="shared" si="221"/>
        <v>1.9683671931675698E-2</v>
      </c>
      <c r="L827" s="101">
        <f t="shared" si="228"/>
        <v>97.62020970850206</v>
      </c>
      <c r="M827" s="101">
        <f t="shared" si="222"/>
        <v>575.89054600706595</v>
      </c>
      <c r="N827" s="101">
        <f t="shared" si="223"/>
        <v>55.459507320767464</v>
      </c>
      <c r="O827" s="101">
        <f t="shared" si="224"/>
        <v>1.3238126910821477</v>
      </c>
      <c r="P827" s="101">
        <f t="shared" si="225"/>
        <v>1.3238126910821477</v>
      </c>
      <c r="Q827" s="101">
        <f t="shared" si="226"/>
        <v>0.63264539855697388</v>
      </c>
      <c r="R827" s="101">
        <f t="shared" si="227"/>
        <v>1.5423552782578322E-2</v>
      </c>
      <c r="S827" s="101">
        <f t="shared" si="229"/>
        <v>517.13534435279462</v>
      </c>
      <c r="T827" s="101">
        <f t="shared" si="230"/>
        <v>275.69234597263915</v>
      </c>
      <c r="U827" s="101">
        <f t="shared" si="231"/>
        <v>39.96983013230949</v>
      </c>
      <c r="V827" s="33">
        <f t="shared" si="232"/>
        <v>1000</v>
      </c>
      <c r="W827" s="105">
        <f>IF(A827=1,((cPH1_+cPHr+(cNES*L827+(cNES+cOSEX)*G827+(cNES+cEREX)*H827+(cNES+cHOEX)*I827 + (cNES+cNES)*S827 +(cNES+ cOSEX)*N827 + (cNES+cEREX)*O827 + (cNES+cHOEX)*P827)))/(1+cDR)^A$5:A$65536,(cPHr+(cNES*L827+(cNES+cOSEX)*G827+(cNES+cEREX)*H827+(cNES+cHOEX)*I827 + (cNES+cNES)*S827 +(cNES+ cOSEX)*N827 + (cNES+cEREX)*O827 + (cNES+cHOEX)*P827))/(1+cDR)^A$5:A$65536)</f>
        <v>52244.718282488677</v>
      </c>
      <c r="X827" s="112">
        <f t="shared" si="233"/>
        <v>684.33782389505132</v>
      </c>
      <c r="Y827" s="32">
        <f>(uNES*L827+ uOCEX*G827+uEREX*'PH + UC'!H827+uHOEX*I827+uNES*S827+ uOCEX*N827+uEREX*O827+uHOEX*P827)/(1+oDR)^A$5:A$65536</f>
        <v>355.73818317521363</v>
      </c>
    </row>
    <row r="828" spans="1:25" x14ac:dyDescent="0.25">
      <c r="A828" s="4">
        <v>822</v>
      </c>
      <c r="C828" s="110">
        <f>IF(male=0,VLOOKUP(((A826:A1660/'Life tables'!$I$2)*2)+age,lifetable,13,1),IF(male=1,VLOOKUP(((A826:A1660/'Life tables'!$I$2)*2)+age,lifetable,10,1),"error"))</f>
        <v>9.9786705819526755E-4</v>
      </c>
      <c r="F828" s="101">
        <f t="shared" si="216"/>
        <v>109.1097878159465</v>
      </c>
      <c r="G828" s="101">
        <f t="shared" si="217"/>
        <v>10.960306540316473</v>
      </c>
      <c r="H828" s="101">
        <f t="shared" si="218"/>
        <v>0.25081314988327319</v>
      </c>
      <c r="I828" s="101">
        <f t="shared" si="219"/>
        <v>0.25081314988327319</v>
      </c>
      <c r="J828" s="101">
        <f t="shared" si="220"/>
        <v>0.12031454819257374</v>
      </c>
      <c r="K828" s="101">
        <f t="shared" si="221"/>
        <v>1.9661022186923092E-2</v>
      </c>
      <c r="L828" s="101">
        <f t="shared" si="228"/>
        <v>97.50787940548399</v>
      </c>
      <c r="M828" s="101">
        <f t="shared" si="222"/>
        <v>575.22803607910487</v>
      </c>
      <c r="N828" s="101">
        <f t="shared" si="223"/>
        <v>55.395706179292588</v>
      </c>
      <c r="O828" s="101">
        <f t="shared" si="224"/>
        <v>1.3222897644484606</v>
      </c>
      <c r="P828" s="101">
        <f t="shared" si="225"/>
        <v>1.3222897644484606</v>
      </c>
      <c r="Q828" s="101">
        <f t="shared" si="226"/>
        <v>0.63191759731014141</v>
      </c>
      <c r="R828" s="101">
        <f t="shared" si="227"/>
        <v>1.5405809381659972E-2</v>
      </c>
      <c r="S828" s="101">
        <f t="shared" si="229"/>
        <v>516.54042696422357</v>
      </c>
      <c r="T828" s="101">
        <f t="shared" si="230"/>
        <v>276.44457811814186</v>
      </c>
      <c r="U828" s="101">
        <f t="shared" si="231"/>
        <v>40.004896963878075</v>
      </c>
      <c r="V828" s="33">
        <f t="shared" si="232"/>
        <v>1000</v>
      </c>
      <c r="W828" s="105">
        <f>IF(A828=1,((cPH1_+cPHr+(cNES*L828+(cNES+cOSEX)*G828+(cNES+cEREX)*H828+(cNES+cHOEX)*I828 + (cNES+cNES)*S828 +(cNES+ cOSEX)*N828 + (cNES+cEREX)*O828 + (cNES+cHOEX)*P828)))/(1+cDR)^A$5:A$65536,(cPHr+(cNES*L828+(cNES+cOSEX)*G828+(cNES+cEREX)*H828+(cNES+cHOEX)*I828 + (cNES+cNES)*S828 +(cNES+ cOSEX)*N828 + (cNES+cEREX)*O828 + (cNES+cHOEX)*P828))/(1+cDR)^A$5:A$65536)</f>
        <v>52124.64616370837</v>
      </c>
      <c r="X828" s="112">
        <f t="shared" si="233"/>
        <v>683.55052491798006</v>
      </c>
      <c r="Y828" s="32">
        <f>(uNES*L828+ uOCEX*G828+uEREX*'PH + UC'!H828+uHOEX*I828+uNES*S828+ uOCEX*N828+uEREX*O828+uHOEX*P828)/(1+oDR)^A$5:A$65536</f>
        <v>355.22673444795151</v>
      </c>
    </row>
    <row r="829" spans="1:25" x14ac:dyDescent="0.25">
      <c r="A829" s="4">
        <v>823</v>
      </c>
      <c r="C829" s="110">
        <f>IF(male=0,VLOOKUP(((A827:A1661/'Life tables'!$I$2)*2)+age,lifetable,13,1),IF(male=1,VLOOKUP(((A827:A1661/'Life tables'!$I$2)*2)+age,lifetable,10,1),"error"))</f>
        <v>9.9786705819526755E-4</v>
      </c>
      <c r="F829" s="101">
        <f t="shared" si="216"/>
        <v>108.98423774199051</v>
      </c>
      <c r="G829" s="101">
        <f t="shared" si="217"/>
        <v>10.947694772625766</v>
      </c>
      <c r="H829" s="101">
        <f t="shared" si="218"/>
        <v>0.2505245450738669</v>
      </c>
      <c r="I829" s="101">
        <f t="shared" si="219"/>
        <v>0.2505245450738669</v>
      </c>
      <c r="J829" s="101">
        <f t="shared" si="220"/>
        <v>0.12017610506363063</v>
      </c>
      <c r="K829" s="101">
        <f t="shared" si="221"/>
        <v>1.9638398709790294E-2</v>
      </c>
      <c r="L829" s="101">
        <f t="shared" si="228"/>
        <v>97.395679375443592</v>
      </c>
      <c r="M829" s="101">
        <f t="shared" si="222"/>
        <v>574.56628717598949</v>
      </c>
      <c r="N829" s="101">
        <f t="shared" si="223"/>
        <v>55.331978326159216</v>
      </c>
      <c r="O829" s="101">
        <f t="shared" si="224"/>
        <v>1.3207685871998882</v>
      </c>
      <c r="P829" s="101">
        <f t="shared" si="225"/>
        <v>1.3207685871998882</v>
      </c>
      <c r="Q829" s="101">
        <f t="shared" si="226"/>
        <v>0.63119063208826243</v>
      </c>
      <c r="R829" s="101">
        <f t="shared" si="227"/>
        <v>1.5388086362577996E-2</v>
      </c>
      <c r="S829" s="101">
        <f t="shared" si="229"/>
        <v>515.94619295697964</v>
      </c>
      <c r="T829" s="101">
        <f t="shared" si="230"/>
        <v>277.19594485529376</v>
      </c>
      <c r="U829" s="101">
        <f t="shared" si="231"/>
        <v>40.039923448950447</v>
      </c>
      <c r="V829" s="33">
        <f t="shared" si="232"/>
        <v>1000</v>
      </c>
      <c r="W829" s="105">
        <f>IF(A829=1,((cPH1_+cPHr+(cNES*L829+(cNES+cOSEX)*G829+(cNES+cEREX)*H829+(cNES+cHOEX)*I829 + (cNES+cNES)*S829 +(cNES+ cOSEX)*N829 + (cNES+cEREX)*O829 + (cNES+cHOEX)*P829)))/(1+cDR)^A$5:A$65536,(cPHr+(cNES*L829+(cNES+cOSEX)*G829+(cNES+cEREX)*H829+(cNES+cHOEX)*I829 + (cNES+cNES)*S829 +(cNES+ cOSEX)*N829 + (cNES+cEREX)*O829 + (cNES+cHOEX)*P829))/(1+cDR)^A$5:A$65536)</f>
        <v>52004.849979026018</v>
      </c>
      <c r="X829" s="112">
        <f t="shared" si="233"/>
        <v>682.76413169575574</v>
      </c>
      <c r="Y829" s="32">
        <f>(uNES*L829+ uOCEX*G829+uEREX*'PH + UC'!H829+uHOEX*I829+uNES*S829+ uOCEX*N829+uEREX*O829+uHOEX*P829)/(1+oDR)^A$5:A$65536</f>
        <v>354.71602103781885</v>
      </c>
    </row>
    <row r="830" spans="1:25" x14ac:dyDescent="0.25">
      <c r="A830" s="4">
        <v>824</v>
      </c>
      <c r="C830" s="110">
        <f>IF(male=0,VLOOKUP(((A828:A1662/'Life tables'!$I$2)*2)+age,lifetable,13,1),IF(male=1,VLOOKUP(((A828:A1662/'Life tables'!$I$2)*2)+age,lifetable,10,1),"error"))</f>
        <v>9.9786705819526755E-4</v>
      </c>
      <c r="F830" s="101">
        <f t="shared" si="216"/>
        <v>108.85883322040576</v>
      </c>
      <c r="G830" s="101">
        <f t="shared" si="217"/>
        <v>10.935097625975374</v>
      </c>
      <c r="H830" s="101">
        <f t="shared" si="218"/>
        <v>0.25023627484900557</v>
      </c>
      <c r="I830" s="101">
        <f t="shared" si="219"/>
        <v>0.25023627484900557</v>
      </c>
      <c r="J830" s="101">
        <f t="shared" si="220"/>
        <v>0.1200378224342003</v>
      </c>
      <c r="K830" s="101">
        <f t="shared" si="221"/>
        <v>1.9615801460445649E-2</v>
      </c>
      <c r="L830" s="101">
        <f t="shared" si="228"/>
        <v>97.28360942083772</v>
      </c>
      <c r="M830" s="101">
        <f t="shared" si="222"/>
        <v>573.90529847534992</v>
      </c>
      <c r="N830" s="101">
        <f t="shared" si="223"/>
        <v>55.268323682171335</v>
      </c>
      <c r="O830" s="101">
        <f t="shared" si="224"/>
        <v>1.3192491574460303</v>
      </c>
      <c r="P830" s="101">
        <f t="shared" si="225"/>
        <v>1.3192491574460303</v>
      </c>
      <c r="Q830" s="101">
        <f t="shared" si="226"/>
        <v>0.63046450198792114</v>
      </c>
      <c r="R830" s="101">
        <f t="shared" si="227"/>
        <v>1.5370383703307604E-2</v>
      </c>
      <c r="S830" s="101">
        <f t="shared" si="229"/>
        <v>515.35264159259532</v>
      </c>
      <c r="T830" s="101">
        <f t="shared" si="230"/>
        <v>277.9464471797159</v>
      </c>
      <c r="U830" s="101">
        <f t="shared" si="231"/>
        <v>40.074909634114199</v>
      </c>
      <c r="V830" s="33">
        <f t="shared" si="232"/>
        <v>1000</v>
      </c>
      <c r="W830" s="105">
        <f>IF(A830=1,((cPH1_+cPHr+(cNES*L830+(cNES+cOSEX)*G830+(cNES+cEREX)*H830+(cNES+cHOEX)*I830 + (cNES+cNES)*S830 +(cNES+ cOSEX)*N830 + (cNES+cEREX)*O830 + (cNES+cHOEX)*P830)))/(1+cDR)^A$5:A$65536,(cPHr+(cNES*L830+(cNES+cOSEX)*G830+(cNES+cEREX)*H830+(cNES+cHOEX)*I830 + (cNES+cNES)*S830 +(cNES+ cOSEX)*N830 + (cNES+cEREX)*O830 + (cNES+cHOEX)*P830))/(1+cDR)^A$5:A$65536)</f>
        <v>51885.329096001318</v>
      </c>
      <c r="X830" s="112">
        <f t="shared" si="233"/>
        <v>681.97864318616985</v>
      </c>
      <c r="Y830" s="32">
        <f>(uNES*L830+ uOCEX*G830+uEREX*'PH + UC'!H830+uHOEX*I830+uNES*S830+ uOCEX*N830+uEREX*O830+uHOEX*P830)/(1+oDR)^A$5:A$65536</f>
        <v>354.20604188756465</v>
      </c>
    </row>
    <row r="831" spans="1:25" x14ac:dyDescent="0.25">
      <c r="A831" s="4">
        <v>825</v>
      </c>
      <c r="C831" s="110">
        <f>IF(male=0,VLOOKUP(((A829:A1663/'Life tables'!$I$2)*2)+age,lifetable,13,1),IF(male=1,VLOOKUP(((A829:A1663/'Life tables'!$I$2)*2)+age,lifetable,10,1),"error"))</f>
        <v>9.9786705819526755E-4</v>
      </c>
      <c r="F831" s="101">
        <f t="shared" si="216"/>
        <v>108.7335740328387</v>
      </c>
      <c r="G831" s="101">
        <f t="shared" si="217"/>
        <v>10.922515078431227</v>
      </c>
      <c r="H831" s="101">
        <f t="shared" si="218"/>
        <v>0.2499483387067549</v>
      </c>
      <c r="I831" s="101">
        <f t="shared" si="219"/>
        <v>0.2499483387067549</v>
      </c>
      <c r="J831" s="101">
        <f t="shared" si="220"/>
        <v>0.11989970006350589</v>
      </c>
      <c r="K831" s="101">
        <f t="shared" si="221"/>
        <v>1.9593230399542971E-2</v>
      </c>
      <c r="L831" s="101">
        <f t="shared" si="228"/>
        <v>97.171669346530919</v>
      </c>
      <c r="M831" s="101">
        <f t="shared" si="222"/>
        <v>573.24506915333109</v>
      </c>
      <c r="N831" s="101">
        <f t="shared" si="223"/>
        <v>55.204742167989927</v>
      </c>
      <c r="O831" s="101">
        <f t="shared" si="224"/>
        <v>1.3177314732930727</v>
      </c>
      <c r="P831" s="101">
        <f t="shared" si="225"/>
        <v>1.3177314732930727</v>
      </c>
      <c r="Q831" s="101">
        <f t="shared" si="226"/>
        <v>0.62973920610407008</v>
      </c>
      <c r="R831" s="101">
        <f t="shared" si="227"/>
        <v>1.5352701381784239E-2</v>
      </c>
      <c r="S831" s="101">
        <f t="shared" si="229"/>
        <v>514.75977213126919</v>
      </c>
      <c r="T831" s="101">
        <f t="shared" si="230"/>
        <v>278.69608608588351</v>
      </c>
      <c r="U831" s="101">
        <f t="shared" si="231"/>
        <v>40.109855565895529</v>
      </c>
      <c r="V831" s="33">
        <f t="shared" si="232"/>
        <v>999.99999999999989</v>
      </c>
      <c r="W831" s="105">
        <f>IF(A831=1,((cPH1_+cPHr+(cNES*L831+(cNES+cOSEX)*G831+(cNES+cEREX)*H831+(cNES+cHOEX)*I831 + (cNES+cNES)*S831 +(cNES+ cOSEX)*N831 + (cNES+cEREX)*O831 + (cNES+cHOEX)*P831)))/(1+cDR)^A$5:A$65536,(cPHr+(cNES*L831+(cNES+cOSEX)*G831+(cNES+cEREX)*H831+(cNES+cHOEX)*I831 + (cNES+cNES)*S831 +(cNES+ cOSEX)*N831 + (cNES+cEREX)*O831 + (cNES+cHOEX)*P831))/(1+cDR)^A$5:A$65536)</f>
        <v>51766.082883564261</v>
      </c>
      <c r="X831" s="112">
        <f t="shared" si="233"/>
        <v>681.19405834822089</v>
      </c>
      <c r="Y831" s="32">
        <f>(uNES*L831+ uOCEX*G831+uEREX*'PH + UC'!H831+uHOEX*I831+uNES*S831+ uOCEX*N831+uEREX*O831+uHOEX*P831)/(1+oDR)^A$5:A$65536</f>
        <v>353.69679594146191</v>
      </c>
    </row>
    <row r="832" spans="1:25" x14ac:dyDescent="0.25">
      <c r="A832" s="4">
        <v>826</v>
      </c>
      <c r="C832" s="110">
        <f>IF(male=0,VLOOKUP(((A830:A1664/'Life tables'!$I$2)*2)+age,lifetable,13,1),IF(male=1,VLOOKUP(((A830:A1664/'Life tables'!$I$2)*2)+age,lifetable,10,1),"error"))</f>
        <v>9.9786705819526755E-4</v>
      </c>
      <c r="F832" s="101">
        <f t="shared" si="216"/>
        <v>108.60845996351544</v>
      </c>
      <c r="G832" s="101">
        <f t="shared" si="217"/>
        <v>10.909947108318386</v>
      </c>
      <c r="H832" s="101">
        <f t="shared" si="218"/>
        <v>0.24966073615111053</v>
      </c>
      <c r="I832" s="101">
        <f t="shared" si="219"/>
        <v>0.24966073615111053</v>
      </c>
      <c r="J832" s="101">
        <f t="shared" si="220"/>
        <v>0.11976173771361523</v>
      </c>
      <c r="K832" s="101">
        <f t="shared" si="221"/>
        <v>1.9570685488200918E-2</v>
      </c>
      <c r="L832" s="101">
        <f t="shared" si="228"/>
        <v>97.059858959693017</v>
      </c>
      <c r="M832" s="101">
        <f t="shared" si="222"/>
        <v>572.58559838470546</v>
      </c>
      <c r="N832" s="101">
        <f t="shared" si="223"/>
        <v>55.141233704143779</v>
      </c>
      <c r="O832" s="101">
        <f t="shared" si="224"/>
        <v>1.3162155328440457</v>
      </c>
      <c r="P832" s="101">
        <f t="shared" si="225"/>
        <v>1.3162155328440457</v>
      </c>
      <c r="Q832" s="101">
        <f t="shared" si="226"/>
        <v>0.62901474353015463</v>
      </c>
      <c r="R832" s="101">
        <f t="shared" si="227"/>
        <v>1.533503937590658E-2</v>
      </c>
      <c r="S832" s="101">
        <f t="shared" si="229"/>
        <v>514.16758383196748</v>
      </c>
      <c r="T832" s="101">
        <f t="shared" si="230"/>
        <v>279.4448625671273</v>
      </c>
      <c r="U832" s="101">
        <f t="shared" si="231"/>
        <v>40.144761290759639</v>
      </c>
      <c r="V832" s="33">
        <f t="shared" si="232"/>
        <v>999.99999999999989</v>
      </c>
      <c r="W832" s="105">
        <f>IF(A832=1,((cPH1_+cPHr+(cNES*L832+(cNES+cOSEX)*G832+(cNES+cEREX)*H832+(cNES+cHOEX)*I832 + (cNES+cNES)*S832 +(cNES+ cOSEX)*N832 + (cNES+cEREX)*O832 + (cNES+cHOEX)*P832)))/(1+cDR)^A$5:A$65536,(cPHr+(cNES*L832+(cNES+cOSEX)*G832+(cNES+cEREX)*H832+(cNES+cHOEX)*I832 + (cNES+cNES)*S832 +(cNES+ cOSEX)*N832 + (cNES+cEREX)*O832 + (cNES+cHOEX)*P832))/(1+cDR)^A$5:A$65536)</f>
        <v>51647.110712016001</v>
      </c>
      <c r="X832" s="112">
        <f t="shared" si="233"/>
        <v>680.41037614211291</v>
      </c>
      <c r="Y832" s="32">
        <f>(uNES*L832+ uOCEX*G832+uEREX*'PH + UC'!H832+uHOEX*I832+uNES*S832+ uOCEX*N832+uEREX*O832+uHOEX*P832)/(1+oDR)^A$5:A$65536</f>
        <v>353.18828214530464</v>
      </c>
    </row>
    <row r="833" spans="1:25" x14ac:dyDescent="0.25">
      <c r="A833" s="4">
        <v>827</v>
      </c>
      <c r="C833" s="110">
        <f>IF(male=0,VLOOKUP(((A831:A1665/'Life tables'!$I$2)*2)+age,lifetable,13,1),IF(male=1,VLOOKUP(((A831:A1665/'Life tables'!$I$2)*2)+age,lifetable,10,1),"error"))</f>
        <v>9.9786705819526755E-4</v>
      </c>
      <c r="F833" s="101">
        <f t="shared" si="216"/>
        <v>108.48349079913201</v>
      </c>
      <c r="G833" s="101">
        <f t="shared" si="217"/>
        <v>10.897393694210018</v>
      </c>
      <c r="H833" s="101">
        <f t="shared" si="218"/>
        <v>0.24937346669174579</v>
      </c>
      <c r="I833" s="101">
        <f t="shared" si="219"/>
        <v>0.24937346669174579</v>
      </c>
      <c r="J833" s="101">
        <f t="shared" si="220"/>
        <v>0.11962393514931954</v>
      </c>
      <c r="K833" s="101">
        <f t="shared" si="221"/>
        <v>1.9548166687983211E-2</v>
      </c>
      <c r="L833" s="101">
        <f t="shared" si="228"/>
        <v>96.9481780697012</v>
      </c>
      <c r="M833" s="101">
        <f t="shared" si="222"/>
        <v>571.926885342981</v>
      </c>
      <c r="N833" s="101">
        <f t="shared" si="223"/>
        <v>55.077798211039934</v>
      </c>
      <c r="O833" s="101">
        <f t="shared" si="224"/>
        <v>1.3147013341990736</v>
      </c>
      <c r="P833" s="101">
        <f t="shared" si="225"/>
        <v>1.3147013341990736</v>
      </c>
      <c r="Q833" s="101">
        <f t="shared" si="226"/>
        <v>0.62829111335823074</v>
      </c>
      <c r="R833" s="101">
        <f t="shared" si="227"/>
        <v>1.5317397663539444E-2</v>
      </c>
      <c r="S833" s="101">
        <f t="shared" si="229"/>
        <v>513.57607595252114</v>
      </c>
      <c r="T833" s="101">
        <f t="shared" si="230"/>
        <v>280.19277761563484</v>
      </c>
      <c r="U833" s="101">
        <f t="shared" si="231"/>
        <v>40.17962685511116</v>
      </c>
      <c r="V833" s="33">
        <f t="shared" si="232"/>
        <v>1000</v>
      </c>
      <c r="W833" s="105">
        <f>IF(A833=1,((cPH1_+cPHr+(cNES*L833+(cNES+cOSEX)*G833+(cNES+cEREX)*H833+(cNES+cHOEX)*I833 + (cNES+cNES)*S833 +(cNES+ cOSEX)*N833 + (cNES+cEREX)*O833 + (cNES+cHOEX)*P833)))/(1+cDR)^A$5:A$65536,(cPHr+(cNES*L833+(cNES+cOSEX)*G833+(cNES+cEREX)*H833+(cNES+cHOEX)*I833 + (cNES+cNES)*S833 +(cNES+ cOSEX)*N833 + (cNES+cEREX)*O833 + (cNES+cHOEX)*P833))/(1+cDR)^A$5:A$65536)</f>
        <v>51528.411953029383</v>
      </c>
      <c r="X833" s="112">
        <f t="shared" si="233"/>
        <v>679.62759552925399</v>
      </c>
      <c r="Y833" s="32">
        <f>(uNES*L833+ uOCEX*G833+uEREX*'PH + UC'!H833+uHOEX*I833+uNES*S833+ uOCEX*N833+uEREX*O833+uHOEX*P833)/(1+oDR)^A$5:A$65536</f>
        <v>352.68049944640569</v>
      </c>
    </row>
    <row r="834" spans="1:25" x14ac:dyDescent="0.25">
      <c r="A834" s="4">
        <v>828</v>
      </c>
      <c r="C834" s="110">
        <f>IF(male=0,VLOOKUP(((A832:A1666/'Life tables'!$I$2)*2)+age,lifetable,13,1),IF(male=1,VLOOKUP(((A832:A1666/'Life tables'!$I$2)*2)+age,lifetable,10,1),"error"))</f>
        <v>9.9786705819526755E-4</v>
      </c>
      <c r="F834" s="101">
        <f t="shared" si="216"/>
        <v>108.35866632875008</v>
      </c>
      <c r="G834" s="101">
        <f t="shared" si="217"/>
        <v>10.884854814916929</v>
      </c>
      <c r="H834" s="101">
        <f t="shared" si="218"/>
        <v>0.24908652984377191</v>
      </c>
      <c r="I834" s="101">
        <f t="shared" si="219"/>
        <v>0.24908652984377191</v>
      </c>
      <c r="J834" s="101">
        <f t="shared" si="220"/>
        <v>0.11948629213801873</v>
      </c>
      <c r="K834" s="101">
        <f t="shared" si="221"/>
        <v>1.9525673960879845E-2</v>
      </c>
      <c r="L834" s="101">
        <f t="shared" si="228"/>
        <v>96.836626488046704</v>
      </c>
      <c r="M834" s="101">
        <f t="shared" si="222"/>
        <v>571.26892920050398</v>
      </c>
      <c r="N834" s="101">
        <f t="shared" si="223"/>
        <v>55.014435608973535</v>
      </c>
      <c r="O834" s="101">
        <f t="shared" si="224"/>
        <v>1.3131888754556098</v>
      </c>
      <c r="P834" s="101">
        <f t="shared" si="225"/>
        <v>1.3131888754556098</v>
      </c>
      <c r="Q834" s="101">
        <f t="shared" si="226"/>
        <v>0.62756831467907803</v>
      </c>
      <c r="R834" s="101">
        <f t="shared" si="227"/>
        <v>1.5299776222516532E-2</v>
      </c>
      <c r="S834" s="101">
        <f t="shared" si="229"/>
        <v>512.98524774971759</v>
      </c>
      <c r="T834" s="101">
        <f t="shared" si="230"/>
        <v>280.93983222245191</v>
      </c>
      <c r="U834" s="101">
        <f t="shared" si="231"/>
        <v>40.214452305294557</v>
      </c>
      <c r="V834" s="33">
        <f t="shared" si="232"/>
        <v>1000</v>
      </c>
      <c r="W834" s="105">
        <f>IF(A834=1,((cPH1_+cPHr+(cNES*L834+(cNES+cOSEX)*G834+(cNES+cEREX)*H834+(cNES+cHOEX)*I834 + (cNES+cNES)*S834 +(cNES+ cOSEX)*N834 + (cNES+cEREX)*O834 + (cNES+cHOEX)*P834)))/(1+cDR)^A$5:A$65536,(cPHr+(cNES*L834+(cNES+cOSEX)*G834+(cNES+cEREX)*H834+(cNES+cHOEX)*I834 + (cNES+cNES)*S834 +(cNES+ cOSEX)*N834 + (cNES+cEREX)*O834 + (cNES+cHOEX)*P834))/(1+cDR)^A$5:A$65536)</f>
        <v>51409.985979649507</v>
      </c>
      <c r="X834" s="112">
        <f t="shared" si="233"/>
        <v>678.84571547225346</v>
      </c>
      <c r="Y834" s="32">
        <f>(uNES*L834+ uOCEX*G834+uEREX*'PH + UC'!H834+uHOEX*I834+uNES*S834+ uOCEX*N834+uEREX*O834+uHOEX*P834)/(1+oDR)^A$5:A$65536</f>
        <v>352.17344679359439</v>
      </c>
    </row>
    <row r="835" spans="1:25" x14ac:dyDescent="0.25">
      <c r="A835" s="4">
        <v>829</v>
      </c>
      <c r="C835" s="110">
        <f>IF(male=0,VLOOKUP(((A833:A1667/'Life tables'!$I$2)*2)+age,lifetable,13,1),IF(male=1,VLOOKUP(((A833:A1667/'Life tables'!$I$2)*2)+age,lifetable,10,1),"error"))</f>
        <v>9.9786705819526755E-4</v>
      </c>
      <c r="F835" s="101">
        <f t="shared" si="216"/>
        <v>108.23398634369714</v>
      </c>
      <c r="G835" s="101">
        <f t="shared" si="217"/>
        <v>10.872330449477531</v>
      </c>
      <c r="H835" s="101">
        <f t="shared" si="218"/>
        <v>0.24879992512750873</v>
      </c>
      <c r="I835" s="101">
        <f t="shared" si="219"/>
        <v>0.24879992512750873</v>
      </c>
      <c r="J835" s="101">
        <f t="shared" si="220"/>
        <v>0.11934880844961118</v>
      </c>
      <c r="K835" s="101">
        <f t="shared" si="221"/>
        <v>1.9503207269289113E-2</v>
      </c>
      <c r="L835" s="101">
        <f t="shared" si="228"/>
        <v>96.725204028245685</v>
      </c>
      <c r="M835" s="101">
        <f t="shared" si="222"/>
        <v>570.61172912855625</v>
      </c>
      <c r="N835" s="101">
        <f t="shared" si="223"/>
        <v>54.951145818137228</v>
      </c>
      <c r="O835" s="101">
        <f t="shared" si="224"/>
        <v>1.3116781547086611</v>
      </c>
      <c r="P835" s="101">
        <f t="shared" si="225"/>
        <v>1.3116781547086611</v>
      </c>
      <c r="Q835" s="101">
        <f t="shared" si="226"/>
        <v>0.6268463465823072</v>
      </c>
      <c r="R835" s="101">
        <f t="shared" si="227"/>
        <v>1.528217503064304E-2</v>
      </c>
      <c r="S835" s="101">
        <f t="shared" si="229"/>
        <v>512.39509847938871</v>
      </c>
      <c r="T835" s="101">
        <f t="shared" si="230"/>
        <v>281.68602737748381</v>
      </c>
      <c r="U835" s="101">
        <f t="shared" si="231"/>
        <v>40.249237687594487</v>
      </c>
      <c r="V835" s="33">
        <f t="shared" si="232"/>
        <v>999.99999999999977</v>
      </c>
      <c r="W835" s="105">
        <f>IF(A835=1,((cPH1_+cPHr+(cNES*L835+(cNES+cOSEX)*G835+(cNES+cEREX)*H835+(cNES+cHOEX)*I835 + (cNES+cNES)*S835 +(cNES+ cOSEX)*N835 + (cNES+cEREX)*O835 + (cNES+cHOEX)*P835)))/(1+cDR)^A$5:A$65536,(cPHr+(cNES*L835+(cNES+cOSEX)*G835+(cNES+cEREX)*H835+(cNES+cHOEX)*I835 + (cNES+cNES)*S835 +(cNES+ cOSEX)*N835 + (cNES+cEREX)*O835 + (cNES+cHOEX)*P835))/(1+cDR)^A$5:A$65536)</f>
        <v>51291.83216629352</v>
      </c>
      <c r="X835" s="112">
        <f t="shared" si="233"/>
        <v>678.06473493492149</v>
      </c>
      <c r="Y835" s="32">
        <f>(uNES*L835+ uOCEX*G835+uEREX*'PH + UC'!H835+uHOEX*I835+uNES*S835+ uOCEX*N835+uEREX*O835+uHOEX*P835)/(1+oDR)^A$5:A$65536</f>
        <v>351.66712313721416</v>
      </c>
    </row>
    <row r="836" spans="1:25" x14ac:dyDescent="0.25">
      <c r="A836" s="4">
        <v>830</v>
      </c>
      <c r="C836" s="110">
        <f>IF(male=0,VLOOKUP(((A834:A1668/'Life tables'!$I$2)*2)+age,lifetable,13,1),IF(male=1,VLOOKUP(((A834:A1668/'Life tables'!$I$2)*2)+age,lifetable,10,1),"error"))</f>
        <v>9.9786705819526755E-4</v>
      </c>
      <c r="F836" s="101">
        <f t="shared" si="216"/>
        <v>108.10945063747151</v>
      </c>
      <c r="G836" s="101">
        <f t="shared" si="217"/>
        <v>10.859820577148293</v>
      </c>
      <c r="H836" s="101">
        <f t="shared" si="218"/>
        <v>0.24851365206826609</v>
      </c>
      <c r="I836" s="101">
        <f t="shared" si="219"/>
        <v>0.24851365206826609</v>
      </c>
      <c r="J836" s="101">
        <f t="shared" si="220"/>
        <v>0.11921148385638904</v>
      </c>
      <c r="K836" s="101">
        <f t="shared" si="221"/>
        <v>1.9480766576000473E-2</v>
      </c>
      <c r="L836" s="101">
        <f t="shared" si="228"/>
        <v>96.613910505754291</v>
      </c>
      <c r="M836" s="101">
        <f t="shared" si="222"/>
        <v>569.95528429745002</v>
      </c>
      <c r="N836" s="101">
        <f t="shared" si="223"/>
        <v>54.887928758630281</v>
      </c>
      <c r="O836" s="101">
        <f t="shared" si="224"/>
        <v>1.3101691700510052</v>
      </c>
      <c r="P836" s="101">
        <f t="shared" si="225"/>
        <v>1.3101691700510052</v>
      </c>
      <c r="Q836" s="101">
        <f t="shared" si="226"/>
        <v>0.62612520815646344</v>
      </c>
      <c r="R836" s="101">
        <f t="shared" si="227"/>
        <v>1.5264594065698196E-2</v>
      </c>
      <c r="S836" s="101">
        <f t="shared" si="229"/>
        <v>511.80562739649554</v>
      </c>
      <c r="T836" s="101">
        <f t="shared" si="230"/>
        <v>282.43136406949668</v>
      </c>
      <c r="U836" s="101">
        <f t="shared" si="231"/>
        <v>40.283983048236188</v>
      </c>
      <c r="V836" s="33">
        <f t="shared" si="232"/>
        <v>999.99999999999989</v>
      </c>
      <c r="W836" s="105">
        <f>IF(A836=1,((cPH1_+cPHr+(cNES*L836+(cNES+cOSEX)*G836+(cNES+cEREX)*H836+(cNES+cHOEX)*I836 + (cNES+cNES)*S836 +(cNES+ cOSEX)*N836 + (cNES+cEREX)*O836 + (cNES+cHOEX)*P836)))/(1+cDR)^A$5:A$65536,(cPHr+(cNES*L836+(cNES+cOSEX)*G836+(cNES+cEREX)*H836+(cNES+cHOEX)*I836 + (cNES+cNES)*S836 +(cNES+ cOSEX)*N836 + (cNES+cEREX)*O836 + (cNES+cHOEX)*P836))/(1+cDR)^A$5:A$65536)</f>
        <v>51173.949888751216</v>
      </c>
      <c r="X836" s="112">
        <f t="shared" si="233"/>
        <v>677.28465288226698</v>
      </c>
      <c r="Y836" s="32">
        <f>(uNES*L836+ uOCEX*G836+uEREX*'PH + UC'!H836+uHOEX*I836+uNES*S836+ uOCEX*N836+uEREX*O836+uHOEX*P836)/(1+oDR)^A$5:A$65536</f>
        <v>351.16152742912095</v>
      </c>
    </row>
    <row r="837" spans="1:25" x14ac:dyDescent="0.25">
      <c r="A837" s="4">
        <v>831</v>
      </c>
      <c r="C837" s="110">
        <f>IF(male=0,VLOOKUP(((A835:A1669/'Life tables'!$I$2)*2)+age,lifetable,13,1),IF(male=1,VLOOKUP(((A835:A1669/'Life tables'!$I$2)*2)+age,lifetable,10,1),"error"))</f>
        <v>9.9786705819526755E-4</v>
      </c>
      <c r="F837" s="101">
        <f t="shared" si="216"/>
        <v>107.98505900565137</v>
      </c>
      <c r="G837" s="101">
        <f t="shared" si="217"/>
        <v>10.847325177394618</v>
      </c>
      <c r="H837" s="101">
        <f t="shared" si="218"/>
        <v>0.24822771019613488</v>
      </c>
      <c r="I837" s="101">
        <f t="shared" si="219"/>
        <v>0.24822771019613488</v>
      </c>
      <c r="J837" s="101">
        <f t="shared" si="220"/>
        <v>0.11907431813293787</v>
      </c>
      <c r="K837" s="101">
        <f t="shared" si="221"/>
        <v>1.945835184417816E-2</v>
      </c>
      <c r="L837" s="101">
        <f t="shared" si="228"/>
        <v>96.502745737887366</v>
      </c>
      <c r="M837" s="101">
        <f t="shared" si="222"/>
        <v>569.29959387661563</v>
      </c>
      <c r="N837" s="101">
        <f t="shared" si="223"/>
        <v>54.824784350467041</v>
      </c>
      <c r="O837" s="101">
        <f t="shared" si="224"/>
        <v>1.3086619195733931</v>
      </c>
      <c r="P837" s="101">
        <f t="shared" si="225"/>
        <v>1.3086619195733931</v>
      </c>
      <c r="Q837" s="101">
        <f t="shared" si="226"/>
        <v>0.62540489848912317</v>
      </c>
      <c r="R837" s="101">
        <f t="shared" si="227"/>
        <v>1.5247033305437608E-2</v>
      </c>
      <c r="S837" s="101">
        <f t="shared" si="229"/>
        <v>511.21683375520723</v>
      </c>
      <c r="T837" s="101">
        <f t="shared" si="230"/>
        <v>283.17584328611872</v>
      </c>
      <c r="U837" s="101">
        <f t="shared" si="231"/>
        <v>40.318688433385802</v>
      </c>
      <c r="V837" s="33">
        <f t="shared" si="232"/>
        <v>999.99999999999977</v>
      </c>
      <c r="W837" s="105">
        <f>IF(A837=1,((cPH1_+cPHr+(cNES*L837+(cNES+cOSEX)*G837+(cNES+cEREX)*H837+(cNES+cHOEX)*I837 + (cNES+cNES)*S837 +(cNES+ cOSEX)*N837 + (cNES+cEREX)*O837 + (cNES+cHOEX)*P837)))/(1+cDR)^A$5:A$65536,(cPHr+(cNES*L837+(cNES+cOSEX)*G837+(cNES+cEREX)*H837+(cNES+cHOEX)*I837 + (cNES+cNES)*S837 +(cNES+ cOSEX)*N837 + (cNES+cEREX)*O837 + (cNES+cHOEX)*P837))/(1+cDR)^A$5:A$65536)</f>
        <v>51056.338524184488</v>
      </c>
      <c r="X837" s="112">
        <f t="shared" si="233"/>
        <v>676.50546828049528</v>
      </c>
      <c r="Y837" s="32">
        <f>(uNES*L837+ uOCEX*G837+uEREX*'PH + UC'!H837+uHOEX*I837+uNES*S837+ uOCEX*N837+uEREX*O837+uHOEX*P837)/(1+oDR)^A$5:A$65536</f>
        <v>350.65665862267974</v>
      </c>
    </row>
    <row r="838" spans="1:25" x14ac:dyDescent="0.25">
      <c r="A838" s="4">
        <v>832</v>
      </c>
      <c r="C838" s="110">
        <f>IF(male=0,VLOOKUP(((A836:A1670/'Life tables'!$I$2)*2)+age,lifetable,13,1),IF(male=1,VLOOKUP(((A836:A1670/'Life tables'!$I$2)*2)+age,lifetable,10,1),"error"))</f>
        <v>9.9786705819526755E-4</v>
      </c>
      <c r="F838" s="101">
        <f t="shared" si="216"/>
        <v>107.86081124580816</v>
      </c>
      <c r="G838" s="101">
        <f t="shared" si="217"/>
        <v>10.834844229882133</v>
      </c>
      <c r="H838" s="101">
        <f t="shared" si="218"/>
        <v>0.24794209904578801</v>
      </c>
      <c r="I838" s="101">
        <f t="shared" si="219"/>
        <v>0.24794209904578801</v>
      </c>
      <c r="J838" s="101">
        <f t="shared" si="220"/>
        <v>0.11893731105604126</v>
      </c>
      <c r="K838" s="101">
        <f t="shared" si="221"/>
        <v>1.9435963037345606E-2</v>
      </c>
      <c r="L838" s="101">
        <f t="shared" si="228"/>
        <v>96.391709543741072</v>
      </c>
      <c r="M838" s="101">
        <f t="shared" si="222"/>
        <v>568.64465703468716</v>
      </c>
      <c r="N838" s="101">
        <f t="shared" si="223"/>
        <v>54.761712513585159</v>
      </c>
      <c r="O838" s="101">
        <f t="shared" si="224"/>
        <v>1.3071564013647445</v>
      </c>
      <c r="P838" s="101">
        <f t="shared" si="225"/>
        <v>1.3071564013647445</v>
      </c>
      <c r="Q838" s="101">
        <f t="shared" si="226"/>
        <v>0.62468541666698829</v>
      </c>
      <c r="R838" s="101">
        <f t="shared" si="227"/>
        <v>1.5229492727595556E-2</v>
      </c>
      <c r="S838" s="101">
        <f t="shared" si="229"/>
        <v>510.62871680897791</v>
      </c>
      <c r="T838" s="101">
        <f t="shared" si="230"/>
        <v>283.91946601384177</v>
      </c>
      <c r="U838" s="101">
        <f t="shared" si="231"/>
        <v>40.353353889150746</v>
      </c>
      <c r="V838" s="33">
        <f t="shared" si="232"/>
        <v>999.99999999999989</v>
      </c>
      <c r="W838" s="105">
        <f>IF(A838=1,((cPH1_+cPHr+(cNES*L838+(cNES+cOSEX)*G838+(cNES+cEREX)*H838+(cNES+cHOEX)*I838 + (cNES+cNES)*S838 +(cNES+ cOSEX)*N838 + (cNES+cEREX)*O838 + (cNES+cHOEX)*P838)))/(1+cDR)^A$5:A$65536,(cPHr+(cNES*L838+(cNES+cOSEX)*G838+(cNES+cEREX)*H838+(cNES+cHOEX)*I838 + (cNES+cNES)*S838 +(cNES+ cOSEX)*N838 + (cNES+cEREX)*O838 + (cNES+cHOEX)*P838))/(1+cDR)^A$5:A$65536)</f>
        <v>50938.997451127478</v>
      </c>
      <c r="X838" s="112">
        <f t="shared" si="233"/>
        <v>675.72718009700736</v>
      </c>
      <c r="Y838" s="32">
        <f>(uNES*L838+ uOCEX*G838+uEREX*'PH + UC'!H838+uHOEX*I838+uNES*S838+ uOCEX*N838+uEREX*O838+uHOEX*P838)/(1+oDR)^A$5:A$65536</f>
        <v>350.15251567276283</v>
      </c>
    </row>
    <row r="839" spans="1:25" x14ac:dyDescent="0.25">
      <c r="A839" s="4">
        <v>833</v>
      </c>
      <c r="C839" s="110">
        <f>IF(male=0,VLOOKUP(((A837:A1671/'Life tables'!$I$2)*2)+age,lifetable,13,1),IF(male=1,VLOOKUP(((A837:A1671/'Life tables'!$I$2)*2)+age,lifetable,10,1),"error"))</f>
        <v>9.9786705819526755E-4</v>
      </c>
      <c r="F839" s="101">
        <f t="shared" si="216"/>
        <v>107.73670715742389</v>
      </c>
      <c r="G839" s="101">
        <f t="shared" ref="G839" si="234">F839*(rrOSEX)</f>
        <v>10.822377714468386</v>
      </c>
      <c r="H839" s="101">
        <f t="shared" si="218"/>
        <v>0.2476568181562902</v>
      </c>
      <c r="I839" s="101">
        <f t="shared" si="219"/>
        <v>0.2476568181562902</v>
      </c>
      <c r="J839" s="101">
        <f t="shared" ref="J839:J902" si="235">F839*mr + G839*mr + H839*mr+I839*mr</f>
        <v>0.11880046240458943</v>
      </c>
      <c r="K839" s="101">
        <f t="shared" si="221"/>
        <v>1.9413600119370482E-2</v>
      </c>
      <c r="L839" s="101">
        <f t="shared" si="228"/>
        <v>96.280801744118961</v>
      </c>
      <c r="M839" s="101">
        <f t="shared" si="222"/>
        <v>567.99047293958347</v>
      </c>
      <c r="N839" s="101">
        <f t="shared" ref="N839" si="236">M839*rrOSEXc</f>
        <v>54.698713167853434</v>
      </c>
      <c r="O839" s="101">
        <f t="shared" si="224"/>
        <v>1.3056526135123359</v>
      </c>
      <c r="P839" s="101">
        <f t="shared" si="225"/>
        <v>1.3056526135123359</v>
      </c>
      <c r="Q839" s="101">
        <f t="shared" ref="Q839:Q902" si="237">M839*mr + N839*mr + O839*mr+P839*mr</f>
        <v>0.62396676177597465</v>
      </c>
      <c r="R839" s="101">
        <f t="shared" si="227"/>
        <v>1.5211972309887167E-2</v>
      </c>
      <c r="S839" s="101">
        <f t="shared" si="229"/>
        <v>510.04127581061948</v>
      </c>
      <c r="T839" s="101">
        <f t="shared" si="230"/>
        <v>284.66223323802234</v>
      </c>
      <c r="U839" s="101">
        <f t="shared" si="231"/>
        <v>40.387979461580002</v>
      </c>
      <c r="V839" s="33">
        <f t="shared" si="232"/>
        <v>999.99999999999977</v>
      </c>
      <c r="W839" s="105">
        <f>IF(A839=1,((cPH1_+cPHr+(cNES*L839+(cNES+cOSEX)*G839+(cNES+cEREX)*H839+(cNES+cHOEX)*I839 + (cNES+cNES)*S839 +(cNES+ cOSEX)*N839 + (cNES+cEREX)*O839 + (cNES+cHOEX)*P839)))/(1+cDR)^A$5:A$65536,(cPHr+(cNES*L839+(cNES+cOSEX)*G839+(cNES+cEREX)*H839+(cNES+cHOEX)*I839 + (cNES+cNES)*S839 +(cNES+ cOSEX)*N839 + (cNES+cEREX)*O839 + (cNES+cHOEX)*P839))/(1+cDR)^A$5:A$65536)</f>
        <v>50821.926049485854</v>
      </c>
      <c r="X839" s="112">
        <f t="shared" si="233"/>
        <v>674.94978730039747</v>
      </c>
      <c r="Y839" s="32">
        <f>(uNES*L839+ uOCEX*G839+uEREX*'PH + UC'!H839+uHOEX*I839+uNES*S839+ uOCEX*N839+uEREX*O839+uHOEX*P839)/(1+oDR)^A$5:A$65536</f>
        <v>349.64909753574807</v>
      </c>
    </row>
    <row r="840" spans="1:25" x14ac:dyDescent="0.25">
      <c r="W840" s="106" t="s">
        <v>107</v>
      </c>
      <c r="X840" s="103" t="s">
        <v>108</v>
      </c>
      <c r="Y840" s="103" t="s">
        <v>109</v>
      </c>
    </row>
    <row r="841" spans="1:25" x14ac:dyDescent="0.25">
      <c r="W841" s="107">
        <f>SUM(W779:W839)/1000</f>
        <v>3320.8151160606171</v>
      </c>
      <c r="X841" s="31">
        <f>SUM(X780:X839)/1000</f>
        <v>41.862218145859586</v>
      </c>
      <c r="Y841" s="11">
        <f>SUM(Y780:Y839)/1000</f>
        <v>21.873327757399995</v>
      </c>
    </row>
  </sheetData>
  <pageMargins left="0.75" right="0.75" top="1" bottom="1" header="0.5" footer="0.5"/>
  <headerFooter alignWithMargins="0">
    <oddHeader>&amp;A</oddHeader>
    <oddFoote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69"/>
  <sheetViews>
    <sheetView zoomScale="85" zoomScaleNormal="85" workbookViewId="0">
      <selection activeCell="K10" sqref="K10"/>
    </sheetView>
  </sheetViews>
  <sheetFormatPr defaultRowHeight="12.75" x14ac:dyDescent="0.2"/>
  <cols>
    <col min="1" max="1" width="9.140625" style="4"/>
    <col min="2" max="2" width="4.7109375" style="4" customWidth="1"/>
    <col min="3" max="3" width="9.140625" style="4"/>
    <col min="4" max="4" width="20.140625" style="4" bestFit="1" customWidth="1"/>
    <col min="5" max="5" width="10.85546875" style="4" bestFit="1" customWidth="1"/>
    <col min="6" max="6" width="12.85546875" style="4" bestFit="1" customWidth="1"/>
    <col min="7" max="7" width="12.7109375" style="4" customWidth="1"/>
    <col min="8" max="8" width="8.140625" style="4" customWidth="1"/>
    <col min="9" max="9" width="4.140625" style="4" customWidth="1"/>
    <col min="10" max="10" width="20.140625" style="4" bestFit="1" customWidth="1"/>
    <col min="11" max="11" width="10.85546875" style="4" bestFit="1" customWidth="1"/>
    <col min="12" max="12" width="12.85546875" style="4" bestFit="1" customWidth="1"/>
    <col min="13" max="13" width="7" style="4" bestFit="1" customWidth="1"/>
    <col min="14" max="16384" width="9.140625" style="4"/>
  </cols>
  <sheetData>
    <row r="1" spans="1:13" ht="15.75" x14ac:dyDescent="0.25">
      <c r="A1" s="41" t="s">
        <v>136</v>
      </c>
      <c r="B1" s="41"/>
    </row>
    <row r="2" spans="1:13" ht="15.75" x14ac:dyDescent="0.25">
      <c r="A2" s="41"/>
      <c r="B2" s="41"/>
      <c r="F2" s="102"/>
    </row>
    <row r="3" spans="1:13" x14ac:dyDescent="0.2">
      <c r="D3" s="39" t="s">
        <v>141</v>
      </c>
      <c r="E3" s="39"/>
      <c r="F3" s="38"/>
      <c r="G3" s="39"/>
      <c r="J3" s="39" t="s">
        <v>142</v>
      </c>
      <c r="K3" s="39"/>
      <c r="L3" s="38"/>
      <c r="M3" s="39"/>
    </row>
    <row r="4" spans="1:13" x14ac:dyDescent="0.2">
      <c r="A4" s="23" t="s">
        <v>21</v>
      </c>
      <c r="B4" s="23"/>
      <c r="D4" s="23" t="s">
        <v>133</v>
      </c>
      <c r="E4" s="23" t="s">
        <v>134</v>
      </c>
      <c r="F4" s="23" t="s">
        <v>135</v>
      </c>
      <c r="G4" s="23" t="s">
        <v>19</v>
      </c>
      <c r="J4" s="23" t="s">
        <v>133</v>
      </c>
      <c r="K4" s="23" t="s">
        <v>134</v>
      </c>
      <c r="L4" s="23" t="s">
        <v>135</v>
      </c>
      <c r="M4" s="23" t="s">
        <v>19</v>
      </c>
    </row>
    <row r="6" spans="1:13" ht="15" x14ac:dyDescent="0.25">
      <c r="A6" s="4">
        <v>0</v>
      </c>
      <c r="D6" s="34">
        <v>1000</v>
      </c>
      <c r="E6" s="34"/>
      <c r="F6" s="34"/>
      <c r="G6" s="33">
        <f t="shared" ref="G6:G37" si="0">SUM(D6:F6)</f>
        <v>1000</v>
      </c>
      <c r="H6" s="30"/>
      <c r="I6" s="30"/>
      <c r="J6" s="34">
        <v>1000</v>
      </c>
      <c r="K6" s="34"/>
      <c r="L6" s="34"/>
      <c r="M6" s="33">
        <f t="shared" ref="M6:M37" si="1">SUM(J6:L6)</f>
        <v>1000</v>
      </c>
    </row>
    <row r="7" spans="1:13" ht="15" x14ac:dyDescent="0.25">
      <c r="A7" s="4">
        <v>1</v>
      </c>
      <c r="D7" s="100"/>
      <c r="E7" s="101">
        <f t="shared" ref="E7:E38" si="2">D6*pCAUC+E6*(1-pUAUC)+F6*(pCAUC)</f>
        <v>25.496231708073914</v>
      </c>
      <c r="F7" s="33">
        <f t="shared" ref="F7:F38" si="3">D6*(1-pCAUC) + E6*pUAUC + F6*(1-pCAUC)</f>
        <v>974.50376829192612</v>
      </c>
      <c r="G7" s="33">
        <f t="shared" si="0"/>
        <v>1000</v>
      </c>
      <c r="H7" s="30"/>
      <c r="I7" s="30"/>
      <c r="J7" s="100"/>
      <c r="K7" s="101">
        <f t="shared" ref="K7:K38" si="4">J6*pCAPH+K6*(1-pUAPH)+L6*(pCAPH)</f>
        <v>37.417663718882444</v>
      </c>
      <c r="L7" s="33">
        <f t="shared" ref="L7:L38" si="5">J6*(1-pCAPH) + K6*pUAPH + L6*(1-pCAPH)</f>
        <v>962.58233628111759</v>
      </c>
      <c r="M7" s="33">
        <f t="shared" si="1"/>
        <v>1000</v>
      </c>
    </row>
    <row r="8" spans="1:13" ht="15" x14ac:dyDescent="0.25">
      <c r="A8" s="4">
        <v>2</v>
      </c>
      <c r="D8" s="100"/>
      <c r="E8" s="101">
        <f t="shared" si="2"/>
        <v>50.206579162337356</v>
      </c>
      <c r="F8" s="33">
        <f t="shared" si="3"/>
        <v>949.79342083766267</v>
      </c>
      <c r="G8" s="33">
        <f t="shared" si="0"/>
        <v>1000</v>
      </c>
      <c r="H8" s="30"/>
      <c r="I8" s="30"/>
      <c r="J8" s="100"/>
      <c r="K8" s="101">
        <f t="shared" si="4"/>
        <v>73.168779585954923</v>
      </c>
      <c r="L8" s="33">
        <f t="shared" si="5"/>
        <v>926.83122041404511</v>
      </c>
      <c r="M8" s="33">
        <f t="shared" si="1"/>
        <v>1000</v>
      </c>
    </row>
    <row r="9" spans="1:13" ht="15" x14ac:dyDescent="0.25">
      <c r="A9" s="4">
        <v>3</v>
      </c>
      <c r="D9" s="100"/>
      <c r="E9" s="101">
        <f t="shared" si="2"/>
        <v>74.155266101712172</v>
      </c>
      <c r="F9" s="33">
        <f t="shared" si="3"/>
        <v>925.84473389828793</v>
      </c>
      <c r="G9" s="33">
        <f t="shared" si="0"/>
        <v>1000.0000000000001</v>
      </c>
      <c r="H9" s="30"/>
      <c r="I9" s="30"/>
      <c r="J9" s="100"/>
      <c r="K9" s="101">
        <f t="shared" si="4"/>
        <v>107.32757408855879</v>
      </c>
      <c r="L9" s="33">
        <f t="shared" si="5"/>
        <v>892.67242591144122</v>
      </c>
      <c r="M9" s="33">
        <f t="shared" si="1"/>
        <v>1000</v>
      </c>
    </row>
    <row r="10" spans="1:13" ht="15" x14ac:dyDescent="0.25">
      <c r="A10" s="4">
        <v>4</v>
      </c>
      <c r="D10" s="100"/>
      <c r="E10" s="101">
        <f t="shared" si="2"/>
        <v>97.365769603605472</v>
      </c>
      <c r="F10" s="33">
        <f t="shared" si="3"/>
        <v>902.63423039639463</v>
      </c>
      <c r="G10" s="33">
        <f t="shared" si="0"/>
        <v>1000.0000000000001</v>
      </c>
      <c r="H10" s="30"/>
      <c r="I10" s="30"/>
      <c r="J10" s="100"/>
      <c r="K10" s="101">
        <f t="shared" si="4"/>
        <v>139.96496773550194</v>
      </c>
      <c r="L10" s="33">
        <f t="shared" si="5"/>
        <v>860.035032264498</v>
      </c>
      <c r="M10" s="33">
        <f t="shared" si="1"/>
        <v>1000</v>
      </c>
    </row>
    <row r="11" spans="1:13" ht="15" x14ac:dyDescent="0.25">
      <c r="A11" s="4">
        <v>5</v>
      </c>
      <c r="D11" s="100"/>
      <c r="E11" s="101">
        <f t="shared" si="2"/>
        <v>119.8608430986647</v>
      </c>
      <c r="F11" s="33">
        <f t="shared" si="3"/>
        <v>880.13915690133535</v>
      </c>
      <c r="G11" s="33">
        <f t="shared" si="0"/>
        <v>1000</v>
      </c>
      <c r="H11" s="30"/>
      <c r="I11" s="30"/>
      <c r="J11" s="100"/>
      <c r="K11" s="101">
        <f t="shared" si="4"/>
        <v>171.14872230226007</v>
      </c>
      <c r="L11" s="33">
        <f t="shared" si="5"/>
        <v>828.85127769773987</v>
      </c>
      <c r="M11" s="33">
        <f t="shared" si="1"/>
        <v>1000</v>
      </c>
    </row>
    <row r="12" spans="1:13" ht="15" x14ac:dyDescent="0.25">
      <c r="A12" s="4">
        <v>6</v>
      </c>
      <c r="D12" s="100"/>
      <c r="E12" s="101">
        <f t="shared" si="2"/>
        <v>141.66253867613628</v>
      </c>
      <c r="F12" s="33">
        <f t="shared" si="3"/>
        <v>858.33746132386375</v>
      </c>
      <c r="G12" s="33">
        <f t="shared" si="0"/>
        <v>1000</v>
      </c>
      <c r="H12" s="30"/>
      <c r="I12" s="30"/>
      <c r="J12" s="100"/>
      <c r="K12" s="101">
        <f t="shared" si="4"/>
        <v>200.94358151801384</v>
      </c>
      <c r="L12" s="33">
        <f t="shared" si="5"/>
        <v>799.05641848198604</v>
      </c>
      <c r="M12" s="33">
        <f t="shared" si="1"/>
        <v>999.99999999999989</v>
      </c>
    </row>
    <row r="13" spans="1:13" ht="15" x14ac:dyDescent="0.25">
      <c r="A13" s="4">
        <v>7</v>
      </c>
      <c r="D13" s="100"/>
      <c r="E13" s="101">
        <f t="shared" si="2"/>
        <v>162.79222870169411</v>
      </c>
      <c r="F13" s="33">
        <f t="shared" si="3"/>
        <v>837.20777129830583</v>
      </c>
      <c r="G13" s="33">
        <f t="shared" si="0"/>
        <v>1000</v>
      </c>
      <c r="H13" s="30"/>
      <c r="I13" s="30"/>
      <c r="J13" s="100"/>
      <c r="K13" s="101">
        <f t="shared" si="4"/>
        <v>229.41140548661676</v>
      </c>
      <c r="L13" s="33">
        <f t="shared" si="5"/>
        <v>770.5885945133831</v>
      </c>
      <c r="M13" s="33">
        <f t="shared" si="1"/>
        <v>999.99999999999989</v>
      </c>
    </row>
    <row r="14" spans="1:13" ht="15" x14ac:dyDescent="0.25">
      <c r="A14" s="4">
        <v>8</v>
      </c>
      <c r="D14" s="100"/>
      <c r="E14" s="101">
        <f t="shared" si="2"/>
        <v>183.27062676893001</v>
      </c>
      <c r="F14" s="33">
        <f t="shared" si="3"/>
        <v>816.72937323106999</v>
      </c>
      <c r="G14" s="33">
        <f t="shared" si="0"/>
        <v>1000</v>
      </c>
      <c r="H14" s="30"/>
      <c r="I14" s="30"/>
      <c r="J14" s="100"/>
      <c r="K14" s="101">
        <f t="shared" si="4"/>
        <v>256.61129912057834</v>
      </c>
      <c r="L14" s="33">
        <f t="shared" si="5"/>
        <v>743.38870087942144</v>
      </c>
      <c r="M14" s="33">
        <f t="shared" si="1"/>
        <v>999.99999999999977</v>
      </c>
    </row>
    <row r="15" spans="1:13" ht="15" x14ac:dyDescent="0.25">
      <c r="A15" s="4">
        <v>9</v>
      </c>
      <c r="D15" s="100"/>
      <c r="E15" s="101">
        <f t="shared" si="2"/>
        <v>203.11780800504465</v>
      </c>
      <c r="F15" s="33">
        <f t="shared" si="3"/>
        <v>796.88219199495541</v>
      </c>
      <c r="G15" s="33">
        <f t="shared" si="0"/>
        <v>1000</v>
      </c>
      <c r="H15" s="30"/>
      <c r="I15" s="30"/>
      <c r="J15" s="100"/>
      <c r="K15" s="101">
        <f t="shared" si="4"/>
        <v>282.59973485471755</v>
      </c>
      <c r="L15" s="33">
        <f t="shared" si="5"/>
        <v>717.40026514528233</v>
      </c>
      <c r="M15" s="33">
        <f t="shared" si="1"/>
        <v>999.99999999999989</v>
      </c>
    </row>
    <row r="16" spans="1:13" ht="15" x14ac:dyDescent="0.25">
      <c r="A16" s="4">
        <v>10</v>
      </c>
      <c r="D16" s="100"/>
      <c r="E16" s="101">
        <f t="shared" si="2"/>
        <v>222.35322875064548</v>
      </c>
      <c r="F16" s="33">
        <f t="shared" si="3"/>
        <v>777.64677124935463</v>
      </c>
      <c r="G16" s="33">
        <f t="shared" si="0"/>
        <v>1000.0000000000001</v>
      </c>
      <c r="H16" s="30"/>
      <c r="I16" s="30"/>
      <c r="J16" s="100"/>
      <c r="K16" s="101">
        <f t="shared" si="4"/>
        <v>307.43066989426438</v>
      </c>
      <c r="L16" s="33">
        <f t="shared" si="5"/>
        <v>692.5693301057355</v>
      </c>
      <c r="M16" s="33">
        <f t="shared" si="1"/>
        <v>999.99999999999989</v>
      </c>
    </row>
    <row r="17" spans="1:13" ht="15" x14ac:dyDescent="0.25">
      <c r="A17" s="4">
        <v>11</v>
      </c>
      <c r="D17" s="100"/>
      <c r="E17" s="101">
        <f t="shared" si="2"/>
        <v>240.99574563294325</v>
      </c>
      <c r="F17" s="33">
        <f t="shared" si="3"/>
        <v>759.00425436705689</v>
      </c>
      <c r="G17" s="33">
        <f t="shared" si="0"/>
        <v>1000.0000000000001</v>
      </c>
      <c r="H17" s="30"/>
      <c r="I17" s="30"/>
      <c r="J17" s="100"/>
      <c r="K17" s="101">
        <f t="shared" si="4"/>
        <v>331.15565824084047</v>
      </c>
      <c r="L17" s="33">
        <f t="shared" si="5"/>
        <v>668.84434175915942</v>
      </c>
      <c r="M17" s="33">
        <f t="shared" si="1"/>
        <v>999.99999999999989</v>
      </c>
    </row>
    <row r="18" spans="1:13" ht="15" x14ac:dyDescent="0.25">
      <c r="A18" s="4">
        <v>12</v>
      </c>
      <c r="D18" s="100"/>
      <c r="E18" s="101">
        <f t="shared" si="2"/>
        <v>259.06363405104514</v>
      </c>
      <c r="F18" s="33">
        <f t="shared" si="3"/>
        <v>740.93636594895497</v>
      </c>
      <c r="G18" s="33">
        <f t="shared" si="0"/>
        <v>1000.0000000000001</v>
      </c>
      <c r="H18" s="30"/>
      <c r="I18" s="30"/>
      <c r="J18" s="100"/>
      <c r="K18" s="101">
        <f t="shared" si="4"/>
        <v>353.82395772890692</v>
      </c>
      <c r="L18" s="33">
        <f t="shared" si="5"/>
        <v>646.17604227109302</v>
      </c>
      <c r="M18" s="33">
        <f t="shared" si="1"/>
        <v>1000</v>
      </c>
    </row>
    <row r="19" spans="1:13" ht="15" x14ac:dyDescent="0.25">
      <c r="A19" s="4">
        <v>13</v>
      </c>
      <c r="D19" s="100"/>
      <c r="E19" s="101">
        <f t="shared" si="2"/>
        <v>276.5746060914654</v>
      </c>
      <c r="F19" s="33">
        <f t="shared" si="3"/>
        <v>723.42539390853472</v>
      </c>
      <c r="G19" s="33">
        <f t="shared" si="0"/>
        <v>1000.0000000000001</v>
      </c>
      <c r="H19" s="30"/>
      <c r="I19" s="30"/>
      <c r="J19" s="100"/>
      <c r="K19" s="101">
        <f t="shared" si="4"/>
        <v>375.48263229490863</v>
      </c>
      <c r="L19" s="33">
        <f t="shared" si="5"/>
        <v>624.51736770509137</v>
      </c>
      <c r="M19" s="33">
        <f t="shared" si="1"/>
        <v>1000</v>
      </c>
    </row>
    <row r="20" spans="1:13" ht="15" x14ac:dyDescent="0.25">
      <c r="A20" s="4">
        <v>14</v>
      </c>
      <c r="D20" s="100"/>
      <c r="E20" s="101">
        <f t="shared" si="2"/>
        <v>293.54582789141682</v>
      </c>
      <c r="F20" s="33">
        <f t="shared" si="3"/>
        <v>706.45417210858318</v>
      </c>
      <c r="G20" s="33">
        <f t="shared" si="0"/>
        <v>1000</v>
      </c>
      <c r="H20" s="30"/>
      <c r="I20" s="30"/>
      <c r="J20" s="100"/>
      <c r="K20" s="101">
        <f t="shared" si="4"/>
        <v>396.17664969144613</v>
      </c>
      <c r="L20" s="33">
        <f t="shared" si="5"/>
        <v>603.82335030855393</v>
      </c>
      <c r="M20" s="33">
        <f t="shared" si="1"/>
        <v>1000</v>
      </c>
    </row>
    <row r="21" spans="1:13" ht="15" x14ac:dyDescent="0.25">
      <c r="A21" s="4">
        <v>15</v>
      </c>
      <c r="D21" s="100"/>
      <c r="E21" s="101">
        <f t="shared" si="2"/>
        <v>309.99393646690373</v>
      </c>
      <c r="F21" s="33">
        <f t="shared" si="3"/>
        <v>690.00606353309627</v>
      </c>
      <c r="G21" s="33">
        <f t="shared" si="0"/>
        <v>1000</v>
      </c>
      <c r="H21" s="30"/>
      <c r="I21" s="30"/>
      <c r="J21" s="100"/>
      <c r="K21" s="101">
        <f t="shared" si="4"/>
        <v>415.94897484934944</v>
      </c>
      <c r="L21" s="33">
        <f t="shared" si="5"/>
        <v>584.05102515065062</v>
      </c>
      <c r="M21" s="33">
        <f t="shared" si="1"/>
        <v>1000</v>
      </c>
    </row>
    <row r="22" spans="1:13" ht="15" x14ac:dyDescent="0.25">
      <c r="A22" s="4">
        <v>16</v>
      </c>
      <c r="D22" s="100"/>
      <c r="E22" s="101">
        <f t="shared" si="2"/>
        <v>325.93505602211326</v>
      </c>
      <c r="F22" s="33">
        <f t="shared" si="3"/>
        <v>674.06494397788674</v>
      </c>
      <c r="G22" s="33">
        <f t="shared" si="0"/>
        <v>1000</v>
      </c>
      <c r="H22" s="30"/>
      <c r="I22" s="30"/>
      <c r="J22" s="100"/>
      <c r="K22" s="101">
        <f t="shared" si="4"/>
        <v>434.84065908149228</v>
      </c>
      <c r="L22" s="33">
        <f t="shared" si="5"/>
        <v>565.15934091850784</v>
      </c>
      <c r="M22" s="33">
        <f t="shared" si="1"/>
        <v>1000.0000000000001</v>
      </c>
    </row>
    <row r="23" spans="1:13" ht="15" x14ac:dyDescent="0.25">
      <c r="A23" s="4">
        <v>17</v>
      </c>
      <c r="D23" s="100"/>
      <c r="E23" s="101">
        <f t="shared" si="2"/>
        <v>341.38481375609405</v>
      </c>
      <c r="F23" s="33">
        <f t="shared" si="3"/>
        <v>658.6151862439059</v>
      </c>
      <c r="G23" s="33">
        <f t="shared" si="0"/>
        <v>1000</v>
      </c>
      <c r="H23" s="30"/>
      <c r="I23" s="30"/>
      <c r="J23" s="100"/>
      <c r="K23" s="101">
        <f t="shared" si="4"/>
        <v>452.89092531355129</v>
      </c>
      <c r="L23" s="33">
        <f t="shared" si="5"/>
        <v>547.10907468644882</v>
      </c>
      <c r="M23" s="33">
        <f t="shared" si="1"/>
        <v>1000.0000000000001</v>
      </c>
    </row>
    <row r="24" spans="1:13" ht="15" x14ac:dyDescent="0.25">
      <c r="A24" s="4">
        <v>18</v>
      </c>
      <c r="D24" s="100"/>
      <c r="E24" s="101">
        <f t="shared" si="2"/>
        <v>356.35835518221637</v>
      </c>
      <c r="F24" s="33">
        <f t="shared" si="3"/>
        <v>643.64164481778357</v>
      </c>
      <c r="G24" s="33">
        <f t="shared" si="0"/>
        <v>1000</v>
      </c>
      <c r="H24" s="30"/>
      <c r="I24" s="30"/>
      <c r="J24" s="100"/>
      <c r="K24" s="101">
        <f t="shared" si="4"/>
        <v>470.13724951866715</v>
      </c>
      <c r="L24" s="33">
        <f t="shared" si="5"/>
        <v>529.86275048133302</v>
      </c>
      <c r="M24" s="33">
        <f t="shared" si="1"/>
        <v>1000.0000000000002</v>
      </c>
    </row>
    <row r="25" spans="1:13" ht="15" x14ac:dyDescent="0.25">
      <c r="A25" s="4">
        <v>19</v>
      </c>
      <c r="D25" s="100"/>
      <c r="E25" s="101">
        <f t="shared" si="2"/>
        <v>370.87035897543268</v>
      </c>
      <c r="F25" s="33">
        <f t="shared" si="3"/>
        <v>629.12964102456726</v>
      </c>
      <c r="G25" s="33">
        <f t="shared" si="0"/>
        <v>1000</v>
      </c>
      <c r="H25" s="30"/>
      <c r="I25" s="30"/>
      <c r="J25" s="100"/>
      <c r="K25" s="101">
        <f t="shared" si="4"/>
        <v>486.6154385250814</v>
      </c>
      <c r="L25" s="33">
        <f t="shared" si="5"/>
        <v>513.38456147491877</v>
      </c>
      <c r="M25" s="33">
        <f t="shared" si="1"/>
        <v>1000.0000000000002</v>
      </c>
    </row>
    <row r="26" spans="1:13" ht="15" x14ac:dyDescent="0.25">
      <c r="A26" s="4">
        <v>20</v>
      </c>
      <c r="D26" s="100"/>
      <c r="E26" s="101">
        <f t="shared" si="2"/>
        <v>384.93505136189253</v>
      </c>
      <c r="F26" s="33">
        <f t="shared" si="3"/>
        <v>615.06494863810735</v>
      </c>
      <c r="G26" s="33">
        <f t="shared" si="0"/>
        <v>999.99999999999989</v>
      </c>
      <c r="H26" s="30"/>
      <c r="I26" s="30"/>
      <c r="J26" s="100"/>
      <c r="K26" s="101">
        <f t="shared" si="4"/>
        <v>502.35970435829392</v>
      </c>
      <c r="L26" s="33">
        <f t="shared" si="5"/>
        <v>497.64029564170625</v>
      </c>
      <c r="M26" s="33">
        <f t="shared" si="1"/>
        <v>1000.0000000000002</v>
      </c>
    </row>
    <row r="27" spans="1:13" ht="15" x14ac:dyDescent="0.25">
      <c r="A27" s="4">
        <v>21</v>
      </c>
      <c r="D27" s="100"/>
      <c r="E27" s="101">
        <f t="shared" si="2"/>
        <v>398.56622006501902</v>
      </c>
      <c r="F27" s="33">
        <f t="shared" si="3"/>
        <v>601.43377993498098</v>
      </c>
      <c r="G27" s="33">
        <f t="shared" si="0"/>
        <v>1000</v>
      </c>
      <c r="H27" s="30"/>
      <c r="I27" s="30"/>
      <c r="J27" s="100"/>
      <c r="K27" s="101">
        <f t="shared" si="4"/>
        <v>517.4027352720899</v>
      </c>
      <c r="L27" s="33">
        <f t="shared" si="5"/>
        <v>482.59726472791033</v>
      </c>
      <c r="M27" s="33">
        <f t="shared" si="1"/>
        <v>1000.0000000000002</v>
      </c>
    </row>
    <row r="28" spans="1:13" ht="15" x14ac:dyDescent="0.25">
      <c r="A28" s="4">
        <v>22</v>
      </c>
      <c r="D28" s="100"/>
      <c r="E28" s="101">
        <f t="shared" si="2"/>
        <v>411.77722782171713</v>
      </c>
      <c r="F28" s="33">
        <f t="shared" si="3"/>
        <v>588.22277217828287</v>
      </c>
      <c r="G28" s="33">
        <f t="shared" si="0"/>
        <v>1000</v>
      </c>
      <c r="H28" s="30"/>
      <c r="I28" s="30"/>
      <c r="J28" s="100"/>
      <c r="K28" s="101">
        <f t="shared" si="4"/>
        <v>531.77576361591116</v>
      </c>
      <c r="L28" s="33">
        <f t="shared" si="5"/>
        <v>468.22423638408895</v>
      </c>
      <c r="M28" s="33">
        <f t="shared" si="1"/>
        <v>1000.0000000000001</v>
      </c>
    </row>
    <row r="29" spans="1:13" ht="15" x14ac:dyDescent="0.25">
      <c r="A29" s="4">
        <v>23</v>
      </c>
      <c r="D29" s="100"/>
      <c r="E29" s="101">
        <f t="shared" si="2"/>
        <v>424.58102548196518</v>
      </c>
      <c r="F29" s="33">
        <f t="shared" si="3"/>
        <v>575.41897451803482</v>
      </c>
      <c r="G29" s="33">
        <f t="shared" si="0"/>
        <v>1000</v>
      </c>
      <c r="H29" s="30"/>
      <c r="I29" s="30"/>
      <c r="J29" s="100"/>
      <c r="K29" s="101">
        <f t="shared" si="4"/>
        <v>545.5086306794783</v>
      </c>
      <c r="L29" s="33">
        <f t="shared" si="5"/>
        <v>454.49136932052176</v>
      </c>
      <c r="M29" s="33">
        <f t="shared" si="1"/>
        <v>1000</v>
      </c>
    </row>
    <row r="30" spans="1:13" ht="15" x14ac:dyDescent="0.25">
      <c r="A30" s="4">
        <v>24</v>
      </c>
      <c r="D30" s="100"/>
      <c r="E30" s="101">
        <f t="shared" si="2"/>
        <v>436.99016470463016</v>
      </c>
      <c r="F30" s="33">
        <f t="shared" si="3"/>
        <v>563.00983529536973</v>
      </c>
      <c r="G30" s="33">
        <f t="shared" si="0"/>
        <v>999.99999999999989</v>
      </c>
      <c r="H30" s="30"/>
      <c r="I30" s="30"/>
      <c r="J30" s="100"/>
      <c r="K30" s="101">
        <f t="shared" si="4"/>
        <v>558.62984864929331</v>
      </c>
      <c r="L30" s="33">
        <f t="shared" si="5"/>
        <v>441.37015135070681</v>
      </c>
      <c r="M30" s="33">
        <f t="shared" si="1"/>
        <v>1000.0000000000001</v>
      </c>
    </row>
    <row r="31" spans="1:13" ht="15" x14ac:dyDescent="0.25">
      <c r="A31" s="4">
        <v>25</v>
      </c>
      <c r="D31" s="100"/>
      <c r="E31" s="101">
        <f t="shared" si="2"/>
        <v>449.01681026195297</v>
      </c>
      <c r="F31" s="33">
        <f t="shared" si="3"/>
        <v>550.9831897380468</v>
      </c>
      <c r="G31" s="33">
        <f t="shared" si="0"/>
        <v>999.99999999999977</v>
      </c>
      <c r="H31" s="30"/>
      <c r="I31" s="30"/>
      <c r="J31" s="100"/>
      <c r="K31" s="101">
        <f t="shared" si="4"/>
        <v>571.16665980565756</v>
      </c>
      <c r="L31" s="33">
        <f t="shared" si="5"/>
        <v>428.83334019434261</v>
      </c>
      <c r="M31" s="33">
        <f t="shared" si="1"/>
        <v>1000.0000000000002</v>
      </c>
    </row>
    <row r="32" spans="1:13" ht="15" x14ac:dyDescent="0.25">
      <c r="A32" s="4">
        <v>26</v>
      </c>
      <c r="D32" s="100"/>
      <c r="E32" s="101">
        <f t="shared" si="2"/>
        <v>460.67275196476595</v>
      </c>
      <c r="F32" s="33">
        <f t="shared" si="3"/>
        <v>539.32724803523388</v>
      </c>
      <c r="G32" s="33">
        <f t="shared" si="0"/>
        <v>999.99999999999977</v>
      </c>
      <c r="H32" s="30"/>
      <c r="I32" s="30"/>
      <c r="J32" s="100"/>
      <c r="K32" s="101">
        <f t="shared" si="4"/>
        <v>583.14509308310994</v>
      </c>
      <c r="L32" s="33">
        <f t="shared" si="5"/>
        <v>416.85490691689029</v>
      </c>
      <c r="M32" s="33">
        <f t="shared" si="1"/>
        <v>1000.0000000000002</v>
      </c>
    </row>
    <row r="33" spans="1:13" ht="15" x14ac:dyDescent="0.25">
      <c r="A33" s="4">
        <v>27</v>
      </c>
      <c r="D33" s="100"/>
      <c r="E33" s="101">
        <f t="shared" si="2"/>
        <v>471.9694162201327</v>
      </c>
      <c r="F33" s="33">
        <f t="shared" si="3"/>
        <v>528.03058377986713</v>
      </c>
      <c r="G33" s="33">
        <f t="shared" si="0"/>
        <v>999.99999999999977</v>
      </c>
      <c r="H33" s="30"/>
      <c r="I33" s="30"/>
      <c r="J33" s="100"/>
      <c r="K33" s="101">
        <f t="shared" si="4"/>
        <v>594.59001811171584</v>
      </c>
      <c r="L33" s="33">
        <f t="shared" si="5"/>
        <v>405.40998188828439</v>
      </c>
      <c r="M33" s="33">
        <f t="shared" si="1"/>
        <v>1000.0000000000002</v>
      </c>
    </row>
    <row r="34" spans="1:13" ht="15" x14ac:dyDescent="0.25">
      <c r="A34" s="4">
        <v>28</v>
      </c>
      <c r="D34" s="100"/>
      <c r="E34" s="101">
        <f t="shared" si="2"/>
        <v>482.91787723274081</v>
      </c>
      <c r="F34" s="33">
        <f t="shared" si="3"/>
        <v>517.08212276725897</v>
      </c>
      <c r="G34" s="33">
        <f t="shared" si="0"/>
        <v>999.99999999999977</v>
      </c>
      <c r="H34" s="30"/>
      <c r="I34" s="30"/>
      <c r="J34" s="100"/>
      <c r="K34" s="101">
        <f t="shared" si="4"/>
        <v>605.52519685140726</v>
      </c>
      <c r="L34" s="33">
        <f t="shared" si="5"/>
        <v>394.47480314859297</v>
      </c>
      <c r="M34" s="33">
        <f t="shared" si="1"/>
        <v>1000.0000000000002</v>
      </c>
    </row>
    <row r="35" spans="1:13" ht="15" x14ac:dyDescent="0.25">
      <c r="A35" s="4">
        <v>29</v>
      </c>
      <c r="D35" s="100"/>
      <c r="E35" s="101">
        <f t="shared" si="2"/>
        <v>493.52886786102778</v>
      </c>
      <c r="F35" s="33">
        <f t="shared" si="3"/>
        <v>506.471132138972</v>
      </c>
      <c r="G35" s="33">
        <f t="shared" si="0"/>
        <v>999.99999999999977</v>
      </c>
      <c r="H35" s="30"/>
      <c r="I35" s="30"/>
      <c r="J35" s="100"/>
      <c r="K35" s="101">
        <f t="shared" si="4"/>
        <v>615.97333292657788</v>
      </c>
      <c r="L35" s="33">
        <f t="shared" si="5"/>
        <v>384.0266670734224</v>
      </c>
      <c r="M35" s="33">
        <f t="shared" si="1"/>
        <v>1000.0000000000002</v>
      </c>
    </row>
    <row r="36" spans="1:13" ht="15" x14ac:dyDescent="0.25">
      <c r="A36" s="4">
        <v>30</v>
      </c>
      <c r="D36" s="100"/>
      <c r="E36" s="101">
        <f t="shared" si="2"/>
        <v>503.81279013868232</v>
      </c>
      <c r="F36" s="33">
        <f t="shared" si="3"/>
        <v>496.18720986131746</v>
      </c>
      <c r="G36" s="33">
        <f t="shared" si="0"/>
        <v>999.99999999999977</v>
      </c>
      <c r="H36" s="30"/>
      <c r="I36" s="30"/>
      <c r="J36" s="100"/>
      <c r="K36" s="101">
        <f t="shared" si="4"/>
        <v>625.95611876336068</v>
      </c>
      <c r="L36" s="33">
        <f t="shared" si="5"/>
        <v>374.04388123663961</v>
      </c>
      <c r="M36" s="33">
        <f t="shared" si="1"/>
        <v>1000.0000000000002</v>
      </c>
    </row>
    <row r="37" spans="1:13" ht="15" x14ac:dyDescent="0.25">
      <c r="A37" s="4">
        <v>31</v>
      </c>
      <c r="D37" s="100"/>
      <c r="E37" s="101">
        <f t="shared" si="2"/>
        <v>513.7797254718364</v>
      </c>
      <c r="F37" s="33">
        <f t="shared" si="3"/>
        <v>486.22027452816343</v>
      </c>
      <c r="G37" s="33">
        <f t="shared" si="0"/>
        <v>999.99999999999977</v>
      </c>
      <c r="H37" s="30"/>
      <c r="I37" s="30"/>
      <c r="J37" s="100"/>
      <c r="K37" s="101">
        <f t="shared" si="4"/>
        <v>635.49428062745608</v>
      </c>
      <c r="L37" s="33">
        <f t="shared" si="5"/>
        <v>364.50571937254415</v>
      </c>
      <c r="M37" s="33">
        <f t="shared" si="1"/>
        <v>1000.0000000000002</v>
      </c>
    </row>
    <row r="38" spans="1:13" ht="15" x14ac:dyDescent="0.25">
      <c r="A38" s="4">
        <v>32</v>
      </c>
      <c r="D38" s="100"/>
      <c r="E38" s="101">
        <f t="shared" si="2"/>
        <v>523.43944452194285</v>
      </c>
      <c r="F38" s="33">
        <f t="shared" si="3"/>
        <v>476.56055547805693</v>
      </c>
      <c r="G38" s="33">
        <f t="shared" ref="G38:G66" si="6">SUM(D38:F38)</f>
        <v>999.99999999999977</v>
      </c>
      <c r="H38" s="30"/>
      <c r="I38" s="30"/>
      <c r="J38" s="100"/>
      <c r="K38" s="101">
        <f t="shared" si="4"/>
        <v>644.60762165601648</v>
      </c>
      <c r="L38" s="33">
        <f t="shared" si="5"/>
        <v>355.39237834398369</v>
      </c>
      <c r="M38" s="33">
        <f t="shared" ref="M38:M66" si="7">SUM(J38:L38)</f>
        <v>1000.0000000000002</v>
      </c>
    </row>
    <row r="39" spans="1:13" ht="15" x14ac:dyDescent="0.25">
      <c r="A39" s="4">
        <v>33</v>
      </c>
      <c r="D39" s="100"/>
      <c r="E39" s="101">
        <f t="shared" ref="E39:E66" si="8">D38*pCAUC+E38*(1-pUAUC)+F38*(pCAUC)</f>
        <v>532.80141678402856</v>
      </c>
      <c r="F39" s="33">
        <f t="shared" ref="F39:F66" si="9">D38*(1-pCAUC) + E38*pUAUC + F38*(1-pCAUC)</f>
        <v>467.19858321597115</v>
      </c>
      <c r="G39" s="33">
        <f t="shared" si="6"/>
        <v>999.99999999999977</v>
      </c>
      <c r="H39" s="30"/>
      <c r="I39" s="30"/>
      <c r="J39" s="100"/>
      <c r="K39" s="101">
        <f t="shared" ref="K39:K66" si="10">J38*pCAPH+K38*(1-pUAPH)+L38*(pCAPH)</f>
        <v>653.31506297293095</v>
      </c>
      <c r="L39" s="33">
        <f t="shared" ref="L39:L66" si="11">J38*(1-pCAPH) + K38*pUAPH + L38*(1-pCAPH)</f>
        <v>346.68493702706917</v>
      </c>
      <c r="M39" s="33">
        <f t="shared" si="7"/>
        <v>1000.0000000000001</v>
      </c>
    </row>
    <row r="40" spans="1:13" ht="15" x14ac:dyDescent="0.25">
      <c r="A40" s="4">
        <v>34</v>
      </c>
      <c r="D40" s="100"/>
      <c r="E40" s="101">
        <f t="shared" si="8"/>
        <v>541.87481986971113</v>
      </c>
      <c r="F40" s="33">
        <f t="shared" si="9"/>
        <v>458.12518013028858</v>
      </c>
      <c r="G40" s="33">
        <f t="shared" si="6"/>
        <v>999.99999999999977</v>
      </c>
      <c r="H40" s="30"/>
      <c r="I40" s="30"/>
      <c r="J40" s="100"/>
      <c r="K40" s="101">
        <f t="shared" si="10"/>
        <v>661.63468297287363</v>
      </c>
      <c r="L40" s="33">
        <f t="shared" si="11"/>
        <v>338.36531702712642</v>
      </c>
      <c r="M40" s="33">
        <f t="shared" si="7"/>
        <v>1000</v>
      </c>
    </row>
    <row r="41" spans="1:13" ht="15" x14ac:dyDescent="0.25">
      <c r="A41" s="4">
        <v>35</v>
      </c>
      <c r="D41" s="100"/>
      <c r="E41" s="101">
        <f t="shared" si="8"/>
        <v>550.66854850408038</v>
      </c>
      <c r="F41" s="33">
        <f t="shared" si="9"/>
        <v>449.33145149591934</v>
      </c>
      <c r="G41" s="33">
        <f t="shared" si="6"/>
        <v>999.99999999999977</v>
      </c>
      <c r="H41" s="30"/>
      <c r="I41" s="30"/>
      <c r="J41" s="100"/>
      <c r="K41" s="101">
        <f t="shared" si="10"/>
        <v>669.58375485567717</v>
      </c>
      <c r="L41" s="33">
        <f t="shared" si="11"/>
        <v>330.41624514432294</v>
      </c>
      <c r="M41" s="33">
        <f t="shared" si="7"/>
        <v>1000.0000000000001</v>
      </c>
    </row>
    <row r="42" spans="1:13" ht="15" x14ac:dyDescent="0.25">
      <c r="A42" s="4">
        <v>36</v>
      </c>
      <c r="D42" s="100"/>
      <c r="E42" s="101">
        <f t="shared" si="8"/>
        <v>559.19122324526415</v>
      </c>
      <c r="F42" s="33">
        <f t="shared" si="9"/>
        <v>440.80877675473562</v>
      </c>
      <c r="G42" s="33">
        <f t="shared" si="6"/>
        <v>999.99999999999977</v>
      </c>
      <c r="H42" s="30"/>
      <c r="I42" s="30"/>
      <c r="J42" s="100"/>
      <c r="K42" s="101">
        <f t="shared" si="10"/>
        <v>677.17878248896</v>
      </c>
      <c r="L42" s="33">
        <f t="shared" si="11"/>
        <v>322.82121751104012</v>
      </c>
      <c r="M42" s="33">
        <f t="shared" si="7"/>
        <v>1000.0000000000001</v>
      </c>
    </row>
    <row r="43" spans="1:13" ht="15" x14ac:dyDescent="0.25">
      <c r="A43" s="4">
        <v>37</v>
      </c>
      <c r="D43" s="100"/>
      <c r="E43" s="101">
        <f t="shared" si="8"/>
        <v>567.45119893522599</v>
      </c>
      <c r="F43" s="33">
        <f t="shared" si="9"/>
        <v>432.54880106477378</v>
      </c>
      <c r="G43" s="33">
        <f t="shared" si="6"/>
        <v>999.99999999999977</v>
      </c>
      <c r="H43" s="30"/>
      <c r="I43" s="30"/>
      <c r="J43" s="100"/>
      <c r="K43" s="101">
        <f t="shared" si="10"/>
        <v>684.43553467346601</v>
      </c>
      <c r="L43" s="33">
        <f t="shared" si="11"/>
        <v>315.5644653265341</v>
      </c>
      <c r="M43" s="33">
        <f t="shared" si="7"/>
        <v>1000.0000000000001</v>
      </c>
    </row>
    <row r="44" spans="1:13" ht="15" x14ac:dyDescent="0.25">
      <c r="A44" s="4">
        <v>38</v>
      </c>
      <c r="D44" s="100"/>
      <c r="E44" s="101">
        <f t="shared" si="8"/>
        <v>575.45657289007954</v>
      </c>
      <c r="F44" s="33">
        <f t="shared" si="9"/>
        <v>424.54342710992023</v>
      </c>
      <c r="G44" s="33">
        <f t="shared" si="6"/>
        <v>999.99999999999977</v>
      </c>
      <c r="H44" s="30"/>
      <c r="I44" s="30"/>
      <c r="J44" s="100"/>
      <c r="K44" s="101">
        <f t="shared" si="10"/>
        <v>691.36907788225767</v>
      </c>
      <c r="L44" s="33">
        <f t="shared" si="11"/>
        <v>308.6309221177425</v>
      </c>
      <c r="M44" s="33">
        <f t="shared" si="7"/>
        <v>1000.0000000000002</v>
      </c>
    </row>
    <row r="45" spans="1:13" ht="15" x14ac:dyDescent="0.25">
      <c r="A45" s="4">
        <v>39</v>
      </c>
      <c r="D45" s="100"/>
      <c r="E45" s="101">
        <f t="shared" si="8"/>
        <v>583.21519283794817</v>
      </c>
      <c r="F45" s="33">
        <f t="shared" si="9"/>
        <v>416.78480716205161</v>
      </c>
      <c r="G45" s="33">
        <f t="shared" si="6"/>
        <v>999.99999999999977</v>
      </c>
      <c r="H45" s="30"/>
      <c r="I45" s="30"/>
      <c r="J45" s="100"/>
      <c r="K45" s="101">
        <f t="shared" si="10"/>
        <v>697.99380754173592</v>
      </c>
      <c r="L45" s="33">
        <f t="shared" si="11"/>
        <v>302.00619245826431</v>
      </c>
      <c r="M45" s="33">
        <f t="shared" si="7"/>
        <v>1000.0000000000002</v>
      </c>
    </row>
    <row r="46" spans="1:13" ht="15" x14ac:dyDescent="0.25">
      <c r="A46" s="4">
        <v>40</v>
      </c>
      <c r="D46" s="100"/>
      <c r="E46" s="101">
        <f t="shared" si="8"/>
        <v>590.73466461215162</v>
      </c>
      <c r="F46" s="33">
        <f t="shared" si="9"/>
        <v>409.26533538784821</v>
      </c>
      <c r="G46" s="33">
        <f t="shared" si="6"/>
        <v>999.99999999999977</v>
      </c>
      <c r="H46" s="30"/>
      <c r="I46" s="30"/>
      <c r="J46" s="100"/>
      <c r="K46" s="101">
        <f t="shared" si="10"/>
        <v>704.32347791943289</v>
      </c>
      <c r="L46" s="33">
        <f t="shared" si="11"/>
        <v>295.67652208056734</v>
      </c>
      <c r="M46" s="33">
        <f t="shared" si="7"/>
        <v>1000.0000000000002</v>
      </c>
    </row>
    <row r="47" spans="1:13" ht="15" x14ac:dyDescent="0.25">
      <c r="A47" s="4">
        <v>41</v>
      </c>
      <c r="D47" s="100"/>
      <c r="E47" s="101">
        <f t="shared" si="8"/>
        <v>598.02235960726148</v>
      </c>
      <c r="F47" s="33">
        <f t="shared" si="9"/>
        <v>401.97764039273824</v>
      </c>
      <c r="G47" s="33">
        <f t="shared" si="6"/>
        <v>999.99999999999977</v>
      </c>
      <c r="H47" s="30"/>
      <c r="I47" s="30"/>
      <c r="J47" s="100"/>
      <c r="K47" s="101">
        <f t="shared" si="10"/>
        <v>710.37123068063011</v>
      </c>
      <c r="L47" s="33">
        <f t="shared" si="11"/>
        <v>289.62876931937006</v>
      </c>
      <c r="M47" s="33">
        <f t="shared" si="7"/>
        <v>1000.0000000000002</v>
      </c>
    </row>
    <row r="48" spans="1:13" ht="15" x14ac:dyDescent="0.25">
      <c r="A48" s="4">
        <v>42</v>
      </c>
      <c r="D48" s="100"/>
      <c r="E48" s="101">
        <f t="shared" si="8"/>
        <v>605.08542200533486</v>
      </c>
      <c r="F48" s="33">
        <f t="shared" si="9"/>
        <v>394.9145779946648</v>
      </c>
      <c r="G48" s="33">
        <f t="shared" si="6"/>
        <v>999.99999999999966</v>
      </c>
      <c r="H48" s="30"/>
      <c r="I48" s="30"/>
      <c r="J48" s="100"/>
      <c r="K48" s="101">
        <f t="shared" si="10"/>
        <v>716.14962217309142</v>
      </c>
      <c r="L48" s="33">
        <f t="shared" si="11"/>
        <v>283.8503778269087</v>
      </c>
      <c r="M48" s="33">
        <f t="shared" si="7"/>
        <v>1000.0000000000001</v>
      </c>
    </row>
    <row r="49" spans="1:13" ht="15" x14ac:dyDescent="0.25">
      <c r="A49" s="4">
        <v>43</v>
      </c>
      <c r="D49" s="100"/>
      <c r="E49" s="101">
        <f t="shared" si="8"/>
        <v>611.93077577940915</v>
      </c>
      <c r="F49" s="33">
        <f t="shared" si="9"/>
        <v>388.06922422059046</v>
      </c>
      <c r="G49" s="33">
        <f t="shared" si="6"/>
        <v>999.99999999999955</v>
      </c>
      <c r="H49" s="30"/>
      <c r="I49" s="30"/>
      <c r="J49" s="100"/>
      <c r="K49" s="101">
        <f t="shared" si="10"/>
        <v>721.67064949655958</v>
      </c>
      <c r="L49" s="33">
        <f t="shared" si="11"/>
        <v>278.32935050344059</v>
      </c>
      <c r="M49" s="33">
        <f t="shared" si="7"/>
        <v>1000.0000000000002</v>
      </c>
    </row>
    <row r="50" spans="1:13" ht="15" x14ac:dyDescent="0.25">
      <c r="A50" s="4">
        <v>44</v>
      </c>
      <c r="D50" s="100"/>
      <c r="E50" s="101">
        <f t="shared" si="8"/>
        <v>618.56513148112504</v>
      </c>
      <c r="F50" s="33">
        <f t="shared" si="9"/>
        <v>381.43486851887457</v>
      </c>
      <c r="G50" s="33">
        <f t="shared" si="6"/>
        <v>999.99999999999955</v>
      </c>
      <c r="H50" s="30"/>
      <c r="I50" s="30"/>
      <c r="J50" s="100"/>
      <c r="K50" s="101">
        <f t="shared" si="10"/>
        <v>726.94577541114131</v>
      </c>
      <c r="L50" s="33">
        <f t="shared" si="11"/>
        <v>273.05422458885886</v>
      </c>
      <c r="M50" s="33">
        <f t="shared" si="7"/>
        <v>1000.0000000000002</v>
      </c>
    </row>
    <row r="51" spans="1:13" ht="15" x14ac:dyDescent="0.25">
      <c r="A51" s="4">
        <v>45</v>
      </c>
      <c r="D51" s="100"/>
      <c r="E51" s="101">
        <f t="shared" si="8"/>
        <v>624.99499281913052</v>
      </c>
      <c r="F51" s="33">
        <f t="shared" si="9"/>
        <v>375.00500718086909</v>
      </c>
      <c r="G51" s="33">
        <f t="shared" si="6"/>
        <v>999.99999999999955</v>
      </c>
      <c r="H51" s="30"/>
      <c r="I51" s="30"/>
      <c r="J51" s="100"/>
      <c r="K51" s="101">
        <f t="shared" si="10"/>
        <v>731.98595213629687</v>
      </c>
      <c r="L51" s="33">
        <f t="shared" si="11"/>
        <v>268.0140478637033</v>
      </c>
      <c r="M51" s="33">
        <f t="shared" si="7"/>
        <v>1000.0000000000002</v>
      </c>
    </row>
    <row r="52" spans="1:13" ht="15" x14ac:dyDescent="0.25">
      <c r="A52" s="4">
        <v>46</v>
      </c>
      <c r="D52" s="100"/>
      <c r="E52" s="101">
        <f t="shared" si="8"/>
        <v>631.22666303471522</v>
      </c>
      <c r="F52" s="33">
        <f t="shared" si="9"/>
        <v>368.77333696528439</v>
      </c>
      <c r="G52" s="33">
        <f t="shared" si="6"/>
        <v>999.99999999999955</v>
      </c>
      <c r="H52" s="30"/>
      <c r="I52" s="30"/>
      <c r="J52" s="100"/>
      <c r="K52" s="101">
        <f t="shared" si="10"/>
        <v>736.8016440898441</v>
      </c>
      <c r="L52" s="33">
        <f t="shared" si="11"/>
        <v>263.19835591015607</v>
      </c>
      <c r="M52" s="33">
        <f t="shared" si="7"/>
        <v>1000.0000000000002</v>
      </c>
    </row>
    <row r="53" spans="1:13" ht="15" x14ac:dyDescent="0.25">
      <c r="A53" s="4">
        <v>47</v>
      </c>
      <c r="D53" s="100"/>
      <c r="E53" s="101">
        <f t="shared" si="8"/>
        <v>637.26625108092526</v>
      </c>
      <c r="F53" s="33">
        <f t="shared" si="9"/>
        <v>362.73374891907446</v>
      </c>
      <c r="G53" s="33">
        <f t="shared" si="6"/>
        <v>999.99999999999977</v>
      </c>
      <c r="H53" s="30"/>
      <c r="I53" s="30"/>
      <c r="J53" s="100"/>
      <c r="K53" s="101">
        <f t="shared" si="10"/>
        <v>741.40284961418877</v>
      </c>
      <c r="L53" s="33">
        <f t="shared" si="11"/>
        <v>258.59715038581135</v>
      </c>
      <c r="M53" s="33">
        <f t="shared" si="7"/>
        <v>1000.0000000000001</v>
      </c>
    </row>
    <row r="54" spans="1:13" ht="15" x14ac:dyDescent="0.25">
      <c r="A54" s="4">
        <v>48</v>
      </c>
      <c r="D54" s="100"/>
      <c r="E54" s="101">
        <f t="shared" si="8"/>
        <v>643.11967761121548</v>
      </c>
      <c r="F54" s="33">
        <f t="shared" si="9"/>
        <v>356.88032238878435</v>
      </c>
      <c r="G54" s="33">
        <f t="shared" si="6"/>
        <v>999.99999999999977</v>
      </c>
      <c r="H54" s="30"/>
      <c r="I54" s="30"/>
      <c r="J54" s="100"/>
      <c r="K54" s="101">
        <f t="shared" si="10"/>
        <v>745.79912173488913</v>
      </c>
      <c r="L54" s="33">
        <f t="shared" si="11"/>
        <v>254.20087826511102</v>
      </c>
      <c r="M54" s="33">
        <f t="shared" si="7"/>
        <v>1000.0000000000001</v>
      </c>
    </row>
    <row r="55" spans="1:13" ht="15" x14ac:dyDescent="0.25">
      <c r="A55" s="4">
        <v>49</v>
      </c>
      <c r="D55" s="100"/>
      <c r="E55" s="101">
        <f t="shared" si="8"/>
        <v>648.79268078351049</v>
      </c>
      <c r="F55" s="33">
        <f t="shared" si="9"/>
        <v>351.20731921648928</v>
      </c>
      <c r="G55" s="33">
        <f t="shared" si="6"/>
        <v>999.99999999999977</v>
      </c>
      <c r="H55" s="30"/>
      <c r="I55" s="30"/>
      <c r="J55" s="100"/>
      <c r="K55" s="101">
        <f t="shared" si="10"/>
        <v>749.99958799465253</v>
      </c>
      <c r="L55" s="33">
        <f t="shared" si="11"/>
        <v>250.00041200534764</v>
      </c>
      <c r="M55" s="33">
        <f t="shared" si="7"/>
        <v>1000.0000000000002</v>
      </c>
    </row>
    <row r="56" spans="1:13" ht="15" x14ac:dyDescent="0.25">
      <c r="A56" s="4">
        <v>50</v>
      </c>
      <c r="D56" s="100"/>
      <c r="E56" s="101">
        <f t="shared" si="8"/>
        <v>654.29082188536427</v>
      </c>
      <c r="F56" s="33">
        <f t="shared" si="9"/>
        <v>345.70917811463545</v>
      </c>
      <c r="G56" s="33">
        <f t="shared" si="6"/>
        <v>999.99999999999977</v>
      </c>
      <c r="H56" s="30"/>
      <c r="I56" s="30"/>
      <c r="J56" s="100"/>
      <c r="K56" s="101">
        <f t="shared" si="10"/>
        <v>754.01296940394525</v>
      </c>
      <c r="L56" s="33">
        <f t="shared" si="11"/>
        <v>245.98703059605495</v>
      </c>
      <c r="M56" s="33">
        <f t="shared" si="7"/>
        <v>1000.0000000000002</v>
      </c>
    </row>
    <row r="57" spans="1:13" ht="15" x14ac:dyDescent="0.25">
      <c r="A57" s="4">
        <v>51</v>
      </c>
      <c r="D57" s="100"/>
      <c r="E57" s="101">
        <f t="shared" si="8"/>
        <v>659.61949078573161</v>
      </c>
      <c r="F57" s="33">
        <f t="shared" si="9"/>
        <v>340.3805092142681</v>
      </c>
      <c r="G57" s="33">
        <f t="shared" si="6"/>
        <v>999.99999999999977</v>
      </c>
      <c r="H57" s="30"/>
      <c r="I57" s="30"/>
      <c r="J57" s="100"/>
      <c r="K57" s="101">
        <f t="shared" si="10"/>
        <v>757.8475985475593</v>
      </c>
      <c r="L57" s="33">
        <f t="shared" si="11"/>
        <v>242.15240145244087</v>
      </c>
      <c r="M57" s="33">
        <f t="shared" si="7"/>
        <v>1000.0000000000002</v>
      </c>
    </row>
    <row r="58" spans="1:13" ht="15" x14ac:dyDescent="0.25">
      <c r="A58" s="4">
        <v>52</v>
      </c>
      <c r="D58" s="100"/>
      <c r="E58" s="101">
        <f t="shared" si="8"/>
        <v>664.78391121869743</v>
      </c>
      <c r="F58" s="33">
        <f t="shared" si="9"/>
        <v>335.21608878130235</v>
      </c>
      <c r="G58" s="33">
        <f t="shared" si="6"/>
        <v>999.99999999999977</v>
      </c>
      <c r="H58" s="30"/>
      <c r="I58" s="30"/>
      <c r="J58" s="100"/>
      <c r="K58" s="101">
        <f t="shared" si="10"/>
        <v>761.51143688472985</v>
      </c>
      <c r="L58" s="33">
        <f t="shared" si="11"/>
        <v>238.48856311527024</v>
      </c>
      <c r="M58" s="33">
        <f t="shared" si="7"/>
        <v>1000.0000000000001</v>
      </c>
    </row>
    <row r="59" spans="1:13" ht="15" x14ac:dyDescent="0.25">
      <c r="A59" s="4">
        <v>53</v>
      </c>
      <c r="D59" s="100"/>
      <c r="E59" s="101">
        <f t="shared" si="8"/>
        <v>669.78914590434192</v>
      </c>
      <c r="F59" s="33">
        <f t="shared" si="9"/>
        <v>330.21085409565785</v>
      </c>
      <c r="G59" s="33">
        <f t="shared" si="6"/>
        <v>999.99999999999977</v>
      </c>
      <c r="H59" s="30"/>
      <c r="I59" s="30"/>
      <c r="J59" s="100"/>
      <c r="K59" s="101">
        <f t="shared" si="10"/>
        <v>765.01209127872164</v>
      </c>
      <c r="L59" s="33">
        <f t="shared" si="11"/>
        <v>234.98790872127856</v>
      </c>
      <c r="M59" s="33">
        <f t="shared" si="7"/>
        <v>1000.0000000000002</v>
      </c>
    </row>
    <row r="60" spans="1:13" ht="15" x14ac:dyDescent="0.25">
      <c r="A60" s="4">
        <v>54</v>
      </c>
      <c r="D60" s="100"/>
      <c r="E60" s="101">
        <f t="shared" si="8"/>
        <v>674.64010151176376</v>
      </c>
      <c r="F60" s="33">
        <f t="shared" si="9"/>
        <v>325.35989848823601</v>
      </c>
      <c r="G60" s="33">
        <f t="shared" si="6"/>
        <v>999.99999999999977</v>
      </c>
      <c r="H60" s="30"/>
      <c r="I60" s="30"/>
      <c r="J60" s="100"/>
      <c r="K60" s="101">
        <f t="shared" si="10"/>
        <v>768.35682979020214</v>
      </c>
      <c r="L60" s="33">
        <f t="shared" si="11"/>
        <v>231.64317020979803</v>
      </c>
      <c r="M60" s="33">
        <f t="shared" si="7"/>
        <v>1000.0000000000002</v>
      </c>
    </row>
    <row r="61" spans="1:13" ht="15" x14ac:dyDescent="0.25">
      <c r="A61" s="4">
        <v>55</v>
      </c>
      <c r="D61" s="100"/>
      <c r="E61" s="101">
        <f t="shared" si="8"/>
        <v>679.34153346912399</v>
      </c>
      <c r="F61" s="33">
        <f t="shared" si="9"/>
        <v>320.65846653087573</v>
      </c>
      <c r="G61" s="33">
        <f t="shared" si="6"/>
        <v>999.99999999999977</v>
      </c>
      <c r="H61" s="30"/>
      <c r="I61" s="30"/>
      <c r="J61" s="100"/>
      <c r="K61" s="101">
        <f t="shared" si="10"/>
        <v>771.55259676719413</v>
      </c>
      <c r="L61" s="33">
        <f t="shared" si="11"/>
        <v>228.44740323280593</v>
      </c>
      <c r="M61" s="33">
        <f t="shared" si="7"/>
        <v>1000</v>
      </c>
    </row>
    <row r="62" spans="1:13" ht="15" x14ac:dyDescent="0.25">
      <c r="A62" s="4">
        <v>56</v>
      </c>
      <c r="D62" s="100"/>
      <c r="E62" s="101">
        <f t="shared" si="8"/>
        <v>683.89805062542837</v>
      </c>
      <c r="F62" s="33">
        <f t="shared" si="9"/>
        <v>316.1019493745714</v>
      </c>
      <c r="G62" s="33">
        <f t="shared" si="6"/>
        <v>999.99999999999977</v>
      </c>
      <c r="H62" s="30"/>
      <c r="I62" s="30"/>
      <c r="J62" s="100"/>
      <c r="K62" s="101">
        <f t="shared" si="10"/>
        <v>774.60602726293484</v>
      </c>
      <c r="L62" s="33">
        <f t="shared" si="11"/>
        <v>225.39397273706516</v>
      </c>
      <c r="M62" s="33">
        <f t="shared" si="7"/>
        <v>1000</v>
      </c>
    </row>
    <row r="63" spans="1:13" ht="15" x14ac:dyDescent="0.25">
      <c r="A63" s="4">
        <v>57</v>
      </c>
      <c r="D63" s="100"/>
      <c r="E63" s="101">
        <f t="shared" si="8"/>
        <v>688.31411976861625</v>
      </c>
      <c r="F63" s="33">
        <f t="shared" si="9"/>
        <v>311.68588023138358</v>
      </c>
      <c r="G63" s="33">
        <f t="shared" si="6"/>
        <v>999.99999999999977</v>
      </c>
      <c r="H63" s="30"/>
      <c r="I63" s="30"/>
      <c r="J63" s="100"/>
      <c r="K63" s="101">
        <f t="shared" si="10"/>
        <v>777.52346081157702</v>
      </c>
      <c r="L63" s="33">
        <f t="shared" si="11"/>
        <v>222.47653918842295</v>
      </c>
      <c r="M63" s="33">
        <f t="shared" si="7"/>
        <v>1000</v>
      </c>
    </row>
    <row r="64" spans="1:13" ht="15" x14ac:dyDescent="0.25">
      <c r="A64" s="4">
        <v>58</v>
      </c>
      <c r="D64" s="100"/>
      <c r="E64" s="101">
        <f t="shared" si="8"/>
        <v>692.59407000438648</v>
      </c>
      <c r="F64" s="33">
        <f t="shared" si="9"/>
        <v>307.40592999561335</v>
      </c>
      <c r="G64" s="33">
        <f t="shared" si="6"/>
        <v>999.99999999999977</v>
      </c>
      <c r="H64" s="30"/>
      <c r="I64" s="30"/>
      <c r="J64" s="100"/>
      <c r="K64" s="101">
        <f t="shared" si="10"/>
        <v>780.31095459033361</v>
      </c>
      <c r="L64" s="33">
        <f t="shared" si="11"/>
        <v>219.68904540966631</v>
      </c>
      <c r="M64" s="33">
        <f t="shared" si="7"/>
        <v>999.99999999999989</v>
      </c>
    </row>
    <row r="65" spans="1:13" ht="15" x14ac:dyDescent="0.25">
      <c r="A65" s="4">
        <v>59</v>
      </c>
      <c r="D65" s="100"/>
      <c r="E65" s="101">
        <f t="shared" si="8"/>
        <v>696.74209700005213</v>
      </c>
      <c r="F65" s="33">
        <f t="shared" si="9"/>
        <v>303.25790299994759</v>
      </c>
      <c r="G65" s="33">
        <f t="shared" si="6"/>
        <v>999.99999999999977</v>
      </c>
      <c r="H65" s="30"/>
      <c r="I65" s="30"/>
      <c r="J65" s="100"/>
      <c r="K65" s="101">
        <f t="shared" si="10"/>
        <v>782.97429599539259</v>
      </c>
      <c r="L65" s="33">
        <f t="shared" si="11"/>
        <v>217.02570400460735</v>
      </c>
      <c r="M65" s="33">
        <f t="shared" si="7"/>
        <v>1000</v>
      </c>
    </row>
    <row r="66" spans="1:13" ht="15" x14ac:dyDescent="0.25">
      <c r="A66" s="4">
        <v>60</v>
      </c>
      <c r="D66" s="100"/>
      <c r="E66" s="101">
        <f t="shared" si="8"/>
        <v>700.76226709758487</v>
      </c>
      <c r="F66" s="33">
        <f t="shared" si="9"/>
        <v>299.23773290241485</v>
      </c>
      <c r="G66" s="33">
        <f t="shared" si="6"/>
        <v>999.99999999999977</v>
      </c>
      <c r="H66" s="30"/>
      <c r="I66" s="30"/>
      <c r="J66" s="100"/>
      <c r="K66" s="101">
        <f t="shared" si="10"/>
        <v>785.51901465771209</v>
      </c>
      <c r="L66" s="33">
        <f t="shared" si="11"/>
        <v>214.48098534228788</v>
      </c>
      <c r="M66" s="33">
        <f t="shared" si="7"/>
        <v>1000</v>
      </c>
    </row>
    <row r="68" spans="1:13" x14ac:dyDescent="0.2">
      <c r="F68" s="30"/>
    </row>
    <row r="69" spans="1:13" x14ac:dyDescent="0.2">
      <c r="F69" s="30"/>
    </row>
  </sheetData>
  <pageMargins left="0.75" right="0.75" top="1" bottom="1" header="0.5" footer="0.5"/>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42</vt:i4>
      </vt:variant>
    </vt:vector>
  </HeadingPairs>
  <TitlesOfParts>
    <vt:vector size="50" baseType="lpstr">
      <vt:lpstr>Model Figure</vt:lpstr>
      <vt:lpstr>Analysis</vt:lpstr>
      <vt:lpstr>Parameters</vt:lpstr>
      <vt:lpstr>Life tables</vt:lpstr>
      <vt:lpstr>Probabilities</vt:lpstr>
      <vt:lpstr>UC </vt:lpstr>
      <vt:lpstr>PH + UC</vt:lpstr>
      <vt:lpstr>Control</vt:lpstr>
      <vt:lpstr>_cNP1</vt:lpstr>
      <vt:lpstr>_cPH1</vt:lpstr>
      <vt:lpstr>age</vt:lpstr>
      <vt:lpstr>amr</vt:lpstr>
      <vt:lpstr>amrc</vt:lpstr>
      <vt:lpstr>amrHOEX</vt:lpstr>
      <vt:lpstr>amrrate</vt:lpstr>
      <vt:lpstr>cDR</vt:lpstr>
      <vt:lpstr>cEREX</vt:lpstr>
      <vt:lpstr>cHOEX</vt:lpstr>
      <vt:lpstr>cNES</vt:lpstr>
      <vt:lpstr>cOSEX</vt:lpstr>
      <vt:lpstr>cPH1_</vt:lpstr>
      <vt:lpstr>cPHr</vt:lpstr>
      <vt:lpstr>cPrimary</vt:lpstr>
      <vt:lpstr>cRevision</vt:lpstr>
      <vt:lpstr>cStandard</vt:lpstr>
      <vt:lpstr>cSuccess</vt:lpstr>
      <vt:lpstr>lifetable</vt:lpstr>
      <vt:lpstr>male</vt:lpstr>
      <vt:lpstr>'PH + UC'!mr</vt:lpstr>
      <vt:lpstr>mr</vt:lpstr>
      <vt:lpstr>oDR</vt:lpstr>
      <vt:lpstr>pCAPH</vt:lpstr>
      <vt:lpstr>pCAUC</vt:lpstr>
      <vt:lpstr>pEXUC</vt:lpstr>
      <vt:lpstr>Parameters!Print_Area</vt:lpstr>
      <vt:lpstr>pUAPH</vt:lpstr>
      <vt:lpstr>pUAUC</vt:lpstr>
      <vt:lpstr>rrEREX</vt:lpstr>
      <vt:lpstr>rrEREXc</vt:lpstr>
      <vt:lpstr>rrHOEX</vt:lpstr>
      <vt:lpstr>rrHOEXc</vt:lpstr>
      <vt:lpstr>rrOSEX</vt:lpstr>
      <vt:lpstr>rrOSEXc</vt:lpstr>
      <vt:lpstr>uEREX</vt:lpstr>
      <vt:lpstr>uHOEX</vt:lpstr>
      <vt:lpstr>uNES</vt:lpstr>
      <vt:lpstr>uOCEX</vt:lpstr>
      <vt:lpstr>uRevision</vt:lpstr>
      <vt:lpstr>uSuccessP</vt:lpstr>
      <vt:lpstr>uSuccessR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 CEIT</dc:creator>
  <cp:lastModifiedBy>ck</cp:lastModifiedBy>
  <dcterms:created xsi:type="dcterms:W3CDTF">2016-10-29T00:03:04Z</dcterms:created>
  <dcterms:modified xsi:type="dcterms:W3CDTF">2016-11-05T01:35:17Z</dcterms:modified>
</cp:coreProperties>
</file>